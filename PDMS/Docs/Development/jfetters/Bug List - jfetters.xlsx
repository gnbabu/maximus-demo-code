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Projects\TN_PDMS\PDMS\Docs\Development\jfetters\"/>
    </mc:Choice>
  </mc:AlternateContent>
  <bookViews>
    <workbookView xWindow="120" yWindow="60" windowWidth="23820" windowHeight="10110" firstSheet="108" activeTab="120"/>
  </bookViews>
  <sheets>
    <sheet name="Bug List" sheetId="1" r:id="rId1"/>
    <sheet name="1159" sheetId="15" r:id="rId2"/>
    <sheet name="1184" sheetId="3" r:id="rId3"/>
    <sheet name="1235" sheetId="8" r:id="rId4"/>
    <sheet name="1252" sheetId="13" r:id="rId5"/>
    <sheet name="1275" sheetId="4" r:id="rId6"/>
    <sheet name="1290" sheetId="5" r:id="rId7"/>
    <sheet name="1317" sheetId="2" r:id="rId8"/>
    <sheet name="1324" sheetId="6" r:id="rId9"/>
    <sheet name="1325" sheetId="9" r:id="rId10"/>
    <sheet name="1375" sheetId="11" r:id="rId11"/>
    <sheet name="1459" sheetId="12" r:id="rId12"/>
    <sheet name="1468" sheetId="14" r:id="rId13"/>
    <sheet name="1487" sheetId="16" r:id="rId14"/>
    <sheet name="1511" sheetId="21" r:id="rId15"/>
    <sheet name="1512" sheetId="18" r:id="rId16"/>
    <sheet name="1519" sheetId="19" r:id="rId17"/>
    <sheet name="1545" sheetId="22" r:id="rId18"/>
    <sheet name="1701" sheetId="25" r:id="rId19"/>
    <sheet name="1710" sheetId="23" r:id="rId20"/>
    <sheet name="1717" sheetId="24" r:id="rId21"/>
    <sheet name="1722" sheetId="26" r:id="rId22"/>
    <sheet name="1745" sheetId="27" r:id="rId23"/>
    <sheet name="1746" sheetId="58" r:id="rId24"/>
    <sheet name="1806" sheetId="29" r:id="rId25"/>
    <sheet name="1809" sheetId="28" r:id="rId26"/>
    <sheet name="1838" sheetId="30" r:id="rId27"/>
    <sheet name="1946" sheetId="34" r:id="rId28"/>
    <sheet name="1947" sheetId="81" r:id="rId29"/>
    <sheet name="1986" sheetId="80" r:id="rId30"/>
    <sheet name="2097" sheetId="31" r:id="rId31"/>
    <sheet name="2099" sheetId="45" r:id="rId32"/>
    <sheet name="2286" sheetId="33" r:id="rId33"/>
    <sheet name="2239" sheetId="32" r:id="rId34"/>
    <sheet name="2391" sheetId="38" r:id="rId35"/>
    <sheet name="2411" sheetId="35" r:id="rId36"/>
    <sheet name="2442" sheetId="46" r:id="rId37"/>
    <sheet name="2459" sheetId="36" r:id="rId38"/>
    <sheet name="2466" sheetId="37" r:id="rId39"/>
    <sheet name="2472" sheetId="59" r:id="rId40"/>
    <sheet name="2564" sheetId="60" r:id="rId41"/>
    <sheet name="2625" sheetId="39" r:id="rId42"/>
    <sheet name="2639" sheetId="40" r:id="rId43"/>
    <sheet name="2650" sheetId="41" r:id="rId44"/>
    <sheet name="2683" sheetId="42" r:id="rId45"/>
    <sheet name="2702" sheetId="43" r:id="rId46"/>
    <sheet name="2774" sheetId="44" r:id="rId47"/>
    <sheet name="2831" sheetId="61" r:id="rId48"/>
    <sheet name="2884" sheetId="47" r:id="rId49"/>
    <sheet name="2978" sheetId="56" r:id="rId50"/>
    <sheet name="2984" sheetId="54" r:id="rId51"/>
    <sheet name="2995" sheetId="55" r:id="rId52"/>
    <sheet name="3005" sheetId="48" r:id="rId53"/>
    <sheet name="3007" sheetId="49" r:id="rId54"/>
    <sheet name="3013" sheetId="87" r:id="rId55"/>
    <sheet name="3018" sheetId="50" r:id="rId56"/>
    <sheet name="3024" sheetId="98" r:id="rId57"/>
    <sheet name="3027" sheetId="53" r:id="rId58"/>
    <sheet name="3040" sheetId="96" r:id="rId59"/>
    <sheet name="3104" sheetId="62" r:id="rId60"/>
    <sheet name="3126" sheetId="86" r:id="rId61"/>
    <sheet name="3131" sheetId="63" r:id="rId62"/>
    <sheet name="3144" sheetId="51" r:id="rId63"/>
    <sheet name="3148" sheetId="52" r:id="rId64"/>
    <sheet name="3170" sheetId="64" r:id="rId65"/>
    <sheet name="3173" sheetId="76" r:id="rId66"/>
    <sheet name="3188" sheetId="57" r:id="rId67"/>
    <sheet name="3204" sheetId="65" r:id="rId68"/>
    <sheet name="3240" sheetId="75" r:id="rId69"/>
    <sheet name="3262" sheetId="74" r:id="rId70"/>
    <sheet name="3279" sheetId="73" r:id="rId71"/>
    <sheet name="3284" sheetId="66" r:id="rId72"/>
    <sheet name="3290" sheetId="68" r:id="rId73"/>
    <sheet name="3293" sheetId="72" r:id="rId74"/>
    <sheet name="3297" sheetId="69" r:id="rId75"/>
    <sheet name="3297_2" sheetId="78" r:id="rId76"/>
    <sheet name="3330" sheetId="99" r:id="rId77"/>
    <sheet name="3334" sheetId="67" r:id="rId78"/>
    <sheet name="3337" sheetId="82" r:id="rId79"/>
    <sheet name="3339" sheetId="77" r:id="rId80"/>
    <sheet name="3340" sheetId="70" r:id="rId81"/>
    <sheet name="3341" sheetId="71" r:id="rId82"/>
    <sheet name="3342" sheetId="79" r:id="rId83"/>
    <sheet name="3381" sheetId="103" r:id="rId84"/>
    <sheet name="3414" sheetId="88" r:id="rId85"/>
    <sheet name="3417" sheetId="89" r:id="rId86"/>
    <sheet name="3435" sheetId="90" r:id="rId87"/>
    <sheet name="3449" sheetId="91" r:id="rId88"/>
    <sheet name="3471" sheetId="92" r:id="rId89"/>
    <sheet name="3488" sheetId="83" r:id="rId90"/>
    <sheet name="3490" sheetId="85" r:id="rId91"/>
    <sheet name="3546" sheetId="84" r:id="rId92"/>
    <sheet name="3624" sheetId="93" r:id="rId93"/>
    <sheet name="3625" sheetId="104" r:id="rId94"/>
    <sheet name="3646" sheetId="94" r:id="rId95"/>
    <sheet name="3666" sheetId="105" r:id="rId96"/>
    <sheet name="3699" sheetId="97" r:id="rId97"/>
    <sheet name="3715" sheetId="95" r:id="rId98"/>
    <sheet name="3774" sheetId="100" r:id="rId99"/>
    <sheet name="3785" sheetId="112" r:id="rId100"/>
    <sheet name="3816" sheetId="101" r:id="rId101"/>
    <sheet name="3825" sheetId="102" r:id="rId102"/>
    <sheet name="3914" sheetId="106" r:id="rId103"/>
    <sheet name="3933" sheetId="109" r:id="rId104"/>
    <sheet name="3963" sheetId="113" r:id="rId105"/>
    <sheet name="3967" sheetId="114" r:id="rId106"/>
    <sheet name="3969" sheetId="107" r:id="rId107"/>
    <sheet name="3974" sheetId="108" r:id="rId108"/>
    <sheet name="3983" sheetId="110" r:id="rId109"/>
    <sheet name="3985" sheetId="115" r:id="rId110"/>
    <sheet name="3992" sheetId="111" r:id="rId111"/>
    <sheet name="3995" sheetId="116" r:id="rId112"/>
    <sheet name="3999" sheetId="117" r:id="rId113"/>
    <sheet name="4034" sheetId="118" r:id="rId114"/>
    <sheet name="4063" sheetId="119" r:id="rId115"/>
    <sheet name="4073" sheetId="120" r:id="rId116"/>
    <sheet name="4097" sheetId="121" r:id="rId117"/>
    <sheet name="4125" sheetId="122" r:id="rId118"/>
    <sheet name="4139" sheetId="123" r:id="rId119"/>
    <sheet name="4146" sheetId="124" r:id="rId120"/>
    <sheet name="4230" sheetId="125" r:id="rId121"/>
  </sheets>
  <calcPr calcId="152511"/>
</workbook>
</file>

<file path=xl/calcChain.xml><?xml version="1.0" encoding="utf-8"?>
<calcChain xmlns="http://schemas.openxmlformats.org/spreadsheetml/2006/main">
  <c r="A78" i="123" l="1"/>
  <c r="A81" i="123"/>
  <c r="A86" i="123"/>
  <c r="A89" i="123"/>
  <c r="A21" i="122"/>
  <c r="A56" i="122"/>
  <c r="B65" i="122"/>
  <c r="C77" i="122"/>
  <c r="A79" i="122"/>
  <c r="A107" i="122"/>
  <c r="A117" i="122"/>
  <c r="A4" i="119"/>
  <c r="A9" i="118"/>
  <c r="A20" i="118"/>
  <c r="A44" i="118"/>
  <c r="A7" i="116"/>
  <c r="B4" i="115"/>
  <c r="A11" i="115"/>
  <c r="A24" i="115"/>
  <c r="A33" i="115"/>
  <c r="A43" i="112"/>
  <c r="B50" i="112"/>
  <c r="A78" i="112"/>
  <c r="A83" i="112"/>
  <c r="A102" i="112"/>
  <c r="A138" i="112"/>
  <c r="B79" i="100"/>
  <c r="C84" i="100"/>
  <c r="C85" i="100"/>
  <c r="C89" i="100"/>
  <c r="C90" i="100"/>
  <c r="A58" i="122"/>
  <c r="A18" i="109" l="1"/>
  <c r="A47" i="108"/>
  <c r="A116" i="104"/>
  <c r="A139" i="104"/>
  <c r="A6" i="106" l="1"/>
  <c r="A3" i="105"/>
  <c r="A5" i="105"/>
  <c r="A6" i="105"/>
  <c r="A9" i="105"/>
  <c r="A10" i="105"/>
  <c r="A11" i="105"/>
  <c r="A14" i="105"/>
  <c r="A15" i="105"/>
  <c r="A22" i="105"/>
  <c r="A23" i="105"/>
  <c r="A26" i="105"/>
  <c r="A88" i="105"/>
  <c r="A6" i="104"/>
  <c r="A21" i="104"/>
  <c r="A41" i="104"/>
  <c r="A1" i="96"/>
  <c r="A47" i="96"/>
  <c r="A53" i="96"/>
  <c r="A206" i="96" l="1"/>
  <c r="A208" i="96"/>
  <c r="A251" i="96"/>
  <c r="A280" i="96"/>
  <c r="A299" i="96"/>
  <c r="A300" i="96"/>
  <c r="A301" i="96"/>
  <c r="A25" i="102"/>
  <c r="A34" i="102"/>
  <c r="B5" i="101"/>
  <c r="A16" i="97" l="1"/>
  <c r="A25" i="97"/>
  <c r="A237" i="88"/>
  <c r="A239" i="88"/>
  <c r="A139" i="96"/>
  <c r="A141" i="96"/>
  <c r="A144" i="96"/>
  <c r="A145" i="96"/>
  <c r="A147" i="96"/>
  <c r="A148" i="96"/>
  <c r="A149" i="96"/>
  <c r="A151" i="96"/>
  <c r="A152" i="96"/>
  <c r="A159" i="96"/>
  <c r="B2" i="94" l="1"/>
  <c r="E3" i="94"/>
  <c r="A20" i="94"/>
  <c r="A45" i="93" l="1"/>
  <c r="A100" i="93"/>
  <c r="A206" i="93"/>
  <c r="A207" i="93"/>
  <c r="A229" i="93"/>
  <c r="C49" i="91"/>
  <c r="C50" i="91"/>
  <c r="B59" i="91"/>
  <c r="A75" i="91"/>
  <c r="A7" i="90"/>
  <c r="A44" i="89"/>
  <c r="A55" i="89"/>
  <c r="A2" i="87"/>
  <c r="B38" i="87"/>
  <c r="A65" i="86"/>
  <c r="A75" i="86"/>
  <c r="A81" i="86"/>
  <c r="A5" i="85" l="1"/>
  <c r="A34" i="85"/>
  <c r="D111" i="85"/>
  <c r="A117" i="85"/>
  <c r="A119" i="85"/>
  <c r="A123" i="85"/>
  <c r="A153" i="85"/>
  <c r="A157" i="85"/>
  <c r="A205" i="85"/>
  <c r="A212" i="85"/>
  <c r="C249" i="85"/>
  <c r="A64" i="83" l="1"/>
  <c r="A111" i="83"/>
  <c r="A119" i="83"/>
  <c r="A152" i="83"/>
  <c r="A176" i="83"/>
  <c r="A32" i="82" l="1"/>
  <c r="A35" i="82"/>
  <c r="A45" i="82"/>
  <c r="A63" i="80" l="1"/>
  <c r="A64" i="80"/>
  <c r="A84" i="80"/>
  <c r="A85" i="80"/>
  <c r="A86" i="80"/>
  <c r="A88" i="80"/>
  <c r="A91" i="80"/>
  <c r="A92" i="80"/>
  <c r="A93" i="80"/>
  <c r="A94" i="80"/>
  <c r="A95" i="80"/>
  <c r="A98" i="80"/>
  <c r="A100" i="80"/>
  <c r="A103" i="80"/>
  <c r="A104" i="80"/>
  <c r="A106" i="80"/>
  <c r="A108" i="80"/>
  <c r="A111" i="80"/>
  <c r="A112" i="80"/>
  <c r="A114" i="80"/>
  <c r="A116" i="80"/>
  <c r="A119" i="80"/>
  <c r="A120" i="80"/>
  <c r="A122" i="80"/>
  <c r="A124" i="80"/>
  <c r="A127" i="80"/>
  <c r="A128" i="80"/>
  <c r="A131" i="80"/>
  <c r="A133" i="80"/>
  <c r="A136" i="80"/>
  <c r="A137" i="80"/>
  <c r="A139" i="80"/>
  <c r="A141" i="80"/>
  <c r="A144" i="80"/>
  <c r="B5" i="77"/>
  <c r="B181" i="80"/>
  <c r="B2" i="76" l="1"/>
  <c r="A31" i="76"/>
  <c r="A56" i="75"/>
  <c r="A59" i="75"/>
  <c r="A328" i="74"/>
  <c r="A170" i="74"/>
  <c r="A192" i="74"/>
  <c r="A201" i="74"/>
  <c r="A262" i="74"/>
  <c r="A282" i="74"/>
  <c r="A162" i="71"/>
  <c r="A108" i="69" l="1"/>
  <c r="A118" i="69"/>
  <c r="B18" i="68" l="1"/>
  <c r="A107" i="68"/>
  <c r="A156" i="68"/>
  <c r="A166" i="68"/>
  <c r="A175" i="68"/>
  <c r="A41" i="65" l="1"/>
  <c r="A129" i="65"/>
  <c r="A97" i="63"/>
  <c r="A163" i="63"/>
  <c r="C63" i="62"/>
  <c r="C71" i="62"/>
  <c r="C79" i="62"/>
  <c r="E86" i="62"/>
  <c r="E175" i="62"/>
  <c r="C176" i="62"/>
  <c r="E177" i="62"/>
  <c r="E178" i="62"/>
  <c r="A179" i="62"/>
  <c r="A180" i="62"/>
  <c r="A91" i="61"/>
  <c r="A92" i="61"/>
  <c r="A98" i="61"/>
  <c r="A99" i="61"/>
  <c r="A101" i="61"/>
  <c r="A103" i="61"/>
  <c r="A74" i="60"/>
  <c r="A121" i="60"/>
  <c r="A201" i="60"/>
  <c r="C69" i="59"/>
  <c r="A14" i="55" l="1"/>
  <c r="A1" i="54"/>
  <c r="C12" i="54"/>
  <c r="A15" i="54"/>
  <c r="C28" i="54"/>
  <c r="E29" i="54"/>
  <c r="A10" i="52"/>
  <c r="A16" i="52"/>
  <c r="A30" i="52"/>
  <c r="A65" i="48" l="1"/>
  <c r="A66" i="48"/>
  <c r="A39" i="47"/>
  <c r="A49" i="46"/>
  <c r="A78" i="46"/>
  <c r="A80" i="46"/>
  <c r="A148" i="46"/>
  <c r="B29" i="45"/>
  <c r="A41" i="45"/>
  <c r="A148" i="45"/>
  <c r="A190" i="45"/>
  <c r="A19" i="43"/>
  <c r="A227" i="43"/>
  <c r="A234" i="43"/>
  <c r="A39" i="42"/>
  <c r="A52" i="42"/>
  <c r="A53" i="42"/>
  <c r="B76" i="42"/>
  <c r="C84" i="42"/>
  <c r="A127" i="42"/>
  <c r="B145" i="42"/>
  <c r="C153" i="42"/>
  <c r="A187" i="42"/>
  <c r="A189" i="42"/>
  <c r="A206" i="42"/>
  <c r="A23" i="41"/>
  <c r="I138" i="41"/>
  <c r="J138" i="41"/>
  <c r="E139" i="41"/>
  <c r="F139" i="41"/>
  <c r="H140" i="41"/>
  <c r="I140" i="41"/>
  <c r="D141" i="41"/>
  <c r="E141" i="41"/>
  <c r="B142" i="41"/>
  <c r="C142" i="41"/>
  <c r="E149" i="41"/>
  <c r="F149" i="41"/>
  <c r="A7" i="40"/>
  <c r="A21" i="40"/>
  <c r="C102" i="39"/>
  <c r="A40" i="35"/>
  <c r="A69" i="15"/>
  <c r="A105" i="15"/>
  <c r="A7" i="11"/>
</calcChain>
</file>

<file path=xl/sharedStrings.xml><?xml version="1.0" encoding="utf-8"?>
<sst xmlns="http://schemas.openxmlformats.org/spreadsheetml/2006/main" count="9013" uniqueCount="4461">
  <si>
    <t>Bug #</t>
  </si>
  <si>
    <t>Summary</t>
  </si>
  <si>
    <t>Coded</t>
  </si>
  <si>
    <t>Tested</t>
  </si>
  <si>
    <t>Checked-In</t>
  </si>
  <si>
    <t>Missing License Number</t>
  </si>
  <si>
    <t>X</t>
  </si>
  <si>
    <t>Empty DEA Expiration Date</t>
  </si>
  <si>
    <t>Default Billing &amp; Payment - Add Errors</t>
  </si>
  <si>
    <t>Practice CurrentlyPracticing Errors</t>
  </si>
  <si>
    <t xml:space="preserve">Missing Credentialing Contact Email Address-Defaulted to Registration Email </t>
  </si>
  <si>
    <t>Notes</t>
  </si>
  <si>
    <t>SELECT     se.ExtractFile, p.FirstName, p.LastName, p.CAQHProviderID, pl.DEANumber, pl.ExpirationDate</t>
  </si>
  <si>
    <t>FROM         CAQHS_ProviderDEA AS pl INNER JOIN</t>
  </si>
  <si>
    <t xml:space="preserve">                      CAQHS_Provider AS p ON p.ProviderId = pl.ProviderId INNER JOIN</t>
  </si>
  <si>
    <t xml:space="preserve">                      CAQHS_StandardExtract AS se ON p.StandardExtractId = se.StandardExtractId</t>
  </si>
  <si>
    <t xml:space="preserve">WHERE </t>
  </si>
  <si>
    <t>p.Action = 'N'</t>
  </si>
  <si>
    <t>ORDER BY pl.ExpirationDate -- 12257552</t>
  </si>
  <si>
    <t>SELECT     p.FIRST_NAME, p.LAST_NAME, p_caqhid.CAQH_PIN, et.ERROR_CODE, et.ERROR_NAME, est.ERROR_STATUS_TYPE</t>
  </si>
  <si>
    <t>FROM         vw_PartyErrorHistoryMax AS peh_max INNER JOIN</t>
  </si>
  <si>
    <t xml:space="preserve">                      PARTY_ERROR_HISTORY AS peh ON peh_max.ERROR_STATUS_DATE_TIME = peh.ERROR_STATUS_DATE_TIME AND </t>
  </si>
  <si>
    <t xml:space="preserve">                      peh_max.ERROR_ID = peh.ERROR_ID INNER JOIN</t>
  </si>
  <si>
    <t xml:space="preserve">                      ERROR_STATUS_TYPE AS est ON peh.ERROR_STATUS_TYPE_ID = est.ERROR_STATUS_TYPE_ID INNER JOIN</t>
  </si>
  <si>
    <t xml:space="preserve">                      PARTY_ERROR AS pe INNER JOIN</t>
  </si>
  <si>
    <t xml:space="preserve">                      PERSON AS p ON pe.PARTY_ID = p.PARTY_ID INNER JOIN</t>
  </si>
  <si>
    <t xml:space="preserve">                      vw_PartyCAQHId AS p_caqhid ON p.PARTY_ID = p_caqhid.PARTY_ID INNER JOIN</t>
  </si>
  <si>
    <t xml:space="preserve">                      ERROR_TYPE AS et ON pe.ERROR_TYPE_ID = et.ERROR_TYPE_ID ON peh_max.ERROR_ID = pe.ERROR_ID</t>
  </si>
  <si>
    <t>WHERE     (pe.ERROR_TYPE_ID = 17)</t>
  </si>
  <si>
    <t>GROUP BY p.FIRST_NAME, p.LAST_NAME, p_caqhid.CAQH_PIN, et.ERROR_CODE, et.ERROR_NAME, est.ERROR_STATUS_TYPE</t>
  </si>
  <si>
    <t>Add Process - Do not import 0 CurrentPracticing; Update Process - See bug</t>
  </si>
  <si>
    <t>FROM         CAQHS_Provider AS p INNER JOIN</t>
  </si>
  <si>
    <t xml:space="preserve">                      CAQHS_StandardExtract AS se ON p.StandardExtractId = se.StandardExtractId INNER JOIN</t>
  </si>
  <si>
    <t xml:space="preserve">                      CAQHS_ProviderPractice AS pp ON p.ProviderId = pp.ProviderId</t>
  </si>
  <si>
    <t>WHERE     (p.Action = 'N') AND (pp.CurrentlyPracticingFlag = 0)</t>
  </si>
  <si>
    <t>ORDER BY se.ExtractFile, p.CAQHProviderID</t>
  </si>
  <si>
    <t xml:space="preserve">                      pp.Zip</t>
  </si>
  <si>
    <t xml:space="preserve">SELECT     se.ExtractFile, p.FirstName, p.LastName, p.CAQHProviderID, pp.XmlId AS PracticeXmlID,pp.CurrentlyPracticingFlag, pp.PracticeName, pp.Address, pp.Address2, pp.City, pp.State, </t>
  </si>
  <si>
    <t>LastName</t>
  </si>
  <si>
    <t>CAQHProviderID</t>
  </si>
  <si>
    <t>Hartman</t>
  </si>
  <si>
    <t xml:space="preserve">SELECT     vw_PartyCAQHId.CAQH_PIN, LICENSURE.PARTY_ID, LICENSURE.LICENSE_NUMBER, LICENSURE.ISSUE_DATE, LICENSURE.EXPIRATION_DATE, </t>
  </si>
  <si>
    <t xml:space="preserve">                      LICENSURE.STATE_ABBREV</t>
  </si>
  <si>
    <t>FROM         LICENSURE INNER JOIN</t>
  </si>
  <si>
    <t xml:space="preserve">                      vw_PartyCAQHId ON LICENSURE.PARTY_ID = vw_PartyCAQHId.PARTY_ID</t>
  </si>
  <si>
    <t>WHERE     (LICENSURE.LICENSE_NUMBER = 'TX0001')</t>
  </si>
  <si>
    <t>CAQH PIN</t>
  </si>
  <si>
    <t>First Name</t>
  </si>
  <si>
    <t>Last Name</t>
  </si>
  <si>
    <t>McKinney-Smith</t>
  </si>
  <si>
    <t>Lisa</t>
  </si>
  <si>
    <t>Service Location</t>
  </si>
  <si>
    <t>1 Medical Park Blvd</t>
  </si>
  <si>
    <t>Wellmont Medical Associates, Inc</t>
  </si>
  <si>
    <t>Evancho</t>
  </si>
  <si>
    <t>Andrew</t>
  </si>
  <si>
    <t xml:space="preserve">SELECT     CAQHS_Provider.FirstName, CAQHS_Provider.LastName, CAQHS_Provider.CAQHProviderID, CAQHS_ProviderPractice.XmlId, </t>
  </si>
  <si>
    <t xml:space="preserve">                      DT_TAX_CNT.TaxCount</t>
  </si>
  <si>
    <t>FROM         CAQHS_ProviderPractice INNER JOIN</t>
  </si>
  <si>
    <t xml:space="preserve">                      CAQHS_Provider ON CAQHS_ProviderPractice.ProviderId = CAQHS_Provider.ProviderId LEFT OUTER JOIN</t>
  </si>
  <si>
    <t xml:space="preserve">                          (SELECT     ProviderPracticeId, COUNT(*) AS TaxCount</t>
  </si>
  <si>
    <t xml:space="preserve">                            FROM          CAQHS_ProviderPracticeTax AS CAQHS_ProviderPracticeTax_1</t>
  </si>
  <si>
    <t xml:space="preserve">                            WHERE      (PrimaryFlag = 1)</t>
  </si>
  <si>
    <t xml:space="preserve">                            GROUP BY ProviderPracticeId) AS DT_TAX_CNT ON CAQHS_ProviderPractice.ProviderPracticeId = DT_TAX_CNT.ProviderPracticeId</t>
  </si>
  <si>
    <t>WHERE     (CAQHS_Provider.Action = 'N') AND (DT_TAX_CNT.TaxCount IS NULL)</t>
  </si>
  <si>
    <t>Providers With No Primary Tax Ids</t>
  </si>
  <si>
    <t xml:space="preserve">                      CAQHS_Provider ON CAQHS_ProviderPractice.ProviderId = CAQHS_Provider.ProviderId INNER JOIN</t>
  </si>
  <si>
    <t xml:space="preserve">                            GROUP BY ProviderPracticeId</t>
  </si>
  <si>
    <t xml:space="preserve">                            HAVING      (COUNT(*) &gt; 1)) AS DT_TAX_CNT ON CAQHS_ProviderPractice.ProviderPracticeId = DT_TAX_CNT.ProviderPracticeId</t>
  </si>
  <si>
    <t>WHERE     (CAQHS_Provider.Action = 'N')</t>
  </si>
  <si>
    <t>Providers With More Than One Primary Tax Id</t>
  </si>
  <si>
    <t>Missing DEA Number or DEA Xml Element</t>
  </si>
  <si>
    <t>SELECT PERSON.FIRST_NAME, PERSON.LAST_NAME, PARTY_ERROR.PARTY_ID</t>
  </si>
  <si>
    <t>FROM PARTY_ERROR</t>
  </si>
  <si>
    <t>JOIN PERSON ON PERSON.PARTY_ID = PARTY_ERROR.PARTY_ID</t>
  </si>
  <si>
    <t>WHERE ERROR_TYPE_ID = 15</t>
  </si>
  <si>
    <t>Bug Updated</t>
  </si>
  <si>
    <t>Appears to have been previously fixed</t>
  </si>
  <si>
    <t>Return Roster Status not updating correctly</t>
  </si>
  <si>
    <t>DECLARE @RC int</t>
  </si>
  <si>
    <t>DECLARE @LOAD_FILE_NAME varchar(256) = 'ReturnRoster_TennCare_20121211_00001'</t>
  </si>
  <si>
    <t>DECLARE @CAQH_PIN varchar(80) = '12460538'</t>
  </si>
  <si>
    <t>DECLARE @LAST_MODIFIED_DATE_TIME datetime = GETDATE()</t>
  </si>
  <si>
    <t>DECLARE @LAST_MODIFIED_USER uniqueidentifier = 'E7854515-E84D-419B-B30E-720AE2C7EE4D'</t>
  </si>
  <si>
    <t xml:space="preserve">EXECUTE @RC = [TN_PDMS_JCF].[dbo].[sp_UpdateRosterStatuses] </t>
  </si>
  <si>
    <t xml:space="preserve">   @LOAD_FILE_NAME</t>
  </si>
  <si>
    <t xml:space="preserve">  ,@CAQH_PIN</t>
  </si>
  <si>
    <t xml:space="preserve">  ,@LAST_MODIFIED_DATE_TIME</t>
  </si>
  <si>
    <t xml:space="preserve">  ,@LAST_MODIFIED_USER</t>
  </si>
  <si>
    <t>PRINT @RC</t>
  </si>
  <si>
    <t xml:space="preserve">SELECT     vw_PartyCAQHId.CAQH_PIN, PROVIDER_STATUS.PROVIDER_STATUS_ID, CAQH_STATUS.CAQH_STATUS_TYPE_ID, </t>
  </si>
  <si>
    <t xml:space="preserve">                      CAQH_STATUS_TYPE.CAQH_STATUS_TYPE_DESCRIPTION</t>
  </si>
  <si>
    <t>FROM         vw_PartyCAQHId INNER JOIN</t>
  </si>
  <si>
    <t xml:space="preserve">                      PROVIDER_STATUS ON vw_PartyCAQHId.PARTY_ID = PROVIDER_STATUS.PARTY_ID LEFT OUTER JOIN</t>
  </si>
  <si>
    <t xml:space="preserve">                      CAQH_STATUS INNER JOIN</t>
  </si>
  <si>
    <t xml:space="preserve">                      CAQH_STATUS_TYPE ON CAQH_STATUS.CAQH_STATUS_TYPE_ID = CAQH_STATUS_TYPE.CAQH_STATUS_TYPE_ID ON </t>
  </si>
  <si>
    <t xml:space="preserve">                      PROVIDER_STATUS.PROVIDER_STATUS_ID = CAQH_STATUS.PROVIDER_STATUS_ID</t>
  </si>
  <si>
    <t>WHERE     (vw_PartyCAQHId.CAQH_PIN = '12460538') AND (PROVIDER_STATUS.MEDICAID_PK IS NULL)</t>
  </si>
  <si>
    <t>SELECT * FROM RETURN_ROSTER_FILE</t>
  </si>
  <si>
    <t>-- DELETE FROM RETURN_ROSTER_FILE WHERE LOAD_FILE_NAME = 'ReturnRoster_TennCare_20121211_00001'</t>
  </si>
  <si>
    <t>SELECT     pin.PARTY_ID, pin.PARTY_IDENTIFICATION_NUMBER AS CAQH_PIN</t>
  </si>
  <si>
    <t xml:space="preserve">                            FROM          PARTY_IDENTIFICATION_NUMBER AS pin INNER JOIN</t>
  </si>
  <si>
    <t xml:space="preserve">                                                   PARTY_IDENTIFICATION_NUMBER_TYPE AS pint ON </t>
  </si>
  <si>
    <t xml:space="preserve">                                                   pint.PARTY_IDENTIFICATION_NUMBER_TYPE_ID = pin.PARTY_IDENTIFICATION_NUMBER_TYPE_ID</t>
  </si>
  <si>
    <t xml:space="preserve">                            WHERE      (pin.PARTY_IDENTIFICATION_NUMBER_TYPE_ID = 37)</t>
  </si>
  <si>
    <t xml:space="preserve">                            </t>
  </si>
  <si>
    <t xml:space="preserve">                            SELECT     MAX(RETURN_ROSTER_PK) AS RETURN_ROSTER_PK</t>
  </si>
  <si>
    <t xml:space="preserve">                            FROM          RETURN_ROSTER_FILE AS rrf</t>
  </si>
  <si>
    <t xml:space="preserve">                            GROUP BY PROVIDER_ID</t>
  </si>
  <si>
    <t>Show submit roster errors and if the submit roster match works correctly</t>
  </si>
  <si>
    <t xml:space="preserve">SELECT     PARTY_ERROR.SUBMIT_ROSTER_PK, srof.FIRST_NAME, srof.LAST_NAME, ERROR_TYPE.ERROR_CODE, PARTY_ERROR.ERROR_ID, </t>
  </si>
  <si>
    <t xml:space="preserve">                      PARTY_ERROR_HISTORY.ERROR_STATUS_DATE_TIME, ERROR_STATUS_TYPE.ERROR_STATUS_TYPE, </t>
  </si>
  <si>
    <t xml:space="preserve">                      ERROR_CATEGORY_TYPE.ERROR_CATEGORY, dbo.fn_GetSubmitRosterPk(srof.FIRST_NAME, srof.LAST_NAME, srof.PROVIDER_NPI, srof.UPIN, </t>
  </si>
  <si>
    <t xml:space="preserve">                      srof.DEA, srof.CAQH_ID, NULL) AS SUBMIT_ROSTER_PK_MATCH, srof.CAQH_ID</t>
  </si>
  <si>
    <t>FROM         PARTY_ERROR INNER JOIN</t>
  </si>
  <si>
    <t xml:space="preserve">                      PARTY_ERROR_HISTORY ON PARTY_ERROR.ERROR_ID = PARTY_ERROR_HISTORY.ERROR_ID INNER JOIN</t>
  </si>
  <si>
    <t xml:space="preserve">                      ERROR_TYPE ON PARTY_ERROR.ERROR_TYPE_ID = ERROR_TYPE.ERROR_TYPE_ID INNER JOIN</t>
  </si>
  <si>
    <t xml:space="preserve">                      ERROR_STATUS_TYPE ON PARTY_ERROR_HISTORY.ERROR_STATUS_TYPE_ID = ERROR_STATUS_TYPE.ERROR_STATUS_TYPE_ID INNER JOIN</t>
  </si>
  <si>
    <t xml:space="preserve">                      ERROR_CATEGORY_TYPE ON ERROR_TYPE.ERROR_CATEGORY_TYPE_ID = ERROR_CATEGORY_TYPE.ERROR_CATEGORY_TYPE_ID INNER JOIN</t>
  </si>
  <si>
    <t xml:space="preserve">                      SUBMIT_ROSTER_ONLINE_FORM AS srof ON PARTY_ERROR.SUBMIT_ROSTER_PK = srof.SUBMIT_ROSTER_PK</t>
  </si>
  <si>
    <t>WHERE     (srof.LAST_NAME = 'Balch')</t>
  </si>
  <si>
    <t>Show PDMS Errors</t>
  </si>
  <si>
    <t xml:space="preserve">SELECT     PERSON.PARTY_ID, PARTY_ERROR.SUBMIT_ROSTER_PK, PERSON.FIRST_NAME, PERSON.LAST_NAME, ERROR_TYPE.ERROR_CODE, </t>
  </si>
  <si>
    <t xml:space="preserve">                      PARTY_ERROR.ERROR_ID, PARTY_ERROR_HISTORY.ERROR_STATUS_DATE_TIME, ERROR_STATUS_TYPE.ERROR_STATUS_TYPE, </t>
  </si>
  <si>
    <t xml:space="preserve">                      ERROR_CATEGORY_TYPE.ERROR_CATEGORY, vw_PartyCAQHId.CAQH_PIN</t>
  </si>
  <si>
    <t xml:space="preserve">                      PERSON ON PARTY_ERROR.PARTY_ID = PERSON.PARTY_ID INNER JOIN</t>
  </si>
  <si>
    <t xml:space="preserve">                      vw_PartyCAQHId ON PERSON.PARTY_ID = vw_PartyCAQHId.PARTY_ID</t>
  </si>
  <si>
    <t>WHERE     (PERSON.PARTY_ID = 6496)</t>
  </si>
  <si>
    <t xml:space="preserve">Dashboard Open Hard Errors not Matching PDMS Status Errors for 31-60 days </t>
  </si>
  <si>
    <t>N/A</t>
  </si>
  <si>
    <t>SELECT * FROM ERROR_TYPE</t>
  </si>
  <si>
    <t>WHERE</t>
  </si>
  <si>
    <t>ERROR_CODE = 'P045'</t>
  </si>
  <si>
    <t>OR</t>
  </si>
  <si>
    <t>ERROR_CODE = 'P046'</t>
  </si>
  <si>
    <t>ERROR_CODE = 'P047'</t>
  </si>
  <si>
    <t>ERROR_CODE = 'P048'</t>
  </si>
  <si>
    <t>ERROR_CODE = 'P049'</t>
  </si>
  <si>
    <t>ERROR_CODE = 'P050'</t>
  </si>
  <si>
    <t>ERROR_CODE = 'P019'</t>
  </si>
  <si>
    <t>ORDER BY ERROR_CODE</t>
  </si>
  <si>
    <t>Implement new errors: P045/P046/P047/P048/P049/P050</t>
  </si>
  <si>
    <t>INT02: P033 and P035 Hard Edits - Processing Not Stopped</t>
  </si>
  <si>
    <t>Delete Procs</t>
  </si>
  <si>
    <t>[sp_SelectProviderStatusFromPractices]</t>
  </si>
  <si>
    <t>sp_SavePartyStatus</t>
  </si>
  <si>
    <t>Add Procs</t>
  </si>
  <si>
    <t>usp_SavePartyStatus</t>
  </si>
  <si>
    <t>Update Procs</t>
  </si>
  <si>
    <t>sp_SavePDMSError</t>
  </si>
  <si>
    <t>sp_VerifyStopsProcessing.sql</t>
  </si>
  <si>
    <t>sp_VerifyActiveError.sql</t>
  </si>
  <si>
    <t>Add PDMS Statuses</t>
  </si>
  <si>
    <t>vw_PDMSToMMISExportGroupProviders</t>
  </si>
  <si>
    <t>vw_PDMSToMMISExportProviderGroups</t>
  </si>
  <si>
    <t>vw_PDMSToMMISExportProviders</t>
  </si>
  <si>
    <t>usp_UpdatePDMSToMMISExportedRecords</t>
  </si>
  <si>
    <t>Updated DB Objects</t>
  </si>
  <si>
    <t>usp_UpdatePDMSToMMISExportedGroups</t>
  </si>
  <si>
    <t>sp_SelectSubmitRosters</t>
  </si>
  <si>
    <t xml:space="preserve">SELECT     svc_loc_dtl.PARTY_ID, svc_loc_dtl.CAQH_PRACTICE_ID, svc_loc_dtl.ADDR_CMID, svc_loc_dtl.ADDR_CM_ROLE_TYPE_ID, </t>
  </si>
  <si>
    <t xml:space="preserve">                      svc_loc_dtl.CONTACT_MECHANISM_ROLE_TYPE, svc_loc_dtl.ADDRESS, svc_loc_dtl.ADDRESS2, svc_loc_dtl.CITY, svc_loc_dtl.COUNTY, </t>
  </si>
  <si>
    <t xml:space="preserve">                      svc_loc_dtl.STATE_ABBREV, svc_loc_dtl.ZIP_CODE, svc_loc_dtl.EXTENDED_ZIP, svc_loc_dtl.COUNTRY, svc_loc_dtl.PHONE_CMID, </t>
  </si>
  <si>
    <t xml:space="preserve">                      svc_loc_dtl.PHONE_AREA_CODE, svc_loc_dtl.PHONE_NUMBER, svc_loc_dtl.FAX_CMDID, svc_loc_dtl.FAX_AREA_CODE, svc_loc_dtl.FAX_NUMBER, </t>
  </si>
  <si>
    <t xml:space="preserve">                      svc_loc_dtl.EMAIL_CMID, svc_loc_dtl.EMAIL_ADDRESS</t>
  </si>
  <si>
    <t>FROM         (SELECT     PARTY_ID, CAQH_PRACTICE_ID, CONTACT_MECHANISM_ROLE_TYPE, COUNT(*) AS ContactMechRoleTypeCount</t>
  </si>
  <si>
    <t xml:space="preserve">                       FROM          vw_ServiceLocationDetail</t>
  </si>
  <si>
    <t xml:space="preserve">                       GROUP BY PARTY_ID, CAQH_PRACTICE_ID, CONTACT_MECHANISM_ROLE_TYPE</t>
  </si>
  <si>
    <t xml:space="preserve">                       HAVING      (COUNT(*) &gt; 1)) AS DT_DUP_ADDR INNER JOIN</t>
  </si>
  <si>
    <t xml:space="preserve">                      vw_ServiceLocationDetail AS svc_loc_dtl ON DT_DUP_ADDR.PARTY_ID = svc_loc_dtl.PARTY_ID AND </t>
  </si>
  <si>
    <t xml:space="preserve">                      DT_DUP_ADDR.CAQH_PRACTICE_ID = svc_loc_dtl.CAQH_PRACTICE_ID AND </t>
  </si>
  <si>
    <t xml:space="preserve">                      DT_DUP_ADDR.CONTACT_MECHANISM_ROLE_TYPE = svc_loc_dtl.CONTACT_MECHANISM_ROLE_TYPE</t>
  </si>
  <si>
    <t>sp_SavePDMSError.sql</t>
  </si>
  <si>
    <t>Standard_TennCare_XML_03022012_212129316</t>
  </si>
  <si>
    <t>Jessica Cannon</t>
  </si>
  <si>
    <t>Brad Cohen</t>
  </si>
  <si>
    <t xml:space="preserve">Victor Gian </t>
  </si>
  <si>
    <t>sp_SavePersonOrganization</t>
  </si>
  <si>
    <t>sp_AddPDMSToMMISExportRecords</t>
  </si>
  <si>
    <t>Submit Roster Not Populating Plan Provider Id</t>
  </si>
  <si>
    <t>DB Object Action</t>
  </si>
  <si>
    <t>DB Object Name</t>
  </si>
  <si>
    <t>Update</t>
  </si>
  <si>
    <t>usp_SaveBusinessRuleErrors</t>
  </si>
  <si>
    <t>CAQH.cs.StandardExtractProviderAdd</t>
  </si>
  <si>
    <t>Code Action</t>
  </si>
  <si>
    <t>Code Method Name</t>
  </si>
  <si>
    <t>SELECT     PERSON.FIRST_NAME, PERSON.LAST_NAME, vw_PartyCAQHId.CAQH_PIN</t>
  </si>
  <si>
    <t>, PARTY_ERROR.ERROR_ID, ERROR_TYPE.ERROR_TYPE_ID, ERROR_TYPE.ERROR_CODE, ERROR_TYPE.ERROR_NAME</t>
  </si>
  <si>
    <t>, PARTY_ERROR.PARTY_ID, ERROR_STATUS_TYPE.ERROR_STATUS_TYPE_ID</t>
  </si>
  <si>
    <t>, ERROR_STATUS_TYPE.ERROR_STATUS_TYPE, ERROR_TYPE.ERROR_LEVEL</t>
  </si>
  <si>
    <t>,PARTY_ERROR_MEDICAID_ID.MEDICAID_PK, ERROR_TYPE.STOPS_PROCESSING, ERROR_TYPE.IS_ACTIVE_ERROR</t>
  </si>
  <si>
    <t>FROM         PERSON INNER JOIN</t>
  </si>
  <si>
    <t xml:space="preserve">                      PARTY_ERROR INNER JOIN</t>
  </si>
  <si>
    <t xml:space="preserve">                      ERROR_TYPE ON PARTY_ERROR.ERROR_TYPE_ID = ERROR_TYPE.ERROR_TYPE_ID ON </t>
  </si>
  <si>
    <t xml:space="preserve">                      PERSON.PARTY_ID = PARTY_ERROR.PARTY_ID INNER JOIN</t>
  </si>
  <si>
    <t xml:space="preserve">                      vw_PartyCAQHId ON PERSON.PARTY_ID = vw_PartyCAQHId.PARTY_ID INNER JOIN</t>
  </si>
  <si>
    <t xml:space="preserve">                      vw_PartyErrorHistoryMax ON PARTY_ERROR.ERROR_ID = vw_PartyErrorHistoryMax.ERROR_ID INNER JOIN</t>
  </si>
  <si>
    <t xml:space="preserve">                      ERROR_STATUS_TYPE INNER JOIN</t>
  </si>
  <si>
    <t xml:space="preserve">                      PARTY_ERROR_HISTORY ON ERROR_STATUS_TYPE.ERROR_STATUS_TYPE_ID = PARTY_ERROR_HISTORY.ERROR_STATUS_TYPE_ID ON </t>
  </si>
  <si>
    <t xml:space="preserve">                      vw_PartyErrorHistoryMax.ERROR_STATUS_DATE_TIME = PARTY_ERROR_HISTORY.ERROR_STATUS_DATE_TIME AND </t>
  </si>
  <si>
    <t xml:space="preserve">                      vw_PartyErrorHistoryMax.ERROR_ID = PARTY_ERROR_HISTORY.ERROR_ID LEFT OUTER JOIN</t>
  </si>
  <si>
    <t xml:space="preserve">                      PARTY_ERROR_MEDICAID_ID ON PARTY_ERROR.ERROR_ID = PARTY_ERROR_MEDICAID_ID.ERROR_ID</t>
  </si>
  <si>
    <t>WHERE (vw_PartyCAQHId.CAQH_PIN = '11314363')</t>
  </si>
  <si>
    <t>ORDER BY PERSON.LAST_NAME, PERSON.FIRST_NAME</t>
  </si>
  <si>
    <t>Below provider should not raise P027 but should raise Invalid Specialties</t>
  </si>
  <si>
    <t>CAQHS_ProviderSpecialty - Expand SpecialtyName and SpecialtyTypeName to (255)</t>
  </si>
  <si>
    <t>Standard_TennCare_XML_11062012_175556544</t>
  </si>
  <si>
    <t>Standard_TennCare_XML_10192012_185912134</t>
  </si>
  <si>
    <t>Standard_TennCare_XML_10182012_175427763</t>
  </si>
  <si>
    <t>Standard_TennCare_XML_12262012_214254445</t>
  </si>
  <si>
    <t>Standard_TennCare_XML_05092012_212309286</t>
  </si>
  <si>
    <t>Standard_TennCare_XML_10092012_173605125</t>
  </si>
  <si>
    <t>SELECT * FROM PROVIDER_STATUS</t>
  </si>
  <si>
    <t>DECLARE @PROVIDER_STATUS_CHANGE_DATE datetime = GETDATE()</t>
  </si>
  <si>
    <t>DECLARE @PROVIDER_STATUS_CHANGE_TYPE_ID int = 3</t>
  </si>
  <si>
    <t>DECLARE @PDMS_STATUS_TYPE_ID int = 4</t>
  </si>
  <si>
    <t>DECLARE @PARTY_ID int = 60</t>
  </si>
  <si>
    <t>DECLARE @MEDICAID_PK int = NULL</t>
  </si>
  <si>
    <t>SELECT * FROM PERSON</t>
  </si>
  <si>
    <t>JOIN vw_PartyCAQHId ON vw_PartyCAQHId.PARTY_ID = PERSON.PARTY_ID</t>
  </si>
  <si>
    <t>WHERE PERSON.LAST_NAME = 'Adair'</t>
  </si>
  <si>
    <t xml:space="preserve">EXECUTE @RC = [TN_PDMS_JCF].[dbo].[usp_SavePartyStatus] </t>
  </si>
  <si>
    <t xml:space="preserve">   @PROVIDER_STATUS_CHANGE_DATE</t>
  </si>
  <si>
    <t xml:space="preserve">  ,@PROVIDER_STATUS_CHANGE_TYPE_ID</t>
  </si>
  <si>
    <t xml:space="preserve">  ,@PDMS_STATUS_TYPE_ID</t>
  </si>
  <si>
    <t xml:space="preserve">  ,@PARTY_ID</t>
  </si>
  <si>
    <t xml:space="preserve">  ,@MEDICAID_PK</t>
  </si>
  <si>
    <t xml:space="preserve"> </t>
  </si>
  <si>
    <t>SELECT * FROM MEDICAID_ID WHERE PARTY_ID = 60</t>
  </si>
  <si>
    <t>SELECT * FROM MEDICAID_ID_PRACTICE_XREF WHERE MEDICAID_PK = 10</t>
  </si>
  <si>
    <t>PRINT 'Get all providers level and service location pdms status records'</t>
  </si>
  <si>
    <t xml:space="preserve">SELECT     s_prov.PARTY_ID, s_prov.PROVIDER_STATUS_ID, s_prov.MEDICAID_PK, s_pdms.PDMS_STATUS_TYPE_ID, st_pdms.PDMS_STATUS_DESCRIPTION, </t>
  </si>
  <si>
    <t xml:space="preserve">                      vw_PartyCAQHId.CAQH_PIN</t>
  </si>
  <si>
    <t xml:space="preserve">                      PROVIDER_STATUS AS s_prov ON vw_PartyCAQHId.PARTY_ID = s_prov.PARTY_ID LEFT OUTER JOIN</t>
  </si>
  <si>
    <t xml:space="preserve">                      PDMS_STATUS_TYPE AS st_pdms INNER JOIN</t>
  </si>
  <si>
    <t xml:space="preserve">                      PDMS_STATUS AS s_pdms ON st_pdms.PDMS_STATUS_TYPE_ID = s_pdms.PDMS_STATUS_TYPE_ID ON </t>
  </si>
  <si>
    <t xml:space="preserve">                      s_prov.PROVIDER_STATUS_ID = s_pdms.PROVIDER_STATUS_ID</t>
  </si>
  <si>
    <t>WHERE     (vw_PartyCAQHId.CAQH_PIN = 12082349)</t>
  </si>
  <si>
    <t>ORDER BY s_prov.PARTY_ID, s_prov.MEDICAID_PK</t>
  </si>
  <si>
    <t>SELECT * FROM PROVIDER_STAGING</t>
  </si>
  <si>
    <t>WHERE LAST_NAME LIKE 'Cannon'</t>
  </si>
  <si>
    <t>SELECT * FROM PROVIDER_GROUP_STAGING</t>
  </si>
  <si>
    <t>SELECT * FROM PDMS_STATUS_TYPE</t>
  </si>
  <si>
    <t>SELECT *</t>
  </si>
  <si>
    <t>FROM Log</t>
  </si>
  <si>
    <t>-- WHERE LogPriority LIKE '%5'</t>
  </si>
  <si>
    <t>--</t>
  </si>
  <si>
    <t>AND LogProcessName != 'CAQH::SavePractices'</t>
  </si>
  <si>
    <t>-- WHERE CONVERT(varchar(10), LogTimestamp, 120) = '2012-11-09'</t>
  </si>
  <si>
    <t>-- WHERE LogThreadNumber = 'A8BC3A8C-FC1B-4C32-88A4-8A0D9AB064E5'</t>
  </si>
  <si>
    <t>ORDER BY LogNumber DESC</t>
  </si>
  <si>
    <t>SELECT * FROM ADDRESS_STAGING</t>
  </si>
  <si>
    <t>SELECT * FROM COMMUNICATION_EVENT_TYPE</t>
  </si>
  <si>
    <t>/*</t>
  </si>
  <si>
    <t>DELETE FROM ADDRESS_STAGING</t>
  </si>
  <si>
    <t>DELETE FROM PROVIDER_GROUP_STAGING</t>
  </si>
  <si>
    <t>DELETE FROM PROVIDER_STAGING</t>
  </si>
  <si>
    <t>*/</t>
  </si>
  <si>
    <t>SELECT * FROM vw_PDMSToMMISExportProviderGroups</t>
  </si>
  <si>
    <t xml:space="preserve">SELECT     ADDR_STAG.PROVIDER_STAGING_PK, ADDR_STAG.LAST_MODIFIED_DATE_TIME, ADDR_STAG.LAST_MODIFIED_USER, GROUPS.TERM_DATE, </t>
  </si>
  <si>
    <t xml:space="preserve">                      ADDR_STAG.ADDRESS_STAGING_PK, GROUPS.ORGANIZATION_NAME, GROUPS.TAX_ID_VALUE, GROUPS.CAQH_PRACTICE_ID,</t>
  </si>
  <si>
    <t>GROUPS.MEDICAID_ID, GROUPS.NPI</t>
  </si>
  <si>
    <t>FROM         ADDRESS_STAGING AS ADDR_STAG INNER JOIN</t>
  </si>
  <si>
    <t xml:space="preserve">                      vw_PDMSToMMISExportProviderGroups AS GROUPS ON ADDR_STAG.CAQH_PRACTICE_ID = GROUPS.CAQH_PRACTICE_ID</t>
  </si>
  <si>
    <t>WHERE     (ADDR_STAG.LAST_MODIFIED_DATE_TIME = @LAST_MODIFIED_DATE_TIME_GRP_SVC)</t>
  </si>
  <si>
    <t xml:space="preserve">SELECT     term_date.COMMUNICATED_FROM_PARTY_ID AS PARTY_ID, term_date.COMMUNICATION_EVENT_VALUE AS TERM_DATE, </t>
  </si>
  <si>
    <t xml:space="preserve">                                                   td_ce_xref.MEDICAID_PK</t>
  </si>
  <si>
    <t xml:space="preserve">                            FROM          dbo.COMMUNICATION_EVENT AS term_date INNER JOIN</t>
  </si>
  <si>
    <t xml:space="preserve">                                                   dbo.COMMUNICATION_EVENT_MEDICAID_XREF AS td_ce_xref ON </t>
  </si>
  <si>
    <t xml:space="preserve">                                                   term_date.COMMUNICATION_EVENT_ID = td_ce_xref.COMMUNICATION_EVENT_ID</t>
  </si>
  <si>
    <t xml:space="preserve">                            WHERE      (term_date.COMMUNICATION_EVENT_TYPE_ID = 39)</t>
  </si>
  <si>
    <t>JOIN PDMS_STATUS ON PDMS_STATUS.PROVIDER_STATUS_ID = PROVIDER_STATUS.PROVIDER_STATUS_ID</t>
  </si>
  <si>
    <t>WHERE PARTY_ID = 327</t>
  </si>
  <si>
    <t>SELECT * FROM PDMS_STATUS</t>
  </si>
  <si>
    <t>SELECT * FROM vw_TaxDetail</t>
  </si>
  <si>
    <t>SELECT * FROM vw_PDMSToMMISExportGroupProviders</t>
  </si>
  <si>
    <t>SELECT * FROM TAX_ID_TYPE</t>
  </si>
  <si>
    <t>SELECT * FROM TAX_ID</t>
  </si>
  <si>
    <t>WHERE TAX_ID_TYPE_ID = 21</t>
  </si>
  <si>
    <t>Add</t>
  </si>
  <si>
    <t>SELECT s.ExtractFile, c.PARTY_ID ,p.* FROM CAQHS_Provider p</t>
  </si>
  <si>
    <t>JOIN CAQHS_StandardExtract s ON s.StandardExtractId = p.StandardExtractId</t>
  </si>
  <si>
    <t>JOIN vw_PartyCAQHId c ON c.CAQH_PIN = p.CAQHProviderID</t>
  </si>
  <si>
    <t>WHERE c.PARTY_ID = 182</t>
  </si>
  <si>
    <t>usp_SaveBusinessRuleErrors.sql</t>
  </si>
  <si>
    <t>sp_SavePartySpecialty</t>
  </si>
  <si>
    <t>sp_SelectTaxonomyType</t>
  </si>
  <si>
    <t>WHERE     (tt.EXPIRATION_DATE IS NOT NULL) AND (CONVERT(date, tt.EXPIRATION_DATE) &lt;= CONVERT(date, GETDATE()))</t>
  </si>
  <si>
    <t>WHERE c.CAQH_PIN = '11077881'</t>
  </si>
  <si>
    <t>Standard_TennCare_XML_12112012_180217040</t>
  </si>
  <si>
    <t>SELECT pt.PARTY_ID, tt.SPECIALTY_TYPE_ID, tt.PROVIDER_TYPE_ID, tt.TAXONOMY_CODE, tt.EXPIRATION_DATE</t>
  </si>
  <si>
    <t>FROM PARTY_TAXONOMY AS pt INNER JOIN</t>
  </si>
  <si>
    <t>TAXONOMY_TYPE AS tt ON pt.TAXONOMY_TYPE_ID = tt.TAXONOMY_TYPE_ID</t>
  </si>
  <si>
    <t>P022 Not Being Generated, Expired Taxonomies Being Saved To Provider</t>
  </si>
  <si>
    <t>SELECT * FROM CAQHS_Provider</t>
  </si>
  <si>
    <t>WHERE CAQHProviderID = '12441780'</t>
  </si>
  <si>
    <t>SELECT * FROM CAQHS_StandardExtract</t>
  </si>
  <si>
    <t>WHERE StandardExtractId = 69 -- Standard_TennCare_XML_10122012_192408777</t>
  </si>
  <si>
    <t xml:space="preserve">SELECT     dbo.CAQHS_StandardExtract.ExtractFile, dbo.CAQHS_Provider.CAQHProviderID, dbo.CAQHS_ProviderPracticeTax.ProviderPracticeId, </t>
  </si>
  <si>
    <t xml:space="preserve">                      dbo.CAQHS_ProviderPracticeTax.ProviderPracticeTaxId, dbo.CAQHS_ProviderPracticeTax.GroupName, </t>
  </si>
  <si>
    <t xml:space="preserve">                      dbo.CAQHS_ProviderPracticeTax.TaxTypeDescription, dbo.CAQHS_ProviderPracticeTax.TaxID, </t>
  </si>
  <si>
    <t xml:space="preserve">                      dbo.CAQHS_ProviderPractice.XmlId AS PracticeXmlId</t>
  </si>
  <si>
    <t xml:space="preserve">                      , dbo.CAQHS_ProviderPractice.CurrentlyPracticingFlag</t>
  </si>
  <si>
    <t xml:space="preserve">                      , dbo.CAQHS_ProviderPracticeTax.PrimaryFlag</t>
  </si>
  <si>
    <t>FROM         dbo.CAQHS_ProviderPracticeTax INNER JOIN</t>
  </si>
  <si>
    <t xml:space="preserve">                      dbo.CAQHS_ProviderPractice ON dbo.CAQHS_ProviderPracticeTax.ProviderPracticeId = dbo.CAQHS_ProviderPractice.ProviderPracticeId INNER JOIN</t>
  </si>
  <si>
    <t xml:space="preserve">                      dbo.CAQHS_Provider ON dbo.CAQHS_ProviderPractice.ProviderId = dbo.CAQHS_Provider.ProviderId INNER JOIN</t>
  </si>
  <si>
    <t xml:space="preserve">                      dbo.CAQHS_StandardExtract ON dbo.CAQHS_Provider.StandardExtractId = dbo.CAQHS_StandardExtract.StandardExtractId</t>
  </si>
  <si>
    <t>WHERE                           CAQHS_Provider.CAQHProviderID = 11054265</t>
  </si>
  <si>
    <t>SELECT PERSON.PARTY_ID,PERSON.FIRST_NAME,PERSON.LAST_NAME,vw_PartyCAQHId.CAQH_PIN FROM PERSON</t>
  </si>
  <si>
    <t>JOIN PARTY_ROLE ON PARTY_ROLE.PARTY_ID = PERSON.PARTY_ID</t>
  </si>
  <si>
    <t>WHERE PARTY_ROLE.ROLE_TYPE_ID = 43</t>
  </si>
  <si>
    <t>AND PERSON.PARTY_ID = 9654</t>
  </si>
  <si>
    <t>SELECT * FROM CAQH_DATA_UPDATE_FILE</t>
  </si>
  <si>
    <t>WHERE SECTION_CHANGE = 'Practice Information'</t>
  </si>
  <si>
    <t>AND FIELD_CHANGE = 'ID'</t>
  </si>
  <si>
    <t>AND PROVIDER_ID = '11054265'</t>
  </si>
  <si>
    <t>SELECT p.FirstName, p.LastName, p.CAQHProviderID, d.* FROM CAQHS_Provider p</t>
  </si>
  <si>
    <t xml:space="preserve">JOIN CAQHS_ProviderDEA d ON d.ProviderId = p.ProviderId </t>
  </si>
  <si>
    <t>WHERE CAQHProviderID = '12257552'</t>
  </si>
  <si>
    <t>ORDER BY p.ProviderId, d.ProviderDEAId</t>
  </si>
  <si>
    <t>CAQH Data Update Process Defects</t>
  </si>
  <si>
    <t>CAQH Directory Maintenance Report File Layout Change</t>
  </si>
  <si>
    <t xml:space="preserve">SELECT     MEDICAID_ID.MEDICAID_PK, MEDICAID_ID.MEDICAID_ID, DT_MEDI_INFO.MEDICAID_ID AS STAGING_MEDICAID_ID, </t>
  </si>
  <si>
    <t xml:space="preserve">                      DT_MEDI_INFO.PROVIDER_GROUP_STAGING, DT_MEDI_INFO.LAST_MODIFIED_DATE_TIME</t>
  </si>
  <si>
    <t>FROM         MEDICAID_ID_PRACTICE_XREF INNER JOIN</t>
  </si>
  <si>
    <t xml:space="preserve">                      MEDICAID_ID ON MEDICAID_ID_PRACTICE_XREF.MEDICAID_PK = MEDICAID_ID.MEDICAID_PK INNER JOIN</t>
  </si>
  <si>
    <t xml:space="preserve">                          (SELECT     PROVIDER_GROUP_STAGING_1.PROVIDER_GROUP_STAGING, REPLACE(PROVIDER_GROUP_STAGING_1.CAQH_PRACTICE_ID, 'G', '') </t>
  </si>
  <si>
    <t xml:space="preserve">                                                   AS CAQH_PRACTICE_ID, PROVIDER_GROUP_STAGING_1.MEDICAID_ID, </t>
  </si>
  <si>
    <t xml:space="preserve">                                                   PROVIDER_GROUP_STAGING_1.LAST_MODIFIED_DATE_TIME</t>
  </si>
  <si>
    <t xml:space="preserve">                            FROM          (SELECT     CAQH_PRACTICE_ID, MAX(PROVIDER_GROUP_STAGING) AS PROVIDER_GROUP_STAGING_PK</t>
  </si>
  <si>
    <t xml:space="preserve">                                                    FROM          PROVIDER_GROUP_STAGING</t>
  </si>
  <si>
    <t xml:space="preserve">                                                    GROUP BY CAQH_PRACTICE_ID) AS DT_MAX_GRP_UPDT INNER JOIN</t>
  </si>
  <si>
    <t xml:space="preserve">                                                   PROVIDER_GROUP_STAGING AS PROVIDER_GROUP_STAGING_1 ON </t>
  </si>
  <si>
    <t xml:space="preserve">                                                   DT_MAX_GRP_UPDT.PROVIDER_GROUP_STAGING_PK = PROVIDER_GROUP_STAGING_1.PROVIDER_GROUP_STAGING) </t>
  </si>
  <si>
    <t xml:space="preserve">                      AS DT_MEDI_INFO ON MEDICAID_ID_PRACTICE_XREF.CAQH_PRACTICE_ID = DT_MEDI_INFO.CAQH_PRACTICE_ID AND </t>
  </si>
  <si>
    <t xml:space="preserve">                      MEDICAID_ID.MEDICAID_ID &lt;&gt; DT_MEDI_INFO.MEDICAID_ID</t>
  </si>
  <si>
    <t>INT Test Scripts</t>
  </si>
  <si>
    <t>UPDATE    MEDICAID_ID</t>
  </si>
  <si>
    <t>SET              MEDICAID_ID = NULL</t>
  </si>
  <si>
    <t>FROM         vw_TaxDetail INNER JOIN</t>
  </si>
  <si>
    <t xml:space="preserve">                      vw_ProviderIdNumbers ON vw_TaxDetail.PERSON_ID = vw_ProviderIdNumbers.PARTY_ID INNER JOIN</t>
  </si>
  <si>
    <t xml:space="preserve">                      MEDICAID_ID ON vw_TaxDetail.MEDICAID_PK = MEDICAID_ID.MEDICAID_PK</t>
  </si>
  <si>
    <t>WHERE     (vw_ProviderIdNumbers.CAQH_PIN = '10357694' OR</t>
  </si>
  <si>
    <t xml:space="preserve">                      vw_ProviderIdNumbers.CAQH_PIN = '10389240' OR</t>
  </si>
  <si>
    <t xml:space="preserve">                      vw_ProviderIdNumbers.CAQH_PIN = '10587133' OR</t>
  </si>
  <si>
    <t xml:space="preserve">                      vw_ProviderIdNumbers.CAQH_PIN = '10805101') AND (vw_TaxDetail.TAX_ID_TYPE_ID = 16)</t>
  </si>
  <si>
    <t>UPDATE    PDMS_STATUS</t>
  </si>
  <si>
    <t>SET              PDMS_STATUS_TYPE_ID = 4</t>
  </si>
  <si>
    <t>FROM         PDMS_STATUS INNER JOIN</t>
  </si>
  <si>
    <t xml:space="preserve">                      PROVIDER_STATUS ON PDMS_STATUS.PROVIDER_STATUS_ID = PROVIDER_STATUS.PROVIDER_STATUS_ID AND </t>
  </si>
  <si>
    <t xml:space="preserve">                      PDMS_STATUS.PROVIDER_STATUS_ID = PROVIDER_STATUS.PROVIDER_STATUS_ID INNER JOIN</t>
  </si>
  <si>
    <t xml:space="preserve">                      vw_ProviderIdNumbers ON PROVIDER_STATUS.PARTY_ID = vw_ProviderIdNumbers.PARTY_ID</t>
  </si>
  <si>
    <t xml:space="preserve">                      vw_ProviderIdNumbers.CAQH_PIN = '10805101')</t>
  </si>
  <si>
    <t>SELECT s.ExtractFile,p.*</t>
  </si>
  <si>
    <t>FROM CAQHS_Provider p</t>
  </si>
  <si>
    <t>WHERE CAQHProviderID = 11937246</t>
  </si>
  <si>
    <t>StandardExtract-Standard_TennCare_XML_12312012_175601689</t>
  </si>
  <si>
    <t>SELECT * FROM vw_PartyErrors</t>
  </si>
  <si>
    <t>WHERE PARTY_ID IS NOT NULL</t>
  </si>
  <si>
    <t>AND ERROR_CODE LIKE 'P018'</t>
  </si>
  <si>
    <t>usp_UpdateCAQHProviderLicenses</t>
  </si>
  <si>
    <t>The Check Payable To is handled in Bug 1722</t>
  </si>
  <si>
    <t>usp_UpdateCAQHProvider</t>
  </si>
  <si>
    <t>Added</t>
  </si>
  <si>
    <t>[usp_UpdateCAQHProviderPractices]</t>
  </si>
  <si>
    <t>[usp_InsertContactMechanismEmail]</t>
  </si>
  <si>
    <t>[usp_InsertContactMechanismDetail]</t>
  </si>
  <si>
    <t>usp_InsertContactMechanismTelecommNumber</t>
  </si>
  <si>
    <t>usp_SelectCAQHDataUpdateRecords --- HACK</t>
  </si>
  <si>
    <t>usp_InsertContactMechanismDetail.sql</t>
  </si>
  <si>
    <t>usp_UpdateContactMechanismDetail.sql</t>
  </si>
  <si>
    <t>PDMSDataExchange.CAQH.StandardExtractProviderAdd</t>
  </si>
  <si>
    <t>SELECT     extr.ExtractFile, prov.CAQHProviderID, prov.Action, COUNT(spec.SpecialtyName) AS SpecialtyCount</t>
  </si>
  <si>
    <t>FROM         CAQHS_StandardExtract AS extr INNER JOIN</t>
  </si>
  <si>
    <t xml:space="preserve">                      CAQHS_Provider AS prov ON extr.StandardExtractId = prov.StandardExtractId INNER JOIN</t>
  </si>
  <si>
    <t xml:space="preserve">                      CAQHS_ProviderSpecialty AS spec ON prov.ProviderId = spec.ProviderId INNER JOIN</t>
  </si>
  <si>
    <t xml:space="preserve">                      vw_CAQHUpdateAndExtractFile ON extr.ExtractFile = vw_CAQHUpdateAndExtractFile.StandardExtractFile LEFT OUTER JOIN</t>
  </si>
  <si>
    <t xml:space="preserve">                      vw_ProviderIdNumbers AS pins ON prov.CAQHProviderID = pins.CAQH_PIN</t>
  </si>
  <si>
    <t>GROUP BY extr.ExtractFile, prov.CAQHProviderID, prov.Action, vw_CAQHUpdateAndExtractFile.FileDate</t>
  </si>
  <si>
    <t>HAVING      (COUNT(spec.SpecialtyName) &gt; 2)</t>
  </si>
  <si>
    <t>ORDER BY vw_CAQHUpdateAndExtractFile.FileDate</t>
  </si>
  <si>
    <t>CAQH_PIN</t>
  </si>
  <si>
    <t>PARTY_ID</t>
  </si>
  <si>
    <t>ERROR_TYPE_ID</t>
  </si>
  <si>
    <t>ERROR_CODE</t>
  </si>
  <si>
    <t>ERROR_NAME</t>
  </si>
  <si>
    <t>ERROR_STATUS_TYPE_ID</t>
  </si>
  <si>
    <t>ERROR_STATUS_TYPE</t>
  </si>
  <si>
    <t>MEDICAID_PK</t>
  </si>
  <si>
    <t>P045</t>
  </si>
  <si>
    <t>Missing License Type -  Defaulted to Provider Type</t>
  </si>
  <si>
    <t>Open</t>
  </si>
  <si>
    <t>NULL</t>
  </si>
  <si>
    <t>P018</t>
  </si>
  <si>
    <t>Invalid License Type</t>
  </si>
  <si>
    <t>Pending</t>
  </si>
  <si>
    <t>P001</t>
  </si>
  <si>
    <t>Disclosure Flag = N</t>
  </si>
  <si>
    <t>P042</t>
  </si>
  <si>
    <t>License Review Required</t>
  </si>
  <si>
    <t>P009</t>
  </si>
  <si>
    <t>DEA Number Review Required</t>
  </si>
  <si>
    <t>P021</t>
  </si>
  <si>
    <t>Missing Practice Location(s)</t>
  </si>
  <si>
    <t>Closed</t>
  </si>
  <si>
    <t>PDMS_STATUS_DESCRIPTION</t>
  </si>
  <si>
    <t>PROVIDER_STATUS_CHANGE_TYPE_DESCRIPTION</t>
  </si>
  <si>
    <t>Pending MMIS Submission</t>
  </si>
  <si>
    <t>PDMS</t>
  </si>
  <si>
    <t>Errors</t>
  </si>
  <si>
    <t>select * from provider_status where provider_status_id in (8129, 8625) and medicaid_pk = 5921</t>
  </si>
  <si>
    <t>select * from mmis_status where provider_status_id in (8129, 8625)</t>
  </si>
  <si>
    <t>select * from pdms_status where provider_status_id in (8129, 8625)</t>
  </si>
  <si>
    <t>PROVIDER_STATUS_ID</t>
  </si>
  <si>
    <t>PROVIDER_STATUS_CHANGE_DATE</t>
  </si>
  <si>
    <t>PROVIDER_STATUS_CHANGE_TYPE_ID</t>
  </si>
  <si>
    <t>SUBMIT_ROSTER_PK</t>
  </si>
  <si>
    <t>LAST_MODIFIED_DATE_TIME</t>
  </si>
  <si>
    <t>LAST_MODIFIED_USER</t>
  </si>
  <si>
    <t>E7854515-E84D-419B-B30E-720AE2C7EE4D</t>
  </si>
  <si>
    <t>MMIS_STATUS_TYPE_ID</t>
  </si>
  <si>
    <t>E30171DD-2165-4E07-A605-9F9E7B6979F0</t>
  </si>
  <si>
    <t>PDMS_STATUS_TYPE_ID</t>
  </si>
  <si>
    <t>CAQH_PRACTICE_ID</t>
  </si>
  <si>
    <t>PROVIDER_STAGING_PK</t>
  </si>
  <si>
    <t>SAK_TRANS</t>
  </si>
  <si>
    <t>CORRELATION_ID</t>
  </si>
  <si>
    <t>STATUS_CODE</t>
  </si>
  <si>
    <t>3882G</t>
  </si>
  <si>
    <t>20301G</t>
  </si>
  <si>
    <t>20545G</t>
  </si>
  <si>
    <t>28630G</t>
  </si>
  <si>
    <t>28638G</t>
  </si>
  <si>
    <t>28663G</t>
  </si>
  <si>
    <t>CAQH_STATUS_TYPE_DESCRIPTION</t>
  </si>
  <si>
    <t>MMIS_STATUS_TYPE_DESCRIPTION</t>
  </si>
  <si>
    <t>OPEN_PEND_ERR_CNT</t>
  </si>
  <si>
    <t>Submitted to MMIS</t>
  </si>
  <si>
    <t>Reattestation</t>
  </si>
  <si>
    <t>Processed</t>
  </si>
  <si>
    <t>Error(s)</t>
  </si>
  <si>
    <t>Initial Application Complete</t>
  </si>
  <si>
    <t>SELECT PARTY_ID, MEDICAID_PK, COUNT(*) CNT</t>
  </si>
  <si>
    <t>FROM PROVIDER_STATUS prov</t>
  </si>
  <si>
    <t>GROUP BY PARTY_ID, MEDICAID_PK</t>
  </si>
  <si>
    <t>HAVING COUNT(*) &gt; 1</t>
  </si>
  <si>
    <t>JOIN PDMS_STATUS pdms ON pdms.PROVIDER_STATUS_ID = prov.PROVIDER_STATUS_ID</t>
  </si>
  <si>
    <t>jobvw_9D8DDA33-D14B-4956-9AD5-F0DA7F4F70F1</t>
  </si>
  <si>
    <t>FROM [dbo].[jobvw_9D8DDA33-D14B-4956-9AD5-F0DA7F4F70F1]</t>
  </si>
  <si>
    <t>-- update Submit Roster Last Name to match PDMS Core and retry matching (usp_SavePartyStatus)</t>
  </si>
  <si>
    <t>Test SQL:</t>
  </si>
  <si>
    <t>SELECT ra.REG_AFFILIATION_ID, ra.NAME, ra.NPI</t>
  </si>
  <si>
    <t>, caqh.NPI</t>
  </si>
  <si>
    <t>FROM REG_AFFILIATION ra</t>
  </si>
  <si>
    <t>LEFT JOIN (</t>
  </si>
  <si>
    <t>SELECT DISTINCT NPI FROM CAQHS_Provider</t>
  </si>
  <si>
    <t>) caqh ON caqh.NPI = ra.NPI</t>
  </si>
  <si>
    <t>WHERE ra.GROUP_AFFILIATION_STATUS_ID = 10</t>
  </si>
  <si>
    <t>ORDER BY caqh.NPI DESC</t>
  </si>
  <si>
    <t>WHERE ra.GROUP_AFFILIATION_STATUS_ID = 7</t>
  </si>
  <si>
    <t>AND caqh.NPI IS NULL</t>
  </si>
  <si>
    <t>ORDER BY caqh.NPI ASC</t>
  </si>
  <si>
    <t>AND caqh.NPI IS NOT NULL</t>
  </si>
  <si>
    <t>/* Pending CAQH Registration: affiliations with matching CAQH */</t>
  </si>
  <si>
    <t>/* Pending CAQH Confirmation: affiliations without matching CAQH */</t>
  </si>
  <si>
    <t>SELECT DISTINCT</t>
  </si>
  <si>
    <t>cse.ExtractFile</t>
  </si>
  <si>
    <t>, cp.CAQHProviderID</t>
  </si>
  <si>
    <t>, cp.FirstName</t>
  </si>
  <si>
    <t>, cp.LastName</t>
  </si>
  <si>
    <t>, cppt.GroupName</t>
  </si>
  <si>
    <t>, cppt.TaxID</t>
  </si>
  <si>
    <t>FROM CAQHS_StandardExtract cse</t>
  </si>
  <si>
    <t>JOIN CAQHS_Provider cp ON cp.StandardExtractId = cse.StandardExtractId</t>
  </si>
  <si>
    <t>JOIN CAQHS_ProviderPractice cpp ON cpp.ProviderId = cp.ProviderId</t>
  </si>
  <si>
    <t>JOIN CAQHS_ProviderPracticeTax cppt ON cppt.ProviderPracticeId = cpp.ProviderPracticeId</t>
  </si>
  <si>
    <t>JOIN (</t>
  </si>
  <si>
    <t>SELECT CAQHProviderID, MAX(ProviderId) ProviderId</t>
  </si>
  <si>
    <t>FROM CAQHS_Provider</t>
  </si>
  <si>
    <t>WHERE CAQHProviderID IN ('12550658','10810119','12479384','11674460','10808372'</t>
  </si>
  <si>
    <t>,'12056660','12316381','12489383','12530240')</t>
  </si>
  <si>
    <t>GROUP BY CAQHProviderID</t>
  </si>
  <si>
    <t>) maxp ON maxp.ProviderId = cp.ProviderId</t>
  </si>
  <si>
    <t>SELECT rp.TAX_ID RP_TAX_ID, ra.NPI RA_NPI</t>
  </si>
  <si>
    <t xml:space="preserve">FROM REG_PROVIDER rp </t>
  </si>
  <si>
    <t>JOIN REG_AFFILIATION ra ON ra.REG_ID = rp.REG_ID</t>
  </si>
  <si>
    <t>) reg ON reg.RP_TAX_ID = cppt.TaxID AND reg.RA_NPI = cp.NPI</t>
  </si>
  <si>
    <t>WHERE (cpp.CurrentlyPracticingFlag = 1 OR cpp.CurrentlyPracticingFlag IS NULL)</t>
  </si>
  <si>
    <t>AND (cppt.PrimaryFlag = 1 OR cppt.PrimaryFlag IS NULL)</t>
  </si>
  <si>
    <t>AND ((cppt.GroupName IS NOT NULL AND cppt.TaxTypeDescription IS NULL)</t>
  </si>
  <si>
    <t>OR (cppt.TaxTypeDescription = 'Group'))</t>
  </si>
  <si>
    <t>ORDER BY cp.CAQHProviderID</t>
  </si>
  <si>
    <t>usp_SaveTransaction.sql</t>
  </si>
  <si>
    <t>MMISRetrieveGroups</t>
  </si>
  <si>
    <t>Updated</t>
  </si>
  <si>
    <t>Comment</t>
  </si>
  <si>
    <t>MMISSubmitGroups</t>
  </si>
  <si>
    <t>Moved variable declaration inside of loop to prevent updating service locations from previous interation of loop</t>
  </si>
  <si>
    <t>usp_UpdateMMISStagingGroup</t>
  </si>
  <si>
    <t>SELECT     addr_missing.*</t>
  </si>
  <si>
    <t>, CASE WHEN p014.PartyID IS NULL THEN 'False' ELSE 'True' END AS OPEN_P014_EXISTS</t>
  </si>
  <si>
    <t>, CASE WHEN p047.PartyID IS NULL THEN 'False' ELSE 'True' END AS OPEN_P047_EXISTS</t>
  </si>
  <si>
    <t>FROM         (SELECT     TOP (100) PERCENT vpin.PartyID, vpin.FirstName, vpin.LastName, vpin.CAQHID</t>
  </si>
  <si>
    <t>FROM          (SELECT     pcm.PARTY_ID, addr.ADDRESS, addr.CITY, addr.STATE_ABBREV, addr.ZIP_CODE</t>
  </si>
  <si>
    <t xml:space="preserve">FROM          (SELECT     pcm.PARTY_ID, cm.CONTACT_MECHANISM_ID, cmr.CONTACT_MECHANISM_ROLE_TYPE_ID, </t>
  </si>
  <si>
    <t xml:space="preserve">              cmrt.CONTACT_MECHANISM_ROLE_TYPE, cmt.CONTACT_MECHANISM_TYPE_NAME, pa.ADDRESS, pa.ADDRESS2, </t>
  </si>
  <si>
    <t xml:space="preserve">              pa.CITY, pa.COUNTY, pa.STATE_ABBREV, pa.ZIP_CODE, pa.EXTENDED_ZIP, pa.COUNTRY</t>
  </si>
  <si>
    <t>FROM          CONTACT_MECHANISM AS cm INNER JOIN</t>
  </si>
  <si>
    <t xml:space="preserve">              CONTACT_MECHANISM_ROLE AS cmr ON </t>
  </si>
  <si>
    <t xml:space="preserve">              cm.CONTACT_MECHANISM_ID = cmr.CONTACT_MECHANISM_ID INNER JOIN</t>
  </si>
  <si>
    <t xml:space="preserve">              CONTACT_MECHANISM_ROLE_TYPE AS cmrt ON </t>
  </si>
  <si>
    <t xml:space="preserve">              cmr.CONTACT_MECHANISM_ROLE_TYPE_ID = cmrt.CONTACT_MECHANISM_ROLE_TYPE_ID INNER JOIN</t>
  </si>
  <si>
    <t xml:space="preserve">              CONTACT_MECHANISM_TYPE AS cmt ON </t>
  </si>
  <si>
    <t xml:space="preserve">              cm.CONTACT_MECHANISM_TYPE_ID = cmt.CONTACT_MECHANISM_TYPE_ID INNER JOIN</t>
  </si>
  <si>
    <t xml:space="preserve">              POSTAL_ADDRESS AS pa ON cm.CONTACT_MECHANISM_ID = pa.CONTACT_MECHANISM_ID INNER JOIN</t>
  </si>
  <si>
    <t xml:space="preserve">              PARTY_CONTACT_MECHANISM AS pcm ON cm.CONTACT_MECHANISM_ID = pcm.CONTACT_MECHANISM_ID</t>
  </si>
  <si>
    <t>WHERE      (cmr.CONTACT_MECHANISM_ROLE_TYPE_ID = 4) AND (cm.CAQH_PRACTICE_ID IS NULL)) AS addr INNER JOIN</t>
  </si>
  <si>
    <t xml:space="preserve">PARTY_CONTACT_MECHANISM AS pcm ON addr.PARTY_ID = pcm.PARTY_ID AND </t>
  </si>
  <si>
    <t>addr.CONTACT_MECHANISM_ID = pcm.CONTACT_MECHANISM_ID) AS cred_addr RIGHT OUTER JOIN</t>
  </si>
  <si>
    <t>PROVIDER AS vpin ON cred_addr.PARTY_ID = vpin.PartyID</t>
  </si>
  <si>
    <t>WHERE      (cred_addr.STATE_ABBREV IS NULL)</t>
  </si>
  <si>
    <t>AND vpin.RoleTypeID = 43</t>
  </si>
  <si>
    <t xml:space="preserve">ORDER BY vpin.CAQHID) AS addr_missing </t>
  </si>
  <si>
    <t>SELECT PartyId</t>
  </si>
  <si>
    <t>FROM ERROR AS vpe</t>
  </si>
  <si>
    <t>WHERE (vpe.StatusID IN (1,2)) AND (vpe.ErrorType = 'P014')</t>
  </si>
  <si>
    <t>) AS p014 ON addr_missing.PartyID = p014.PartyId</t>
  </si>
  <si>
    <t>WHERE (vpe.StatusID IN (1,2)) AND (vpe.ErrorType = 'P047')</t>
  </si>
  <si>
    <t>) AS p047 ON addr_missing.PartyID = p047.PartyId</t>
  </si>
  <si>
    <t>DROP TABLE #SERVICE_LOCATION_INDV</t>
  </si>
  <si>
    <t>INTO #SERVICE_LOCATION_INDV</t>
  </si>
  <si>
    <t>FROM SERVICE_LOCATION</t>
  </si>
  <si>
    <t>WHERE GroupOrIndividual = 'Individual'</t>
  </si>
  <si>
    <t>In INT04</t>
  </si>
  <si>
    <t>ServiceLocationID</t>
  </si>
  <si>
    <t>PartyID CAQHID</t>
  </si>
  <si>
    <t xml:space="preserve">SELECT </t>
  </si>
  <si>
    <t>p.PartyID</t>
  </si>
  <si>
    <t>,p.FirstName</t>
  </si>
  <si>
    <t>,p.LastName</t>
  </si>
  <si>
    <t>,p.CAQHID</t>
  </si>
  <si>
    <t>,P.LastModifiedDateTime</t>
  </si>
  <si>
    <t>,vtd.TAX_ID_TYPE</t>
  </si>
  <si>
    <t>-- ,sln.ServiceLocationID</t>
  </si>
  <si>
    <t>,sln.*</t>
  </si>
  <si>
    <t>FROM SERVICE_LOCATION_NULL sln</t>
  </si>
  <si>
    <t>JOIN PROVIDER p ON p.PartyID = sln.PartyID</t>
  </si>
  <si>
    <t>LEFT JOIN vw_TaxDetail vtd ON vtd.MEDICAID_PK = sln.ServiceLocationID</t>
  </si>
  <si>
    <t>ORDER BY p.CAQHID</t>
  </si>
  <si>
    <t>WHERE PartyID = 81891</t>
  </si>
  <si>
    <t>-- CAQH_PIN: 12185461</t>
  </si>
  <si>
    <t>SELECT m.*, mx.CAQH_PRACTICE_ID</t>
  </si>
  <si>
    <t>FROM MEDICAID_ID m</t>
  </si>
  <si>
    <t xml:space="preserve">JOIN MEDICAID_ID_PRACTICE_XREF mx </t>
  </si>
  <si>
    <t>ON mx.MEDICAID_PK = m.MEDICAID_PK</t>
  </si>
  <si>
    <t>WHERE m.PARTY_ID = 81891</t>
  </si>
  <si>
    <t>SELECT t.*</t>
  </si>
  <si>
    <t>FROM TAX_ID t</t>
  </si>
  <si>
    <t>JOIN TAXID_PRACTICEID_XREF tpx ON tpx.TAX_ID = t.TAX_ID</t>
  </si>
  <si>
    <t>WHERE t.PARTY_ID = 81891</t>
  </si>
  <si>
    <t>FROM audit.A_TAXID_PRACTICEID_XREF ax</t>
  </si>
  <si>
    <t>WHERE ax.CAQH_PRACTICE_ID = 19588</t>
  </si>
  <si>
    <t>EXEC usp_SelectCAQHStagingProvider 22430</t>
  </si>
  <si>
    <t>FROM TAXONOMY</t>
  </si>
  <si>
    <t>WHERE PARTYID = 81891</t>
  </si>
  <si>
    <t>WHERE LogMessage LIKE '%12185461%'</t>
  </si>
  <si>
    <t>tblA_CAQHS_GroupProviderPractice.sql</t>
  </si>
  <si>
    <t>usp_InsertUniqueCAQHGroupPractices.sql</t>
  </si>
  <si>
    <t>Scripts</t>
  </si>
  <si>
    <t>Bug2466_GenerateP062ByServiceLocation.sql</t>
  </si>
  <si>
    <t>SELECT</t>
  </si>
  <si>
    <t>PartyID</t>
  </si>
  <si>
    <t>,BaseMedicaidID</t>
  </si>
  <si>
    <t>,NPI</t>
  </si>
  <si>
    <t>FROM PROVIDER p</t>
  </si>
  <si>
    <t>WHERE p.CAQHID = '12346478'</t>
  </si>
  <si>
    <t>FROM CAQHS_GroupProviderPractice</t>
  </si>
  <si>
    <t>WHERE CAQHProviderID = '12346478'</t>
  </si>
  <si>
    <t>FROM PROVIDER_STAGING</t>
  </si>
  <si>
    <t>WHERE PARTY_ID = 85744</t>
  </si>
  <si>
    <t>FROM MMIS_STAGING_AFFILIATE msa</t>
  </si>
  <si>
    <t>WHERE msa.PARTY_ID = 85744</t>
  </si>
  <si>
    <t>rp.REG_ID</t>
  </si>
  <si>
    <t>,rp.NAME</t>
  </si>
  <si>
    <t>,rp.NPI GROUP_NPI</t>
  </si>
  <si>
    <t>,rp.TAX_ID GROUP_TAX_ID</t>
  </si>
  <si>
    <t>,rp.PARTY_ID GROUP_PARTY_ID</t>
  </si>
  <si>
    <t>,rst.REGISTRATION_STATUS_TYPE</t>
  </si>
  <si>
    <t>,ra.NAME</t>
  </si>
  <si>
    <t>,ra.NPI</t>
  </si>
  <si>
    <t>,gas.DESCRIPTION AFFIL_STATUS</t>
  </si>
  <si>
    <t>FROM REG_PROVIDER rp</t>
  </si>
  <si>
    <t>JOIN REGISTRATION r</t>
  </si>
  <si>
    <t>ON r.REG_ID = rp.REG_ID</t>
  </si>
  <si>
    <t xml:space="preserve">JOIN REG_AFFILIATION ra </t>
  </si>
  <si>
    <t>ON ra.REG_ID = rp.REG_ID</t>
  </si>
  <si>
    <t>LEFT JOIN GROUP_AFFILIATION_STATUS gas</t>
  </si>
  <si>
    <t>ON gas.GROUP_AFFILIATION_STATUS_ID = ra.GROUP_AFFILIATION_STATUS_ID</t>
  </si>
  <si>
    <t>JOIN REGISTRATION_STATUS_TYPE rst</t>
  </si>
  <si>
    <t>ON rst.REGISTRATION_STATUS_TYPE_ID = r.REGISTRATION_STATUS_TYPE_ID</t>
  </si>
  <si>
    <t>WHERE rp.REG_ID = 5384</t>
  </si>
  <si>
    <t>-- AND ra.NPI = '1740565282'</t>
  </si>
  <si>
    <t>FROM TRANSACTION_QUEUE tq</t>
  </si>
  <si>
    <t>WHERE tq.PARTY_ID = 85744</t>
  </si>
  <si>
    <t>WHERE PartyID = 110368</t>
  </si>
  <si>
    <t>DECLARE @DTM datetime = GETDATE()</t>
  </si>
  <si>
    <t>EXEC usp_SaveTransaction</t>
  </si>
  <si>
    <t>85744,36731,4,NULL,NULL,@DTM,'E7854515-E84D-419B-B30E-720AE2C7EE4D'</t>
  </si>
  <si>
    <t>FROM TRANSACTION_TYPE</t>
  </si>
  <si>
    <t>FROM PROVIDER</t>
  </si>
  <si>
    <t>WHERE PartyID = 90469</t>
  </si>
  <si>
    <t>WHERE ServiceLocationID = 36418</t>
  </si>
  <si>
    <t>--,r.REGISTRATION_STATUS_TYPE_ID</t>
  </si>
  <si>
    <t>--,rst.REGISTRATION_STATUS_TYPE</t>
  </si>
  <si>
    <t>--,gas.GROUP_AFFILIATION_STATUS_ID</t>
  </si>
  <si>
    <t>--,gas.DESCRIPTION AFFIL_STATUS</t>
  </si>
  <si>
    <t>,tq.TRANSACTION_QUEUE_ID</t>
  </si>
  <si>
    <t>JOIN SERVICE_LOCATION sl</t>
  </si>
  <si>
    <t>ON sl.PartyID = rp.PARTY_ID</t>
  </si>
  <si>
    <t>JOIN REG_AFFILIATION_CROSSOVER_XREF racx</t>
  </si>
  <si>
    <t>ON racx.PARENT_PARTY_ID = rp.PARTY_ID</t>
  </si>
  <si>
    <t>AND racx.REG_AFFILIATION_ID = ra.REG_AFFILIATION_ID</t>
  </si>
  <si>
    <t>JOIN PROVIDER p</t>
  </si>
  <si>
    <t>LEFT JOIN TRANSACTION_QUEUE tq</t>
  </si>
  <si>
    <t>ON tq.PARTY_ID = racx.PARTY_ID</t>
  </si>
  <si>
    <t>AND tq.MEDICAID_PK = sl.ServiceLocationID</t>
  </si>
  <si>
    <t>WHERE tq.TRANSACTION_QUEUE_ID IS NULL</t>
  </si>
  <si>
    <t>AND gas.GROUP_AFFILIATION_STATUS_ID = 1 -- Pending Confirmation</t>
  </si>
  <si>
    <t>AND r.REGISTRATION_STATUS_TYPE_ID = 3</t>
  </si>
  <si>
    <t>AND p.BaseMedicaidID IS NOT NULL</t>
  </si>
  <si>
    <t>,p.PartyID</t>
  </si>
  <si>
    <t>ON p.PartyID = racx.PARTY_ID</t>
  </si>
  <si>
    <t xml:space="preserve">ORDER BY </t>
  </si>
  <si>
    <t>rp.NAME</t>
  </si>
  <si>
    <t>,rp.NPI</t>
  </si>
  <si>
    <t>,rp.TAX_ID</t>
  </si>
  <si>
    <t>Finish testing procs to make sure they’re updating correctly – testing in TN_PDMS_PRD03</t>
  </si>
  <si>
    <t>http://192.168.36.8/bugzilla/show_bug.cgi?id=2639</t>
  </si>
  <si>
    <t>FROM APPSETTINGS</t>
  </si>
  <si>
    <t>LOAD_FILE_NAME</t>
  </si>
  <si>
    <t>,COUNT(*)</t>
  </si>
  <si>
    <t>FROM RETURN_ROSTER_FILE</t>
  </si>
  <si>
    <t xml:space="preserve">GROUP BY </t>
  </si>
  <si>
    <t>SELECT TOP(500)</t>
  </si>
  <si>
    <t>*</t>
  </si>
  <si>
    <t>FROM ERROR e</t>
  </si>
  <si>
    <t>--WHERE LastModifiedDateTime &gt; '2014-01-23 17:50:33.457'</t>
  </si>
  <si>
    <t>OR ErrorDate &gt; '2014-01-23 17:50:33.457'</t>
  </si>
  <si>
    <t>ORDER BY e.LastModifiedDateTime DESC</t>
  </si>
  <si>
    <t>FROM PARTY_ERROR_HISTORY</t>
  </si>
  <si>
    <t>WHERE LAST_MODIFIED_DATE_TIME &gt; '2014-01-23 17:50:33.457'</t>
  </si>
  <si>
    <t>ORDER BY ERROR_ID</t>
  </si>
  <si>
    <t>cs.*</t>
  </si>
  <si>
    <t>FROM CAQH_STATUS cs</t>
  </si>
  <si>
    <t>JOIN CAQH_STATUS_TYPE cst</t>
  </si>
  <si>
    <t>ON cst.CAQH_STATUS_TYPE_ID = cs.CAQH_STATUS_TYPE_ID</t>
  </si>
  <si>
    <t>ORDER BY cs.LAST_MODIFIED_DATE_TIME DESC</t>
  </si>
  <si>
    <t xml:space="preserve">FROM RESOLVING_REASON_TYPE </t>
  </si>
  <si>
    <t>WHERE ERROR_TYPE_ID IN (3,4,5,6,7)</t>
  </si>
  <si>
    <t>AND RESOLVING_ACTION_TYPE_ID = 5</t>
  </si>
  <si>
    <t>SELECT CAQH_STATUS_TYPE_DESCRIPTION</t>
  </si>
  <si>
    <t>FROM CAQH_STATUS_TYPE</t>
  </si>
  <si>
    <t>cst.CAQH_STATUS_TYPE_DESCRIPTION</t>
  </si>
  <si>
    <t>,COUNT(*) CNT</t>
  </si>
  <si>
    <t>ErrorType</t>
  </si>
  <si>
    <t>,Status</t>
  </si>
  <si>
    <t>,COUNT(*) ErrorCount</t>
  </si>
  <si>
    <t>FROM ERROR</t>
  </si>
  <si>
    <t>WHERE ErrorTypeID IN (3,4,5,6,7)</t>
  </si>
  <si>
    <t>GROUP BY</t>
  </si>
  <si>
    <t>ORDER BY</t>
  </si>
  <si>
    <t>ps.PARTY_ID</t>
  </si>
  <si>
    <t>,cs.*</t>
  </si>
  <si>
    <t>,cst.ERROR_TYPE_ID</t>
  </si>
  <si>
    <t>JOIN PROVIDER_STATUS ps</t>
  </si>
  <si>
    <t>ON ps.PROVIDER_STATUS_ID = cs.PROVIDER_STATUS_ID</t>
  </si>
  <si>
    <t>WHERE cst.ERROR_TYPE_ID IS NOT NULL</t>
  </si>
  <si>
    <t>AND ps.PARTY_ID IS NOT NULL</t>
  </si>
  <si>
    <t>DECLARE @CAQH_PIN varchar(80) = '12443666'</t>
  </si>
  <si>
    <t>-- DECLARE @LAST_MODIFIED_DATE_TIME datetime = GETDATE()</t>
  </si>
  <si>
    <t>-- DECLARE @LAST_MODIFIED_USER uniqueidentifier = 'E7854515-E84D-419B-B30E-720AE2C7EE4D'</t>
  </si>
  <si>
    <t>DECLARE @LAST_MODIFIED_DATE_TIME datetime = CONVERT(datetime,'2014-01-20 10:02:37.337')</t>
  </si>
  <si>
    <t>DECLARE @LAST_MODIFIED_USER uniqueidentifier = 'FD41DDFC-DBD6-4BFD-BCB2-27B3BB31D211'</t>
  </si>
  <si>
    <t>-- SELECT * FROM #RetRosErrors</t>
  </si>
  <si>
    <t xml:space="preserve">IF OBJECT_ID('tempdb..#RetRosErrors') IS NOT NULL </t>
  </si>
  <si>
    <t>DROP TABLE #RetRosErrors</t>
  </si>
  <si>
    <t>,ps.SUBMIT_ROSTER_PK</t>
  </si>
  <si>
    <t>,cs.LAST_MODIFIED_DATE_TIME</t>
  </si>
  <si>
    <t>,cs.LAST_MODIFIED_USER</t>
  </si>
  <si>
    <t>INTO #RetRosErrors</t>
  </si>
  <si>
    <t>FROM PROVIDER_STATUS ps</t>
  </si>
  <si>
    <t>JOIN CAQH_STATUS cs</t>
  </si>
  <si>
    <t>ON cs.PROVIDER_STATUS_ID = ps.PROVIDER_STATUS_ID</t>
  </si>
  <si>
    <t>ON p.PartyID = ps.PARTY_ID</t>
  </si>
  <si>
    <t>JOIN</t>
  </si>
  <si>
    <t>(</t>
  </si>
  <si>
    <t>)</t>
  </si>
  <si>
    <t>AND cs.LAST_MODIFIED_DATE_TIME = @LAST_MODIFIED_DATE_TIME</t>
  </si>
  <si>
    <t>AND cs.LAST_MODIFIED_USER = @LAST_MODIFIED_USER</t>
  </si>
  <si>
    <t>AND ((p.CAQHID = @CAQH_PIN AND @CAQH_PIN IS NOT NULL) OR (@CAQH_PIN IS NULL))</t>
  </si>
  <si>
    <t>FROM #RetRosErrors</t>
  </si>
  <si>
    <t>e.PartyId</t>
  </si>
  <si>
    <t>,e.ErrorTypeID</t>
  </si>
  <si>
    <t>,currError.ERROR_TYPE_ID</t>
  </si>
  <si>
    <t xml:space="preserve">JOIN </t>
  </si>
  <si>
    <t>,ISNULL(cst.ERROR_TYPE_ID,0) ERROR_TYPE_ID</t>
  </si>
  <si>
    <t>) currError</t>
  </si>
  <si>
    <t>ON currError.PARTY_ID = e.PartyId</t>
  </si>
  <si>
    <t xml:space="preserve">AND currError.ERROR_TYPE_ID &lt;&gt; e.ErrorTypeID </t>
  </si>
  <si>
    <t>WHERE e.ErrorTypeID IN (3,4,5,6,7)</t>
  </si>
  <si>
    <t>AND e.StatusID IN (1,2)</t>
  </si>
  <si>
    <t>SELECT * INTO MMIS_STAGING_GROUP_AFFILIATE_XREF_20130129 FROM MMIS_STAGING_GROUP_AFFILIATE_XREF</t>
  </si>
  <si>
    <t>SELECT * INTO MMIS_STAGING_GROUP_ADDRESS_XREF_20130129 FROM MMIS_STAGING_GROUP_ADDRESS_XREF</t>
  </si>
  <si>
    <t>SELECT * INTO MMIS_STAGING_AFFILIATE_20130129 FROM MMIS_STAGING_AFFILIATE</t>
  </si>
  <si>
    <t>SELECT * INTO MMIS_STAGING_ADDRESS_20130129 FROM MMIS_STAGING_ADDRESS</t>
  </si>
  <si>
    <t>SELECT * INTO MMIS_STAGING_GROUP_20130129 FROM MMIS_STAGING_GROUP</t>
  </si>
  <si>
    <t>SELECT * INTO TRANSACTION_QUEUE_20130129 FROM TRANSACTION_QUEUE</t>
  </si>
  <si>
    <t>DELETE FROM MMIS_STAGING_GROUP_AFFILIATE_XREF</t>
  </si>
  <si>
    <t>DELETE FROM MMIS_STAGING_GROUP_ADDRESS_XREF</t>
  </si>
  <si>
    <t>DELETE FROM MMIS_STAGING_AFFILIATE</t>
  </si>
  <si>
    <t>DELETE FROM MMIS_STAGING_ADDRESS</t>
  </si>
  <si>
    <t>DELETE FROM MMIS_STAGING_GROUP</t>
  </si>
  <si>
    <t>DELETE FROM TRANSACTION_QUEUE</t>
  </si>
  <si>
    <t>WHERE (CONVERT(date,PROCESS_DATE_TIME) &lt;&gt; CONVERT(date,GETDATE()) OR PROCESS_DATE_TIME IS NULL)</t>
  </si>
  <si>
    <t>WHERE TRANSACTION_TYPE_ID &lt;&gt; 4</t>
  </si>
  <si>
    <t>UPDATE TRANSACTION_QUEUE</t>
  </si>
  <si>
    <t>SET PROCESS_DATE_TIME = NULL</t>
  </si>
  <si>
    <t>,SUBMIT_DATE_TIME = NULL</t>
  </si>
  <si>
    <t>-- SELECT * FROM #Txns</t>
  </si>
  <si>
    <t xml:space="preserve">IF OBJECT_ID('tempdb..#Txns') IS NOT NULL </t>
  </si>
  <si>
    <t>DROP TABLE #Txns</t>
  </si>
  <si>
    <t>INTO #Txns</t>
  </si>
  <si>
    <t>FROM TRANSACTION_QUEUE</t>
  </si>
  <si>
    <t xml:space="preserve">WHERE CONVERT(date,PROCESS_DATE_TIME) = CONVERT(date,GETDATE()) </t>
  </si>
  <si>
    <t>AND TRANSACTION_TYPE_ID = 4</t>
  </si>
  <si>
    <t>-- SELECT * FROM #AffTxns</t>
  </si>
  <si>
    <t xml:space="preserve">IF OBJECT_ID('tempdb..#AffTxns') IS NOT NULL </t>
  </si>
  <si>
    <t>DROP TABLE #AffTxns</t>
  </si>
  <si>
    <t>INTO #AffTxns</t>
  </si>
  <si>
    <t>FROM MMIS_STAGING_AFFILIATE</t>
  </si>
  <si>
    <t>WHERE PARTY_ID IN</t>
  </si>
  <si>
    <t>(SELECT PARTY_ID FROM #Txns)</t>
  </si>
  <si>
    <t>msg.MMIS_STAGING_GROUP_PK</t>
  </si>
  <si>
    <t>,msg.PARTY_ID</t>
  </si>
  <si>
    <t>,msg.LAST_MODIFIED_DATE_TIME</t>
  </si>
  <si>
    <t>,at.MMIS_STAGING_AFFILIATE_PK</t>
  </si>
  <si>
    <t>,at.PARTY_ID</t>
  </si>
  <si>
    <t>,at.ACTION</t>
  </si>
  <si>
    <t>FROM #AffTxns at</t>
  </si>
  <si>
    <t>JOIN MMIS_STAGING_GROUP_AFFILIATE_XREF xref</t>
  </si>
  <si>
    <t>ON xref.MMIS_STAGING_AFFILIATE_PK = at.MMIS_STAGING_AFFILIATE_PK</t>
  </si>
  <si>
    <t>JOIN MMIS_STAGING_GROUP msg</t>
  </si>
  <si>
    <t>ON msg.MMIS_STAGING_GROUP_PK = xref.MMIS_STAGING_GROUP_PK</t>
  </si>
  <si>
    <t>ORDER BY at.PARTY_ID,msg.PARTY_ID</t>
  </si>
  <si>
    <t xml:space="preserve">WHERE TRANSACTION_QUEUE_ID IN </t>
  </si>
  <si>
    <t>(SELECT TRANSACTION_QUEUE_ID FROM #Txns)</t>
  </si>
  <si>
    <t>-- (96 row(s) affected)</t>
  </si>
  <si>
    <t>DECLARE @USER uniqueidentifier = 'E7854515-E84D-419B-B30E-720AE2C7EE4D'</t>
  </si>
  <si>
    <t>EXEC usp_InsertMMISStagingGroups 4,@DTM,@USER</t>
  </si>
  <si>
    <t>msg.PARTY_ID</t>
  </si>
  <si>
    <t>,msa.PARTY_ID</t>
  </si>
  <si>
    <t>FROM MMIS_STAGING_GROUP msg</t>
  </si>
  <si>
    <t>ON xref.MMIS_STAGING_GROUP_PK = msg.MMIS_STAGING_GROUP_PK</t>
  </si>
  <si>
    <t>JOIN MMIS_STAGING_AFFILIATE msa</t>
  </si>
  <si>
    <t>ON msa.MMIS_STAGING_AFFILIATE_PK = xref.MMIS_STAGING_AFFILIATE_PK</t>
  </si>
  <si>
    <t>-- WHERE CONVERT(date,msg.LAST_MODIFIED_DATE_TIME) = CONVERT(date,GETDATE())</t>
  </si>
  <si>
    <t>WHERE msg.MMIS_STAGING_GROUP_PK &gt; 632</t>
  </si>
  <si>
    <t>WHERE MMIS_STAGING_AFFILIATE_PK &gt; 2011</t>
  </si>
  <si>
    <t>AND ACTION = 'A'</t>
  </si>
  <si>
    <t>WHERE LAST_MODIFIED_DATE_TIME = '2014-01-29 11:43:38.903'</t>
  </si>
  <si>
    <t>SELECT * FROM TRANSACTION_QUEUE ORDER BY CREATE_DATE_TIME DESC, TRANSACTION_QUEUE</t>
  </si>
  <si>
    <t xml:space="preserve">SELECT * FROM TRANSACTION_QUEUE ORDER BY PROCESS_DATE_TIME DESC </t>
  </si>
  <si>
    <t>SELECT * FROM TRANSACTION_QUEUE ORDER BY SUBMIT_DATE_TIME DESC</t>
  </si>
  <si>
    <t>SELECT * FROM TRANSACTION_QUEUE WHERE TRANSACTION_TYPE_ID = 4 AND SUBMIT_DATE_TIME IS NULL</t>
  </si>
  <si>
    <t>UPDATE MMIS_STAGING_GROUP</t>
  </si>
  <si>
    <t>SET MMIS_STATUS_TYPE_ID = NULL</t>
  </si>
  <si>
    <t>WHERE MMIS_STAGING_GROUP_PK &gt; 632</t>
  </si>
  <si>
    <t>AND MMIS_STATUS_TYPE_ID IS NOT NULL</t>
  </si>
  <si>
    <t>UPDATE MMIS_STAGING_AFFILIATE</t>
  </si>
  <si>
    <t>FROM MMIS_STAGING_AFFILIATE at</t>
  </si>
  <si>
    <t>WHERE at.PARTY_ID = 111293</t>
  </si>
  <si>
    <t>DELETE FROM MMIS_STAGING_GROUP WHERE MMIS_STAGING_GROUP_PK &gt; 627</t>
  </si>
  <si>
    <t>DELETE FROM MMIS_STAGING_GROUP_AFFILIATE_XREF WHERE MMIS_STAGING_GROUP_PK &gt; 627</t>
  </si>
  <si>
    <t>DELETE FROM MMIS_STAGING_AFFILIATE WHERE MMIS_STAGING_AFFILIATE_PK &gt; 2011</t>
  </si>
  <si>
    <t>SELECT MEDICAID_PK,COUNT (*) FROM TRANSACTION_QUEUE GROUP BY MEDICAID_PK</t>
  </si>
  <si>
    <t>SELECT COUNT(*) FROM MMIS_STAGING_GROUP</t>
  </si>
  <si>
    <t>SELECT COUNT(*) FROM MMIS_STAGING_GROUP_AFFILIATE_XREF</t>
  </si>
  <si>
    <t>SELECT COUNT(*) FROM MMIS_STAGING_AFFILIATE</t>
  </si>
  <si>
    <t>SELECT MAX(MMIS_STAGING_GROUP_PK) FROM MMIS_STAGING_GROUP</t>
  </si>
  <si>
    <t>SELECT MAX(MMIS_STAGING_AFFILIATE_PK) FROM MMIS_STAGING_AFFILIATE</t>
  </si>
  <si>
    <t>FROM MMIS_STAGING_GROUP</t>
  </si>
  <si>
    <t>WHERE MMIS_STAGING_GROUP_PK &gt; 627</t>
  </si>
  <si>
    <t xml:space="preserve">SELECT * </t>
  </si>
  <si>
    <t>FROM MMIS_STAGING_GROUP_AFFILIATE_XREF</t>
  </si>
  <si>
    <t>WHERE EFFECTIVE_DATE IS NULL</t>
  </si>
  <si>
    <t>SELECT * INTO PROVIDER_STAGING_20130129 FROM PROVIDER_STAGING</t>
  </si>
  <si>
    <t>SELECT * INTO ADDRESS_STAGING_20130129 FROM ADDRESS_STAGING</t>
  </si>
  <si>
    <t>WHERE TRANSACTION_QUEUE_ID &gt; 3598</t>
  </si>
  <si>
    <t>select *</t>
  </si>
  <si>
    <t>from jobS</t>
  </si>
  <si>
    <t>order by CONVERT(varchar(40),Id)</t>
  </si>
  <si>
    <t>tt.TRANSACTION_TYPE</t>
  </si>
  <si>
    <t>JOIN TRANSACTION_TYPE tt</t>
  </si>
  <si>
    <t>ON tt.TRANSACTION_TYPE_ID = tq.TRANSACTION_TYPE_ID</t>
  </si>
  <si>
    <t>WHERE tq.TRANSACTION_QUEUE_ID &gt; 3598</t>
  </si>
  <si>
    <t>rp.PARTY_ID</t>
  </si>
  <si>
    <t>,p.LastAttestDate</t>
  </si>
  <si>
    <t>,p.BaseMedicaidID</t>
  </si>
  <si>
    <t>,gas.DESCRIPTION AffilStatus</t>
  </si>
  <si>
    <t>ON sl.ServiceLocationID = tq.MEDICAID_PK</t>
  </si>
  <si>
    <t>ON p.PartyID = tq.PARTY_ID</t>
  </si>
  <si>
    <t>JOIN REG_PROVIDER rp</t>
  </si>
  <si>
    <t>ON rp.PARTY_ID = sl.PartyID</t>
  </si>
  <si>
    <t>JOIN REG_AFFILIATION ra</t>
  </si>
  <si>
    <t>ON ra.NPI = p.NPI</t>
  </si>
  <si>
    <t>AND ra.REG_ID = rp.REG_ID</t>
  </si>
  <si>
    <t>JOIN GROUP_AFFILIATION_STATUS gas</t>
  </si>
  <si>
    <t>for each group</t>
  </si>
  <si>
    <t>regp.PARTY_ID</t>
  </si>
  <si>
    <t>,MAX(regp.REG_ID) REG_ID</t>
  </si>
  <si>
    <t>FROM REGISTRATION reg</t>
  </si>
  <si>
    <t>JOIN REG_PROVIDER regp</t>
  </si>
  <si>
    <t>ON regp.REG_ID = reg.REG_ID</t>
  </si>
  <si>
    <t>WHERE reg.REGISTRATION_STATUS_TYPE_ID = 3</t>
  </si>
  <si>
    <t>GROUP BY regp.PARTY_ID</t>
  </si>
  <si>
    <t>) r</t>
  </si>
  <si>
    <t>ON r.REG_ID = ra.REG_ID</t>
  </si>
  <si>
    <t>AND tq.TRANSACTION_TYPE_ID = 4</t>
  </si>
  <si>
    <t>tq.PARTY_ID</t>
  </si>
  <si>
    <t>,mmis.GROUP_PARTY_ID</t>
  </si>
  <si>
    <t>,mmis.EFFECTIVE_DATE</t>
  </si>
  <si>
    <t>,mmis.TERM_DATE</t>
  </si>
  <si>
    <t>,tq.MEDICAID_PK</t>
  </si>
  <si>
    <t>,tq.SUBMIT_DATE_TIME</t>
  </si>
  <si>
    <t>,tq.PROCESS_DATE_TIME</t>
  </si>
  <si>
    <t>,tq.CREATE_DATE_TIME</t>
  </si>
  <si>
    <t>,tq.CANCEL_DATE_TIME</t>
  </si>
  <si>
    <t>msg.PARTY_ID GROUP_PARTY_ID</t>
  </si>
  <si>
    <t>,msa.EFFECTIVE_DATE</t>
  </si>
  <si>
    <t>,msa.TERM_DATE</t>
  </si>
  <si>
    <t>,sl.ServiceLocationID</t>
  </si>
  <si>
    <t>ON xref.MMIS_STAGING_AFFILIATE_PK = msa.MMIS_STAGING_AFFILIATE_PK</t>
  </si>
  <si>
    <t>ON sl.PartyID = msg.PARTY_ID</t>
  </si>
  <si>
    <t>) mmis</t>
  </si>
  <si>
    <t>ON mmis.ServiceLocationID = tq.MEDICAID_PK</t>
  </si>
  <si>
    <t>AND mmis.PARTY_ID = tq.PARTY_ID</t>
  </si>
  <si>
    <t>WHERE tq.PARTY_ID = 2754</t>
  </si>
  <si>
    <t>gas.DESCRIPTION AffilStatus</t>
  </si>
  <si>
    <t>, COUNT(*) StatusCount</t>
  </si>
  <si>
    <t>gas.DESCRIPTION</t>
  </si>
  <si>
    <t>FROM vw_MMISStagingAffiliationDetail</t>
  </si>
  <si>
    <t>WHERE GROUP_PARTY_ID = 109304</t>
  </si>
  <si>
    <t>AND PARTY_ID = 6105</t>
  </si>
  <si>
    <t>-- EFFECTIVE_DATE = 2013-12-07 13:14:50.147</t>
  </si>
  <si>
    <t>a.*</t>
  </si>
  <si>
    <t>FROM audit.A_REG_AFFILIATION_CROSSOVER_XREF aud</t>
  </si>
  <si>
    <t>JOIN AFFILIATION a</t>
  </si>
  <si>
    <t>ON a.ParentPartyID = aud.PARENT_PARTY_ID</t>
  </si>
  <si>
    <t>AND a.ChildPartyID = aud.PARTY_ID</t>
  </si>
  <si>
    <t>SELECT * -- 2012-07-01 00:00:00.000</t>
  </si>
  <si>
    <t>FROM REG_AFFILIATION_CROSSOVER_XREF</t>
  </si>
  <si>
    <t>WHERE PARENT_PARTY_ID = 110504</t>
  </si>
  <si>
    <t>AND PARTY_ID = 30934</t>
  </si>
  <si>
    <t>FROM AFFILIATION</t>
  </si>
  <si>
    <t>WHERE ParentPartyID = 110490</t>
  </si>
  <si>
    <t xml:space="preserve">AND ChildPartyID = </t>
  </si>
  <si>
    <t>--SET StartDate = '2012-08-01 00:00:00.000'</t>
  </si>
  <si>
    <t>AND ChildPartyID = 30934</t>
  </si>
  <si>
    <t>DECLARE @DTM datetime = CONVERT(datetime,'2014-01-20 10:02:37.337')</t>
  </si>
  <si>
    <t>DECLARE @USER uniqueidentifier = 'FD41DDFC-DBD6-4BFD-BCB2-27B3BB31D211'</t>
  </si>
  <si>
    <t>exec usp_AddPDMSToMMISExportRecords @DTM,@USER</t>
  </si>
  <si>
    <t>FROM PROVIDER_STAGING ps</t>
  </si>
  <si>
    <t>JOIN TRANSACTION_QUEUE tq</t>
  </si>
  <si>
    <t>ON tq.TRANSACTION_QUEUE_ID = ps.TRANSACTION_ID</t>
  </si>
  <si>
    <t>AND tq.TRANSACTION_TYPE_ID = 7</t>
  </si>
  <si>
    <t>exec usp_InsertMMISStagingGroups 4,@DTM,@USER</t>
  </si>
  <si>
    <t xml:space="preserve">-- get number of affiliation transactions: </t>
  </si>
  <si>
    <t>/* Tab: Affiliation Txns */</t>
  </si>
  <si>
    <t>,msg.NAME</t>
  </si>
  <si>
    <t>,COUNT(*) AffiliationCount</t>
  </si>
  <si>
    <t>ON tq.PARTY_ID = msa.PARTY_ID</t>
  </si>
  <si>
    <t>ORDER BY msg.PARTY_ID</t>
  </si>
  <si>
    <t>/* Tab: None -- Affiliation details */</t>
  </si>
  <si>
    <t>tq.TRANSACTION_QUEUE_ID</t>
  </si>
  <si>
    <t>,msa.*</t>
  </si>
  <si>
    <t>ORDER BY tq.TRANSACTION_QUEUE_ID</t>
  </si>
  <si>
    <t>from MMIS_STAGING_AFFILIATE</t>
  </si>
  <si>
    <t>FROM #UnprocBaseTxn u</t>
  </si>
  <si>
    <t>JOIN ERROR e</t>
  </si>
  <si>
    <t>ON e.PartyId = u.PARTY_ID</t>
  </si>
  <si>
    <t>ON p.PartyID = e.PartyId</t>
  </si>
  <si>
    <t>WHERE e.HardSoft = 'H'</t>
  </si>
  <si>
    <t>AND e.ErrorType &lt;&gt; 'P062'</t>
  </si>
  <si>
    <t>,p.NPI</t>
  </si>
  <si>
    <t>,p.PDMSStatus</t>
  </si>
  <si>
    <t>,sl.MedicaidID</t>
  </si>
  <si>
    <t>,sl.PDMSStatus</t>
  </si>
  <si>
    <t>,sl.TermDate</t>
  </si>
  <si>
    <t>ON sl.PartyID = p.PartyID</t>
  </si>
  <si>
    <t>WHERE p.CAQHID IN ('12510189','12288075','11653679','12276539')</t>
  </si>
  <si>
    <t>p.CAQHID</t>
  </si>
  <si>
    <t>--WHERE NPI = '1194967380'</t>
  </si>
  <si>
    <t>from provider</t>
  </si>
  <si>
    <t>where npi = '1194967380'</t>
  </si>
  <si>
    <t>WHERE CAQHProviderID = '11957904'</t>
  </si>
  <si>
    <t>WHERE PartyId = 5788</t>
  </si>
  <si>
    <t>FROM REG_PROVIDER</t>
  </si>
  <si>
    <t>WHERE TAX_ID = '621212384'</t>
  </si>
  <si>
    <t>WHERE NPI = '1699014092'</t>
  </si>
  <si>
    <t>WHERE PARTY_ID = 111575</t>
  </si>
  <si>
    <t>WHERE PartyID = 111575</t>
  </si>
  <si>
    <t>WHERE MEDICAID_PK = 37176</t>
  </si>
  <si>
    <t>WHERE PartyID IN (20809,20875,12607)</t>
  </si>
  <si>
    <t>ORDER BY P.CAQHID</t>
  </si>
  <si>
    <t>WHERE CAQHProviderID IN (11509303,12133374,12136733)</t>
  </si>
  <si>
    <t>ORDER BY CAQHProviderID</t>
  </si>
  <si>
    <t>r.REG_ID</t>
  </si>
  <si>
    <t>,ra.REG_AFFILIATION_ID</t>
  </si>
  <si>
    <t>,gas.DESCRIPTION AFFILIATION_STATUS</t>
  </si>
  <si>
    <t>FROM REGISTRATION r</t>
  </si>
  <si>
    <t xml:space="preserve">ON ra.REG_ID = r.REG_ID </t>
  </si>
  <si>
    <t>WHERE rp.TAX_ID = '461412187'</t>
  </si>
  <si>
    <t>FROM REG_TRANSFER_HISTORY</t>
  </si>
  <si>
    <t>WHERE REG_ID = 5052</t>
  </si>
  <si>
    <t>WHERE TRANSACTION_QUEUE_ID &gt; 3390</t>
  </si>
  <si>
    <t>ORDER BY TRANSACTION_QUEUE_ID ASC</t>
  </si>
  <si>
    <t>SELECT DISTINCT q.MEDICAID_PK</t>
  </si>
  <si>
    <t>, grp.*</t>
  </si>
  <si>
    <t>,m.Email</t>
  </si>
  <si>
    <t xml:space="preserve">,rp.CONTACT_EMAIL_ADDRESS   </t>
  </si>
  <si>
    <t>FROM TRANSACTION_QUEUE q</t>
  </si>
  <si>
    <t>JOIN SERVICE_LOCATION sl ON sl.ServiceLocationID = q.MEDICAID_PK</t>
  </si>
  <si>
    <t>JOIN MMIS_STAGING_GROUP AS grp ON grp.PARTY_ID = sl.PartyID</t>
  </si>
  <si>
    <t>LEFT JOIN PARTY_USER_XREF pux ON pux.PARTY_ID=sl.PartyID</t>
  </si>
  <si>
    <t>LEFT JOIN aspnet_Membership m ON m.UserId=pux.UserId</t>
  </si>
  <si>
    <t>LEFT JOIN REGISTRATION_USER_XREF rux ON rux.UserID=pux.UserID</t>
  </si>
  <si>
    <t>LEFT JOIN REG_PROVIDER rp ON rp.REG_ID=rux.REG_ID</t>
  </si>
  <si>
    <t xml:space="preserve">LEFT JOIN </t>
  </si>
  <si>
    <t>,MAX(rp.REG_ID) REG_ID</t>
  </si>
  <si>
    <t>WHERE r.REGISTRATION_STATUS_TYPE_ID = 3 -- Approved</t>
  </si>
  <si>
    <t>AND r.REG_ID = 5052</t>
  </si>
  <si>
    <t>) maxrp</t>
  </si>
  <si>
    <t>ON maxrp.REG_ID = rp.REG_ID</t>
  </si>
  <si>
    <t xml:space="preserve">WHERE     (q.TRANSACTION_TYPE_ID = 4) </t>
  </si>
  <si>
    <t xml:space="preserve">AND (grp.TRANSACTION_TYPE_ID = 4) </t>
  </si>
  <si>
    <t>AND (grp.SAK_TRANS IS NULL)</t>
  </si>
  <si>
    <t>AND grp.MMIS_STAGING_GROUP_PK IN (516,524,559,612)</t>
  </si>
  <si>
    <t>,r.DateOfAction</t>
  </si>
  <si>
    <t>FROM audit.A_REGISTRATION r</t>
  </si>
  <si>
    <t>WHERE r.REG_ID = 5052</t>
  </si>
  <si>
    <t xml:space="preserve">ORDER BY r.DateOfAction </t>
  </si>
  <si>
    <t>-- 2014-01-27 15:07:42.787</t>
  </si>
  <si>
    <t>JOIN audit.A_REGISTRATION r</t>
  </si>
  <si>
    <t>ON msg.PARTY_ID = rp.PARTY_ID</t>
  </si>
  <si>
    <t>AND msg.MMIS_STATUS_TYPE_ID = 201</t>
  </si>
  <si>
    <t>AND (msg.MMIS_STATUS_TYPE_ID = 201</t>
  </si>
  <si>
    <t>AND msg.TRANSACTION_TYPE_ID IN (1,2))</t>
  </si>
  <si>
    <t>where PARTY_ID =18284</t>
  </si>
  <si>
    <t>,cgpp.GroupName</t>
  </si>
  <si>
    <t>,cgpp.GroupTaxID</t>
  </si>
  <si>
    <t>LEFT JOIN SERVICE_LOCATION sl</t>
  </si>
  <si>
    <t>LEFT JOIN CAQHS_GroupProviderPractice cgpp</t>
  </si>
  <si>
    <t>ON cgpp.CAQHProviderID = p.CAQHID</t>
  </si>
  <si>
    <t>WHERE p.PartyID = 18284</t>
  </si>
  <si>
    <t>FROM audit.A_CAQHS_GroupProviderPractice cgpp</t>
  </si>
  <si>
    <t>WHERE cgpp.CAQHProviderID = '11957904'</t>
  </si>
  <si>
    <t>,cse.LoadDateTime</t>
  </si>
  <si>
    <t>,cp.ProviderId</t>
  </si>
  <si>
    <t>,cp.FirstName</t>
  </si>
  <si>
    <t>,cp.LastName</t>
  </si>
  <si>
    <t>,cp.CAQHProviderID</t>
  </si>
  <si>
    <t>,cpp.*</t>
  </si>
  <si>
    <t>,cppt.*</t>
  </si>
  <si>
    <t>JOIN CAQHS_Provider cp</t>
  </si>
  <si>
    <t>ON cp.StandardExtractId = cse.StandardExtractId</t>
  </si>
  <si>
    <t>JOIN CAQHS_ProviderPractice cpp</t>
  </si>
  <si>
    <t>ON cpp.ProviderId = cp.ProviderId</t>
  </si>
  <si>
    <t>JOIN CAQHS_ProviderPracticeTax cppt</t>
  </si>
  <si>
    <t>ON cppt.ProviderPracticeId = cpp.ProviderPracticeId</t>
  </si>
  <si>
    <t>--(</t>
  </si>
  <si>
    <t xml:space="preserve">SELECT CAQHProviderID, MAX(ProviderId) ProviderId </t>
  </si>
  <si>
    <t xml:space="preserve">--) maxProviderId </t>
  </si>
  <si>
    <t>ON maxProviderId.ProviderId = cp.ProviderId</t>
  </si>
  <si>
    <t>cp.ProviderId</t>
  </si>
  <si>
    <t>,MAX(cpp.ProviderPracticeId) ProviderPracticeId</t>
  </si>
  <si>
    <t>,cppt.TaxID</t>
  </si>
  <si>
    <t xml:space="preserve">FROM CAQHS_ProviderPractice AS cpp </t>
  </si>
  <si>
    <t xml:space="preserve">JOIN CAQHS_ProviderPracticeTax AS cppt </t>
  </si>
  <si>
    <t xml:space="preserve">ON cpp.ProviderPracticeId = cppt.ProviderPracticeId </t>
  </si>
  <si>
    <t>WHERE (((cppt.TaxTypeDescription IS NULL) AND (cppt.GroupName IS NOT NULL))</t>
  </si>
  <si>
    <t>OR ((cppt.TaxTypeDescription = 'Group')))</t>
  </si>
  <si>
    <t>GROUP BY cp.ProviderId,cppt.TaxID, cp.CAQHProviderID</t>
  </si>
  <si>
    <t xml:space="preserve">--) AS maxPractice </t>
  </si>
  <si>
    <t xml:space="preserve">ON cp.CAQHProviderID = maxPractice.CAQHProviderID </t>
  </si>
  <si>
    <t xml:space="preserve">AND cpp.ProviderPracticeId = maxPractice.ProviderPracticeId </t>
  </si>
  <si>
    <t>AND maxProviderId.ProviderId = maxPractice.ProviderId</t>
  </si>
  <si>
    <t>WHERE cp.CAQHProviderID = '11957904'</t>
  </si>
  <si>
    <t xml:space="preserve">ORDER BY cse.ExtractFile </t>
  </si>
  <si>
    <t>,p.PDMSStatusDate</t>
  </si>
  <si>
    <t>WHERE sl.PartyID IS NULL</t>
  </si>
  <si>
    <t>AND PDMSStatusID = 4</t>
  </si>
  <si>
    <t xml:space="preserve">WHERE p.PartyID = 101821 -- Bug 2391: Ayman Abdelwahab </t>
  </si>
  <si>
    <t>OR p.PartyID = 75359 -- Bug 2391: Ambreen Warsy</t>
  </si>
  <si>
    <t>where caqhid = '11785103'</t>
  </si>
  <si>
    <t>FROM Bug2099_TerminatedSLs</t>
  </si>
  <si>
    <t>-- SELECT MAX(TRANSACTION_QUEUE_ID) FROM TRANSACTION_QUEUE -- 3598</t>
  </si>
  <si>
    <t>WHERE TRANSACTION_QUEUE_ID &gt; 627</t>
  </si>
  <si>
    <t>,ServiceLocationID</t>
  </si>
  <si>
    <t>,MedicaidID</t>
  </si>
  <si>
    <t>,TermDate</t>
  </si>
  <si>
    <t>,PDMSStatus</t>
  </si>
  <si>
    <t>,LastModifiedDateTime</t>
  </si>
  <si>
    <t>WHERE PartyID IN (109999,109888,106800,93647,83578,65172,9466,7718,7492,7379)</t>
  </si>
  <si>
    <t>,PARTY_ID</t>
  </si>
  <si>
    <t>,TERM_DATE_TIME</t>
  </si>
  <si>
    <t>,SAK_TRANS</t>
  </si>
  <si>
    <t>,CORRELATION_ID</t>
  </si>
  <si>
    <t>,STATUS_CODE</t>
  </si>
  <si>
    <t>,MEDICAID_PK</t>
  </si>
  <si>
    <t>,CAQH_PRACTICE_ID</t>
  </si>
  <si>
    <t>WHERE PARTY_ID = 7718</t>
  </si>
  <si>
    <t>WHERE MEDICAID_PK = 1865</t>
  </si>
  <si>
    <t>WHERE PARTYID = 91216</t>
  </si>
  <si>
    <t>AND StatusID IN (1,2)</t>
  </si>
  <si>
    <t>AND HardSoft = 'H'</t>
  </si>
  <si>
    <t>EXEC usp_ClosePDMSError 6165,234,9819,@DTM,@USER</t>
  </si>
  <si>
    <t>EXEC usp_ClosePDMSError 6165,3,NULL,@DTM,@USER</t>
  </si>
  <si>
    <t>EXEC usp_ClosePDMSError 6165,59,NULL,@DTM,@USER</t>
  </si>
  <si>
    <t>EXEC usp_SavePartyStatus</t>
  </si>
  <si>
    <t>@DTM</t>
  </si>
  <si>
    <t>,3 -- PDMS</t>
  </si>
  <si>
    <t>,9</t>
  </si>
  <si>
    <t>,6165</t>
  </si>
  <si>
    <t>,9819</t>
  </si>
  <si>
    <t>,@DTM</t>
  </si>
  <si>
    <t>,@USER</t>
  </si>
  <si>
    <t>,4</t>
  </si>
  <si>
    <t>,NULL</t>
  </si>
  <si>
    <t>WHERE MEDICAID_PK = 9819</t>
  </si>
  <si>
    <t>PDMSStatus</t>
  </si>
  <si>
    <t>WHERE ServiceLocationID =9819</t>
  </si>
  <si>
    <t>sl.PartyID</t>
  </si>
  <si>
    <t>FROM SERVICE_LOCATION sl</t>
  </si>
  <si>
    <t>WHERE sl.ServiceLocationID IN (SELECT ServiceLocationID FROM Bug2099_TerminatedSLs)</t>
  </si>
  <si>
    <t>ORDER BY PartyID</t>
  </si>
  <si>
    <t>sl.ServiceLocationID</t>
  </si>
  <si>
    <t>,mmis.STATUS_CODE</t>
  </si>
  <si>
    <t>,MAX(PROVIDER_STAGING_PK) PROVIDER_STAGING_PK</t>
  </si>
  <si>
    <t>GROUP BY MEDICAID_PK</t>
  </si>
  <si>
    <t>) maxps</t>
  </si>
  <si>
    <t>ON maxps.MEDICAID_PK = sl.ServiceLocationID</t>
  </si>
  <si>
    <t>,PROVIDER_STAGING_PK</t>
  </si>
  <si>
    <t>ON mmis.PROVIDER_STAGING_PK = maxps.PROVIDER_STAGING_PK</t>
  </si>
  <si>
    <t>,PROCESS_DATE_TIME</t>
  </si>
  <si>
    <t xml:space="preserve">FROM TRANSACTION_QUEUE </t>
  </si>
  <si>
    <t>) tq</t>
  </si>
  <si>
    <t>ON tq.MEDICAID_PK = sl.ServiceLocationID</t>
  </si>
  <si>
    <t>WHERE PDMSStatus = 'Submitted to MMIS'</t>
  </si>
  <si>
    <t>ps.STATUS_CODE</t>
  </si>
  <si>
    <t>,tq.PARTY_ID</t>
  </si>
  <si>
    <t>WHERE PROVIDER_STAGING_PK &gt; 671</t>
  </si>
  <si>
    <t>-- 25 ROWS</t>
  </si>
  <si>
    <t>WHERE PARTY_ID = 108969</t>
  </si>
  <si>
    <t>AND MEDICAID_PK = 36269</t>
  </si>
  <si>
    <t>ORDER BY TRANSACTION_QUEUE_ID DESC</t>
  </si>
  <si>
    <t>TRANSACTION_TYPE_ID</t>
  </si>
  <si>
    <t>PROCESS_DATE_TIME IS NULL</t>
  </si>
  <si>
    <t>,ps.PARTY_ID</t>
  </si>
  <si>
    <t>,ps.MEDICAID_PK</t>
  </si>
  <si>
    <t>WHERE ps.MEDICAID_PK= 36269</t>
  </si>
  <si>
    <t>-- WHERE LogThreadNumber = 'DA4A9AC3-9689-41F1-9139-BC061B0238A6'</t>
  </si>
  <si>
    <t>-- WHERE LogMessage LIKE '%250402C3-93AC-9F1C-8B19-4C59AD8127A1%'</t>
  </si>
  <si>
    <t>ORDER By LogNumber DESC</t>
  </si>
  <si>
    <t>FROM Jobs</t>
  </si>
  <si>
    <t>ORDER BY Name</t>
  </si>
  <si>
    <t>WHERE CONVERT(date,CREATE_DATE_TIME) = CONVERT(date,GETDATE())</t>
  </si>
  <si>
    <t>WHERE PARTY_ID = 98683</t>
  </si>
  <si>
    <t>,GroupOrIndividual</t>
  </si>
  <si>
    <t>WHERE ServiceLocationID IN (36526,36474,36518)</t>
  </si>
  <si>
    <t>FROM PROVIDER_STATUS</t>
  </si>
  <si>
    <t>WHERE MEDICAID_PK IN (36526,36474,36518)</t>
  </si>
  <si>
    <t>INTO #StatusDups</t>
  </si>
  <si>
    <t>WHERE sl.ServiceLocationID IN</t>
  </si>
  <si>
    <t>(SELECT MEDICAID_PK FROM #StatusDups)</t>
  </si>
  <si>
    <t>DECLARE @REG_ID int = 999  -- 1529</t>
  </si>
  <si>
    <t>ra.REG_ID</t>
  </si>
  <si>
    <t>, ra.REG_AFFILIATION_ID</t>
  </si>
  <si>
    <t>, ra.NAME</t>
  </si>
  <si>
    <t>, ra.NPI</t>
  </si>
  <si>
    <t>, ra.END_DATE</t>
  </si>
  <si>
    <t>, p.BaseMedicaidID</t>
  </si>
  <si>
    <t>, gas.GROUP_AFFILIATION_STATUS_ID</t>
  </si>
  <si>
    <t>, gas.DESCRIPTION AFFIL_STATUS</t>
  </si>
  <si>
    <t>, a.AffiliationStatus</t>
  </si>
  <si>
    <t>, a.EndDate</t>
  </si>
  <si>
    <t>, ms.ACTION</t>
  </si>
  <si>
    <t>, ms.PARTY_ID</t>
  </si>
  <si>
    <t>, ms.TERM_DATE</t>
  </si>
  <si>
    <t>JOIN REG_PROVIDER rp ON rp.REG_ID = ra.REG_ID</t>
  </si>
  <si>
    <t>LEFT JOIN PROVIDER p</t>
  </si>
  <si>
    <t>ON p.NPI = ra.NPI</t>
  </si>
  <si>
    <t>LEFT JOIN AFFILIATION a</t>
  </si>
  <si>
    <t>ON a.ChildPartyID = p.PartyID</t>
  </si>
  <si>
    <t>AND a.ParentPartyID = rp.PARTY_ID</t>
  </si>
  <si>
    <t>LEFT JOIN</t>
  </si>
  <si>
    <t>msg.TAX_ID_VALUE GROUP_TAX_ID</t>
  </si>
  <si>
    <t>,msg.PARTY_ID GROUP_PARTY_ID</t>
  </si>
  <si>
    <t>,msa.NPI</t>
  </si>
  <si>
    <t>,msa.ACTION</t>
  </si>
  <si>
    <t>JOIN MMIS_STAGING_GROUP_AFFILIATE_XREF msgx</t>
  </si>
  <si>
    <t>ON msgx.MMIS_STAGING_GROUP_PK = msg.MMIS_STAGING_GROUP_PK</t>
  </si>
  <si>
    <t>ON msa.MMIS_STAGING_AFFILIATE_PK = msgx.MMIS_STAGING_AFFILIATE_PK</t>
  </si>
  <si>
    <t>) ms ON ms.PARTY_ID = p.PartyID</t>
  </si>
  <si>
    <t>AND ms.GROUP_PARTY_ID = rp.PARTY_ID</t>
  </si>
  <si>
    <t>(rp.REG_ID = @REG_ID OR @REG_ID IS NULL)</t>
  </si>
  <si>
    <t>AND (ms.PARTY_ID IS NOT NULL</t>
  </si>
  <si>
    <t>OR ra.GROUP_AFFILIATION_STATUS_ID = 1)</t>
  </si>
  <si>
    <t>AND ra.END_DATE IS NOT NULL</t>
  </si>
  <si>
    <t>ORDER BY REG_ID</t>
  </si>
  <si>
    <t>be Pending Confirmation candidates</t>
  </si>
  <si>
    <t>-- ,ra.NAME</t>
  </si>
  <si>
    <t>-- ,ra.NPI</t>
  </si>
  <si>
    <t xml:space="preserve">    ON ra.REG_ID = rp.REG_ID</t>
  </si>
  <si>
    <t xml:space="preserve">LEFT JOIN REGISTRATION_USER_XREF rux ON rux.REG_ID = rp.REG_ID      </t>
  </si>
  <si>
    <t xml:space="preserve">WHERE ra.NPI IN   </t>
  </si>
  <si>
    <t xml:space="preserve">      SELECT </t>
  </si>
  <si>
    <t xml:space="preserve">      ra.NPI</t>
  </si>
  <si>
    <t xml:space="preserve">      FROM REG_AFFILIATION ra</t>
  </si>
  <si>
    <t xml:space="preserve">      JOIN PROVIDER p ON p.NPI = ra.NPI</t>
  </si>
  <si>
    <t xml:space="preserve">      WHERE p.BaseMedicaidID IS NOT NULL</t>
  </si>
  <si>
    <t xml:space="preserve">      GROUP BY ra.NPI</t>
  </si>
  <si>
    <t xml:space="preserve">      HAVING COUNT(*) = 10</t>
  </si>
  <si>
    <t>AND rux.REG_ID IS NULL</t>
  </si>
  <si>
    <t>AND rp.ENTITY_TYPE_ID = 2</t>
  </si>
  <si>
    <t>-------------------------------------------------------</t>
  </si>
  <si>
    <t>a starting point. Need to show</t>
  </si>
  <si>
    <t>Removed by Individual when CAQH group information</t>
  </si>
  <si>
    <t>changes.</t>
  </si>
  <si>
    <t>DECLARE @LAST_DTM datetime = '2013-12-15 22:10:16.113'</t>
  </si>
  <si>
    <t>ip.PartyID ChildPartyId</t>
  </si>
  <si>
    <t>,gp.PartyID ParentPartyId</t>
  </si>
  <si>
    <t>FROM audit.A_CAQHS_GroupProviderPractice acgpp</t>
  </si>
  <si>
    <t>JOIN PROVIDER ip</t>
  </si>
  <si>
    <t>ON ip.CAQHID = acgpp.CAQHProviderID</t>
  </si>
  <si>
    <t>JOIN SERVICE_LOCATION gp</t>
  </si>
  <si>
    <t>ON gp.TaxID = acgpp.GroupTaxID</t>
  </si>
  <si>
    <t>WHERE acgpp.DateOfAction &lt;= @LAST_DTM</t>
  </si>
  <si>
    <t>AND acgpp.DateOfAction &gt;= DATEADD(SECOND,-4,@LAST_DTM)</t>
  </si>
  <si>
    <t>LastModifiedDTM</t>
  </si>
  <si>
    <t>LastModifiedDTM DESC</t>
  </si>
  <si>
    <t>-- ENV:</t>
  </si>
  <si>
    <t>TN_PDMS_DEV01</t>
  </si>
  <si>
    <t>-- Name:</t>
  </si>
  <si>
    <t>RADIOLOGY ALLIANCE PC</t>
  </si>
  <si>
    <t>-- Tax Id:</t>
  </si>
  <si>
    <t>-- NPI:</t>
  </si>
  <si>
    <t>-- REG_ID:</t>
  </si>
  <si>
    <t>-- user:</t>
  </si>
  <si>
    <t>20131217a</t>
  </si>
  <si>
    <t>-- MEDICAID_ID:</t>
  </si>
  <si>
    <t>-- PARTY_ID:</t>
  </si>
  <si>
    <t>-- SL_ID:</t>
  </si>
  <si>
    <t>Alan Horn (1396707923): Invalid</t>
  </si>
  <si>
    <t>ANDERSON STANLEY M (1902991177): Invalid</t>
  </si>
  <si>
    <t>BACON WILLIAM R (1609014489): End Date</t>
  </si>
  <si>
    <t>BEATA PANZEGRAU (1851478747): End Date</t>
  </si>
  <si>
    <t>PERRY COMMUNITY HOSPITAL, LLC</t>
  </si>
  <si>
    <t>20131217b</t>
  </si>
  <si>
    <t>-- 5988 (1225329139) : Invalid</t>
  </si>
  <si>
    <t>-- 6011 (1740276724) : Invalid</t>
  </si>
  <si>
    <t>-- 5990 (1245466135) : End Date</t>
  </si>
  <si>
    <t>-- 5980 (1043206329) : End Date</t>
  </si>
  <si>
    <t>DYERSBURG HOSPITAL CORP</t>
  </si>
  <si>
    <t>20131218a</t>
  </si>
  <si>
    <t>-- 1750300273 (1750300273) : Invalid</t>
  </si>
  <si>
    <t>-- CHERYL S MARBERRY (1356399356) : End Date</t>
  </si>
  <si>
    <t>-- CYNTHIA L ARGO (1275536682) : End Date</t>
  </si>
  <si>
    <t>-- jfetters@policy-studies.com</t>
  </si>
  <si>
    <t>EXEC usp_UpdateRegistrationAffiliations</t>
  </si>
  <si>
    <t>999,@LAST_MODIFIED_DATE_TIME,@LAST_MODIFIED_USER</t>
  </si>
  <si>
    <t>WHERE PARTY_ID = 111760 -- REG_ID: 5547, NPI: 1457693996, TAX_ID: 621490616</t>
  </si>
  <si>
    <t>FROM REG_SERVICE_LOCATION</t>
  </si>
  <si>
    <t>WHERE REG_ID = 5547</t>
  </si>
  <si>
    <t>WHERE PartyID = 111760</t>
  </si>
  <si>
    <t>FROM Bug2702_UpdateGroupMMISData_Before</t>
  </si>
  <si>
    <t>WHERE PARTY_ID = 111760</t>
  </si>
  <si>
    <t>FROM Bug2745_UpdateGroupMedicaidId_Before</t>
  </si>
  <si>
    <t>ORDER BY MMIS_STAGING_GROUP_PK</t>
  </si>
  <si>
    <t>SELECT * FROM vw_MMISStagingAffiliationDetail</t>
  </si>
  <si>
    <t>WHERE GROUP_PARTY_ID = 111760</t>
  </si>
  <si>
    <t>SELECT * FROM TRANSACTION_QUEUE</t>
  </si>
  <si>
    <t>WHERE PARTY_ID = 95994</t>
  </si>
  <si>
    <t>AND MEDICAID_PK = 37265</t>
  </si>
  <si>
    <t>WHERE PARTY_ID = 111883 -- REG_ID: 5572, NPI: 1538505631, TAX_ID: 462521511</t>
  </si>
  <si>
    <t>WHERE REG_ID = 5572</t>
  </si>
  <si>
    <t>WHERE PartyID = 111883</t>
  </si>
  <si>
    <t>WHERE PARTY_ID = 111883</t>
  </si>
  <si>
    <t>WHERE GROUP_PARTY_ID = 111883</t>
  </si>
  <si>
    <t>WHERE PARTY_ID = 109655</t>
  </si>
  <si>
    <t>AND MEDICAID_PK = 37325</t>
  </si>
  <si>
    <t>/* Blue Ridge Medical Management Corporation */</t>
  </si>
  <si>
    <t>/* Pioneer Health Services of Oneida, LLC */</t>
  </si>
  <si>
    <t>,CAQHID</t>
  </si>
  <si>
    <t>,FirstName</t>
  </si>
  <si>
    <t>,LastName</t>
  </si>
  <si>
    <t>,CredentialEmailAddress</t>
  </si>
  <si>
    <t>WHERE PartyID = 113776</t>
  </si>
  <si>
    <t>FROM CAQHS_StandardExtract</t>
  </si>
  <si>
    <t>from Log</t>
  </si>
  <si>
    <t>where LogMessage like '%Standard_TennCare_XML_03052014_164820255%'</t>
  </si>
  <si>
    <t>order by LogNumber desc</t>
  </si>
  <si>
    <t>SELECT ea.*</t>
  </si>
  <si>
    <t xml:space="preserve">FROM CONTACT_MECHANISM AS cm </t>
  </si>
  <si>
    <t xml:space="preserve">INNER JOIN CONTACT_MECHANISM_ROLE AS cmr </t>
  </si>
  <si>
    <t xml:space="preserve">ON cm.CONTACT_MECHANISM_ID = cmr.CONTACT_MECHANISM_ID </t>
  </si>
  <si>
    <t xml:space="preserve">INNER JOIN PARTY_CONTACT_MECHANISM AS pcm </t>
  </si>
  <si>
    <t xml:space="preserve">ON cm.CONTACT_MECHANISM_ID = pcm.CONTACT_MECHANISM_ID </t>
  </si>
  <si>
    <t xml:space="preserve">INNER JOIN ELECTRONIC_ADDRESS AS ea </t>
  </si>
  <si>
    <t>ON cm.CONTACT_MECHANISM_ID = ea.CONTACT_MECHANISM_ID</t>
  </si>
  <si>
    <t xml:space="preserve">WHERE (cmr.CONTACT_MECHANISM_ROLE_TYPE_ID = 4) </t>
  </si>
  <si>
    <t xml:space="preserve">AND (cm.CONTACT_MECHANISM_TYPE_ID = 24) </t>
  </si>
  <si>
    <t xml:space="preserve">AND (ea.ELECTRONIC_ADDRESS_TYPE_ID = 15) </t>
  </si>
  <si>
    <t>AND (pcm.PARTY_ID = 113776)</t>
  </si>
  <si>
    <t>WHERE PartyId = 113776</t>
  </si>
  <si>
    <t>DECLARE @USER uniqueidentifier = dbo.fn_GetUniqueGUID(2)</t>
  </si>
  <si>
    <t>EXEC usp_SaveBusinessRuleErrors 113776,@DTM,@USER</t>
  </si>
  <si>
    <t xml:space="preserve">IF OBJECT_ID('Bug3005_EmptyMMISStatus') IS NOT NULL </t>
  </si>
  <si>
    <t xml:space="preserve">  DROP TABLE Bug3005_EmptyMMISStatus</t>
  </si>
  <si>
    <t>/* Tab: Empty MMIS Status */</t>
  </si>
  <si>
    <t>MMIS responses where the group or affiliate Status Codes is not populated</t>
  </si>
  <si>
    <t>NOTE: It appears there were not any errors in these records</t>
  </si>
  <si>
    <t>,msg.MMIS_STATUS_TYPE_ID GROUP_MMIS_STATUS_TYPE_ID</t>
  </si>
  <si>
    <t>,msg.ERROR_CODE GROUP_ERROR_CODE</t>
  </si>
  <si>
    <t>,sl.ServiceLocationID MEDICAID_PK</t>
  </si>
  <si>
    <t>,msa.MMIS_STAGING_AFFILIATE_PK</t>
  </si>
  <si>
    <t>,msa.MMIS_STATUS_TYPE_ID</t>
  </si>
  <si>
    <t>,msa.ERROR_CODE</t>
  </si>
  <si>
    <t>INTO Bug3005_EmptyMMISStatus</t>
  </si>
  <si>
    <t>JOIN MMIS_STAGING_GROUP_AFFILIATE_XREF x</t>
  </si>
  <si>
    <t>ON x.MMIS_STAGING_GROUP_PK = msg.MMIS_STAGING_GROUP_PK</t>
  </si>
  <si>
    <t>ON msa.MMIS_STAGING_AFFILIATE_PK = x.MMIS_STAGING_AFFILIATE_PK</t>
  </si>
  <si>
    <t>WHERE (msg.MMIS_STATUS_TYPE_ID IS NOT NULL</t>
  </si>
  <si>
    <t>OR msa.MMIS_STATUS_TYPE_ID IS NOT NULL)</t>
  </si>
  <si>
    <t>AND (msg.MMIS_STATUS_TYPE_ID IS NULL</t>
  </si>
  <si>
    <t>OR msa.MMIS_STATUS_TYPE_ID IS NULL)</t>
  </si>
  <si>
    <t>ORDER BY msg.LAST_MODIFIED_DATE_TIME DESC</t>
  </si>
  <si>
    <t xml:space="preserve">IF OBJECT_ID('Bug3005_ErrorMMISAffils') IS NOT NULL </t>
  </si>
  <si>
    <t xml:space="preserve">  DROP TABLE Bug3005_ErrorMMISAffils</t>
  </si>
  <si>
    <t>MMIS error responses where the group or affiliate Error Codes are not populated</t>
  </si>
  <si>
    <t>/* Tab: Error MMIS Affils */</t>
  </si>
  <si>
    <t>INTO Bug3005_ErrorMMISAffils</t>
  </si>
  <si>
    <t>WHERE ((msg.ERROR_CODE IS NOT NULL OR msg.MMIS_STATUS_TYPE_ID = '202')</t>
  </si>
  <si>
    <t>OR (msa.ERROR_CODE IS NOT NULL OR msa.MMIS_STATUS_TYPE_ID = '202'))</t>
  </si>
  <si>
    <t>AND msa.MMIS_STAGING_AFFILIATE_PK NOT IN</t>
  </si>
  <si>
    <t>(SELECT MMIS_STAGING_AFFILIATE_PK FROM Bug3005_EmptyMMISStatus)</t>
  </si>
  <si>
    <t>SELECT * FROM Bug3005_EmptyMMISStatus</t>
  </si>
  <si>
    <t>SELECT * FROM Bug3005_ErrorMMISAffils</t>
  </si>
  <si>
    <t>C# code needs to be fixed to allow updating Txns when the group status id has been populated</t>
  </si>
  <si>
    <t xml:space="preserve">proc: </t>
  </si>
  <si>
    <t>WHERE PARTY_ID = 117561</t>
  </si>
  <si>
    <t>WHERE PARTYID = 117561</t>
  </si>
  <si>
    <t>ON sl.PartyID = e.PartyId</t>
  </si>
  <si>
    <t>WHERE sl.ServiceLocationID = 36797</t>
  </si>
  <si>
    <t>PartyId</t>
  </si>
  <si>
    <t>,COUNT(*) ErrCnt</t>
  </si>
  <si>
    <t xml:space="preserve">FROM ERROR </t>
  </si>
  <si>
    <t>WHERE StatusID IN (1,2)</t>
  </si>
  <si>
    <t>) e</t>
  </si>
  <si>
    <t>ON e.PartyId = p.PartyID</t>
  </si>
  <si>
    <t>WHERE p.PartyTypeID = 15 -- Person</t>
  </si>
  <si>
    <t>AND e.PartyId IS NULL</t>
  </si>
  <si>
    <t>AND p.PDMSStatusID = 7 -- Errors</t>
  </si>
  <si>
    <t>DECLARE @NEW_PARTY_ID int = 59176</t>
  </si>
  <si>
    <t>DECLARE @IndPracCnt int</t>
  </si>
  <si>
    <t>@IndPracCnt = COUNT(*)</t>
  </si>
  <si>
    <t>WHERE sl.PartyID = @NEW_PARTY_ID</t>
  </si>
  <si>
    <t>AND GroupOrIndividual = 'Individual'</t>
  </si>
  <si>
    <t>PRINT @IndPracCnt</t>
  </si>
  <si>
    <t>FROM ERROR_TYPE</t>
  </si>
  <si>
    <t>WHERE ERROR_CODE = 'M018'</t>
  </si>
  <si>
    <t>WHERE LogNumber &gt; 1192303</t>
  </si>
  <si>
    <t>AND TRANSACTION_QUEUE_ID &gt; 28023</t>
  </si>
  <si>
    <t xml:space="preserve">FROM vw_PartyCAQHId </t>
  </si>
  <si>
    <t>WHERE PARTY_ID = 127643</t>
  </si>
  <si>
    <t>-- PARTY_ID: 127582</t>
  </si>
  <si>
    <t>CAQH_PIN: 12679208</t>
  </si>
  <si>
    <t>a.ChildPartyID</t>
  </si>
  <si>
    <t>FROM AFFILIATION a</t>
  </si>
  <si>
    <t>ON sl.PartyID = a.ParentPartyID</t>
  </si>
  <si>
    <t>WHERE a.AffiliationStatusID = 3 -- Confirmed</t>
  </si>
  <si>
    <t>AND a.EndDate IS NULL</t>
  </si>
  <si>
    <t>AND a.ChildPartyID IN (SELECT NEW_PARTY_ID FROM REF_PARTYID_XREF)</t>
  </si>
  <si>
    <t>ORDER BY a.ChildPartyID</t>
  </si>
  <si>
    <t xml:space="preserve">FROM REF_PARTYID_XREF </t>
  </si>
  <si>
    <t>WHERE OLD_PARTY_ID = 127643</t>
  </si>
  <si>
    <t>FROM audit.A_TRANSACTION_QUEUE</t>
  </si>
  <si>
    <t>WHERE PARTY_ID IN (</t>
  </si>
  <si>
    <t xml:space="preserve">127582 -- V1 </t>
  </si>
  <si>
    <t>,127643 -- V2</t>
  </si>
  <si>
    <t>,127685 -- V3</t>
  </si>
  <si>
    <t>ORDER BY DateOfAction</t>
  </si>
  <si>
    <t>SELECT TOP(100)</t>
  </si>
  <si>
    <t>WHERE MMIS_STAGING_GROUP_PK &gt; 5764</t>
  </si>
  <si>
    <t>AND TRANSACTION_TYPE_ID &lt;&gt; 4</t>
  </si>
  <si>
    <t>WHERE TRANSACTION_QUEUE_ID IN (</t>
  </si>
  <si>
    <t>24082 -- 2014-06-09 15:24:27.203</t>
  </si>
  <si>
    <t>,24083 -- 2014-06-09 15:34:56.260</t>
  </si>
  <si>
    <t>WHERE PARTY_ID = 127153</t>
  </si>
  <si>
    <t>FROM WF_PROCESS</t>
  </si>
  <si>
    <t>WHERE WORKFLOW_ID = 3</t>
  </si>
  <si>
    <t>FROM WF_PARAMETER</t>
  </si>
  <si>
    <t xml:space="preserve">WHERE PROCESS_ID =2297 </t>
  </si>
  <si>
    <t>IF OBJECT_ID('tempdb..#Bug3144Providers') IS NOT NULL DROP TABLE #Bug3144Providers</t>
  </si>
  <si>
    <t>SELECT NPI,CAQHId</t>
  </si>
  <si>
    <t>INTO #Bug3144Providers</t>
  </si>
  <si>
    <t>FROM (</t>
  </si>
  <si>
    <t>SELECT '1558651554','12696565'</t>
  </si>
  <si>
    <t>UNION ALL SELECT '192241284','12691194' -- 1922412840</t>
  </si>
  <si>
    <t>) Providers (NPI,CAQHId)</t>
  </si>
  <si>
    <t>IF OBJECT_ID('tempdb..#Bug3144ProviderDetail') IS NOT NULL DROP TABLE #Bug3144ProviderDetail</t>
  </si>
  <si>
    <t>INTO #Bug3144ProviderDetail</t>
  </si>
  <si>
    <t>WHERE p.CAQHID IN (SELECT CAQHId FROM #Bug3144Providers)</t>
  </si>
  <si>
    <t>FROM #Bug3144ProviderDetail</t>
  </si>
  <si>
    <t>WHERE CAQHProviderID IN (SELECT CAQHID FROM #Bug3144ProviderDetail)</t>
  </si>
  <si>
    <t>WHERE PROVIDER_ID IN (SELECT CAQHId FROM #Bug3144Providers)</t>
  </si>
  <si>
    <t>FROM SUBMIT_ROSTER_ONLINE_FORM</t>
  </si>
  <si>
    <t>WHERE SUBMIT_ROSTER_PK IN (17806,17121)</t>
  </si>
  <si>
    <t>WHERE CAQHID IN</t>
  </si>
  <si>
    <t>WHERE StandardExtractId = 692</t>
  </si>
  <si>
    <t>AND Action = 'N'</t>
  </si>
  <si>
    <t>ORDER BY LastName</t>
  </si>
  <si>
    <t>WHERE CAQHID = '12496276'</t>
  </si>
  <si>
    <t>-- PartyId: 63197</t>
  </si>
  <si>
    <t>WHERE PARTY_ID = 63197</t>
  </si>
  <si>
    <t>WHERE ServiceLocationID IN (36730,36756)</t>
  </si>
  <si>
    <t>WHERE GROUP_PARTY_ID IN (110366,110419)</t>
  </si>
  <si>
    <t>AND PARTY_ID = 63197</t>
  </si>
  <si>
    <t>TO DO:</t>
  </si>
  <si>
    <t>-2) Determine why transactions were not completed in TRANSACTION_QUEUE and fix</t>
  </si>
  <si>
    <t>-1) Write script to close out all affiliation transactions where</t>
  </si>
  <si>
    <t>-</t>
  </si>
  <si>
    <t>the response was received but the transaction was still open</t>
  </si>
  <si>
    <t>-- Execution Time: 0:33</t>
  </si>
  <si>
    <t>AND have open affiliation transactions associated with the same group</t>
  </si>
  <si>
    <t>IF OBJECT_ID('tempdb..#OpenMMISAffil') IS NOT NULL DROP TABLE #OpenMMISAffil</t>
  </si>
  <si>
    <t>v.GROUP_PARTY_ID</t>
  </si>
  <si>
    <t>,v.PARTY_ID</t>
  </si>
  <si>
    <t>INTO #OpenMMISAffil</t>
  </si>
  <si>
    <t>FROM vw_MMISStagingAffiliationDetail v</t>
  </si>
  <si>
    <t>ON sl.PartyID = v.GROUP_PARTY_ID</t>
  </si>
  <si>
    <t>WHERE v.MMIS_STATUS_TYPE_ID IS NULL</t>
  </si>
  <si>
    <t>AND v.GROUP_MMIS_STATUS_TYPE_ID IS NULL</t>
  </si>
  <si>
    <t>IF OBJECT_ID('tempdb..#TxnsToClose') IS NOT NULL DROP TABLE #TxnsToClose</t>
  </si>
  <si>
    <t>tq.*</t>
  </si>
  <si>
    <t>INTO #TxnsToClose</t>
  </si>
  <si>
    <t>LEFT JOIN #OpenMMISAffil oma</t>
  </si>
  <si>
    <t>ON oma.PARTY_ID = tq.PARTY_ID</t>
  </si>
  <si>
    <t>AND oma.ServiceLocationID = tq.MEDICAID_PK</t>
  </si>
  <si>
    <t>WHERE tq.TRANSACTION_TYPE_ID = 4 -- Affiliation</t>
  </si>
  <si>
    <t>AND tq.SUBMIT_DATE_TIME IS NOT NULL</t>
  </si>
  <si>
    <t>AND tq.PROCESS_DATE_TIME IS NULL</t>
  </si>
  <si>
    <t>AND oma.PARTY_ID IS NULL</t>
  </si>
  <si>
    <t>FROM Bug3148_TxnsToClose</t>
  </si>
  <si>
    <t>ORDER BY SUBMIT_DATE_TIME</t>
  </si>
  <si>
    <t>.\TN_PDMS\PDMS\ProviderDataManagementSystemService\Interface\IPDMSService.cs</t>
  </si>
  <si>
    <t>.\TN_PDMS\PDMS\ProviderDataManagementSystemService\PDMSService.svc.cs</t>
  </si>
  <si>
    <t>.\TN_PDMS\PDMS\PDMS\PopupControls\GroupAffiliations.ascx.cs</t>
  </si>
  <si>
    <t>rux.REG_ID</t>
  </si>
  <si>
    <t>,rux.UserID</t>
  </si>
  <si>
    <t>,u.UserName</t>
  </si>
  <si>
    <t>,usq.SECURITY_QUESTION1_ANSWER</t>
  </si>
  <si>
    <t>,usq.SECURITY_QUESTION2_ANSWER</t>
  </si>
  <si>
    <t>,usq.SECURITY_QUESTION3_ANSWER</t>
  </si>
  <si>
    <t>FROM REGISTRATION_USER_XREF rux</t>
  </si>
  <si>
    <t>JOIN aspnet_Users u</t>
  </si>
  <si>
    <t>ON u.UserID = rux.UserID</t>
  </si>
  <si>
    <t>JOIN aspnet_Membership m</t>
  </si>
  <si>
    <t>ON m.UserId = rux.UserID</t>
  </si>
  <si>
    <t>JOIN USER_SECURITY_QUESTION usq</t>
  </si>
  <si>
    <t>ON usq.UserID = u.UserID</t>
  </si>
  <si>
    <t>WHERE REG_ID = 2771</t>
  </si>
  <si>
    <t>ACLA PC</t>
  </si>
  <si>
    <t>REG: 2771 (7966)</t>
  </si>
  <si>
    <t>TAX: 621051717</t>
  </si>
  <si>
    <t>NPI: 1891995163</t>
  </si>
  <si>
    <t>UserID: aclapc</t>
  </si>
  <si>
    <t>Affil</t>
  </si>
  <si>
    <t>1376675058 - Pending CAQH Registration</t>
  </si>
  <si>
    <t>FROM REG_AFFILIATION</t>
  </si>
  <si>
    <t>WHERE REG_ID = 7965</t>
  </si>
  <si>
    <t>FROM audit.A_REG_AFFILIATION</t>
  </si>
  <si>
    <t>ORDER BY DateOfAction DESC</t>
  </si>
  <si>
    <t>FROM aspnet_Users</t>
  </si>
  <si>
    <t xml:space="preserve">WHERE UserName = 'Operator' </t>
  </si>
  <si>
    <t>OR UserName = 'univrheumatology'</t>
  </si>
  <si>
    <t>m.UserID</t>
  </si>
  <si>
    <t>,m.Password</t>
  </si>
  <si>
    <t>,m.PasswordSalt</t>
  </si>
  <si>
    <t>FROM aspnet_Membership m</t>
  </si>
  <si>
    <t>ON u.UserID = m.UserID</t>
  </si>
  <si>
    <t>WHERE u.UserID = 'DEDF337E-05D7-4AAB-A076-3F13BD043395'</t>
  </si>
  <si>
    <t>OR u.UserID = '41C1E9BA-5D47-4653-A735-13D1BE18BD36'</t>
  </si>
  <si>
    <t>UPDATE aspnet_Membership</t>
  </si>
  <si>
    <t>SET Password = 'Yewxa63lKXf0dgVru9re7qD+JI0='</t>
  </si>
  <si>
    <t>,PasswordSalt = 'CnFPN1v8ylC18vQzwkUdNA=='</t>
  </si>
  <si>
    <t>WHERE UserID = '41C1E9BA-5D47-4653-A735-13D1BE18BD36'</t>
  </si>
  <si>
    <t>SELECT TOP(1)</t>
  </si>
  <si>
    <t>p.BaseMedicaidID</t>
  </si>
  <si>
    <t>to groups and individual providers</t>
  </si>
  <si>
    <t>JOIN PERSON_ORGANIZATION po</t>
  </si>
  <si>
    <t>ON po.ORGANIZATION_ID = a.ParentPartyID</t>
  </si>
  <si>
    <t>AND po.PERSON_ID = a.ChildPartyID</t>
  </si>
  <si>
    <t>JOIN ORGANIZATION o</t>
  </si>
  <si>
    <t>on o.PARTY_ID = po.ORGANIZATION_ID</t>
  </si>
  <si>
    <t>WHERE a.AffiliationStatus IS NULL</t>
  </si>
  <si>
    <t>AND o.ORGANIZATION_TYPE_ID = 37</t>
  </si>
  <si>
    <t>add the PartyIds from above results to where</t>
  </si>
  <si>
    <t>clause below</t>
  </si>
  <si>
    <t>,rp.PARTY_ID</t>
  </si>
  <si>
    <t>WHERE rp.PARTY_ID = 115547</t>
  </si>
  <si>
    <t>AND p.PartyID = 114725</t>
  </si>
  <si>
    <t xml:space="preserve">WHERE PartyID = 120499 </t>
  </si>
  <si>
    <t>FROM audit.A_MEDICAID_ID</t>
  </si>
  <si>
    <t>WHERE MEDICAID_PK = 41618</t>
  </si>
  <si>
    <t>-- UPDATED @ 2014-05-15 19:10:35.677</t>
  </si>
  <si>
    <t>WHERE PARTY_ID = 120499</t>
  </si>
  <si>
    <t>ORDER BY PROCESS_DATE_TIME DESC</t>
  </si>
  <si>
    <t>WHERE MEDICAID_PK = 41619</t>
  </si>
  <si>
    <t>pst.PDMS_STATUS_DESCRIPTION</t>
  </si>
  <si>
    <t>,ps.*</t>
  </si>
  <si>
    <t>FROM audit.A_PDMS_STATUS ps</t>
  </si>
  <si>
    <t>JOIN PDMS_STATUS_TYPE pst</t>
  </si>
  <si>
    <t>ON pst.PDMS_STATUS_TYPE_ID = ps.PDMS_STATUS_TYPE_ID</t>
  </si>
  <si>
    <t>WHERE PROVIDER_STATUS_ID = 48015</t>
  </si>
  <si>
    <t>WHERE msg.NPI IN ('1740242957','1972850477')</t>
  </si>
  <si>
    <t>FROM vw_MMISStagingAddressDetail</t>
  </si>
  <si>
    <t>WHERE NPI IN ('1740242957','1972850477')</t>
  </si>
  <si>
    <t>rth.*</t>
  </si>
  <si>
    <t>JOIN REG_TRANSFER_HISTORY rth</t>
  </si>
  <si>
    <t>ON rth.REG_ID = rp.REG_ID</t>
  </si>
  <si>
    <t>WHERE rp.PARTY_ID IN (</t>
  </si>
  <si>
    <t>HARDIN EMERGENCY GROUP LLC [1972850477]-- 2Live 2014-04-09 11:42:29.933 (201 on 4/10)</t>
  </si>
  <si>
    <t>PREMIER MEDICAL GROUP PC [1740242957] -- 2Live 2014-04-21 07:59:56.350 (201 on 4/22)</t>
  </si>
  <si>
    <t>WHERE TRANSACTION_TYPE_ID = 4</t>
  </si>
  <si>
    <t>select * from vw_MMISStagingAffiliationDetail</t>
  </si>
  <si>
    <t xml:space="preserve">/* </t>
  </si>
  <si>
    <t>pdmsprod01 7/7/2014 @ 9:05AM</t>
  </si>
  <si>
    <t>IF OBJECT_ID('tempdb..#p') IS NOT NULL DROP TABLE #p</t>
  </si>
  <si>
    <t>INTO #p</t>
  </si>
  <si>
    <t>WHERE p.NPI in ('1376960518','1346318433','1154539021')</t>
  </si>
  <si>
    <t>-- SELECT * FROM #p</t>
  </si>
  <si>
    <t>Name</t>
  </si>
  <si>
    <t>CAQHID</t>
  </si>
  <si>
    <t>NPI</t>
  </si>
  <si>
    <t>BaseMedicaidId</t>
  </si>
  <si>
    <t>Lass</t>
  </si>
  <si>
    <t>Krause</t>
  </si>
  <si>
    <t>128901 (manually added)</t>
  </si>
  <si>
    <t>Knowles</t>
  </si>
  <si>
    <t>130042 (manually added)</t>
  </si>
  <si>
    <t>Lass - Pending Confirmation</t>
  </si>
  <si>
    <t>Krause - Pending Confirmation (Due to manually entering Base Medicaid Id)</t>
  </si>
  <si>
    <t>Knowles - Pending Confirmation (Due to manually entering Base Medicaid Id)</t>
  </si>
  <si>
    <t>WHERE PARTY_ID IN (128901,130042)</t>
  </si>
  <si>
    <t>m.PARTY_ID</t>
  </si>
  <si>
    <t>,m.MEDICAID_PK</t>
  </si>
  <si>
    <t>,m.MEDICAID_ID</t>
  </si>
  <si>
    <t>ON u.UserID = m.LAST_MODIFIED_USER</t>
  </si>
  <si>
    <t>WHERE e.PartyId IN (SELECT PartyId FROM #p)</t>
  </si>
  <si>
    <t>AND e.HardSoft = 'H'</t>
  </si>
  <si>
    <t>ORDER BY PartyId</t>
  </si>
  <si>
    <t>FROM CAQHS_GroupProviderPractice cgpp</t>
  </si>
  <si>
    <t>WHERE cgpp.CAQHProviderID IN (SELECT CAQHID FROM #p)</t>
  </si>
  <si>
    <t>Krause - 2014-06-25 06:03:25.050</t>
  </si>
  <si>
    <t>Knowles - 2014-07-11 06:09:50.657</t>
  </si>
  <si>
    <t>,ra.LAST_MODIFIED_DATE_TIME</t>
  </si>
  <si>
    <t>,ra.GROUP_AFFILIATION_STATUS_ID</t>
  </si>
  <si>
    <t>,ra.START_DATE</t>
  </si>
  <si>
    <t>,ra.END_DATE</t>
  </si>
  <si>
    <t>WHERE rp.NPI = '1396767430'</t>
  </si>
  <si>
    <t>FROM audit.A_REG_AFFILIATION ra</t>
  </si>
  <si>
    <t>ORDER BY REG_AFFILIATION_ID,DateOfAction</t>
  </si>
  <si>
    <t>FROM audit.A_MEDICAID_ID m</t>
  </si>
  <si>
    <t>ORDER BY MEDICAID_PK,DateOfAction</t>
  </si>
  <si>
    <t>2014-06-25 06:03:25.050 : Received group from CAQH for Krause</t>
  </si>
  <si>
    <t>2014-07-11 06:09:50.657 : Received group from CAQH for Knowles</t>
  </si>
  <si>
    <t>2014-07-15 13:26:53.380 : Affiliation Status changed to Pending Confirmation for Knowles</t>
  </si>
  <si>
    <t>2014-07-16 17:02:42.220 : Added Base Medicaid Id to Knowles</t>
  </si>
  <si>
    <t>IF OBJECT_ID('tempdb..#RRF') IS NOT NULL DROP TABLE #RRF</t>
  </si>
  <si>
    <t>,PROVIDER_ID</t>
  </si>
  <si>
    <t>,STATUS_ID</t>
  </si>
  <si>
    <t>INTO #RRF</t>
  </si>
  <si>
    <t>IF OBJECT_ID('tempdb..#RRFA') IS NOT NULL DROP TABLE #RRFA</t>
  </si>
  <si>
    <t>INTO #RRFA</t>
  </si>
  <si>
    <t>FROM audit.A_RETURN_ROSTER_FILE rrf</t>
  </si>
  <si>
    <t>WHERE CONVERT(date, rrf.LOAD_FILE_DATE_TIME) &gt; '2014-05-15'</t>
  </si>
  <si>
    <t>rrf.PROVIDER_ID</t>
  </si>
  <si>
    <t>,vpc.PARTY_ID PartyId</t>
  </si>
  <si>
    <t>FROM #RRF rrf</t>
  </si>
  <si>
    <t>ON cst.CAQH_STATUS_TYPE_ID = rrf.STATUS_ID</t>
  </si>
  <si>
    <t>LEFT JOIN vw_PartyCAQHId vpc</t>
  </si>
  <si>
    <t>ON vpc.CAQH_PIN = rrf.PROVIDER_ID</t>
  </si>
  <si>
    <t>,ErrorTypeID</t>
  </si>
  <si>
    <t>WHERE ErrorTypeID IN (3,4,5,6,7,8)</t>
  </si>
  <si>
    <t>ON e.PartyId = vpc.PARTY_ID</t>
  </si>
  <si>
    <t>WHERE (cst.ERROR_TYPE_ID IS NOT NULL</t>
  </si>
  <si>
    <t>AND vpc.PARTY_ID IS NOT NULL)</t>
  </si>
  <si>
    <t>AND ISNULL(e.ErrorTypeID,'0') &lt;&gt; ISNULL(cst.ERROR_TYPE_ID,'0')</t>
  </si>
  <si>
    <t>vpc.PARTY_ID</t>
  </si>
  <si>
    <t>WHERE CAQHID = '12441936'</t>
  </si>
  <si>
    <t>FROM CAQH_DATA_UPDATE_FILE</t>
  </si>
  <si>
    <t>WHERE PROVIDER_ID = '11397920'</t>
  </si>
  <si>
    <t>AND SECTION_CHANGE = 'Practice Tax ID'</t>
  </si>
  <si>
    <t>ORDER BY CAQH_UPDATE_PK</t>
  </si>
  <si>
    <t>RefreshDate</t>
  </si>
  <si>
    <t>FROM UberRefreshHistory urh</t>
  </si>
  <si>
    <t>RefreshDate DESC</t>
  </si>
  <si>
    <t>WHERE urh.CAQHProviderID = '11397920'</t>
  </si>
  <si>
    <t>sl.*</t>
  </si>
  <si>
    <t>WHERE p.CAQHID = '11397920'</t>
  </si>
  <si>
    <t>IF OBJECT_ID('tempdb..#CAQH_SLCnt') IS NOT NULL DROP TABLE #CAQH_SLCnt</t>
  </si>
  <si>
    <t>cp.CAQHProviderID</t>
  </si>
  <si>
    <t>,COUNT(*) CAQHIndCnt</t>
  </si>
  <si>
    <t>INTO #CAQH_SLCnt</t>
  </si>
  <si>
    <t xml:space="preserve">JOIN CAQHS_Provider cp </t>
  </si>
  <si>
    <t xml:space="preserve">LEFT JOIN CAQHS_ProviderPractice cpp </t>
  </si>
  <si>
    <t xml:space="preserve">LEFT JOIN CAQHS_ProviderPracticeTax cppt </t>
  </si>
  <si>
    <t>ProviderId</t>
  </si>
  <si>
    <t>FROM vw_CAQHS_ProviderMax</t>
  </si>
  <si>
    <t>) max ON max.ProviderId = cp.ProviderId</t>
  </si>
  <si>
    <t>WHERE (cpp.CurrentlyPracticingFlag IS NULL OR cpp.CurrentlyPracticingFlag = 1)</t>
  </si>
  <si>
    <t>AND (cppt.PrimaryFlag IS NULL OR cppt.PrimaryFlag = 1)</t>
  </si>
  <si>
    <t>AND ((cppt.TaxTypeDescription IS NULL AND cppt.GroupName IS NULL)</t>
  </si>
  <si>
    <t>OR (cppt.TaxTypeDescription = 'Individual'))</t>
  </si>
  <si>
    <t>IF OBJECT_ID('tempdb..#PDMS_SLCnt') IS NOT NULL DROP TABLE #PDMS_SLCnt</t>
  </si>
  <si>
    <t>vpc.CAQH_PIN CAQHProviderID</t>
  </si>
  <si>
    <t>,ISNULL(sl.IndCnt,0) PDMSIndCnt</t>
  </si>
  <si>
    <t>INTO #PDMS_SLCnt</t>
  </si>
  <si>
    <t>FROM vw_PartyCAQHId vpc</t>
  </si>
  <si>
    <t>,COUNT(*) IndCnt</t>
  </si>
  <si>
    <t>JOIN MEDICAID_ID_PRACTICE_XREF mpx</t>
  </si>
  <si>
    <t>ON mpx.MEDICAID_PK = sl.ServiceLocationID</t>
  </si>
  <si>
    <t>JOIN TAXID_PRACTICEID_XREF tpx</t>
  </si>
  <si>
    <t>ON tpx.CAQH_PRACTICE_ID = mpx.CAQH_PRACTICE_ID</t>
  </si>
  <si>
    <t>JOIN TAX_ID t</t>
  </si>
  <si>
    <t>ON t.TAX_ID = tpx.TAX_ID</t>
  </si>
  <si>
    <t>WHERE t.TAX_ID_TYPE_ID = 21</t>
  </si>
  <si>
    <t>AND sl.PracticeID &lt;&gt; 777</t>
  </si>
  <si>
    <t>) sl</t>
  </si>
  <si>
    <t>ON sl.PartyID = vpc.PARTY_ID</t>
  </si>
  <si>
    <t>-- SELECT * FROM #PDMS_SLCnt</t>
  </si>
  <si>
    <t>pdms.PartyId</t>
  </si>
  <si>
    <t>,pdms.CAQHProviderID</t>
  </si>
  <si>
    <t>,vcpm.ExtractFile</t>
  </si>
  <si>
    <t>,pdms.PDMSIndCnt</t>
  </si>
  <si>
    <t>,caqh.CAQHIndCnt</t>
  </si>
  <si>
    <t>FROM #PDMS_SLCnt pdms</t>
  </si>
  <si>
    <t>JOIN #CAQH_SLCnt caqh</t>
  </si>
  <si>
    <t>ON caqh.CAQHProviderID = pdms.CAQHProviderID</t>
  </si>
  <si>
    <t>JOIN vw_CAQHS_ProviderMax vcpm</t>
  </si>
  <si>
    <t>ON vcpm.CAQHProviderID = pdms.CAQHProviderID</t>
  </si>
  <si>
    <t>WHERE pdms.PDMSIndCnt &lt;&gt; caqh.CAQHIndCnt</t>
  </si>
  <si>
    <t>pdms.CAQHProviderID</t>
  </si>
  <si>
    <t>from SERVICE_LOCATION</t>
  </si>
  <si>
    <t>where PartyID = 121372</t>
  </si>
  <si>
    <t>IF OBJECT_ID('tempdb..#MultiParty') IS NOT NULL DROP TABLE #MultiParty</t>
  </si>
  <si>
    <t>multi.UserID</t>
  </si>
  <si>
    <t>,COUNT(*) Cnt</t>
  </si>
  <si>
    <t>INTO #MultiParty</t>
  </si>
  <si>
    <t xml:space="preserve">FROM </t>
  </si>
  <si>
    <t>rux.UserID</t>
  </si>
  <si>
    <t>ON r.REG_ID = rux.REG_ID</t>
  </si>
  <si>
    <t>ON rp.REG_ID = r.REG_ID</t>
  </si>
  <si>
    <t>WHERE r.REGISTRATION_STATUS_TYPE_ID &lt;&gt; 12 -- Deleted</t>
  </si>
  <si>
    <t>AND PARTY_ID IS NOT NULL</t>
  </si>
  <si>
    <t>) multi</t>
  </si>
  <si>
    <t>IF OBJECT_ID('tempdb..#RegInfo') IS NOT NULL DROP TABLE #RegInfo</t>
  </si>
  <si>
    <t>,rp.REG_ID</t>
  </si>
  <si>
    <t>,r.REGISTRATION_STATUS_TYPE_ID</t>
  </si>
  <si>
    <t>INTO #RegInfo</t>
  </si>
  <si>
    <t>WHERE rux.UserID IN (SELECT UserID FROM #MultiParty)</t>
  </si>
  <si>
    <t>ORDER BY rux.UserID</t>
  </si>
  <si>
    <t>SELECT * FROM #RegInfo</t>
  </si>
  <si>
    <t>WHERE UserID = '326CC767-9DF1-4A69-8B2D-A074E52C20DF' -- REG_ID: 4296,7592</t>
  </si>
  <si>
    <t>ra.Operation</t>
  </si>
  <si>
    <t>,ra.REG_ID</t>
  </si>
  <si>
    <t>,gas.DESCRIPTION GROUP_AFFILIATION_STATUS</t>
  </si>
  <si>
    <t>,ra.MODIFIED_STATUS_TYPE_ID</t>
  </si>
  <si>
    <t>,ra.INVALID_FLAG</t>
  </si>
  <si>
    <t>,ra.LAST_MODIFIED_USER</t>
  </si>
  <si>
    <t>,ra.DateOfAction</t>
  </si>
  <si>
    <t>WHERE REG_AFFILIATION_ID = 226607</t>
  </si>
  <si>
    <t>-- AND Operation = 'I'</t>
  </si>
  <si>
    <t>GROUP_PARTY_ID: 111281</t>
  </si>
  <si>
    <t>PARTY_ID: 100937</t>
  </si>
  <si>
    <t>2014-01-23 10:52:57.490 -- REG-&gt;LIVE</t>
  </si>
  <si>
    <t>2014-05-27 15:03:48.433 -- LIVE-&gt;REG</t>
  </si>
  <si>
    <t>2014-05-27 15:26:26.597 -- REG-&gt;LIVE (REG_ID: 7592, PARTY_ID: 111281)</t>
  </si>
  <si>
    <t>2014-05-27 15:26:31.613 -- REG-&gt;LIVE (REG_ID: 4296, PARTY_ID: 126422)</t>
  </si>
  <si>
    <t>2014-05-27 15:28:59.147 -- sent to MMIS (w/SL Term)</t>
  </si>
  <si>
    <t>2014-05-27 15:31:12.680 -- retrieved from MMIS (w/SL Term)</t>
  </si>
  <si>
    <t>WHERE REG_ID IN (4296,7592)</t>
  </si>
  <si>
    <t>ORDER BY TRANSFER_DATE_TIME</t>
  </si>
  <si>
    <t>,msg.TERM_DATE</t>
  </si>
  <si>
    <t>,msg.ENROLLMENT_STATUS_CODE</t>
  </si>
  <si>
    <t>LEFT JOIN MMIS_STAGING_GROUP_AFFILIATE_XREF x</t>
  </si>
  <si>
    <t>ON msg.MMIS_STAGING_GROUP_PK = x.MMIS_STAGING_GROUP_PK</t>
  </si>
  <si>
    <t>LEFT JOIN audit.a_MMIS_STAGING_AFFILIATE msa</t>
  </si>
  <si>
    <t>WHERE msg.PARTY_ID IN (111281,126422)</t>
  </si>
  <si>
    <t>ORDER BY msa.DateOfAction DESC</t>
  </si>
  <si>
    <t>WHERE PARTY_ID IN (111281,126422)</t>
  </si>
  <si>
    <t>ORDER BY LAST_MODIFIED_DATE_TIME DESC</t>
  </si>
  <si>
    <t>FROM audit.A_REG_AFFILIATION_CROSSOVER_XREF x</t>
  </si>
  <si>
    <t>x.PARENT_PARTY_ID = 118211</t>
  </si>
  <si>
    <t>and x.PARTY_ID = 25639</t>
  </si>
  <si>
    <t>from audit.A_REG_AFFILIATION ra</t>
  </si>
  <si>
    <t xml:space="preserve">where ra.NPI = '1659643872' </t>
  </si>
  <si>
    <t>and ra.REG_ID = 7593</t>
  </si>
  <si>
    <t>order by ra.DateOfAction</t>
  </si>
  <si>
    <t>FROM WF_PARAMETER wfp</t>
  </si>
  <si>
    <t>WHERE wfp.PROCESS_ID IN ('481','2292','2293','2294')</t>
  </si>
  <si>
    <t>--WHERE wfp.PARAMETER_VALUE IN ('4296','7591','7592','7593') -- REGISTRATION_IDS</t>
  </si>
  <si>
    <t>ORDER BY PROCESS_ID</t>
  </si>
  <si>
    <t>,rsl.SERVICE_LOCATION_ID</t>
  </si>
  <si>
    <t>,rsl.TERM_DATE</t>
  </si>
  <si>
    <t>,rsl.TERM_ENROLLMENT_STATUS</t>
  </si>
  <si>
    <t>,rsl.MEDICAID_ID</t>
  </si>
  <si>
    <t>,old.NPI</t>
  </si>
  <si>
    <t>,old.END_DATE</t>
  </si>
  <si>
    <t>,old.GROUP_AFFILIATION_STATUS_ID</t>
  </si>
  <si>
    <t>,new.NPI</t>
  </si>
  <si>
    <t>,new.END_DATE</t>
  </si>
  <si>
    <t>,new.GROUP_AFFILIATION_STATUS_ID</t>
  </si>
  <si>
    <t>JOIN REG_SERVICE_LOCATION rsl</t>
  </si>
  <si>
    <t>ON rsl.REG_ID = rp.REG_ID</t>
  </si>
  <si>
    <t>WHERE ra.REG_ID = 4296</t>
  </si>
  <si>
    <t>) old</t>
  </si>
  <si>
    <t>ON old.REG_ID = rp.REG_ID</t>
  </si>
  <si>
    <t>WHERE ra.REG_ID = 7592</t>
  </si>
  <si>
    <t>) new</t>
  </si>
  <si>
    <t>ON new.NPI = old.NPI</t>
  </si>
  <si>
    <t>WHERE rp.REG_ID = 4296</t>
  </si>
  <si>
    <t>WHERE REG_ID = 7595</t>
  </si>
  <si>
    <t>select * from REGISTRATION_USER_XREF</t>
  </si>
  <si>
    <t>where UserID = '41E24F67-064E-44B0-A078-B4EF0182E6CB'</t>
  </si>
  <si>
    <t>SELECT TOP(100) *</t>
  </si>
  <si>
    <t>ORDER BY TRANSFER_DATE_TIME DESC</t>
  </si>
  <si>
    <t>,gas.DESCRIPTION</t>
  </si>
  <si>
    <t>,ra.*</t>
  </si>
  <si>
    <t>ON rp.REG_ID = ra.REG_ID</t>
  </si>
  <si>
    <t>WHERE ra.REG_ID IN (4417,7593)</t>
  </si>
  <si>
    <t>--WHERE ra.REG_ID IN (5428,7595)</t>
  </si>
  <si>
    <t>ORDER BY ra.REG_ID, ra.NPI</t>
  </si>
  <si>
    <t>Operation</t>
  </si>
  <si>
    <t>,DateOfAction</t>
  </si>
  <si>
    <t>,REG_ID</t>
  </si>
  <si>
    <t>FROM audit.A_REG_PROVIDER rp</t>
  </si>
  <si>
    <t>WHERE rp.REG_ID = 7595</t>
  </si>
  <si>
    <t>-- 2014-06-06 15:18:28.427 -- tAX iD CHANGE</t>
  </si>
  <si>
    <t>rsl.REG_ID</t>
  </si>
  <si>
    <t>FROM REG_SERVICE_LOCATION rsl</t>
  </si>
  <si>
    <t>JOIN REGISTRATION_USER_XREF rux</t>
  </si>
  <si>
    <t>ON rux.REG_ID = rsl.REG_ID</t>
  </si>
  <si>
    <t>WHERE rsl.REG_ID IN (4417,7593)</t>
  </si>
  <si>
    <t>,msg.ACTION</t>
  </si>
  <si>
    <t>,msg.TRANSACTION_TYPE_ID</t>
  </si>
  <si>
    <t>WHERE msg.PARTY_ID IN (127153,109957)</t>
  </si>
  <si>
    <t>ORDER BY msg.MMIS_STAGING_GROUP_PK DESC</t>
  </si>
  <si>
    <t>,ServicingPhoneAreaCode</t>
  </si>
  <si>
    <t>,ServicingPhoneNumber</t>
  </si>
  <si>
    <t>,MailToPhoneAreaCode</t>
  </si>
  <si>
    <t>,MailToPhoneNumber</t>
  </si>
  <si>
    <t>,PayToPhoneAreaCode</t>
  </si>
  <si>
    <t>,PayToPhoneNumber</t>
  </si>
  <si>
    <t>(LEN(dbo.fn_GetNumbers(sl.ServicingPhoneAreaCode)) &lt;&gt; 3)</t>
  </si>
  <si>
    <t xml:space="preserve">OR </t>
  </si>
  <si>
    <t>(LEN(dbo.fn_GetNumbers(sl.ServicingPhoneNumber)) &lt;&gt; 7)</t>
  </si>
  <si>
    <t>(LEN(dbo.fn_GetNumbers(sl.MailToPhoneAreaCode)) &lt;&gt; 3)</t>
  </si>
  <si>
    <t>(LEN(dbo.fn_GetNumbers(sl.MailToPhoneNumber)) &lt;&gt; 7)</t>
  </si>
  <si>
    <t>(LEN(dbo.fn_GetNumbers(sl.PayToPhoneAreaCode)) &lt;&gt; 3)</t>
  </si>
  <si>
    <t>(LEN(dbo.fn_GetNumbers(sl.PayToPhoneNumber)) &lt;&gt; 7)</t>
  </si>
  <si>
    <t>(LEN(dbo.fn_GetNumbers(p.CredentialPhoneAreaCode)) &lt;&gt; 3)</t>
  </si>
  <si>
    <t>(LEN(dbo.fn_GetNumbers(p.CredentialPhoneNumber)) &lt;&gt; 7)</t>
  </si>
  <si>
    <t>,ServicingFaxAreaCode</t>
  </si>
  <si>
    <t>,ServicingFaxNumber</t>
  </si>
  <si>
    <t>,MailToFaxAreaCode</t>
  </si>
  <si>
    <t>,MailToFaxNumber</t>
  </si>
  <si>
    <t>,PayToFaxAreaCode</t>
  </si>
  <si>
    <t>,PayToFaxNumber</t>
  </si>
  <si>
    <t>(LEN(dbo.fn_GetNumbers(sl.ServicingFaxAreaCode)) &lt;&gt; 3)</t>
  </si>
  <si>
    <t>(LEN(dbo.fn_GetNumbers(sl.ServicingFaxNumber)) &lt;&gt; 7)</t>
  </si>
  <si>
    <t>(LEN(dbo.fn_GetNumbers(sl.MailToFaxAreaCode)) &lt;&gt; 3)</t>
  </si>
  <si>
    <t>(LEN(dbo.fn_GetNumbers(sl.MailToFaxNumber)) &lt;&gt; 7)</t>
  </si>
  <si>
    <t>(LEN(dbo.fn_GetNumbers(sl.PayToFaxAreaCode)) &lt;&gt; 3)</t>
  </si>
  <si>
    <t>(LEN(dbo.fn_GetNumbers(sl.PayToFaxNumber)) &lt;&gt; 7)</t>
  </si>
  <si>
    <t>(LEN(dbo.fn_GetNumbers(p.CredentialFaxAreaCode)) &lt;&gt; 3)</t>
  </si>
  <si>
    <t>(LEN(dbo.fn_GetNumbers(p.CredentialFaxNumber)) &lt;&gt; 7)</t>
  </si>
  <si>
    <t>,p.CredentialEmailAddress</t>
  </si>
  <si>
    <t>WHERE dbo.fn_ValidEmailFormat(p.CredentialEmailAddress) = 0</t>
  </si>
  <si>
    <t>,sl.ServicingEmailAddress</t>
  </si>
  <si>
    <t>,sl.MailToEmailAddress</t>
  </si>
  <si>
    <t>,sl.PayToEmailAddress</t>
  </si>
  <si>
    <t>(dbo.fn_ValidEmailFormat(sl.ServicingEmailAddress) = 0)</t>
  </si>
  <si>
    <t>(dbo.fn_ValidEmailFormat(sl.MailToEmailAddress) = 0)</t>
  </si>
  <si>
    <t>(dbo.fn_ValidEmailFormat(sl.PayToEmailAddress) = 0)</t>
  </si>
  <si>
    <t>--,et.ERROR_CODE</t>
  </si>
  <si>
    <t>--,et.ERROR_NAME</t>
  </si>
  <si>
    <t>--,rat.RESOLVING_ACTION_TYPE</t>
  </si>
  <si>
    <t>--,rrt.RESOLVING_REASON_TYPE</t>
  </si>
  <si>
    <t>--,rrt.EMAIL_VERBIAGE</t>
  </si>
  <si>
    <t>ON rrt.ERROR_TYPE_ID = et.ERROR_TYPE_ID</t>
  </si>
  <si>
    <t>ON rat.RESOLVING_ACTION_TYPE_ID = rrt.RESOLVING_ACTION_TYPE_ID</t>
  </si>
  <si>
    <t>,b.PDMSStatus</t>
  </si>
  <si>
    <t>FROM Bug3104_ProviderStatuses b</t>
  </si>
  <si>
    <t>ON p.PartyID = b.PartyID</t>
  </si>
  <si>
    <t>WHERE p.PDMSStatusID &lt;&gt; 5</t>
  </si>
  <si>
    <t>p.*</t>
  </si>
  <si>
    <t>,sl.*</t>
  </si>
  <si>
    <t>WHERE p.NPI = '1588664189'</t>
  </si>
  <si>
    <t>WHERE ChildPartyID = 110433</t>
  </si>
  <si>
    <t xml:space="preserve">WHERE PARTY_ID =110433 </t>
  </si>
  <si>
    <t>WHERE msa.PARTY_ID = 110433</t>
  </si>
  <si>
    <t>-- SELECT * FROM #LocCnt WHERE LocCnt = 0</t>
  </si>
  <si>
    <t>IF OBJECT_ID('tempdb..#LocCnt') IS NOT NULL DROP TABLE #LocCnt</t>
  </si>
  <si>
    <t>,ISNULL(sl.LocCnt,0) LocCnt</t>
  </si>
  <si>
    <t>INTO #LocCnt</t>
  </si>
  <si>
    <t>,COUNT(*) LocCnt</t>
  </si>
  <si>
    <t>AND p.PDMSStatusID = 4</t>
  </si>
  <si>
    <t>p.PDMSStatusDate DESC</t>
  </si>
  <si>
    <t>DECLARE @PARTY_ID int = 110433 -- 113976</t>
  </si>
  <si>
    <t xml:space="preserve">DECLARE @PARTY_TYPE_ID int </t>
  </si>
  <si>
    <t xml:space="preserve">SELECT @PARTY_TYPE_ID = PartyTypeID </t>
  </si>
  <si>
    <t>WHERE PartyID = @PARTY_ID</t>
  </si>
  <si>
    <t>PRINT @PARTY_ID</t>
  </si>
  <si>
    <t>select * from caqh_practice_id where party_id = @PARTY_ID</t>
  </si>
  <si>
    <t>DECLARE @INDIV_CNT int</t>
  </si>
  <si>
    <t>SELECT @INDIV_CNT = COUNT(*)</t>
  </si>
  <si>
    <t>WHERE sl.GroupOrIndividual = 'Individual'</t>
  </si>
  <si>
    <t>AND sl.PartyID = @PARTY_ID</t>
  </si>
  <si>
    <t>PRINT @INDIV_CNT</t>
  </si>
  <si>
    <t>and pdms status = pending mmis submission and a provider level update</t>
  </si>
  <si>
    <t xml:space="preserve">IF (@PARTY_TYPE_ID = 15 </t>
  </si>
  <si>
    <t>AND @INDIV_CNT = 0</t>
  </si>
  <si>
    <t>AND @PDMS_STATUS_TYPE_ID = 4</t>
  </si>
  <si>
    <t>AND @MEDICAID_PK IS NULL)</t>
  </si>
  <si>
    <t>BEGIN</t>
  </si>
  <si>
    <t>PRINT 'Processed'</t>
  </si>
  <si>
    <t>END</t>
  </si>
  <si>
    <t>WHERE PartyId = 128929</t>
  </si>
  <si>
    <t>,msg.MMIS_STATUS_TYPE_ID</t>
  </si>
  <si>
    <t>,msg.ERROR_CODE</t>
  </si>
  <si>
    <t>WHERE msg.PARTY_ID = 128929</t>
  </si>
  <si>
    <t>WHERE NPI = '1740318245'</t>
  </si>
  <si>
    <t>* -- Base Medicaid Id = 1524903</t>
  </si>
  <si>
    <t>WHERE PARTY_ID = 105990</t>
  </si>
  <si>
    <t>EXEC usp_Admin_SearchDatabaseForText '%1524903%'</t>
  </si>
  <si>
    <t>FROM Bug2702_AddIndMedicaidId</t>
  </si>
  <si>
    <t>IF OBJECT_ID('Bug3104_ProviderStatuses') IS NOT NULL</t>
  </si>
  <si>
    <t>DROP TABLE Bug3104_ProviderStatuses</t>
  </si>
  <si>
    <t>,p.PDMSStatusID</t>
  </si>
  <si>
    <t>,ISNULL(TransCnt,0) TransCnt</t>
  </si>
  <si>
    <t>INTO Bug3104_ProviderStatuses</t>
  </si>
  <si>
    <t>,COUNT(*) TransCnt</t>
  </si>
  <si>
    <t>WHERE tq.PROCESS_DATE_TIME IS NULL</t>
  </si>
  <si>
    <t>ON tq.PARTY_ID = p.PartyID</t>
  </si>
  <si>
    <t>WHERE HardSoft = 'H'</t>
  </si>
  <si>
    <t>) error</t>
  </si>
  <si>
    <t>ON error.PartyId = p.PartyID</t>
  </si>
  <si>
    <t>,COUNT(*) SLCount</t>
  </si>
  <si>
    <t>GROUP BY PartyID</t>
  </si>
  <si>
    <t>AND TransCnt IS NULL</t>
  </si>
  <si>
    <t>AND error.ErrorCount IS NULL</t>
  </si>
  <si>
    <t>AND sl.SLCount IS NULL</t>
  </si>
  <si>
    <t>FROM CAQH_PRACTICE_ID</t>
  </si>
  <si>
    <t>WHERE party_id IN (SELECT PartyID FROM Bug3104_ProviderStatuses)</t>
  </si>
  <si>
    <t>IF OBJECT_ID('tempdb..#Bug3104_ProviderStatuses') IS NOT NULL</t>
  </si>
  <si>
    <t>DROP TABLE #Bug3104_ProviderStatuses</t>
  </si>
  <si>
    <t>,ISNULL(OpenTrans.TransCnt,0) OpenTransCount</t>
  </si>
  <si>
    <t>,ISNULL(ClosedTrans.TransCnt,0) ClosedTransCount</t>
  </si>
  <si>
    <t>,ISNULL(a.PendingCount,0) PendingAffilCount</t>
  </si>
  <si>
    <t>,ISNULL(ac.ConfirmedCount,0) ConfirmedAffilCount</t>
  </si>
  <si>
    <t>INTO #Bug3104_ProviderStatuses</t>
  </si>
  <si>
    <t>WHERE PROCESS_DATE_TIME IS NULL</t>
  </si>
  <si>
    <t>) OpenTrans</t>
  </si>
  <si>
    <t>ON OpenTrans.PARTY_ID = p.PartyID</t>
  </si>
  <si>
    <t>WHERE SUBMIT_DATE_TIME IS NOT NULL</t>
  </si>
  <si>
    <t>) ClosedTrans</t>
  </si>
  <si>
    <t>ON ClosedTrans.PARTY_ID = p.PartyID</t>
  </si>
  <si>
    <t>ChildPartyID</t>
  </si>
  <si>
    <t>,COUNT(*) PendingCount</t>
  </si>
  <si>
    <t>WHERE AffiliationStatusID = 1</t>
  </si>
  <si>
    <t>/* Pending Confirmation */</t>
  </si>
  <si>
    <t>) a</t>
  </si>
  <si>
    <t>,COUNT(*) ConfirmedCount</t>
  </si>
  <si>
    <t>WHERE AffiliationStatusID = 3</t>
  </si>
  <si>
    <t>/* Confirmed */</t>
  </si>
  <si>
    <t>) ac</t>
  </si>
  <si>
    <t>ON ac.ChildPartyID = p.PartyID</t>
  </si>
  <si>
    <t>AND OpenTrans.TransCnt IS NULL</t>
  </si>
  <si>
    <t>/* No pending transactions */</t>
  </si>
  <si>
    <t>/* No open/pending errors */</t>
  </si>
  <si>
    <t>/* No individual service locations */</t>
  </si>
  <si>
    <t>/* Pending MMIS Submission */</t>
  </si>
  <si>
    <t>SELECT * FROM #Bug3104_ProviderStatuses</t>
  </si>
  <si>
    <t>Changed Procs:</t>
  </si>
  <si>
    <t>usp_InsertMMISStagingGroups</t>
  </si>
  <si>
    <t>IF OBJECT_ID('tempdb..#P') IS NOT NULL DROP TABLE #P</t>
  </si>
  <si>
    <t>INTO #P</t>
  </si>
  <si>
    <t>WHERE NPI IN ('1124447651','1164832416','1699198010')</t>
  </si>
  <si>
    <t>FROM vw_AffiliationEmails v</t>
  </si>
  <si>
    <t>WHERE v.AffilNPI IN (SELECT NPI FROM #P)</t>
  </si>
  <si>
    <t>WHERE v.NPI IN (SELECT NPI FROM #P)</t>
  </si>
  <si>
    <t>cet.COMMUNICATION_EVENT_TYPE</t>
  </si>
  <si>
    <t>,em.*</t>
  </si>
  <si>
    <t>FROM COMMUNICATION_EVENT ce</t>
  </si>
  <si>
    <t>JOIN COMMUNICATION_EVENT_TYPE cet</t>
  </si>
  <si>
    <t>ON cet.COMMUNICATION_EVENT_TYPE_ID = ce.COMMUNICATION_EVENT_TYPE_ID</t>
  </si>
  <si>
    <t>JOIN EMAIL em</t>
  </si>
  <si>
    <t>ON em.COMMUNICATION_EVENT_ID = ce.COMMUNICATION_EVENT_ID</t>
  </si>
  <si>
    <t>WHERE ce.COMMUNICATED_TO_PARTY_ID IN (SELECT PartyID FROM #P)</t>
  </si>
  <si>
    <t>FROM audit.A_REG_AFFILIATION ara</t>
  </si>
  <si>
    <t>WHERE ara.NPI IN (SELECT NPI FROM #P)</t>
  </si>
  <si>
    <t>AND ara.Operation = 'I'</t>
  </si>
  <si>
    <t>ORDER BY ara.REG_ID</t>
  </si>
  <si>
    <t>WHERE PARTY_ID = 110411</t>
  </si>
  <si>
    <t>SELECT * FROM Jobs</t>
  </si>
  <si>
    <t>/* get the first successful submission of all UPDATE affiliations */</t>
  </si>
  <si>
    <t>IF OBJECT_ID('tempdb..#MinMMISAff') IS NOT NULL DROP TABLE #MinMMISAff</t>
  </si>
  <si>
    <t>GROUP_PARTY_ID</t>
  </si>
  <si>
    <t>,MIN(MMIS_STAGING_AFFILIATE_PK) MMIS_STAGING_AFFILIATE_PK</t>
  </si>
  <si>
    <t>,ACTION</t>
  </si>
  <si>
    <t>INTO #MinMMISAff</t>
  </si>
  <si>
    <t>WHERE (v.MMIS_STATUS_TYPE_ID = 201 OR v.MMIS_STATUS_TYPE_ID IS NULL)</t>
  </si>
  <si>
    <t>AND (v.GROUP_MMIS_STATUS_TYPE_ID = 201 OR v.GROUP_MMIS_STATUS_TYPE_ID IS NULL)</t>
  </si>
  <si>
    <t>AND v.ACTION = 'U'</t>
  </si>
  <si>
    <t>/* list all update initial affiliations without letters */</t>
  </si>
  <si>
    <t>mmis.GROUP_PARTY_ID GroupPartyId</t>
  </si>
  <si>
    <t>,g.OrganizationName GroupName</t>
  </si>
  <si>
    <t>,g.NPI GroupNPI</t>
  </si>
  <si>
    <t>,g.TaxID GroupTaxID</t>
  </si>
  <si>
    <t>,p.FirstName + ' ' + p.LastName ProviderName</t>
  </si>
  <si>
    <t>,msa.GROUP_MMIS_STATUS_TYPE_ID GroupMMISStatusId</t>
  </si>
  <si>
    <t>,msa.MMIS_STATUS_TYPE_ID MMISStatusId</t>
  </si>
  <si>
    <t>,msa.GROUP_LAST_MODIFIED_DATE_TIME MMISRetrieveDate</t>
  </si>
  <si>
    <t>FROM #MinMMISAff mmis</t>
  </si>
  <si>
    <t>JOIN PROVIDER g</t>
  </si>
  <si>
    <t>ON g.PartyID = mmis.GROUP_PARTY_ID</t>
  </si>
  <si>
    <t>ON p.PartyID = mmis.PARTY_ID</t>
  </si>
  <si>
    <t>JOIN vw_MMISStagingAffiliationDetail msa</t>
  </si>
  <si>
    <t>ON msa.MMIS_STAGING_AFFILIATE_PK = mmis.MMIS_STAGING_AFFILIATE_PK</t>
  </si>
  <si>
    <t>LEFT JOIN vw_AffiliationEmails email</t>
  </si>
  <si>
    <t>ON email.GroupPartyId = mmis.GROUP_PARTY_ID</t>
  </si>
  <si>
    <t>AND email.AffilPartyId = mmis.PARTY_ID</t>
  </si>
  <si>
    <t>WHERE email.GroupPartyId IS NULL</t>
  </si>
  <si>
    <t>AND CONVERT(date,msa.GROUP_LAST_MODIFIED_DATE_TIME) &gt;= '2014-06-17'</t>
  </si>
  <si>
    <t>ORDER BY g.NPI,g.TaxID, p.NPI</t>
  </si>
  <si>
    <t>IF OBJECT_ID('tempdb..#MinRegAff') IS NOT NULL DROP TABLE #MinRegAff</t>
  </si>
  <si>
    <t>,p.PartyID PARTY_ID</t>
  </si>
  <si>
    <t>INTO #MinRegAff</t>
  </si>
  <si>
    <t>JOIN audit.A_REG_AFFILIATION ra</t>
  </si>
  <si>
    <t>,MIN(REG_ID) REG_ID</t>
  </si>
  <si>
    <t>) minReg</t>
  </si>
  <si>
    <t>ON minReg.REG_ID = rp.REG_ID</t>
  </si>
  <si>
    <t>AND p.PartyTypeID = 15 -- Person</t>
  </si>
  <si>
    <t>AND ra.Operation = 'I'</t>
  </si>
  <si>
    <t>AND ra.LAST_MODIFIED_USER = '5C8EEA1D-B312-41A7-999C-DEDBCCA3688D'</t>
  </si>
  <si>
    <t>GROUP_PARTY_ID: 110411</t>
  </si>
  <si>
    <t>SELECT COUNT(*) FROM #MinMMISAff</t>
  </si>
  <si>
    <t>SELECT COUNT(*) FROM #MinRegAff</t>
  </si>
  <si>
    <t>SELECT * FROM #MinMMISAff WHERE PARTY_ID IN (128172,128598,128912)</t>
  </si>
  <si>
    <t>SELECT * FROM #MinRegAff WHERE PARTY_ID IN (128172,128598,128912)</t>
  </si>
  <si>
    <t>SELECT * FROM #MissAffilLetter WHERE PARTY_ID IN (128172,128598,128912)</t>
  </si>
  <si>
    <t>SELECT * FROM REG_AFFILIATION</t>
  </si>
  <si>
    <t>AND REG_ID = 8339</t>
  </si>
  <si>
    <t>WHERE rp.PARTY_ID = 110411</t>
  </si>
  <si>
    <t>ORDER BY p.NPI</t>
  </si>
  <si>
    <t>and should have received affiliation letter</t>
  </si>
  <si>
    <t>IF OBJECT_ID('tempdb..#MissAffilLetter') IS NOT NULL DROP TABLE #MissAffilLetter</t>
  </si>
  <si>
    <t>m.GROUP_PARTY_ID</t>
  </si>
  <si>
    <t>,p.OrganizationName</t>
  </si>
  <si>
    <t>,m.PARTY_ID</t>
  </si>
  <si>
    <t>,m.NPI</t>
  </si>
  <si>
    <t>INTO #MissAffilLetter</t>
  </si>
  <si>
    <t>FROM #MinMMISAff m</t>
  </si>
  <si>
    <t>LEFT JOIN #MinRegAff r</t>
  </si>
  <si>
    <t>ON r.GROUP_PARTY_ID = m.GROUP_PARTY_ID</t>
  </si>
  <si>
    <t>AND r.PARTY_ID = m.PARTY_ID</t>
  </si>
  <si>
    <t>ON p.PartyID = m.GROUP_PARTY_ID</t>
  </si>
  <si>
    <t>WHERE m.ACTION = 'U'</t>
  </si>
  <si>
    <t>AND r.PARTY_ID IS NOT NULL</t>
  </si>
  <si>
    <t>SELECT * FROM #MissAffilLetter WHERE GROUP_PARTY_ID = 110411 ORDER BY NPI</t>
  </si>
  <si>
    <t>SELECT * FROM #MissAffilLetter WHERE OrganizationName LIKE '%Fast%'</t>
  </si>
  <si>
    <t>v.MMIS_STAGING_GROUP_PK</t>
  </si>
  <si>
    <t>,v.GROUP_NPI</t>
  </si>
  <si>
    <t>,v.GROUP_TAX_ID_VALUE</t>
  </si>
  <si>
    <t>,v.GROUP_MMIS_STATUS_TYPE_ID</t>
  </si>
  <si>
    <t>,v.NPI</t>
  </si>
  <si>
    <t>,v.BASE_MEDICAID_ID</t>
  </si>
  <si>
    <t>,v.EFFECTIVE_DATE</t>
  </si>
  <si>
    <t>,v.MMIS_STATUS_TYPE_ID</t>
  </si>
  <si>
    <t>,v.GROUP_LAST_MODIFIED_DATE_TIME MMIS_RETRIEVE_DATE</t>
  </si>
  <si>
    <t>WHERE (v.GROUP_MMIS_STATUS_TYPE_ID IS NULL</t>
  </si>
  <si>
    <t>OR v.MMIS_STATUS_TYPE_ID IS NULL)</t>
  </si>
  <si>
    <t>AND v.TERM_DATE IS NULL</t>
  </si>
  <si>
    <t>v.GROUP_LAST_MODIFIED_DATE_TIME DESC</t>
  </si>
  <si>
    <t>WHERE v.MMIS_STAGING_GROUP_PK IN (8220,8141,7865,7816,7385,7326,7228)</t>
  </si>
  <si>
    <t>usp_ClosePDMSError</t>
  </si>
  <si>
    <t>usp_SaveRosterStatuses -- Needs changes to close errors where no party id</t>
  </si>
  <si>
    <t>Bug3170_CloseErrors.sql</t>
  </si>
  <si>
    <t>SELECT * FROM ERROR WHERE SubmitRosterId = 195</t>
  </si>
  <si>
    <t>DECLARE @User uniqueidentifier = dbo.fn_GetUniqueGUID(2)</t>
  </si>
  <si>
    <t xml:space="preserve">EXEC usp_ClosePDMSError </t>
  </si>
  <si>
    <t>,3</t>
  </si>
  <si>
    <t>,@User</t>
  </si>
  <si>
    <t>,195</t>
  </si>
  <si>
    <t>SELECT * FROM PARTY_ERROR_HISTORY WHERE ERROR_ID = 136280</t>
  </si>
  <si>
    <t>SubmitRosterID</t>
  </si>
  <si>
    <t>WHERE ErrorType IN ('P003','P008')</t>
  </si>
  <si>
    <t xml:space="preserve">    AND StatusID IN (1,2)</t>
  </si>
  <si>
    <t xml:space="preserve">    AND PartyId IS NULL</t>
  </si>
  <si>
    <t xml:space="preserve">* </t>
  </si>
  <si>
    <t>WHERE NPI = '1750377826'</t>
  </si>
  <si>
    <t>WHERE PROVIDER_NPI = '1750377826'</t>
  </si>
  <si>
    <t>WHERE SubmitRosterId = 17699</t>
  </si>
  <si>
    <t>ON p.PartyId = e.PartyId</t>
  </si>
  <si>
    <t>WHERE p.NPI = '1184938748'</t>
  </si>
  <si>
    <t>pe.ERROR_ID</t>
  </si>
  <si>
    <t>,pe.ERROR_DATE_TIME</t>
  </si>
  <si>
    <t>,pe.ERROR_TYPE_ID</t>
  </si>
  <si>
    <t>,peh.ERROR_STATUS_TYPE_ID</t>
  </si>
  <si>
    <t>,peh.ERROR_STATUS_DATE_TIME</t>
  </si>
  <si>
    <t>,peh.LAST_MODIFIED_DATE_TIME</t>
  </si>
  <si>
    <t>,est.ERROR_STATUS_TYPE</t>
  </si>
  <si>
    <t>FROM PARTY_ERROR pe</t>
  </si>
  <si>
    <t>JOIN PARTY_ERROR_HISTORY peh</t>
  </si>
  <si>
    <t>ON peh.ERROR_ID = pe.ERROR_ID</t>
  </si>
  <si>
    <t>JOIN ERROR_STATUS_TYPE est</t>
  </si>
  <si>
    <t>ON est.ERROR_STATUS_TYPE_ID = peh.ERROR_STATUS_TYPE_ID</t>
  </si>
  <si>
    <t>WHERE pe.PARTY_ID = 128889</t>
  </si>
  <si>
    <t>AND peh.ERROR_ID IN (134871,136109)</t>
  </si>
  <si>
    <t>FROM audit.A_PARTY_ERROR_HISTORY</t>
  </si>
  <si>
    <t>WHERE ERROR_ID IN (134871,136109)</t>
  </si>
  <si>
    <t>ORDER BY ERROR_ID, DateOfAction</t>
  </si>
  <si>
    <t>FROM STATUS</t>
  </si>
  <si>
    <t>WHERE SubmitRosterID IS NOT NULL</t>
  </si>
  <si>
    <t>AND PartyID IS NULL</t>
  </si>
  <si>
    <t>Strasshofer</t>
  </si>
  <si>
    <t>WHERE PARTY_ID IN (128059)</t>
  </si>
  <si>
    <t>SELECT TOP(5)</t>
  </si>
  <si>
    <t>WHERE v.GROUP_NPI = '1396767430'</t>
  </si>
  <si>
    <t>AND v.NPI = '1285895615'</t>
  </si>
  <si>
    <t>FROM audit.A_CAQHS_GroupProviderPractice</t>
  </si>
  <si>
    <t>WHERE CAQHProviderID = '12100049'</t>
  </si>
  <si>
    <t>AND ra.NPI IN ('1376960518','1346318433','1154539021','1285895615')</t>
  </si>
  <si>
    <t>u.UserName</t>
  </si>
  <si>
    <t>ON u.UserId = ra.LAST_MODIFIED_USER</t>
  </si>
  <si>
    <t>WHERE ra.REG_AFFILIATION_ID IN (218566)</t>
  </si>
  <si>
    <t>WHERE LastName = 'Strasshofer'</t>
  </si>
  <si>
    <t>WHERE m.MEDICAID_PK IN (47392)</t>
  </si>
  <si>
    <t>WHERE r.REG_ID IN (1181,2133,3516,7434)</t>
  </si>
  <si>
    <t>SELECT * FROM REG_TRANSFER_HISTORY</t>
  </si>
  <si>
    <t>WHERE REG_ID IN (1181,2133,3516,7434)</t>
  </si>
  <si>
    <t xml:space="preserve">2013-12-07 13:15:39.740 : Strasshofer added to original registration via conversion (RegId:1181) </t>
  </si>
  <si>
    <t xml:space="preserve">2014-04-10 13:13:28.967 : REG_ID: 1181 Promoted to Active </t>
  </si>
  <si>
    <t>2014-06-13 06:02:19.937 : Received group from CAQH for Strasshofer (RegId:1181)</t>
  </si>
  <si>
    <t>2014-06-13 17:15:45.373 : Affiliation Status changed to Pending Confirmation for Strasshofer (RegId:1181)</t>
  </si>
  <si>
    <t>2014-06-13 18:40:22.800 : Affiliation sent to the MMIS</t>
  </si>
  <si>
    <t>2014-06-14 03:17:30.877 : Affiliation 201 received from MMIS</t>
  </si>
  <si>
    <t>2014-06-14 03:17:37.020 : Affiliation Status changed to Confirmed for Strasshofer (RegId:7434)</t>
  </si>
  <si>
    <t>A few more girations of Registrations are also not submitted (need Mark input)</t>
  </si>
  <si>
    <t>Reg Id: 2133,3516</t>
  </si>
  <si>
    <t xml:space="preserve">2014-04-18 13:41:42.660 : REG_ID: 7434 Reg -&gt; Live Copy </t>
  </si>
  <si>
    <t>2014-04-18 13:42:58.663 : Added to Reg 7434</t>
  </si>
  <si>
    <t>2014-07-09 14:58:54.270 : Affiliation Status changed to Pending Confirmation for Krause</t>
  </si>
  <si>
    <t>(user)</t>
  </si>
  <si>
    <t xml:space="preserve">2014-07-16 16:49:46.363 : ssmith Added Base Medicaid Id to Kraus </t>
  </si>
  <si>
    <t>Name: Linda R Smith, LLCP Health Care Management LLP</t>
  </si>
  <si>
    <t>NPI = '1962746842'</t>
  </si>
  <si>
    <t>TaxId = '300702763'</t>
  </si>
  <si>
    <t>WHERE p.NPI = '1962746842'</t>
  </si>
  <si>
    <t>OR p.CAQHId = '12564828'</t>
  </si>
  <si>
    <t>ORDER BY p.FirstName</t>
  </si>
  <si>
    <t>WHERE PROVIDER_ID = '12564828'</t>
  </si>
  <si>
    <t>rp.TAX_ID</t>
  </si>
  <si>
    <t>WHERE TAX_ID = '300702763'</t>
  </si>
  <si>
    <t>AND NPI = '1962746842'</t>
  </si>
  <si>
    <t>WHERE REG_ID = 8472</t>
  </si>
  <si>
    <t>WHERE wfp.PARAMETER_NAME = 'REGISTRATION_ID'</t>
  </si>
  <si>
    <t>AND wfp.PARAMETER_VALUE = '8472'</t>
  </si>
  <si>
    <t>step.STEP_ID</t>
  </si>
  <si>
    <t>,task.TASK_ID</t>
  </si>
  <si>
    <t>,task.NAME 'Task Name'</t>
  </si>
  <si>
    <t>,task.TASK_TYPE</t>
  </si>
  <si>
    <t>,ISNULL(usr.UserName, '') 'Owner'</t>
  </si>
  <si>
    <t>,step.OWNER_ID</t>
  </si>
  <si>
    <t>,step.CALLING_STEP_ID</t>
  </si>
  <si>
    <t>,step.CREATE_DATE_TIME</t>
  </si>
  <si>
    <t>,step.START_DATE_TIME</t>
  </si>
  <si>
    <t>,step.END_DATE_TIME</t>
  </si>
  <si>
    <t>,step.SLEEP_UNTIL</t>
  </si>
  <si>
    <t xml:space="preserve">FROM WF_STEP step </t>
  </si>
  <si>
    <t xml:space="preserve">JOIN WF_TASK task </t>
  </si>
  <si>
    <t>ON step.TASK_ID = task.TASK_ID</t>
  </si>
  <si>
    <t xml:space="preserve">LEFT JOIN aspnet_Users usr </t>
  </si>
  <si>
    <t>ON step.OWNER_ID = usr.UserId</t>
  </si>
  <si>
    <t>WHERE step.PROCESS_ID = 3639</t>
  </si>
  <si>
    <t>ORDER BY step.STEP_ID</t>
  </si>
  <si>
    <t>-- *** check NPIs of Individual and Group provider</t>
  </si>
  <si>
    <t>-- check REG-&gt;LIVE and LIVE&lt;-REG (REG_TRANSFER_HISTORY)</t>
  </si>
  <si>
    <t>WHERE NPI = '1962746842'</t>
  </si>
  <si>
    <t>Registration Group NPI = '1962746842'</t>
  </si>
  <si>
    <t>Registration Affiliation NPI = '1962746842'</t>
  </si>
  <si>
    <t>CAQH Provider NPI = '1962746842'</t>
  </si>
  <si>
    <t>UPDATE REG_AFFILIATION</t>
  </si>
  <si>
    <t>SET NPI = '1225450802'</t>
  </si>
  <si>
    <t>,GROUP_AFFILIATION_STATUS_ID = 2 -- Provider Not Found</t>
  </si>
  <si>
    <t>,LAST_MODIFIED_DATE_TIME = @DTM</t>
  </si>
  <si>
    <t>,LAST_MODIFIED_USER = @User</t>
  </si>
  <si>
    <t>WHERE REG_AFFILIATION_ID = 304411</t>
  </si>
  <si>
    <t>EXEC usp_UpdateRegistrationAffiliations 8472,@DTM,@User</t>
  </si>
  <si>
    <t>INSERT PERSON_ORGANIZATION</t>
  </si>
  <si>
    <t>(PERSON_ID,ORGANIZATION_ID,LAST_MODIFIED_DATE_TIME,LAST_MODIFIED_USER,GROUP_AFFILIATION_STATUS_ID)</t>
  </si>
  <si>
    <t>VALUES</t>
  </si>
  <si>
    <t>(130162,130502,@DTM,@User,7)</t>
  </si>
  <si>
    <t>INSERT INTO CAQHS_GroupProviderPractice</t>
  </si>
  <si>
    <t>(CAQHProviderID,GroupTaxID,GroupName,CurrentlyPracticingFlag,LastModifiedDTM)</t>
  </si>
  <si>
    <t>('12564828','300702763','Legacy Life Care Programs Health',1,GETDATE())</t>
  </si>
  <si>
    <t>UPDATE REG_AFFILIATION_CROSSOVER_XREF</t>
  </si>
  <si>
    <t>SET PARTY_ID = 130162</t>
  </si>
  <si>
    <t>where REG_AFFILIATION_ID = 304411</t>
  </si>
  <si>
    <t>EXEC usp_SaveTransaction 131191,47450,4,NULL,NULL,@DTM,@User</t>
  </si>
  <si>
    <t>EXEC usp_CancelTransaction 36729,@DTM,@User</t>
  </si>
  <si>
    <t>DECLARE @RETVAL1 TABLE (ColOne varchar(255))</t>
  </si>
  <si>
    <t xml:space="preserve">INSERT @RETVAL1 EXEC usp_ClosePDMSError </t>
  </si>
  <si>
    <t>,234</t>
  </si>
  <si>
    <t>,47863</t>
  </si>
  <si>
    <t>DECLARE @PDMS_STATUS_TYPE_ID int = 4 -- Pending MMIS Submission</t>
  </si>
  <si>
    <t>DECLARE @INDIV_CNT int = 0</t>
  </si>
  <si>
    <t>AND sl.PartyID = 131191</t>
  </si>
  <si>
    <t>PRINT '@INDIV_CNT: ' + CONVERT(varchar(20),ISNULL(@INDIV_CNT,'[NULL]'))</t>
  </si>
  <si>
    <t>PRINT '@PDMS_STATUS_TYPE_ID: ' + ISNULL(CONVERT(varchar(20),@PDMS_STATUS_TYPE_ID),'[NULL]')</t>
  </si>
  <si>
    <t>DECLARE @RETVAL2 TABLE (ColOne varchar(20))</t>
  </si>
  <si>
    <t>INSERT @RETVAL2 EXEC usp_SavePartyStatus</t>
  </si>
  <si>
    <t>,@PDMS_STATUS_TYPE_ID</t>
  </si>
  <si>
    <t xml:space="preserve">,131191 </t>
  </si>
  <si>
    <t xml:space="preserve">,NULL </t>
  </si>
  <si>
    <t xml:space="preserve">,@DTM </t>
  </si>
  <si>
    <t xml:space="preserve">,@USER </t>
  </si>
  <si>
    <t>DECLARE @CAQHId1 varchar(10) = '12209583'</t>
  </si>
  <si>
    <t>DECLARE @CAQHId2 varchar(10) = '12576398'</t>
  </si>
  <si>
    <t>CAQHId</t>
  </si>
  <si>
    <t>,TaxId</t>
  </si>
  <si>
    <t>WHERE CAQHID IN (@CAQHId1,@CAQHId2)</t>
  </si>
  <si>
    <t>LOAD_FILE_NAME, PROVIDER_ID</t>
  </si>
  <si>
    <t>WHERE PROVIDER_ID IN (@CAQHId1,@CAQHId2)</t>
  </si>
  <si>
    <t>LOAD_FILE_NAME,PROVIDER_ID</t>
  </si>
  <si>
    <t>Standard_TennCare_XML_01282013_171259391</t>
  </si>
  <si>
    <t>Standard_TennCare_XML_02062013_172208836</t>
  </si>
  <si>
    <t>Standard_TennCare_XML_05162013_175418183</t>
  </si>
  <si>
    <t>Standard_TennCare_XML_05202013_174935542</t>
  </si>
  <si>
    <t>Standard_TennCare_XML_08072013_161941428</t>
  </si>
  <si>
    <t>Standard_TennCare_XML_12042013_163404941</t>
  </si>
  <si>
    <t>DECLARE @TRANSACTION_QUEUE_ID int = 36205</t>
  </si>
  <si>
    <t>EXEC usp_CancelTransaction @TRANSACTION_QUEUE_ID,@DTM,@User</t>
  </si>
  <si>
    <t>SELECT * FROM PROVIDER_STAGING WHERE TRANSACTION_ID = @TRANSACTION_QUEUE_ID</t>
  </si>
  <si>
    <t>sl.ServiceLocationId</t>
  </si>
  <si>
    <t>,v.*</t>
  </si>
  <si>
    <t>ON sl.PartyId = v.GROUP_PARTY_ID</t>
  </si>
  <si>
    <t>WHERE v.GROUP_MMIS_STATUS_TYPE_ID = 202</t>
  </si>
  <si>
    <t>AND CONVERT(date,v.GROUP_LAST_MODIFIED_DATE_TIME) = '2014-08-12'</t>
  </si>
  <si>
    <t>WHERE v.GROUP_NPI = '1639463490'</t>
  </si>
  <si>
    <t>AND v.NPI = '1629321021'</t>
  </si>
  <si>
    <t>WHERE (tq.PARTY_ID = 121962 AND tq.MEDICAID_PK = 36574)</t>
  </si>
  <si>
    <t>OR (tq.PARTY_ID = 131909 AND tq.MEDICAID_PK = 39639)</t>
  </si>
  <si>
    <t>OR (tq.PARTY_ID = 132051 AND tq.MEDICAID_PK = 47223)</t>
  </si>
  <si>
    <t>OR (tq.PARTY_ID = 132150 AND tq.MEDICAID_PK = 38548)</t>
  </si>
  <si>
    <t>OR (tq.PARTY_ID = 40046 AND tq.MEDICAID_PK = 36762)</t>
  </si>
  <si>
    <t>ORDER BY tq.PARTY_ID,tq.MEDICAID_PK,TRANSACTION_QUEUE_ID</t>
  </si>
  <si>
    <t>FROM audit.A_TRANSACTION_QUEUE tq</t>
  </si>
  <si>
    <t>WHERE tq.TRANSACTION_QUEUE_ID IN (39044,39271,38615,38866)</t>
  </si>
  <si>
    <t>ORDER BY TRANSACTION_QUEUE_ID,DateOfAction</t>
  </si>
  <si>
    <t>/* Cancel all transactions */</t>
  </si>
  <si>
    <t xml:space="preserve">We’ve sent out 1694 Welcome Letters and this defect has revealed that 14 were not sent out </t>
  </si>
  <si>
    <t xml:space="preserve">which puts us around a 99.1% success rate. </t>
  </si>
  <si>
    <t>IF OBJECT_ID('tempdb..#RegCEs') IS NOT NULL DROP TABLE #RegCEs</t>
  </si>
  <si>
    <t>INTO #RegCEs</t>
  </si>
  <si>
    <t>FROM</t>
  </si>
  <si>
    <t>SELECT -- (3835)</t>
  </si>
  <si>
    <t>x.COMMUNICATION_EVENT_ID</t>
  </si>
  <si>
    <t>FROM COMMUNICATIONEVENT_PARTY_REG_XREF x</t>
  </si>
  <si>
    <t>LEFT JOIN REG_PROVIDER rp</t>
  </si>
  <si>
    <t>ON rp.REG_ID = x.REG_ID</t>
  </si>
  <si>
    <t>WHERE rp.PARTY_ID IS NOT NULL</t>
  </si>
  <si>
    <t>UNION</t>
  </si>
  <si>
    <t>SELECT -- (28201)</t>
  </si>
  <si>
    <t>,x.PARTY_ID</t>
  </si>
  <si>
    <t>ON p.PartyID = x.PARTY_ID</t>
  </si>
  <si>
    <t>WHERE x.REG_ID = 0</t>
  </si>
  <si>
    <t>AND p.PartyTypeID = 16 -- Organization</t>
  </si>
  <si>
    <t>) tt</t>
  </si>
  <si>
    <t>IF OBJECT_ID('tempdb..#SentWelcLtrs') IS NOT NULL DROP TABLE #SentWelcLtrs</t>
  </si>
  <si>
    <t>ce.COMMUNICATION_EVENT_ID</t>
  </si>
  <si>
    <t>,ce.COMMUNICATED_TO_PARTY_ID</t>
  </si>
  <si>
    <t>,ce.COMMUNICATED_FROM_PARTY_ID</t>
  </si>
  <si>
    <t>,em.SUBJECT</t>
  </si>
  <si>
    <t>,rc.PARTY_ID</t>
  </si>
  <si>
    <t>INTO #SentWelcLtrs</t>
  </si>
  <si>
    <t xml:space="preserve">      ON em.COMMUNICATION_EVENT_ID = ce.COMMUNICATION_EVENT_ID</t>
  </si>
  <si>
    <t>JOIN #RegCEs rc</t>
  </si>
  <si>
    <t>ON rc.COMMUNICATION_EVENT_ID = ce.COMMUNICATION_EVENT_ID</t>
  </si>
  <si>
    <t>WHERE em.SUBJECT = 'Welcome TennCare Provider'</t>
  </si>
  <si>
    <t xml:space="preserve">      AND ce.COMMUNICATION_EVENT_TYPE_ID = 41</t>
  </si>
  <si>
    <t xml:space="preserve">      AND ce.COMMUNICATION_EVENT_ID IN (SELECT COMMUNICATION_EVENT_ID FROM #RegCEs)</t>
  </si>
  <si>
    <t>SELECT * FROM #SentWelcLtrs</t>
  </si>
  <si>
    <t>SELECT * FROM #RegCEs</t>
  </si>
  <si>
    <t>IF OBJECT_ID('tempdb..#UnsentWelcLtrs') IS NOT NULL DROP TABLE #UnsentWelcLtrs</t>
  </si>
  <si>
    <t>rc.PARTY_ID</t>
  </si>
  <si>
    <t>INTO #UnsentWelcLtrs</t>
  </si>
  <si>
    <t>FROM #RegCEs rc</t>
  </si>
  <si>
    <t xml:space="preserve">WHERE rc.PARTY_ID NOT IN </t>
  </si>
  <si>
    <t>(SELECT PARTY_ID FROM #SentWelcLtrs)</t>
  </si>
  <si>
    <t>SELECT * FROM #UnsentWelcLtrs</t>
  </si>
  <si>
    <t>IF OBJECT_ID('tempdb..#UnsentLetterDetail') IS NOT NULL DROP TABLE #UnsentLetterDetail</t>
  </si>
  <si>
    <t>INTO #UnsentLetterDetail</t>
  </si>
  <si>
    <t>FROM vw_WorkflowProcessParameters v</t>
  </si>
  <si>
    <t>ON rp.REG_ID = v.REG_ID</t>
  </si>
  <si>
    <t>JOIN #UnsentWelcLtrs u</t>
  </si>
  <si>
    <t>ON u.PARTY_ID = rp.PARTY_ID</t>
  </si>
  <si>
    <t>,v.START_DATE_TIME</t>
  </si>
  <si>
    <t>,MIN(START_DATE_TIME) START_DATE_TIME</t>
  </si>
  <si>
    <t>FROM vw_WorkflowProcessParameters</t>
  </si>
  <si>
    <t>) v</t>
  </si>
  <si>
    <t>SELECT * FROM #UnsentLetterDetail</t>
  </si>
  <si>
    <t>36230 not showing up in CE or EMAIL tables</t>
  </si>
  <si>
    <t>SELECT * FROM #RegCEs WHERE PARTY_ID IN (115586,112621,78168)</t>
  </si>
  <si>
    <t>SELECT * FROM EMAIL WHERE COMMUNICATION_EVENT_ID IN (62130,36230,52199)</t>
  </si>
  <si>
    <t>SELECT * FROM COMMUNICATION_EVENT WHERE COMMUNICATION_EVENT_ID IN (62130,36230,52199)</t>
  </si>
  <si>
    <t xml:space="preserve">      </t>
  </si>
  <si>
    <t xml:space="preserve">-- NOTES: </t>
  </si>
  <si>
    <t>--    1) Why is the TEMPLATE_NAME = 'AccountError.txt'?</t>
  </si>
  <si>
    <t>--    2) Why are the COMMUNICATED_[TO/FROM]_PARTY_ID both 1, the TO should be the Groups party id</t>
  </si>
  <si>
    <t>,p.PartyTypeId</t>
  </si>
  <si>
    <t>ON p.PartyId = rc.PARTY_ID</t>
  </si>
  <si>
    <t>AND rc.COMMUNICATION_EVENT_ID IN (21327,25363)</t>
  </si>
  <si>
    <t>,v.PROCESS_ID</t>
  </si>
  <si>
    <t>JOIN vw_WorkflowProcessParameters v</t>
  </si>
  <si>
    <t>ON v.REG_ID = rp.REG_ID</t>
  </si>
  <si>
    <t>WHERE rp.PARTY_ID IN</t>
  </si>
  <si>
    <t>FROM audit.A_WF_STEP</t>
  </si>
  <si>
    <t>WHERE PROCESS_ID IN</t>
  </si>
  <si>
    <t>DECLARE @PROCESS_ID int = 494</t>
  </si>
  <si>
    <t>SELECT prov.NAME, par.PARAMETER_VALUE 'REG_ID', pro.*</t>
  </si>
  <si>
    <t>FROM WF_PROCESS pro</t>
  </si>
  <si>
    <t xml:space="preserve">INNER JOIN WF_PARAMETER par ON pro.PROCESS_ID = par.PROCESS_ID AND </t>
  </si>
  <si>
    <t xml:space="preserve">      par.PARAMETER_NAME = 'REGISTRATION_ID'</t>
  </si>
  <si>
    <t>INNER JOIN REG_PROVIDER prov ON CAST(prov.REG_ID AS varchar(30)) = par.PARAMETER_VALUE</t>
  </si>
  <si>
    <t>WHERE pro.PROCESS_ID = @PROCESS_ID</t>
  </si>
  <si>
    <t xml:space="preserve">SELECT step.STEP_ID, step.CREATE_DATE_TIME, task.TASK_ID, task.NAME 'Task Name', task.TASK_TYPE, task.CLASS_NAME, ISNULL(usr.UserName, '') 'Owner', </t>
  </si>
  <si>
    <t xml:space="preserve">      step.OWNER_ID, step.CALLING_STEP_ID, step.START_DATE_TIME, step.END_DATE_TIME</t>
  </si>
  <si>
    <t>INNER JOIN WF_TASK task ON step.TASK_ID = task.TASK_ID</t>
  </si>
  <si>
    <t>LEFT OUTER JOIN aspnet_Users usr ON step.OWNER_ID = usr.UserId</t>
  </si>
  <si>
    <t>WHERE step.PROCESS_ID = @PROCESS_ID</t>
  </si>
  <si>
    <t>DECLARE @WORKFLOW_ID int = (SELECT WORKFLOW_ID FROM WF_PROCESS WHERE PROCESS_ID = @PROCESS_ID)</t>
  </si>
  <si>
    <t xml:space="preserve">SELECT task.TASK_ID, task.NAME 'Task Name', task.TASK_TYPE, task.CLASS_NAME, </t>
  </si>
  <si>
    <t>act.ACTION_ID, act.NAME 'Action', act.NEXT_TASK_ID</t>
  </si>
  <si>
    <t>FROM WF_TASK task</t>
  </si>
  <si>
    <t>INNER JOIN WF_WORKFLOW wf ON wf.WORKFLOW_ID = task.WORKFLOW_ID</t>
  </si>
  <si>
    <t>INNER JOIN WF_ACTION act ON task.TASK_ID = act.TASK_ID</t>
  </si>
  <si>
    <t>WHERE wf.WORKFLOW_ID = @WORKFLOW_ID</t>
  </si>
  <si>
    <t>SELECT task.TASK_ID, task.NAME 'Task Name', task.TASK_TYPE, task.CLASS_NAME,</t>
  </si>
  <si>
    <t>LEFT OUTER JOIN WF_ACTION act ON task.TASK_ID = act.TASK_ID</t>
  </si>
  <si>
    <t>WHERE task.TASK_ID IN</t>
  </si>
  <si>
    <t>(SELECT act.NEXT_TASK_ID</t>
  </si>
  <si>
    <t>WHERE WORKFLOW_ID  = @WORKFLOW_ID</t>
  </si>
  <si>
    <t>ORDER BY task.TASK_ID</t>
  </si>
  <si>
    <t>IF OBJECT_ID('tempdb..#rsl') IS NOT NULL DROP TABLE #rsl</t>
  </si>
  <si>
    <t>rth.PARTY_ID</t>
  </si>
  <si>
    <t>,rsl.*</t>
  </si>
  <si>
    <t>INTO #rsl</t>
  </si>
  <si>
    <t>FROM REG_SATELLITE_LOCATION rsl</t>
  </si>
  <si>
    <t>ON rth.REG_ID = rsl.REG_ID</t>
  </si>
  <si>
    <t>WHERE LEN(SATELLITE_PHONE_NUMBER) &lt; 10</t>
  </si>
  <si>
    <t>AND rth.DATA_DIRECTION = 'LIVE_TO_REG'</t>
  </si>
  <si>
    <t>/* SELECT * FROM #rsl */</t>
  </si>
  <si>
    <t>IF OBJECT_ID('tempdb..#MaxReg') IS NOT NULL DROP TABLE #MaxReg</t>
  </si>
  <si>
    <t>,MAX(rth.REG_ID) REG_ID</t>
  </si>
  <si>
    <t>INTO #MaxReg</t>
  </si>
  <si>
    <t>FROM REG_TRANSFER_HISTORY rth</t>
  </si>
  <si>
    <t>WHERE rth.DATA_DIRECTION = 'REG_TO_LIVE'</t>
  </si>
  <si>
    <t>AND PARTY_ID IN (SELECT PARTY_ID FROM #rsl)</t>
  </si>
  <si>
    <t>/* SELECT * FROM #MaxReg */</t>
  </si>
  <si>
    <t>IF OBJECT_ID('tempdb..#FixedPhone') IS NOT NULL DROP TABLE #FixedPhone</t>
  </si>
  <si>
    <t>arslNew.REG_ID</t>
  </si>
  <si>
    <t>,arsl.SATELLITE_LOCATION_ID</t>
  </si>
  <si>
    <t>,MAX(arsl.SATELLITE_PHONE_NUMBER) SATELLITE_PHONE_NUMBER</t>
  </si>
  <si>
    <t>INTO #FixedPhone</t>
  </si>
  <si>
    <t>FROM audit.A_REG_SATELLITE_LOCATION arsl</t>
  </si>
  <si>
    <t>SELECT arsl.*</t>
  </si>
  <si>
    <t>WHERE arsl.REG_SATELLITE_LOCATION_ID IN (SELECT REG_SATELLITE_LOCATION_ID FROM #rsl)</t>
  </si>
  <si>
    <t>AND arsl.SATELLITE_LOCATION_ID IS NOT NULL</t>
  </si>
  <si>
    <t>AND arsl.Operation = 'I'</t>
  </si>
  <si>
    <t>) arslNew</t>
  </si>
  <si>
    <t>ON arslNew.SATELLITE_LOCATION_ID = arsl.SATELLITE_LOCATION_ID</t>
  </si>
  <si>
    <t>WHERE arsl.REG_ID IN (SELECT REG_ID FROM #MaxReg)</t>
  </si>
  <si>
    <t>ORDER BY arslNew.REG_ID</t>
  </si>
  <si>
    <t>/* SELECT * FROM #FixedPhone */</t>
  </si>
  <si>
    <t>FROM #FixedPhone</t>
  </si>
  <si>
    <t>FROM audit.A_REG_SATELLITE_LOCATION</t>
  </si>
  <si>
    <t>LEN(SATELLITE_PHONE_NUMBER) = 0</t>
  </si>
  <si>
    <t>AND</t>
  </si>
  <si>
    <t>SATELLITE_PHONE_NUMBER LIKE '%7284257%'</t>
  </si>
  <si>
    <t>OR SATELLITE_PHONE_NUMBER LIKE '%4765562%'</t>
  </si>
  <si>
    <t>OR SATELLITE_PHONE_NUMBER LIKE '%7284266%'</t>
  </si>
  <si>
    <t>arsl.*</t>
  </si>
  <si>
    <t>WHERE arsl.REG_ID IN (7899,8113)</t>
  </si>
  <si>
    <t>ORDER BY arsl.REG_ID,DateOfAction</t>
  </si>
  <si>
    <t>select * from reg_transfer_history where party_id = 126892 (7899,8113)</t>
  </si>
  <si>
    <t>REG_ID: 8113</t>
  </si>
  <si>
    <t>RSL_ID: 32068 (Lourdes Hospital)</t>
  </si>
  <si>
    <t>ORDER BY REG_ID,REG_SATELLITE_LOCATION_ID</t>
  </si>
  <si>
    <t>,COUNT(*) SATELLITE_COUNT</t>
  </si>
  <si>
    <t>FROM #rsl rsl</t>
  </si>
  <si>
    <t>ON rp.REG_ID = rsl.REG_ID</t>
  </si>
  <si>
    <t>Test Harness</t>
  </si>
  <si>
    <t>-- PARTY_ID: 126892</t>
  </si>
  <si>
    <t>WHERE PARTY_ID = 126892</t>
  </si>
  <si>
    <t>WHERE p.PartyID = 126892</t>
  </si>
  <si>
    <t>,rsl.REG_SERVICE_LOCATION_ID</t>
  </si>
  <si>
    <t>WHERE rp.REG_ID IN (7899,8113)</t>
  </si>
  <si>
    <t>ORDER BY rp.REG_ID</t>
  </si>
  <si>
    <t>select * from audit.A_REG_SATELLITE_LOCATION where REG_ID = 8113</t>
  </si>
  <si>
    <t>SELECT * FROM audit.A_REGISTRATION WHERE REG_ID = 8113 ORDER BY DateOfAction</t>
  </si>
  <si>
    <t>,rsl.REG_SATELLITE_LOCATION_ID</t>
  </si>
  <si>
    <t>,rsl.SATELLITE_PHONE_NUMBER</t>
  </si>
  <si>
    <t>WHERE LEN(rsl.SATELLITE_PHONE_NUMBER) &lt; 10</t>
  </si>
  <si>
    <t>WHERE CAQHID = '11552980'</t>
  </si>
  <si>
    <t>WHERE sl.PartyId = 133094</t>
  </si>
  <si>
    <t>WHERE CAQH_ID = '11552980'</t>
  </si>
  <si>
    <t>WHERE PROVIDER_ID = '11552980'</t>
  </si>
  <si>
    <t>AND SECTION_CHANGE IN ('Practice Tax ID','Practice Information')</t>
  </si>
  <si>
    <t>ORDER BY LOAD_FILE_NAME,CAQH_UPDATE_PK</t>
  </si>
  <si>
    <t>/* Service Location Count per Extract */</t>
  </si>
  <si>
    <t>, cse.FileDateTime</t>
  </si>
  <si>
    <t>, cp.ProviderId</t>
  </si>
  <si>
    <t>, cp.NPI</t>
  </si>
  <si>
    <t>, cpp.CurrentlyPracticingFlag</t>
  </si>
  <si>
    <t>, COUNT(*) LocationCount</t>
  </si>
  <si>
    <t>WHERE cp.CAQHProviderID = '11552980'</t>
  </si>
  <si>
    <t>ORDER BY cse.FileDateTime</t>
  </si>
  <si>
    <t xml:space="preserve">On Friday we changed the Zip code on several records to force them to go across on the interface.  They had </t>
  </si>
  <si>
    <t xml:space="preserve">the P08 error and since there is an issue with that, we could not clear the error any other way </t>
  </si>
  <si>
    <t xml:space="preserve">but to force them through to MMIS.  This morning NPI 1154606333 has two new locations (trans code 30852 and 30853).  </t>
  </si>
  <si>
    <t xml:space="preserve">Why are there two add records as there is only one location in CAQH as the primary location.  </t>
  </si>
  <si>
    <t xml:space="preserve">Another NPI 1245659796 now has five locations in the MMIS as five adds were sent across based on the </t>
  </si>
  <si>
    <t xml:space="preserve">zip code change we made (trans code 29071,29072,29102,29103 &amp; 30851).  Where did all these records come </t>
  </si>
  <si>
    <t xml:space="preserve">from as there is only one primary location in CAQH?  If there is another way to force these P08 errors other </t>
  </si>
  <si>
    <t xml:space="preserve">than changing the zip code, please let us know but I don't think that this change caused the system to generate </t>
  </si>
  <si>
    <t xml:space="preserve">multiple add records on the staging table. This is another example of multiple Add records for a sole proprieter </t>
  </si>
  <si>
    <t>provider.  Thanks</t>
  </si>
  <si>
    <t>WHERE NPI = '1245659796' -- '1154606333'</t>
  </si>
  <si>
    <t xml:space="preserve">WHERE sl.PartyId = 130309 -- 130716 </t>
  </si>
  <si>
    <t>WHERE PARTY_ID = 130309 -- SAK_TRANS IN (30852,30853)</t>
  </si>
  <si>
    <t>WHERE MEDICAID_PK = 47404</t>
  </si>
  <si>
    <t>WHERE PARTY_ID = 122968</t>
  </si>
  <si>
    <t>WHERE TRANSACTION_QUEUE_ID IN (23204,23358,23359,23360)</t>
  </si>
  <si>
    <t>,COUNT(*) SUBMIT_COUNT</t>
  </si>
  <si>
    <t>WHERE STATUS_CODE = 201</t>
  </si>
  <si>
    <t>AND MMIS_PRACTICE_INDICATOR = 'J'</t>
  </si>
  <si>
    <t>-- CONVERT(date,LAST_MODIFIED_DATE_TIME)</t>
  </si>
  <si>
    <t>WHERE PARTY_ID IN (8756,113954,116008,116972,122968,128028,129413,130309)</t>
  </si>
  <si>
    <t>NPI: 1154606333</t>
  </si>
  <si>
    <t>Sent two because there are two CurrentlyPracticing locations</t>
  </si>
  <si>
    <t xml:space="preserve">DECLARE @PartyId int = 122968 </t>
  </si>
  <si>
    <t>-- SELECT * FROM audit.A_PROVIDER_STAGING WHERE PARTY_ID = @PartyId AND Operation = 'I'</t>
  </si>
  <si>
    <t>SELECT * FROM TRANSACTION_QUEUE WHERE PARTY_ID = @PartyId</t>
  </si>
  <si>
    <t>SELECT * FROM LICENSURE WHERE PARTY_ID = @PartyId AND LICENSE_TYPE_ID &lt;&gt; 37</t>
  </si>
  <si>
    <t>SELECT * FROM SPECIALTY WHERE PartyID = @PartyId</t>
  </si>
  <si>
    <t>SELECT * FROM LICENSE_PRIMARY_FLAG WHERE PARTY_ID = @PartyId</t>
  </si>
  <si>
    <t>SELECT * FROM DEA_PRIMARY_FLAG WHERE PARTY_ID = @PartyId</t>
  </si>
  <si>
    <t>SELECT * FROM DEA WHERE PartyID = @PartyId</t>
  </si>
  <si>
    <t>SELECT * FROM TAXONOMY WHERE PartyId = @PartyId</t>
  </si>
  <si>
    <t>SELECT * FROM PROVIDER WHERE PartyID = @PartyId</t>
  </si>
  <si>
    <t xml:space="preserve">FROM AFFILIATION AS a </t>
  </si>
  <si>
    <t>SELECT affl.ChildPartyID, MAX(svlc.ServiceLocationID) AS ServiceLocationID</t>
  </si>
  <si>
    <t xml:space="preserve">FROM AFFILIATION AS affl </t>
  </si>
  <si>
    <t xml:space="preserve">JOIN PROVIDER AS prov ON affl.ParentPartyID = prov.PartyID </t>
  </si>
  <si>
    <t>JOIN SERVICE_LOCATION AS svlc ON prov.PartyID = svlc.PartyID</t>
  </si>
  <si>
    <t>GROUP BY affl.ChildPartyID</t>
  </si>
  <si>
    <t xml:space="preserve">) AS max_sl ON a.ChildPartyID = max_sl.ChildPartyID </t>
  </si>
  <si>
    <t>JOIN TRANSACTION_QUEUE tq ON a.ChildPartyID = tq.PARTY_ID</t>
  </si>
  <si>
    <t xml:space="preserve">WHERE (a.AffiliationStatusID = 3) </t>
  </si>
  <si>
    <t>AND MEDICAID_PK IS NULL</t>
  </si>
  <si>
    <t>AND a.ChildPartyID IN (</t>
  </si>
  <si>
    <t>SELECT PARTY_ID</t>
  </si>
  <si>
    <t>WHERE TRANSACTION_QUEUE_ID = 34150)</t>
  </si>
  <si>
    <t>EXEC usp_ProcessAffiliations</t>
  </si>
  <si>
    <t>EXEC usp_AddPDMSToMMISExportRecords @DTM,@User</t>
  </si>
  <si>
    <t>,MMIS_PRACTICE_INDICATOR</t>
  </si>
  <si>
    <t xml:space="preserve">FROM PROVIDER_STAGING </t>
  </si>
  <si>
    <t>WHERE PROVIDER_STAGING_PK &gt; 9853</t>
  </si>
  <si>
    <t>ORDER BY 4 DESC</t>
  </si>
  <si>
    <t>WHERE PARTY_ID = 132958</t>
  </si>
  <si>
    <t>AND MEDICAID_PK = 48781</t>
  </si>
  <si>
    <t>IF OBJECT_ID('tempdb..#TQ') IS NOT NULL DROP TABLE #TQ</t>
  </si>
  <si>
    <t>INTO #TQ</t>
  </si>
  <si>
    <t>WHERE SUBMIT_DATE_TIME IS NULL</t>
  </si>
  <si>
    <t>AND TRANSACTION_TYPE_ID IN (1,2)</t>
  </si>
  <si>
    <t>JOIN #TQ tqdups</t>
  </si>
  <si>
    <t>ON tqdups.PARTY_ID = tq.PARTY_ID</t>
  </si>
  <si>
    <t>AND ISNULL(tqdups.MEDICAID_PK,'') = ISNULL(tq.MEDICAID_PK,'')</t>
  </si>
  <si>
    <t>DECLARE @PARTY_ID int = 118738</t>
  </si>
  <si>
    <t>DECLARE @MEDICAID_PK int = 40894</t>
  </si>
  <si>
    <t>DECLARE @TRANSACTION_TYPE_ID int = 2</t>
  </si>
  <si>
    <t>DECLARE @SUBMIT_DATE_TIME datetime = NULL</t>
  </si>
  <si>
    <t>DECLARE @PROCESS_DATE_TIME datetime = NULL</t>
  </si>
  <si>
    <t>EXEC usp_SaveTransaction @PARTY_ID,@MEDICAID_PK,@TRANSACTION_TYPE_ID,@SUBMIT_DATE_TIME</t>
  </si>
  <si>
    <t>,@PROCESS_DATE_TIME,@LAST_MODIFIED_DATE_TIME,@LAST_MODIFIED_USER</t>
  </si>
  <si>
    <t>SELECT * FROM TRANSACTION_QUEUE WHERE PARTY_ID = 118738 AND MEDICAID_PK = 40894</t>
  </si>
  <si>
    <t>SELECT * FROM audit.A_TRANSACTION_QUEUE WHERE TRANSACTION_QUEUE_ID = 32212</t>
  </si>
  <si>
    <t>WHERE NPI = '1073851630'</t>
  </si>
  <si>
    <t>WHERE PartyId = 113513</t>
  </si>
  <si>
    <t>WHERE PARTY_ID = 113513</t>
  </si>
  <si>
    <t>FROM MMIS_STAGING_ADDRESS</t>
  </si>
  <si>
    <t>WHERE MMIS_STAGING_ADDRESS_PK IN (1261,1269,1277)</t>
  </si>
  <si>
    <t>r.*</t>
  </si>
  <si>
    <t>ON rsl.REG_ID = r.REG_ID</t>
  </si>
  <si>
    <t>WHERE rp.NPI = '1669533923' -- TAX_ID: 205755130</t>
  </si>
  <si>
    <t>FROM USER_ACCOUNT_INFORMATION uai</t>
  </si>
  <si>
    <t>ON u.UserId = uai.UserId</t>
  </si>
  <si>
    <t>WHERE NPI = '1669533923'</t>
  </si>
  <si>
    <t>WHERE UserID = 'E8488F3E-2299-4E68-BB78-748F611171EA'</t>
  </si>
  <si>
    <t>SELECT * FROM USER_ACCOUNT_INFORMATION</t>
  </si>
  <si>
    <t>WHERE UserId IN ('E8488F3E-2299-4E68-BB78-748F611171EA','B0806D69-F2D7-463F-89B4-CA49DBF69741','C0AACF5D-A432-4975-AC56-DAC8A90D56A3')</t>
  </si>
  <si>
    <t>,msg.TAX_ID_VALUE</t>
  </si>
  <si>
    <t>,msg.NPI</t>
  </si>
  <si>
    <t>,tt.TRANSACTION_TYPE</t>
  </si>
  <si>
    <t>,msg.MEDICAID_ID</t>
  </si>
  <si>
    <t>ON tt.TRANSACTION_TYPE_ID = msg.TRANSACTION_TYPE_ID</t>
  </si>
  <si>
    <t>WHERE PARTY_ID IN (131104,131180)</t>
  </si>
  <si>
    <t>ORDER BY PARTY_ID,MMIS_STAGING_GROUP_PK</t>
  </si>
  <si>
    <t>/* Analysis Query */</t>
  </si>
  <si>
    <t>/* get current registration status */</t>
  </si>
  <si>
    <t>,r.CHANGE_EFFECTIVE_DATE</t>
  </si>
  <si>
    <t>,r.REQUESTED_EFFECTIVE_DATE</t>
  </si>
  <si>
    <t>WHERE (rp.TAX_ID = '621763648' AND rp.NPI = '1891103438')</t>
  </si>
  <si>
    <t xml:space="preserve">OR (rp.TAX_ID = '464351252' AND rp.NPI = '1467868067') </t>
  </si>
  <si>
    <t>WHERE (rp.NPI = '1316357593')</t>
  </si>
  <si>
    <t>OR (rp.NPI = '1548686843')</t>
  </si>
  <si>
    <t>LEFT JOIN MMIS_STAGING_AFFILIATE msa</t>
  </si>
  <si>
    <t>WHERE msg.PARTY_ID IN (126578,129868)</t>
  </si>
  <si>
    <t>AND CONVERT(date,msg.LAST_MODIFIED_DATE_TIME) = '2014-08-05'</t>
  </si>
  <si>
    <t xml:space="preserve">ORDER BY msg.PARTY_ID,msg.MMIS_STAGING_GROUP_PK </t>
  </si>
  <si>
    <t>WHERE ERROR_CODE IN ('M034','M113')</t>
  </si>
  <si>
    <t>WHERE PartyId IN (126578,129868,131104,131180)</t>
  </si>
  <si>
    <t>WHERE PARTY_ID IN (126578,129868,131104,131180)</t>
  </si>
  <si>
    <t>WHERE PARTY_ID IN (126578,129868)</t>
  </si>
  <si>
    <t>FROM audit.A_REG_SERVICE_LOCATION</t>
  </si>
  <si>
    <t>WHERE REG_ID IN (7846,8380)</t>
  </si>
  <si>
    <t>ORDER BY DateOfAction desc</t>
  </si>
  <si>
    <t>WHERE CONVERT(date,LAST_MODIFIED_DATE_TIME) = CONVERT(date,GETDATE())</t>
  </si>
  <si>
    <t>ORDER BY MMIS_STAGING_GROUP_PK DESC</t>
  </si>
  <si>
    <t>SELECT * FROM ERROR WHERE PartyId = 131612 --NPI: 1720332539</t>
  </si>
  <si>
    <t>SELECT * FROM REG_PROVIDER WHERE NPI = '1225399041'</t>
  </si>
  <si>
    <t>DECLARE @DTM10 datetime = GETDATE()</t>
  </si>
  <si>
    <t>DECLARE @User10 uniqueidentifier = dbo.fn_GetUniqueGUID(2)</t>
  </si>
  <si>
    <t>EXEC usp_SavePDMSError</t>
  </si>
  <si>
    <t>131612,71,NULL,@DTM10,@User10</t>
  </si>
  <si>
    <t>----------------------------------</t>
  </si>
  <si>
    <t>ERRORS = ON</t>
  </si>
  <si>
    <t>UPDATE AppSettings</t>
  </si>
  <si>
    <t>SET AppSettingsValue = '202'</t>
  </si>
  <si>
    <t>,LastUpdatedDate = @DTM</t>
  </si>
  <si>
    <t>,LastActivityUserId = @User</t>
  </si>
  <si>
    <t>WHERE AppSettingsKey = 'MMIS-TestGroupStatus'</t>
  </si>
  <si>
    <t>SET AppSettingsValue = '34'</t>
  </si>
  <si>
    <t>WHERE AppSettingsKey = 'MMIS-TestGroupErrors'</t>
  </si>
  <si>
    <t>ERRORS = OFF</t>
  </si>
  <si>
    <t>SET AppSettingsValue = '201'</t>
  </si>
  <si>
    <t>SET AppSettingsValue = ''</t>
  </si>
  <si>
    <t>FROM AppSettings</t>
  </si>
  <si>
    <t>WHERE AppSettingsKey IN ('MMIS-TestGroupStatus','MMIS-TestGroupErrors')</t>
  </si>
  <si>
    <t>***************************************</t>
  </si>
  <si>
    <t>REG_ID: 7846 ANALYSIS (8380)</t>
  </si>
  <si>
    <t xml:space="preserve">--DECLARE @REG_ID int = 7846 </t>
  </si>
  <si>
    <t>DECLARE @REG_ID int = 8790 -- 8672 -- 8380 :: 7226: Errors and stuck in queue</t>
  </si>
  <si>
    <t>DECLARE @PROCESS_ID int</t>
  </si>
  <si>
    <t>DECLARE @PARTY_ID int</t>
  </si>
  <si>
    <t>@PROCESS_ID = pro.PROCESS_ID</t>
  </si>
  <si>
    <t>WHERE par.PARAMETER_VALUE = @REG_ID</t>
  </si>
  <si>
    <t>-- SELECT * FROM WF_PARAMETER WHERE PROCESS_ID = @PROCESS_ID</t>
  </si>
  <si>
    <t>SELECT @PARTY_ID = PARTY_ID FROM REG_PROVIDER WHERE REG_ID = @REG_ID</t>
  </si>
  <si>
    <t>peh.ERROR_ID</t>
  </si>
  <si>
    <t>,peh.RESOLVING_ACTION_TYPE_ID</t>
  </si>
  <si>
    <t>,peh.RESOLVING_REASON_TYPE_ID</t>
  </si>
  <si>
    <t>WHERE pe.PARTY_ID = @PARTY_ID -- 129868-- 126578 -- 2014-08-04 14:18:54.277</t>
  </si>
  <si>
    <t>ORDER BY peh.LAST_MODIFIED_DATE_TIME</t>
  </si>
  <si>
    <t>,msg.TRANSACTION_QUEUE_ID</t>
  </si>
  <si>
    <t>ON tq.TRANSACTION_QUEUE_ID = msg.TRANSACTION_QUEUE_ID</t>
  </si>
  <si>
    <t>WHERE msg.PARTY_ID = @PARTY_ID -- 129868-- 126578 -- 202</t>
  </si>
  <si>
    <t>ORDER BY msg.MMIS_STAGING_GROUP_PK</t>
  </si>
  <si>
    <t>rsl.DateOfAction</t>
  </si>
  <si>
    <t>,rsl.REG_ID</t>
  </si>
  <si>
    <t>FROM audit.A_REG_SERVICE_LOCATION rsl</t>
  </si>
  <si>
    <t>ON u.UserId = rsl.LAST_MODIFIED_USER</t>
  </si>
  <si>
    <t>WHERE REG_ID = @REG_ID -- 8380  -- 7846</t>
  </si>
  <si>
    <t>ORDER BY rsl.LAST_MODIFIED_DATE_TIME</t>
  </si>
  <si>
    <t xml:space="preserve">vwp.* </t>
  </si>
  <si>
    <t>FROM vw_WorkflowParameters vwp</t>
  </si>
  <si>
    <t>ON e.PartyId = vwp.PARTY_ID</t>
  </si>
  <si>
    <t>WHERE e.ErrorType LIKE 'M%' AND e.StatusID = 1 -- open mmis errors</t>
  </si>
  <si>
    <t>AND PROCESS_ID IN -- processes where they have been in provider review more than once</t>
  </si>
  <si>
    <t>(SELECT PROCESS_ID FROM WF_STEP WHERE TASK_ID IN (2,24,43) GROUP BY PROCESS_ID HAVING COUNT(*) &gt; 1)</t>
  </si>
  <si>
    <t>ORDER BY vwp.PROCESS_ID</t>
  </si>
  <si>
    <t>SELECT * FROM ERROR WHERE PARTYID = 129453</t>
  </si>
  <si>
    <t>DECLARE @UserId uniqueidentifier = '36510B0E-4B55-464B-9C24-3E01DF3A3879' -- ssmithop</t>
  </si>
  <si>
    <t>DECLARE @UserId uniqueidentifier = '3340DD19-7D8B-4E86-B820-424C756F7143' -- ssmith</t>
  </si>
  <si>
    <t>EXEC usp_WF_SelectActiveOwnerStepsProvider @UserId</t>
  </si>
  <si>
    <t>-- SELECT * FROM aspnet_Users WHERE UserName LIKE '%ssmith%'</t>
  </si>
  <si>
    <t>wfp.PROCESS_ID</t>
  </si>
  <si>
    <t>,wfp.START_DATE_TIME</t>
  </si>
  <si>
    <t>,wfp.WORKFLOW_ID</t>
  </si>
  <si>
    <t>,reg.REG_ID</t>
  </si>
  <si>
    <t>,parmtq.TRANSACTION_QUEUE_ID</t>
  </si>
  <si>
    <t>,tq.TRANSACTION_TYPE_ID</t>
  </si>
  <si>
    <t>FROM WF_PROCESS wfp</t>
  </si>
  <si>
    <t>PROCESS_ID</t>
  </si>
  <si>
    <t>,PARAMETER_VALUE REG_ID</t>
  </si>
  <si>
    <t xml:space="preserve">FROM WF_PARAMETER </t>
  </si>
  <si>
    <t>WHERE PARAMETER_NAME = 'REGISTRATION_ID'</t>
  </si>
  <si>
    <t>) reg</t>
  </si>
  <si>
    <t>ON reg.PROCESS_ID = wfp.PROCESS_ID</t>
  </si>
  <si>
    <t>,PARAMETER_VALUE TRANSACTION_QUEUE_ID</t>
  </si>
  <si>
    <t>WHERE PARAMETER_NAME = 'TRANS_QUEUE_ID'</t>
  </si>
  <si>
    <t>) parmtq</t>
  </si>
  <si>
    <t xml:space="preserve">ON parmtq.PROCESS_ID = wfp.PROCESS_ID </t>
  </si>
  <si>
    <t>ON tq.TRANSACTION_QUEUE_ID = parmtq.TRANSACTION_QUEUE_ID</t>
  </si>
  <si>
    <t>WHERE CONVERT(date,wfp.START_DATE_TIME) &gt; DATEADD(d,-14,GETDATE())</t>
  </si>
  <si>
    <t>FROM vw_WorkflowProcessParameters vwp</t>
  </si>
  <si>
    <t>(SELECT PROCESS_ID FROM WF_STEP WHERE TASK_ID IN (2,24,43) GROUP BY PROCESS_ID HAVING COUNT(*) &gt; 1</t>
  </si>
  <si>
    <t>SELECT PROCESS_ID FROM audit.A_WF_STEP WHERE TASK_ID IN (2,24,43) AND Operation='I' GROUP BY PROCESS_ID HAVING COUNT(*) &gt; 1)</t>
  </si>
  <si>
    <t>UPDATE Jobs</t>
  </si>
  <si>
    <t>SET IntervalInMinutes = 5 -- Default = 1</t>
  </si>
  <si>
    <t>WHERE Id = '95AAACAA-C734-4785-9CFB-DA9FE61E6715'</t>
  </si>
  <si>
    <t>---------------------------------</t>
  </si>
  <si>
    <t>FROM vw_WorkflowParameters</t>
  </si>
  <si>
    <t>-- research why medicaid id isn't be reset on registration when returned from mmis</t>
  </si>
  <si>
    <t>rsl.LAST_MODIFIED_USER</t>
  </si>
  <si>
    <t>ORDER BY 3 DESC</t>
  </si>
  <si>
    <t>SELECT * FROM REG_PROVIDER WHERE NPI = '1467868067' TAX_ID = '272085713'</t>
  </si>
  <si>
    <t>-- DECLARE @CAQHId varchar(10) = '12364035' -- [Done] Refresh, no PDMS Indi locations, no groups</t>
  </si>
  <si>
    <t>DECLARE @CAQHId varchar(10) = '10591620'</t>
  </si>
  <si>
    <t>DECLARE @PartyId int</t>
  </si>
  <si>
    <t>@PartyId = v.PARTY_ID</t>
  </si>
  <si>
    <t>FROM vw_PartyCAQHId v</t>
  </si>
  <si>
    <t>WHERE v.CAQH_PIN = @CAQHId</t>
  </si>
  <si>
    <t>WHERE PROVIDER_ID = @CAQHId</t>
  </si>
  <si>
    <t>p.PartyId</t>
  </si>
  <si>
    <t>,p.BaseMedicaidId</t>
  </si>
  <si>
    <t>,p.ProviderId</t>
  </si>
  <si>
    <t>,p.TaxID</t>
  </si>
  <si>
    <t>,sl.ServiceLocationId</t>
  </si>
  <si>
    <t>,sl.MedicaidId</t>
  </si>
  <si>
    <t>ON sl.PartyId = p.PartyId</t>
  </si>
  <si>
    <t xml:space="preserve">WHERE p.CAQHID = @CAQHId </t>
  </si>
  <si>
    <t>WHERE ChildPartyId = @PartyId</t>
  </si>
  <si>
    <t>WHERE CAQHProviderId = @CAQHId</t>
  </si>
  <si>
    <t>ORDER BY LOAD_FILE_NAME</t>
  </si>
  <si>
    <t>Leslie Wallace [CAQHId: 12364035]</t>
  </si>
  <si>
    <t>Gregory McHan</t>
  </si>
  <si>
    <t>to go to CAQH and remove Group Name, once that is done</t>
  </si>
  <si>
    <t>and sent to PDMS we can update his information</t>
  </si>
  <si>
    <t xml:space="preserve">ms, ga, nc </t>
  </si>
  <si>
    <t>-- attestation date: 5/29/2014</t>
  </si>
  <si>
    <t>WHERE PROVIDER_ID = '11498209'</t>
  </si>
  <si>
    <t>AND ATTEST_ID = 24832531</t>
  </si>
  <si>
    <t>SELECT cse.ExtractFile</t>
  </si>
  <si>
    <t>, cp.Action</t>
  </si>
  <si>
    <t>, cp.AttestDate</t>
  </si>
  <si>
    <t>, cp.PrimaryPracticeState</t>
  </si>
  <si>
    <t>, cpp.ProviderPracticeId</t>
  </si>
  <si>
    <t>, cpp.XmlId</t>
  </si>
  <si>
    <t>, cpp.PracticeName</t>
  </si>
  <si>
    <t>, cpp.AddressTypeDescription</t>
  </si>
  <si>
    <t>, cppt.PrimaryFlag</t>
  </si>
  <si>
    <t>, cppt.ProviderPracticeTaxId</t>
  </si>
  <si>
    <t>, cppt.TaxTypeDescription</t>
  </si>
  <si>
    <t>, CONVERT(varchar(1),NULL) LocType</t>
  </si>
  <si>
    <t>SELECT CAQHProviderID, ProviderId</t>
  </si>
  <si>
    <t>WHERE cp.PrimaryPracticeState = 'GA'</t>
  </si>
  <si>
    <t>AND cppt.TaxTypeDescription = 'Individual'</t>
  </si>
  <si>
    <t>DECLARE @CAQHId varchar(10)</t>
  </si>
  <si>
    <t>DECLARE @PartyId int = 57002</t>
  </si>
  <si>
    <t>DECLARE @PartyId int  = 17161</t>
  </si>
  <si>
    <t>-- 11875473 (11875473)</t>
  </si>
  <si>
    <t xml:space="preserve">DECLARE @PartyId int = 93895 </t>
  </si>
  <si>
    <t>DECLARE @PartyId int = 127447</t>
  </si>
  <si>
    <t>DECLARE @PartyId int = 109449</t>
  </si>
  <si>
    <t>DECLARE @PartyId int  = 13905</t>
  </si>
  <si>
    <t xml:space="preserve">FROM TAX_ID </t>
  </si>
  <si>
    <t>WHERE PARTY_ID = @PartyId</t>
  </si>
  <si>
    <t>AND TAX_ID_TYPE_ID = 21</t>
  </si>
  <si>
    <t>SELECT @CAQHId = CAQH_PIN FROM vw_PartyCAQHId WHERE PARTY_ID = @PartyId</t>
  </si>
  <si>
    <t xml:space="preserve">UPDATE TAX_ID </t>
  </si>
  <si>
    <t>SET XML_ID = NULL</t>
  </si>
  <si>
    <t>,LAST_MODIFIED_DATE_TIME = GETDATE()</t>
  </si>
  <si>
    <t>PRINT @CAQHId</t>
  </si>
  <si>
    <t>EXEC usp_SaveXmlIds @CAQHId,@DTM,@User</t>
  </si>
  <si>
    <t>SELECT * FROM CAQHUpdate.UTAXID</t>
  </si>
  <si>
    <t>SELECT * FROM CAQH_UPDATE_ERROR WHERE CUE_ID &gt; 2</t>
  </si>
  <si>
    <t>,CAQH_PIN</t>
  </si>
  <si>
    <t>t.PARTY_ID</t>
  </si>
  <si>
    <t>,v.CAQH_PIN</t>
  </si>
  <si>
    <t>,t.TAX_ID_VALUE</t>
  </si>
  <si>
    <t>,t.XML_ID</t>
  </si>
  <si>
    <t>JOIN  vw_PartyCAQHId v</t>
  </si>
  <si>
    <t>ON v.PARTY_ID = t.PARTY_ID</t>
  </si>
  <si>
    <t xml:space="preserve">      AND t.XML_ID IS NOT NULL</t>
  </si>
  <si>
    <t>) DupTax</t>
  </si>
  <si>
    <t>WHERE LogNumber &gt; 1363165</t>
  </si>
  <si>
    <t>WHERE CONVERT(date,LAST_MODIFIED_DATE_TIME) = '2014-08-04'</t>
  </si>
  <si>
    <t xml:space="preserve">FROM REG_TRANSFER_HISTORY </t>
  </si>
  <si>
    <t>WHERE REG_ID IN (</t>
  </si>
  <si>
    <t>-- REG_TO_LIVE 2014-08-20 16:13:31.550</t>
  </si>
  <si>
    <t>,8342</t>
  </si>
  <si>
    <t>-- LIVE_TO_REG 2014-08-20 17:15:06.740</t>
  </si>
  <si>
    <t>-- PARTY_ID: 132589</t>
  </si>
  <si>
    <t>FROM REG_SATELLITE_LOCATION</t>
  </si>
  <si>
    <t>WHERE REG_ID IN (8341,8342)</t>
  </si>
  <si>
    <t>FROM SATELLITE_LOCATION</t>
  </si>
  <si>
    <t>WHERE SatelliteLocationID IN (33208,33209,33210)</t>
  </si>
  <si>
    <t>WHERE REG_ID IN (8342)</t>
  </si>
  <si>
    <t>ORDER BY REG_SATELLITE_LOCATION_ID,DateOfAction</t>
  </si>
  <si>
    <t xml:space="preserve">FROM TAXONOMY_TYPE </t>
  </si>
  <si>
    <t>WHERE TAXONOMY_NAME='Pain Medicine'</t>
  </si>
  <si>
    <t>AND (EXPIRATION_DATE IS NULL OR EXPIRATION_DATE &gt; GETDATE())</t>
  </si>
  <si>
    <t>/* show numbers in registration */</t>
  </si>
  <si>
    <t>/* show PDMS Core records */</t>
  </si>
  <si>
    <t>/* show have been inserted the same as above, right? */</t>
  </si>
  <si>
    <t>WHERE LogMessage LIKE '%Hospital address NULL%'</t>
  </si>
  <si>
    <t>--(LogMessage LIKE '%118255%' OR LogMessage LIKE '%130547%')</t>
  </si>
  <si>
    <t>SELECT * FROM CAQH_UPDATE_ERROR</t>
  </si>
  <si>
    <t>SELECT * FROM HOSPITAL WHERE PartyID = 117916</t>
  </si>
  <si>
    <t>SELECT * FROM ERROR WHERE PartyId = 117916</t>
  </si>
  <si>
    <t>WHERE PARTY_ID IN (118255,130547,117916)</t>
  </si>
  <si>
    <t>FROM CAQH_DATA_UPDATE_FILE cduf</t>
  </si>
  <si>
    <t>WHERE cduf.PROVIDER_ID IN ('11376267','11971453','12178752')</t>
  </si>
  <si>
    <t>AND cduf.SECTION_CHANGE = 'Provider Hospital Privilege'</t>
  </si>
  <si>
    <t>ORDER BY cduf.PROVIDER_ID,cduf.CAQH_UPDATE_PK</t>
  </si>
  <si>
    <t>Fixed</t>
  </si>
  <si>
    <t>vw_RETURN_SUBMIT_ROSTER_PK [defect - add exclusion for Plan Provider Id 594]</t>
  </si>
  <si>
    <t>SELECT TOP(100) * FROM SUBMIT_ROSTER_ONLINE_FORM ORDER BY LAST_MODIFIED_DATE_TIME DESC</t>
  </si>
  <si>
    <t>SELECT COUNT(*) FROM SUBMIT_ROSTER_ONLINE_FORM WHERE SUBMIT_ROSTER_PK &gt; 18428</t>
  </si>
  <si>
    <t>IF OBJECT_ID('tempdb..#maxCAQH') IS NOT NULL DROP TABLE #maxCAQH</t>
  </si>
  <si>
    <t>maxCAQH.CAQHProviderID</t>
  </si>
  <si>
    <t>,maxCAQH.ExtractFile</t>
  </si>
  <si>
    <t>,s.PartyID</t>
  </si>
  <si>
    <t>,p.TaxID SSN</t>
  </si>
  <si>
    <t>INTO #maxCAQH</t>
  </si>
  <si>
    <t>FROM STATUS s</t>
  </si>
  <si>
    <t>ON p.PartyID = s.PartyID</t>
  </si>
  <si>
    <t>LEFT JOIN vw_PartyCAQHId v</t>
  </si>
  <si>
    <t>ON v.PARTY_ID = s.PartyId</t>
  </si>
  <si>
    <t>,cpm.FileDateTime</t>
  </si>
  <si>
    <t>,cpm.ExtractFile</t>
  </si>
  <si>
    <t>FROM vw_CAQHS_ProviderMax cpm</t>
  </si>
  <si>
    <t>ON cp.ProviderId = cpm.ProviderId</t>
  </si>
  <si>
    <t>WHERE cp.Action = 'N'</t>
  </si>
  <si>
    <t>) maxCAQH</t>
  </si>
  <si>
    <t>ON maxCAQH.CAQHProviderID = v.CAQH_PIN</t>
  </si>
  <si>
    <t>WHERE s.PartyId IS NOT NULL</t>
  </si>
  <si>
    <t>AND s.SubmitRosterId IS NULL</t>
  </si>
  <si>
    <t>AND s.ServiceLocationId IS NULL</t>
  </si>
  <si>
    <t>ORDER BY maxCAQH.FileDateTime DESC</t>
  </si>
  <si>
    <t>FROM Bug1986_CreateSubmitRosters</t>
  </si>
  <si>
    <t>WHERE MatchStep &lt;&gt; 'PDMS Matched'</t>
  </si>
  <si>
    <t>FROM #maxCAQH m</t>
  </si>
  <si>
    <t>LEFT JOIN SUBMIT_ROSTER_ONLINE_FORM srof</t>
  </si>
  <si>
    <t>on srof.PROVIDER_NPI = m.NPI</t>
  </si>
  <si>
    <t>WHERE srof.PROVIDER_NPI IS NOT NULL</t>
  </si>
  <si>
    <t>on srof.SSN = m.SSN</t>
  </si>
  <si>
    <t>WHERE srof.SSN IS NOT NULL</t>
  </si>
  <si>
    <t>Need list of providers not in SUBMIT_ROSTER_ONLINE_FORM but in PDMS</t>
  </si>
  <si>
    <t>-- build matching table (14 seconds to create)</t>
  </si>
  <si>
    <t>--IF OBJECT_ID('Bug1986_CreateSubmitRosters') IS NOT NULL DROP TABLE Bug1986_CreateSubmitRosters</t>
  </si>
  <si>
    <t>--,p.CAQHID</t>
  </si>
  <si>
    <t>--,p.FirstName</t>
  </si>
  <si>
    <t>--,p.LastName</t>
  </si>
  <si>
    <t>--,p.NPI</t>
  </si>
  <si>
    <t>--,p.TaxID SSN</t>
  </si>
  <si>
    <t>--,p.BirthDate</t>
  </si>
  <si>
    <t>--,p.ProviderType</t>
  </si>
  <si>
    <t>--,p.PracticeState</t>
  </si>
  <si>
    <t>--,p.CredentialAddress1</t>
  </si>
  <si>
    <t>--,p.CredentialAddress2</t>
  </si>
  <si>
    <t>--,p.CredentialCity</t>
  </si>
  <si>
    <t>--,p.CredentialState</t>
  </si>
  <si>
    <t>--,p.CredentialZip</t>
  </si>
  <si>
    <t>--,p.CredentialExtendedZip</t>
  </si>
  <si>
    <t>--,CONVERT(varchar(3),p.CredentialPhoneAreaCode) + CONVERT(varchar(7),p.CredentialPhoneNumber) CredentialPhone</t>
  </si>
  <si>
    <t>--,p.CredentialEmailAddress</t>
  </si>
  <si>
    <t>--,CONVERT(int,s.SubmitRosterID) SubmitRosterId</t>
  </si>
  <si>
    <t>--,CONVERT(int,NULL) ReturnRosterId</t>
  </si>
  <si>
    <t>--,CASE WHEN s.SubmitRosterID IS NULL THEN CONVERT(varchar(50),NULL) ELSE CONVERT(varchar(50),'PDMS Matched') END MatchStep</t>
  </si>
  <si>
    <t>ON s.PartyID = p.PartyID</t>
  </si>
  <si>
    <t>AND s.ServiceLocationID IS NULL</t>
  </si>
  <si>
    <t>ON rrf.PROVIDER_ID = p.CAQHID</t>
  </si>
  <si>
    <t>--SET MatchStep = 'CAQHId'</t>
  </si>
  <si>
    <t>--,SubmitRosterId = srof.SUBMIT_ROSTER_PK</t>
  </si>
  <si>
    <t>ON p.CAQHID = srof.CAQH_ID</t>
  </si>
  <si>
    <t>--SET MatchStep = 'NPI'</t>
  </si>
  <si>
    <t>ON srof.PROVIDER_NPI = p.NPI</t>
  </si>
  <si>
    <t>--SET MatchStep = 'SSN'</t>
  </si>
  <si>
    <t>ON srof.SSN = p.SSN</t>
  </si>
  <si>
    <t>--SET MatchStep = 'LastName and BirthDay'</t>
  </si>
  <si>
    <t>ON srof.LAST_NAME = p.LastName</t>
  </si>
  <si>
    <t>AND srof.BIRTHDATE = p.BirthDate</t>
  </si>
  <si>
    <t>--SET MatchStep = 'Return Roster Plan Provider Id'</t>
  </si>
  <si>
    <t>ON rrf.PLAN_PROVIDER_ID = srof.SUBMIT_ROSTER_PK</t>
  </si>
  <si>
    <t>ON p.CAQHID = rrf.PROVIDER_ID</t>
  </si>
  <si>
    <t>AND (rrf.PLAN_PROVIDER_ID IS NOT NULL AND rrf.PLAN_PROVIDER_ID &lt;&gt;  594)</t>
  </si>
  <si>
    <t>tp.PartyID</t>
  </si>
  <si>
    <t>,tp.FirstName</t>
  </si>
  <si>
    <t>,tp.LastName</t>
  </si>
  <si>
    <t>,tp.BirthDate</t>
  </si>
  <si>
    <t>,tp.NPI</t>
  </si>
  <si>
    <t>,tp.SubmitRosterId</t>
  </si>
  <si>
    <t>--,s.SubmitRosterId</t>
  </si>
  <si>
    <t>,srof.FIRST_NAME</t>
  </si>
  <si>
    <t>,srof.LAST_NAME</t>
  </si>
  <si>
    <t>,srof.BIRTHDATE</t>
  </si>
  <si>
    <t>,srof.PROVIDER_NPI</t>
  </si>
  <si>
    <t>JOIN Bug1986_CreateSubmitRosters tp</t>
  </si>
  <si>
    <t>ON tp.PartyID = s.PartyID</t>
  </si>
  <si>
    <t>JOIN SUBMIT_ROSTER_ONLINE_FORM srof</t>
  </si>
  <si>
    <t>ON srof.SUBMIT_ROSTER_PK = tp.SubmitRosterId</t>
  </si>
  <si>
    <t>WHERE s.ServiceLocationID IS NULL</t>
  </si>
  <si>
    <t>AND s.PartyId IN (SELECT PartyId FROM Bug1986_CreateSubmitRosters WHERE MatchStep &lt;&gt; 'PDMS Matched')</t>
  </si>
  <si>
    <t>AND tp.PartyID NOT IN (117760)</t>
  </si>
  <si>
    <t>Add all remaining providers to Submit Roster</t>
  </si>
  <si>
    <t>INSERT INTO SUBMIT_ROSTER_ONLINE_FORM</t>
  </si>
  <si>
    <t>(FIRST_NAME,LAST_NAME,BIRTHDATE,PROVIDER_TYPE,PRIMARY_PRACTICE_STATE,PROVIDER_NPI</t>
  </si>
  <si>
    <t>,ADDRESS,ADDRESS2,CITY,STATE,ZIP,EXT_ZIP</t>
  </si>
  <si>
    <t>,PHONE,EMAIL_ADDRESS,SSN,CAQH_ID,SUBMITTED_DATE_TIME,LAST_MODIFIED_DATE_TIME,LAST_MODIFIED_USER)</t>
  </si>
  <si>
    <t>SELECT FirstName,LastName,BirthDate,ProviderType,PracticeState,NPI</t>
  </si>
  <si>
    <t>,CredentialAddress1,CredentialAddress2,CredentialCity,CredentialState,CredentialZip,CredentialExtendedZip</t>
  </si>
  <si>
    <t>,CredentialPhone,CredentialEmailAddress,SSN,CAQHID,@DTM,@DTM,@User)</t>
  </si>
  <si>
    <t>FROM Bug1986_CreateSubmitRosters tp</t>
  </si>
  <si>
    <t>WHERE MatchStep IS NULL</t>
  </si>
  <si>
    <t xml:space="preserve">dbo.fn_GetOnlyAlphaNumericValues(CONVERT(varchar(10),rrf.BIRTH_DATE),1,1) </t>
  </si>
  <si>
    <t>SELECT TOP(50) *</t>
  </si>
  <si>
    <t>WHERE sl.PartyTypeID = 15</t>
  </si>
  <si>
    <t>AND PracticeID &lt;&gt; '777'</t>
  </si>
  <si>
    <t>ORDER BY sl.PartyID</t>
  </si>
  <si>
    <t>,sl.PDMSStatus SLPDMSStatus</t>
  </si>
  <si>
    <t>WHERE p.PartyId = 6536</t>
  </si>
  <si>
    <t>DECLARE @User uniqueidentifier = dbo.fn_GetUniqueGUID(1)</t>
  </si>
  <si>
    <t>EXEC sp_updatePdmsStatusAll</t>
  </si>
  <si>
    <t>,5</t>
  </si>
  <si>
    <t xml:space="preserve">SELECT * FROM ERROR </t>
  </si>
  <si>
    <t>WHERE PartyID = 6536</t>
  </si>
  <si>
    <t>SELECT * FROM PROVIDER_STATUS WHERE PARTY_ID = 6536</t>
  </si>
  <si>
    <t>DELETE FROM PDMS_STATUS WHERE PROVIDER_STATUS_ID = 6774</t>
  </si>
  <si>
    <t>DELETE FROM MMIS_STATUS WHERE PROVIDER_STATUS_ID = 6774</t>
  </si>
  <si>
    <t>DELETE FROM PROVIDER_STATUS WHERE PROVIDER_STATUS_ID = 6774</t>
  </si>
  <si>
    <t>-- 468 single</t>
  </si>
  <si>
    <t>-- 6536 multiple</t>
  </si>
  <si>
    <t>/* SELECT * FROM pdms_status_type */</t>
  </si>
  <si>
    <t>WHERE UserName LIKE '%tidwell%'</t>
  </si>
  <si>
    <t>-- UserId: B28D457C-7CBB-4071-93C7-EF43533833F5</t>
  </si>
  <si>
    <t>EXEC usp_WF_SelectActiveOwnerStepsProvider 'B28D457C-7CBB-4071-93C7-EF43533833F5',1</t>
  </si>
  <si>
    <t>,r.REG_PROGRAM_STATUS_TYPE_ID</t>
  </si>
  <si>
    <t>,rpst.REG_PROGRAM_STATUS_TYPE_INTERNAL</t>
  </si>
  <si>
    <t>,rpst.REG_PROGRAM_STATUS_TYPE_EXTERNAL</t>
  </si>
  <si>
    <t>JOIN REG_PROGRAM_STATUS_TYPE rpst</t>
  </si>
  <si>
    <t>ON rpst.REG_PROGRAM_STATUS_TYPE_ID = r.REG_PROGRAM_STATUS_TYPE_ID</t>
  </si>
  <si>
    <t>WHERE r.REG_ID = 8773</t>
  </si>
  <si>
    <t>SELECT * FROM REGISTRATION_STATUS_TYPE</t>
  </si>
  <si>
    <t>SELECT * FROM REG_PROGRAM_STATUS_TYPE</t>
  </si>
  <si>
    <t>uir.UserId</t>
  </si>
  <si>
    <t>,ur.RoleName</t>
  </si>
  <si>
    <t>,ur.Description</t>
  </si>
  <si>
    <t>FROM aspnet_UsersInRoles uir</t>
  </si>
  <si>
    <t>JOIN aspnet_Roles ur</t>
  </si>
  <si>
    <t>ON ur.RoleId = uir.RoleId</t>
  </si>
  <si>
    <t>WHERE UserId = 'B28D457C-7CBB-4071-93C7-EF43533833F5'</t>
  </si>
  <si>
    <t>DECLARE @PROCESS_ID int = 4087 --4028</t>
  </si>
  <si>
    <t>par.PARAMETER_NAME = 'REGISTRATION_ID'</t>
  </si>
  <si>
    <t xml:space="preserve">SELECT step.STEP_ID, task.TASK_ID, task.NAME 'Task Name', task.TASK_TYPE, task.CLASS_NAME, ISNULL(usr.UserName, '') 'Owner', </t>
  </si>
  <si>
    <t>step.OWNER_ID, step.CALLING_STEP_ID, step.CREATE_DATE_TIME, step.START_DATE_TIME, step.END_DATE_TIME</t>
  </si>
  <si>
    <t>SELECT * FROM WF_STEP</t>
  </si>
  <si>
    <t>WHERE END_DATE_TIME IS NOT NULL</t>
  </si>
  <si>
    <t>AND TASK_ID = 34</t>
  </si>
  <si>
    <t>&gt;&gt; change password for user to view in UI</t>
  </si>
  <si>
    <t>&gt;&gt; look at their current workflow step</t>
  </si>
  <si>
    <t>&gt;&gt; Should get approve button on ACH page</t>
  </si>
  <si>
    <t>&gt;&gt; Log in as admin and then pick the username</t>
  </si>
  <si>
    <t>&gt;&gt; Queue: Need UserId from aspnet_Users, execute usp_WF_SelectActiveOwnerStepsProvider</t>
  </si>
  <si>
    <t>&gt;&gt; Probably a wrong status or something</t>
  </si>
  <si>
    <t>&gt;&gt; approve button shows up under page Process-&gt;Registration.aspx.cs</t>
  </si>
  <si>
    <t>/* get registration details */</t>
  </si>
  <si>
    <t>/* Main Process */</t>
  </si>
  <si>
    <t>/* Steps that were actually executed */</t>
  </si>
  <si>
    <t>/* Possible step actions that could have taken place with this Process */</t>
  </si>
  <si>
    <t xml:space="preserve">WHERE v.REG_ID IN </t>
  </si>
  <si>
    <t>(SELECT REG_ID FROM REG_PROVIDER WHERE NPI = '1497704050')</t>
  </si>
  <si>
    <t>WHERE PARTY_ID = 114240</t>
  </si>
  <si>
    <t>FROM WF_STEP</t>
  </si>
  <si>
    <t>WHERE STEP_ID = 28753</t>
  </si>
  <si>
    <t>UPDATE WF_STEP</t>
  </si>
  <si>
    <t>SET END_DATE_TIME = NULL</t>
  </si>
  <si>
    <t>,OWNER_ID = '3C14DD11-AF58-4CB7-972C-A0E51E47903F'</t>
  </si>
  <si>
    <t>WHERE STEP_ID IN (15102,22628,32504)</t>
  </si>
  <si>
    <t xml:space="preserve">DECLARE @PROCESS_ID int = 3865 -- 3956 -- 3865 </t>
  </si>
  <si>
    <t>,step.SLEEP_UNTIL,step.SLEEP_COUNT</t>
  </si>
  <si>
    <t>SELECT TOP(10)</t>
  </si>
  <si>
    <t>wfp.WORKFLOW_ID</t>
  </si>
  <si>
    <t>,wfp.OWNER_ID</t>
  </si>
  <si>
    <t>,wfp.CURRENT_STEP_ID</t>
  </si>
  <si>
    <t>,wfpp.REG_ID</t>
  </si>
  <si>
    <t>,wft.NAME</t>
  </si>
  <si>
    <t>,wft.ASSEMBLY_NAME</t>
  </si>
  <si>
    <t>,wft.CLASS_NAME</t>
  </si>
  <si>
    <t>,wft.IsActive</t>
  </si>
  <si>
    <t>,wfs.STEP_ID</t>
  </si>
  <si>
    <t>,wfs.PROCESS_ID</t>
  </si>
  <si>
    <t>FROM WF_STEP wfs</t>
  </si>
  <si>
    <t>JOIN WF_PROCESS wfp</t>
  </si>
  <si>
    <t>ON wfp.PROCESS_ID = wfs.PROCESS_ID</t>
  </si>
  <si>
    <t>JOIN WF_TASK wft</t>
  </si>
  <si>
    <t>ON wft.TASK_ID = wfs.TASK_ID</t>
  </si>
  <si>
    <t>JOIN vw_WorkflowProcessParameters wfpp</t>
  </si>
  <si>
    <t>ON wfpp.PROCESS_ID = wfs.PROCESS_ID</t>
  </si>
  <si>
    <t>ON rp.REG_ID = wfpp.REG_ID</t>
  </si>
  <si>
    <t>WHERE wfs.START_DATE_TIME IS NULL</t>
  </si>
  <si>
    <t>AND wfs.END_DATE_TIME IS NOT NULL</t>
  </si>
  <si>
    <t>WHERE PARTY_ID IN (124308,128785,114240,111726)</t>
  </si>
  <si>
    <t>ORDER BY PARTY_ID,REG_ID</t>
  </si>
  <si>
    <t xml:space="preserve">This CSR deals with errors in general.  It does not appear the records are processing once we close the error and I believe there has been a lot of email traffic regarding the P003 &amp; P008 statuses.  There are hundreds of pages of them.  Some of the recent ones I have seen are one in which the provider is confirmed with the group but the P008 is still open.    I realize there are a lot of issues between CAQH data and PDMS but there has to be some sort of solution for the processing of errors.  We have 4 providers at this point we know we have worked all errors but they still are not processing.  I do not believe this to be because we have not received the data from CAQH, I believe we are not triggering the process to MMIS.  We have got to get a handle on this.  If an onsite visit for error processing will help understand our frustration of errors not clearing up and us not uderstanding why providers are not processing, then we will gladly entertain such a visit.  </t>
  </si>
  <si>
    <t>Please identify why the following providers are not processing as we think all errors were closed and should have triggered the MMIS process.  If we are not understanding the error process, please help us understand.  We agree there is exception handling once the non-standard XML is received, however, once we validate data and correct it in the PDMS we would think a record would process.</t>
  </si>
  <si>
    <t>Gerald Meredith - NPI 1253362828, CAQH 11559795, Last PDMS Status date 09/08/2014</t>
  </si>
  <si>
    <t xml:space="preserve">David Hurst - NPI 1174601090, CAQH ID 12008601, Last PDMS status date 09/09/2014 - I realize I only corrected this error yesterday but my expectation would have been that he would have processed in last nights cycle.  </t>
  </si>
  <si>
    <t>These two are Georgia applications.  We know that non-standard XML caused errors in the system, however, when we are able to work those errors and complete the datat that appears to be invalid due to the error, why are the records not processing when they go across?</t>
  </si>
  <si>
    <t>Nash Ditmetaroj - NPI 1730520321, CAQH 12695481, Last PDMS Status date 09/08/2014</t>
  </si>
  <si>
    <t>Debbie Schmidt - NPI 1972641280, CAQH 11912324, Last PDMS Status date 09/08/2014 - Group record show pending confirmation, individual record show Pending Group Confirmation.</t>
  </si>
  <si>
    <t>WHERE p.NPI IN (</t>
  </si>
  <si>
    <t>'1253362828'</t>
  </si>
  <si>
    <t>,'1174601090'</t>
  </si>
  <si>
    <t>-- PartyId: 130483; CAQHId: 12008601</t>
  </si>
  <si>
    <t>,'1730520321'</t>
  </si>
  <si>
    <t>-- PartyId: 132221; CAQHId: 12695481</t>
  </si>
  <si>
    <t>,'1972641280'</t>
  </si>
  <si>
    <t>-- PartyId: 132078; CAQHId: 11912324</t>
  </si>
  <si>
    <t>OR CAQHID = '11559795'</t>
  </si>
  <si>
    <t>peh.ERROR_STATUS_DATE_TIME</t>
  </si>
  <si>
    <t>,e.*</t>
  </si>
  <si>
    <t>ON peh.ERROR_ID = e.ErrorID</t>
  </si>
  <si>
    <t>WHERE e.PartyID IN (</t>
  </si>
  <si>
    <t>--AND StatusID IN (1,2)</t>
  </si>
  <si>
    <t>ORDER BY e.PartyId,e.ErrorType</t>
  </si>
  <si>
    <t>WHERE PARTY_ID IN (132221)</t>
  </si>
  <si>
    <t>WHERE CAQHProviderID = '12695481'</t>
  </si>
  <si>
    <t xml:space="preserve">WHERE PartyID = 129797 </t>
  </si>
  <si>
    <t>FROM vw_RegistrationAffiliationDetail v</t>
  </si>
  <si>
    <t>WHERE v.AffilNPI = '1174601090'</t>
  </si>
  <si>
    <t>-- AND v.GroupTaxId IN ('204844296','582186447')</t>
  </si>
  <si>
    <t>SELECT * FROM vw_WorkflowProcessParameters WHERE REG_ID = 9463</t>
  </si>
  <si>
    <t>WHERE step.PROCESS_ID = 4926</t>
  </si>
  <si>
    <t>SELECT * FROM ERROR WHERE PartyID = 4926</t>
  </si>
  <si>
    <t>select * from SERVICE_LOCATION</t>
  </si>
  <si>
    <t>where PartyID = 130483</t>
  </si>
  <si>
    <t>select * from PROVIDER where PartyID = 129797</t>
  </si>
  <si>
    <t>select * from TRANSACTION_QUEUE where PARTY_ID = 129797</t>
  </si>
  <si>
    <t>EXEC usp_SaveTransaction 129797,47000,1,NULL,NULL,@DTM,@User</t>
  </si>
  <si>
    <t>Based on the errors we reviewed it appears you're closing them however the process to get Medicaid Ids and process affiliates appear to be where a gap might exist.</t>
  </si>
  <si>
    <t>It might help to do a quick refresh of the Phase 2 process related to the issues brought up in the CSR.</t>
  </si>
  <si>
    <t>1) One of the groups the individual provider has been affilited with must have a Group Medicaid Id. If they do not their first registration must be approved and successfully processed by the MMIS to get the Group Medicaid Id.</t>
  </si>
  <si>
    <t>2) Each individual affiliation must have a Base Medicaid Id. These can only be sent when one of the groups their affiliated with has a Group Medicaid Id.</t>
  </si>
  <si>
    <t>3) When #1 and #2 are satisfied then the affiliation can be sent.</t>
  </si>
  <si>
    <t>NPI: 1255362828 -- PartyId: 129797; CAQHId: 11559795</t>
  </si>
  <si>
    <t>This provider is not affiliated with any groups @ CAQH and no groups in PDMS</t>
  </si>
  <si>
    <t>NOTE: Could not find NPI indicated in CSR but the CAQH identified was associated with the above NPI.</t>
  </si>
  <si>
    <t>NPI: 1174601090 -- PartyId: 130483; CAQHId: 12008601</t>
  </si>
  <si>
    <t>This provider is affiliated with 4 groups @ CAQH and 1 group in PDMS (Reg Id: 9463).</t>
  </si>
  <si>
    <t>The group was just approved this morning @ 2014-09-10 10:05:24.567. Once the Group Medicaid Id is returned from the MMIS the Base Medicaid Id request should be sent and then the affiliation.</t>
  </si>
  <si>
    <t>NPI: 1730520321 -- PartyId: 132221; CAQHId: 12695481</t>
  </si>
  <si>
    <t>This provider is affiliated with 4 groups @ CAQH and 1 group in PDMS (Reg Id: 8864) which is still in Provider Data Entry.</t>
  </si>
  <si>
    <t>NPI: 1972641280 -- PartyId: 132078; CAQHId: 11912324</t>
  </si>
  <si>
    <t>This provider is affiliated with 2 groups @ CAQH and 1 group in PDMS (Reg Id: 9145) which is still in Provider Data Entry.</t>
  </si>
  <si>
    <t>select * from PROVIDER</t>
  </si>
  <si>
    <t>where CAQHID = '11729758' -- Pallermo PartyId: 14992</t>
  </si>
  <si>
    <t>--where CAQHID = '12301030'</t>
  </si>
  <si>
    <t>-- Cox party_id: 23726</t>
  </si>
  <si>
    <t xml:space="preserve">where CAQHID = '12007062' -- Arkava </t>
  </si>
  <si>
    <t>FROM SUBMIT_ROSTER_ONLINE_FORM srof</t>
  </si>
  <si>
    <t>LEFT JOIN STATUS s</t>
  </si>
  <si>
    <t>ON s.SubmitRosterID = srof.SUBMIT_ROSTER_PK</t>
  </si>
  <si>
    <t>WHERE s.PartyID IS NULL</t>
  </si>
  <si>
    <t>AND CAQHStatusID = 16 -- No CAQH Response</t>
  </si>
  <si>
    <t>AND CONVERT(date,SUBMITTED_DATE_TIME) &lt; '2014-08-01'</t>
  </si>
  <si>
    <t>select * from SUBMIT_ROSTER_ONLINE_FORM where LAST_NAME LIKE '%Arkava%'</t>
  </si>
  <si>
    <t>SELECT * FROM PROVIDER WHERE TaxID = '044641977'</t>
  </si>
  <si>
    <t>WHERE TaxID IN</t>
  </si>
  <si>
    <t>TaxID</t>
  </si>
  <si>
    <t>WHERE PartyTypeID = 15 -- Person</t>
  </si>
  <si>
    <t xml:space="preserve">Review P003 - P008 logic </t>
  </si>
  <si>
    <t>- send current logic to steve's team with some recommendations</t>
  </si>
  <si>
    <t>Find any individual service location, no hard errors and no service location txns</t>
  </si>
  <si>
    <t>Submit Roster Only with a CAQH Status of Reattested</t>
  </si>
  <si>
    <t>Search Exception Roster for Arkava - 1975-10-05 - NPI: 1780628776 - SSN: 044641977</t>
  </si>
  <si>
    <t>select * from ERROR where PartyId = 14992</t>
  </si>
  <si>
    <t>select</t>
  </si>
  <si>
    <t>,peh.*</t>
  </si>
  <si>
    <t>from PARTY_ERROR_HISTORY peh</t>
  </si>
  <si>
    <t>ON u.UserId = peh.LAST_MODIFIED_USER</t>
  </si>
  <si>
    <t>WHERE peh.ERROR_ID IN (89372,128196)</t>
  </si>
  <si>
    <t xml:space="preserve">select * from audit.A_RETURN_ROSTER_FILE </t>
  </si>
  <si>
    <t>where provider_id = '12301030' and operation = 'I'</t>
  </si>
  <si>
    <t>order by dateofaction</t>
  </si>
  <si>
    <t>,sl.PracticeID</t>
  </si>
  <si>
    <t>,sl.TaxID</t>
  </si>
  <si>
    <t>,sl.LastModifiedDateTime</t>
  </si>
  <si>
    <t>,ISNULL(e.Cnt,0) ErrorCount</t>
  </si>
  <si>
    <t>ON p.PartyID = sl.PartyID</t>
  </si>
  <si>
    <t>AND sl.MedicaidID IS NULL</t>
  </si>
  <si>
    <t>AND tq.TRANSACTION_QUEUE_ID IS NULL</t>
  </si>
  <si>
    <t>AND SL.TermDate IS NULL</t>
  </si>
  <si>
    <t>WHERE MEDICAID_PK = 46894</t>
  </si>
  <si>
    <t>AND Operation = 'I'</t>
  </si>
  <si>
    <t>FROM audit.A_PERSON</t>
  </si>
  <si>
    <t>WHERE PARTY_ID = 129669</t>
  </si>
  <si>
    <t>WHERE PartyID = 129669</t>
  </si>
  <si>
    <t>WHERE PartyId = 129669</t>
  </si>
  <si>
    <t>FROM vw_PartyCAQHId</t>
  </si>
  <si>
    <t>WHERE LogNumber &gt; 1350470</t>
  </si>
  <si>
    <t>AND LogNumber &lt; 1350480</t>
  </si>
  <si>
    <t>LogTimestamp &gt; '2014-07-07 06:27:25.407'</t>
  </si>
  <si>
    <t>AND LogTimestamp &lt; '2014-07-07 06:30:25.407'</t>
  </si>
  <si>
    <t>AND LogMessage LIKE '%10833217%'</t>
  </si>
  <si>
    <t>A: Yes, same proc called as for Imports/Adds</t>
  </si>
  <si>
    <t>A: Apparently old service locations (2 from 2013 and 2  in 2014 (4/2014 and ealier)</t>
  </si>
  <si>
    <t>/* get all individual service locations without Medicaid Ids */</t>
  </si>
  <si>
    <t>IF OBJECT_ID('tempdb..#NoMedi') IS NOT NULL DROP TABLE #NoMedi</t>
  </si>
  <si>
    <t>INTO #NoMedi</t>
  </si>
  <si>
    <t>AND MedicaidID IS NULL</t>
  </si>
  <si>
    <t>AND TermDate IS NULL</t>
  </si>
  <si>
    <t>/* SELECT * FROM #NoMedi */</t>
  </si>
  <si>
    <t>IF OBJECT_ID('Bug3546_AddServiceLocationTxn') IS NOT NULL DROP TABLE Bug3546_AddServiceLocationTxn</t>
  </si>
  <si>
    <t>,p.CAQHId</t>
  </si>
  <si>
    <t>,sl.ServicingAddressName</t>
  </si>
  <si>
    <t>,sl.ServicingAddress1</t>
  </si>
  <si>
    <t>,sl.GroupOrIndividual</t>
  </si>
  <si>
    <t>,ISNULL(ple.PartyErrorCount,0) PartyErrorCount</t>
  </si>
  <si>
    <t>,ISNULL(sle.SLErrorCount,0) SLErrorCount</t>
  </si>
  <si>
    <t>,m.DateOfAction</t>
  </si>
  <si>
    <t>,mpx.CAQH_PRACTICE_ID</t>
  </si>
  <si>
    <t>INTO Bug3546_AddServiceLocationTxn</t>
  </si>
  <si>
    <t>FROM #NoMedi sl</t>
  </si>
  <si>
    <t>WHERE Operation = 'I'</t>
  </si>
  <si>
    <t>) m</t>
  </si>
  <si>
    <t>ON m.MEDICAID_PK = sl.ServiceLocationID</t>
  </si>
  <si>
    <t>,COUNT(*) SLErrorCount</t>
  </si>
  <si>
    <t>) sle</t>
  </si>
  <si>
    <t>ON sle.ServiceLocationID = sl.ServiceLocationID</t>
  </si>
  <si>
    <t>,COUNT(*) PartyErrorCount</t>
  </si>
  <si>
    <t>AND ServiceLocationID IS NULL</t>
  </si>
  <si>
    <t>) ple</t>
  </si>
  <si>
    <t>ON ple.PartyId = sl.PartyID</t>
  </si>
  <si>
    <t>ON p.PartyId = sl.PartyId</t>
  </si>
  <si>
    <t>WHERE sl.ServiceLocationID NOT IN (</t>
  </si>
  <si>
    <t>SELECT MEDICAID_PK FROM TRANSACTION_QUEUE WHERE TRANSACTION_TYPE_ID IN (1,2)</t>
  </si>
  <si>
    <t>ORDER BY sl.ServiceLocationID</t>
  </si>
  <si>
    <t>,ServicingAddressName</t>
  </si>
  <si>
    <t>,ServicingAddress1</t>
  </si>
  <si>
    <t>FROM Bug3546_AddServiceLocationTxn</t>
  </si>
  <si>
    <t>WHERE SLErrorCount = 0 AND PartyErrorCount = 0</t>
  </si>
  <si>
    <t>WHERE ServiceLocationID IN (3974,11532,14922,23139)</t>
  </si>
  <si>
    <t>WHERE MEDICAID_PK IN (3974,11532,14922,23139)</t>
  </si>
  <si>
    <t>FROM audit.A_PDMS_STATUS</t>
  </si>
  <si>
    <t>WHERE PROVIDER_STATUS_ID IN (8982,14998,18339,28040)</t>
  </si>
  <si>
    <t>ORDER BY PROVIDER_STATUS_ID,DateOfAction</t>
  </si>
  <si>
    <t>,sl.TaxId</t>
  </si>
  <si>
    <t>WHERE NPI IN (</t>
  </si>
  <si>
    <t>'1093150575'</t>
  </si>
  <si>
    <t>,'1023093168'</t>
  </si>
  <si>
    <t>,'1922133404'</t>
  </si>
  <si>
    <t>,'1457685976'</t>
  </si>
  <si>
    <t>,'1841459120'</t>
  </si>
  <si>
    <t>,'1285617548'</t>
  </si>
  <si>
    <t>,'1649223447'</t>
  </si>
  <si>
    <t>,'1205917168')</t>
  </si>
  <si>
    <t xml:space="preserve">  </t>
  </si>
  <si>
    <t>drop tax id, add npi: Provider Name, NPI and Service Location Name (done)</t>
  </si>
  <si>
    <t xml:space="preserve">Q: does the UI changes create transactions </t>
  </si>
  <si>
    <t>Q: if an update comes in does it create transactions</t>
  </si>
  <si>
    <t>Investigate why they have Pending MMIS Submission but Service Location Errors &gt; 0 :: 3974,11532,14922,23139</t>
  </si>
  <si>
    <t>only do it for non-medicaid id</t>
  </si>
  <si>
    <t>how many service locations will go after cleanup</t>
  </si>
  <si>
    <t>query results to sent to Provider Services</t>
  </si>
  <si>
    <t>/* NPIs from Cathy */</t>
  </si>
  <si>
    <t>e.ErrorId</t>
  </si>
  <si>
    <t>,e.SubmitRosterID</t>
  </si>
  <si>
    <t>,e.ErrorDate</t>
  </si>
  <si>
    <t>,e.ErrorType</t>
  </si>
  <si>
    <t>,e.StatusID</t>
  </si>
  <si>
    <t>,vpc.CAQH_PIN</t>
  </si>
  <si>
    <t>,e.PartyId</t>
  </si>
  <si>
    <t>JOIN vw_PartyCAQHId vpc</t>
  </si>
  <si>
    <t>ON vpc.PARTY_ID = e.PartyId</t>
  </si>
  <si>
    <t>LEFT JOIN RETURN_ROSTER_FILE rrf</t>
  </si>
  <si>
    <t>ON rrf.PROVIDER_ID = vpc.CAQH_PIN</t>
  </si>
  <si>
    <t>WHERE rrf.NON_RESPONDER_FLAG = 'N'</t>
  </si>
  <si>
    <t>AND e.ErrorType = 'P008'</t>
  </si>
  <si>
    <t>SELECT * FROM RETURN_ROSTER_FILE WHERE NON_RESPONDER_FLAG = 'Y'</t>
  </si>
  <si>
    <t>AND PROVIDER_ID IN ('12474110') -- SELECT CAQH_PIN FROM vw_PartyCAQHId)</t>
  </si>
  <si>
    <t>select * from return_roster_file where provider_id = '12474110'</t>
  </si>
  <si>
    <t>select * from error where partyid = 130074</t>
  </si>
  <si>
    <t>SELECT top(1000) * FROM PARTY_ERROR_HISTORY ORDER BY LAST_MODIFIED_DATE_TIME DESC</t>
  </si>
  <si>
    <t xml:space="preserve">SELECT * INTO #e2 FROM ERROR WHERE ErrorType = 'P008' AND StatusID IN (1,2) -- 2233 </t>
  </si>
  <si>
    <t>SELECT * FROM ERROR WHERE ErrorID IN (SELECT ErrorID FROM #e1 a WHERE a.ErrorID NOT IN (SELECT ErrorID FROM #e2))</t>
  </si>
  <si>
    <t>e.*</t>
  </si>
  <si>
    <t>LEFT JOIN vw_RETURN_SUBMIT_ROSTER_PK v</t>
  </si>
  <si>
    <t>ON v.SUBMIT_ROSTER_PK = e.SubmitRosterID</t>
  </si>
  <si>
    <t>WHERE ErrorType = 'P008' AND StatusID IN (1,2) AND v.RETURN_ROSTER_PK IS NOT NULL</t>
  </si>
  <si>
    <t>SELECT * FROM ERROR WHERE ErrorType = 'P008' AND StatusID IN (1,2)</t>
  </si>
  <si>
    <t>s.*</t>
  </si>
  <si>
    <t>FROM RETURN_ROSTER_FILE rrf</t>
  </si>
  <si>
    <t>ON v.RETURN_ROSTER_PK = rrf.RETURN_ROSTER_PK</t>
  </si>
  <si>
    <t>JOIN STATUS s</t>
  </si>
  <si>
    <t>ON s.SubmitRosterID = v.SUBMIT_ROSTER_PK</t>
  </si>
  <si>
    <t>WHERE rrf.NON_RESPONDER_FLAG = 'Y' -- 3254</t>
  </si>
  <si>
    <t>AND v.RETURN_ROSTER_PK IS NOT NULL -- NULL:228, NOT NULL: 3026</t>
  </si>
  <si>
    <t>AND v.SUBMIT_ROSTER_PK NOT IN (SELECT SubmitRosterID FROM ERROR WHERE ErrorType = 'P008' AND StatusID IN (1,2))</t>
  </si>
  <si>
    <t>SELECT * FROM ERROR WHERE SubmitRosterID IN (19741,4125,7863,13231,7983,6041)</t>
  </si>
  <si>
    <t>WHERE rrf.NON_RESPONDER_FLAG = 'Y'</t>
  </si>
  <si>
    <t>AND e.StatusID = 1</t>
  </si>
  <si>
    <t>-----------------</t>
  </si>
  <si>
    <t>e.PartyID</t>
  </si>
  <si>
    <t>,v.SUBMIT_ROSTER_PK</t>
  </si>
  <si>
    <t>-- INTO #CloseP008</t>
  </si>
  <si>
    <t>JOIN vw_RETURN_SUBMIT_ROSTER_PK v</t>
  </si>
  <si>
    <t>s.PartyId</t>
  </si>
  <si>
    <t>,s.SubmitRosterID</t>
  </si>
  <si>
    <t>,err.ErrorTypeID</t>
  </si>
  <si>
    <t>FROM ERROR err</t>
  </si>
  <si>
    <t>ON s.SubmitRosterID = err.SubmitRosterID</t>
  </si>
  <si>
    <t>WHERE ErrorType = 'P008'</t>
  </si>
  <si>
    <t>AND err.StatusID IN (1,2)</t>
  </si>
  <si>
    <t>ON e.SubmitRosterID = v.SUBMIT_ROSTER_PK</t>
  </si>
  <si>
    <t>WHERE rrf.NON_RESPONDER_FLAG = 'N' -- -- Bug 3490: changed to N</t>
  </si>
  <si>
    <t xml:space="preserve">compare to current error </t>
  </si>
  <si>
    <t xml:space="preserve">1) if it shouldn't have an error close it out </t>
  </si>
  <si>
    <t>2) if it should send an email (and update Return Roster process)?</t>
  </si>
  <si>
    <t>,p.CAQHStatusID</t>
  </si>
  <si>
    <t>,rrf.STATUS_ID</t>
  </si>
  <si>
    <t>ON cst.CAQH_STATUS_TYPE_ID = p.CAQHStatusID</t>
  </si>
  <si>
    <t>LEFT JOIN ERROR e</t>
  </si>
  <si>
    <t>WHERE e.StatusID IN (1,2)</t>
  </si>
  <si>
    <t>AND e.ErrorTypeID IN (2,3,4,5,6,7)</t>
  </si>
  <si>
    <t>usp_Select</t>
  </si>
  <si>
    <t>WHERE STATUS_ID = 3</t>
  </si>
  <si>
    <t>AND NON_RESPONDER_FLAG = 'N'</t>
  </si>
  <si>
    <t xml:space="preserve">AND </t>
  </si>
  <si>
    <t>EXEC usp_SearchProvider '','','','','','','','','','',9</t>
  </si>
  <si>
    <t xml:space="preserve">SELECT TOP(1000) * </t>
  </si>
  <si>
    <t xml:space="preserve">FROM PARTY_ERROR_HISTORY </t>
  </si>
  <si>
    <t>WHERE ERROR_STATUS_DATE_TIME &gt; '2014-09-18 17:32:04.740'</t>
  </si>
  <si>
    <t>ORDER BY ERROR_STATUS_DATE_TIME DESC</t>
  </si>
  <si>
    <t>EXEC usp_SaveRosterStatuses @DTM,@User</t>
  </si>
  <si>
    <t>,8</t>
  </si>
  <si>
    <t>-- SELECT * FROM #CloseP008</t>
  </si>
  <si>
    <t>IF OBJECT_ID('tempdb..#CloseP008') IS NOT NULL DROP TABLE #CloseP008</t>
  </si>
  <si>
    <t>WHERE STATUS_ID IN (7,8) -- Initial Application Complete &amp; Reattestation</t>
  </si>
  <si>
    <t>AND NON_RESPONDER_FLAG = 'Y'</t>
  </si>
  <si>
    <t>ON sl.PartyId = e.PartyId</t>
  </si>
  <si>
    <t>WHERE e.ErrorType = 'P008'</t>
  </si>
  <si>
    <t>WHERE e.PartyID IS NULL</t>
  </si>
  <si>
    <t>COUNT(*)</t>
  </si>
  <si>
    <t>WHERE ErrorType = 'P003'</t>
  </si>
  <si>
    <t>-- DEV: 7172</t>
  </si>
  <si>
    <t>AND StatusID IN (1)</t>
  </si>
  <si>
    <t>-- DEV: 40</t>
  </si>
  <si>
    <t>WHERE ErrorType = 'P001'</t>
  </si>
  <si>
    <t>-- DEV: 5434</t>
  </si>
  <si>
    <t>-- AND StatusID IN (1)</t>
  </si>
  <si>
    <t>-- DEV: 62</t>
  </si>
  <si>
    <t>EXEC usp_SearchErrors '','','','','','','','','3','',9,1,200,1 -- DEV: 2235; INT Before: 3649</t>
  </si>
  <si>
    <t>SELECT * FROM ERROR WHERE ErrorId = 66249</t>
  </si>
  <si>
    <t>EXEC usp_SearchErrors '','','','','','','','','1','',9,1,200 -- 62</t>
  </si>
  <si>
    <t>EXEC usp_SearchErrors '','','','','','','','2','3','',9,1,200 -- 1999</t>
  </si>
  <si>
    <t>EXEC usp_SearchErrors '','','','','','','','','3','',9,1,200 -- 3649</t>
  </si>
  <si>
    <t xml:space="preserve">AND (@IdList &lt;&gt; '' </t>
  </si>
  <si>
    <t xml:space="preserve">OR (@ErrorStatusId = '' AND dbo.fn_GetPartyErrorStatus(ERROR.ErrorID, 0) &lt;&gt; 'Closed') </t>
  </si>
  <si>
    <t>OR (@ErrorStatusId = dbo.fn_GetPartyErrorStatus(ERROR.ErrorID, 1)) )</t>
  </si>
  <si>
    <t xml:space="preserve">AND (@SubmitRosterIdList &lt;&gt; '' </t>
  </si>
  <si>
    <t xml:space="preserve">OR(@ErrorStatusId = '' AND dbo.fn_GetPartyErrorStatus(pERR.ERROR_ID, 0) &lt;&gt; 'Closed') </t>
  </si>
  <si>
    <t>OR(@ErrorStatusId = dbo.fn_GetPartyErrorStatus(pERR.ERROR_ID, 1)) )</t>
  </si>
  <si>
    <t>/* P8 which should be closed */</t>
  </si>
  <si>
    <t>/* new provider, Initial Outreach or Expired Attestation (Initial Application Complete or Reattestation we should be able to process) */</t>
  </si>
  <si>
    <t>/* P8 which should have been sent an email */</t>
  </si>
  <si>
    <t>http://192.168.36.8/bugzilla/show_bug.cgi?id=3126</t>
  </si>
  <si>
    <t>IF OBJECT_ID('tempdb..#PracticeIndCount') IS NOT NULL DROP TABLE #PracticeIndCount</t>
  </si>
  <si>
    <t>, COUNT(*) CAQHPracticeCount</t>
  </si>
  <si>
    <t>INTO #PracticeIndCount</t>
  </si>
  <si>
    <t>GROUP BY PARTY_ID</t>
  </si>
  <si>
    <t>/* SELECT * FROM #PracticeIndCount */</t>
  </si>
  <si>
    <t>IF OBJECT_ID('tempdb..#SLIndCount') IS NOT NULL DROP TABLE #SLIndCount</t>
  </si>
  <si>
    <t>INTO #SLIndCount</t>
  </si>
  <si>
    <t>WHERE sl.PartyID IN (SELECT PartyId FROM PROVIDER WHERE PartyTypeID = 15)</t>
  </si>
  <si>
    <t>GROUP BY sl.PartyID</t>
  </si>
  <si>
    <t>,pic.CAQHPracticeCount</t>
  </si>
  <si>
    <t>FROM #SLIndCount sl</t>
  </si>
  <si>
    <t>LEFT JOIN #PracticeIndCount pic</t>
  </si>
  <si>
    <t xml:space="preserve">ON pic.party_id = sl.PartyID </t>
  </si>
  <si>
    <t>WHERE sl.SLCount &lt;&gt; pic.CAQHPracticeCount</t>
  </si>
  <si>
    <t>WHERE PartyID IN (124495,121452,123834,127184)</t>
  </si>
  <si>
    <t xml:space="preserve">FROM CAQH_PRACTICE_ID </t>
  </si>
  <si>
    <t>WHERE party_id IN (124495,121452,123834,127184)</t>
  </si>
  <si>
    <t>ORDER BY party_id</t>
  </si>
  <si>
    <t>WHERE PartyID = 122058</t>
  </si>
  <si>
    <t>DECLARE @IND_PRAC_CNT int = 0</t>
  </si>
  <si>
    <t>SELECT @IND_PRAC_CNT = COUNT(*)</t>
  </si>
  <si>
    <t>GROUP BY party_id</t>
  </si>
  <si>
    <t>HAVING (party_id = 122058)</t>
  </si>
  <si>
    <t>DECLARE @GRP_PRAC_CNT int = 0</t>
  </si>
  <si>
    <t>SELECT @GRP_PRAC_CNT = COUNT(*)</t>
  </si>
  <si>
    <t>WHERE CAQHProviderID = '12516915'</t>
  </si>
  <si>
    <t>AND CurrentlyPracticingFlag = 1</t>
  </si>
  <si>
    <t>-- shows 1 individual service location</t>
  </si>
  <si>
    <t>PRINT @IND_PRAC_CNT</t>
  </si>
  <si>
    <t>PRINT @GRP_PRAC_CNT</t>
  </si>
  <si>
    <t>it is missing the associated medicaid record</t>
  </si>
  <si>
    <t>c.*</t>
  </si>
  <si>
    <t>,x.MEDICAID_PK</t>
  </si>
  <si>
    <t>FROM CAQH_PRACTICE_ID c</t>
  </si>
  <si>
    <t>LEFT JOIN MEDICAID_ID_PRACTICE_XREF x</t>
  </si>
  <si>
    <t>ON x.CAQH_PRACTICE_ID = c.CAQH_PRACTICE_ID</t>
  </si>
  <si>
    <t>WHERE c.party_id = 122058</t>
  </si>
  <si>
    <t>FROM audit.A_MEDICAID_ID_PRACTICE_XREF x</t>
  </si>
  <si>
    <t>WHERE x.CAQH_PRACTICE_ID = 32549</t>
  </si>
  <si>
    <t>WHERE PROVIDER_ID = '12516915'</t>
  </si>
  <si>
    <t>-- Add all of the above SQL to [usp_ProcessAffiliations]</t>
  </si>
  <si>
    <t xml:space="preserve">and do not have a group confirmation </t>
  </si>
  <si>
    <t>IF OBJECT_ID('tempdb..#pendConf') IS NOT NULL DROP TABLE #pendConf</t>
  </si>
  <si>
    <t>a.ParentPartyID</t>
  </si>
  <si>
    <t>,a.ChildPartyID</t>
  </si>
  <si>
    <t>,a.AffiliationStatusID</t>
  </si>
  <si>
    <t>INTO Bug3013_AffiliationStatus</t>
  </si>
  <si>
    <t>g.PartyID GroupPartyId</t>
  </si>
  <si>
    <t>,gsl.TaxID GroupTaxId</t>
  </si>
  <si>
    <t>FROM PROVIDER g</t>
  </si>
  <si>
    <t>JOIN SERVICE_LOCATION gsl</t>
  </si>
  <si>
    <t>ON gsl.PartyID = g.PartyID</t>
  </si>
  <si>
    <t>WHERE g.PartyTypeID = 16 -- Organization</t>
  </si>
  <si>
    <t>) grp</t>
  </si>
  <si>
    <t>ON grp.GroupPartyId = a.ParentPartyID</t>
  </si>
  <si>
    <t>ON p.PartyID = a.ChildPartyID</t>
  </si>
  <si>
    <t>,GroupTaxID</t>
  </si>
  <si>
    <t xml:space="preserve">WHERE CurrentlyPracticingFlag = 1 </t>
  </si>
  <si>
    <t>AND Ignored = 0</t>
  </si>
  <si>
    <t>) cgpp</t>
  </si>
  <si>
    <t>AND cgpp.GroupTaxID = grp.GroupTaxId</t>
  </si>
  <si>
    <t>WHERE a.AffiliationStatusID = 2</t>
  </si>
  <si>
    <t>AND a.EndDate IS NULL -- Not Terminated</t>
  </si>
  <si>
    <t>AND cgpp.GroupTaxID IS NULL -- not affiliated at CAQH</t>
  </si>
  <si>
    <t>ORDER BY a.ParentPartyID,a.ChildPartyID</t>
  </si>
  <si>
    <t>SELECT * FROM #pendConf</t>
  </si>
  <si>
    <t>WHERE PARTY_ID IN (SELECT ParentPartyID FROM #pendConf)</t>
  </si>
  <si>
    <t>select * from person_organization</t>
  </si>
  <si>
    <t>WHERE NPI IN (SELECT NPI FROM #pendConf)</t>
  </si>
  <si>
    <t>AND REG_ID = 9494</t>
  </si>
  <si>
    <t>WHERE ParentPartyID = 109445</t>
  </si>
  <si>
    <t>AND ChildPartyID IN (SELECT ChildPartyID FROM #pendConf)</t>
  </si>
  <si>
    <t>DECLARE @RegId int = 9494</t>
  </si>
  <si>
    <t>EXEC usp_UpdateRegistrationAffiliations @RegId,@DTM,@User</t>
  </si>
  <si>
    <t>v.PARTY_ID</t>
  </si>
  <si>
    <t>,cduf.*</t>
  </si>
  <si>
    <t>ON v.CAQH_PIN = cduf.PROVIDER_ID</t>
  </si>
  <si>
    <t>WHERE cduf.PROVIDER_ID ='12452935'</t>
  </si>
  <si>
    <t>order by cduf.LOAD_FILE_NAME desc</t>
  </si>
  <si>
    <t>t.*</t>
  </si>
  <si>
    <t>ON u.UserId = t.LAST_MODIFIED_USER</t>
  </si>
  <si>
    <t>WHERE t.PARTY_ID = 28731</t>
  </si>
  <si>
    <t>FROM MEDICAID_ID</t>
  </si>
  <si>
    <t>WHERE PARTY_ID = 28753</t>
  </si>
  <si>
    <t>FROM audit.A_TAX_ID</t>
  </si>
  <si>
    <t>WHERE TAX_ID IN (9268,9269)</t>
  </si>
  <si>
    <t>ORDER BY TAX_ID,DateOfAction DESC</t>
  </si>
  <si>
    <t>,tipx.CAQH_PRACTICE_ID</t>
  </si>
  <si>
    <t>LEFT JOIN TAXID_PRACTICEID_XREF tipx</t>
  </si>
  <si>
    <t>ON tipx.TAX_ID = t.TAX_ID</t>
  </si>
  <si>
    <t>WHERE t.TAX_ID IN (9268,9269)</t>
  </si>
  <si>
    <t>WHERE PartyId = 28753</t>
  </si>
  <si>
    <t>select * from TAX_ID where PARTY_ID = 28753</t>
  </si>
  <si>
    <t xml:space="preserve">UPDATE PROVIDER </t>
  </si>
  <si>
    <t>SET TaxId = '431068831'</t>
  </si>
  <si>
    <t>--SET TaxId = '111111831'</t>
  </si>
  <si>
    <t>UPDATE SERVICE_LOCATION</t>
  </si>
  <si>
    <t>SET TaxId = '221111822'</t>
  </si>
  <si>
    <t>WHERE ServiceLocationID = 7288</t>
  </si>
  <si>
    <t>SET TaxId = '111111831'</t>
  </si>
  <si>
    <t>WHERE t.PARTY_ID = 28753</t>
  </si>
  <si>
    <t>-- get all TAX_IDs which were updated at 3AM</t>
  </si>
  <si>
    <t>--WHERE TAX_ID IN (9268,9269)</t>
  </si>
  <si>
    <t>WHERE datepart(hh,DateOfAction) = 3</t>
  </si>
  <si>
    <t>AND Operation = 'U'</t>
  </si>
  <si>
    <t>-- WHERE TAX_ID IN (52137,52139,52138,52137,52139,52138)</t>
  </si>
  <si>
    <t>PARTY_ID: 133184</t>
  </si>
  <si>
    <t>TAX_ID: 52137,52139,52138,52137,52139,52138</t>
  </si>
  <si>
    <t>WHERE PARTY_ID = 133184</t>
  </si>
  <si>
    <t>,BaseMedicaidId</t>
  </si>
  <si>
    <t>,ProviderId</t>
  </si>
  <si>
    <t xml:space="preserve">FROM SERVICE_LOCATION </t>
  </si>
  <si>
    <t>DECLARE @PARTY_ID int = 28753</t>
  </si>
  <si>
    <t>DECLARE @ProviderID</t>
  </si>
  <si>
    <t>varchar(80) = '333571233'</t>
  </si>
  <si>
    <t>DECLARE @LAST_MODIFIED_USER uniqueidentifier = dbo.fn_GetUniqueGUID(2)</t>
  </si>
  <si>
    <t>UPDATE PROVIDER</t>
  </si>
  <si>
    <t>SET ProviderId = @ProviderID</t>
  </si>
  <si>
    <t>,LastModifiedDateTime = @LAST_MODIFIED_DATE_TIME</t>
  </si>
  <si>
    <t>,LastModifiedUser = @LAST_MODIFIED_USER</t>
  </si>
  <si>
    <t>WHERE PartyId = @PARTY_ID</t>
  </si>
  <si>
    <t>DECLARE @MEDICARE_ID varchar(80) = '5526444'</t>
  </si>
  <si>
    <t>SET</t>
  </si>
  <si>
    <t xml:space="preserve"> BaseMedicaidId = @MEDICARE_ID</t>
  </si>
  <si>
    <t>WHERE cduf.SECTION_CHANGE = 'Practice Tax ID'</t>
  </si>
  <si>
    <t>AND cduf.FIELD_CHANGE = 'TaxTypeDescription'</t>
  </si>
  <si>
    <t>AND cduf.CHANGE_TYPE = 'Changed'</t>
  </si>
  <si>
    <t>AND cduf.PREVIOUS_VALUE = 'Individual'</t>
  </si>
  <si>
    <t>AND cduf.CURRENT_VALUE = 'Group'</t>
  </si>
  <si>
    <t>rp.*</t>
  </si>
  <si>
    <t>ON u.UserID = rp.LAST_MODIFIED_USER</t>
  </si>
  <si>
    <t>WHERE rp.REG_ID = 5231</t>
  </si>
  <si>
    <t>WHERE PARTY_ID = 132478</t>
  </si>
  <si>
    <t>-- Remove BA1EEC4F-CB00-48F1-9661-8A9BFB796027, associate F0C156D8-2B03-4CBF-ACA1-9809C9576A86</t>
  </si>
  <si>
    <t>FROM REGISTRATION</t>
  </si>
  <si>
    <t>WHERE REG_ID IN (5231,9283,9286)</t>
  </si>
  <si>
    <t>--WHERE NPI IN ('1821273913','1053385963')</t>
  </si>
  <si>
    <t>FROM USER_ACCOUNT_INFORMATION</t>
  </si>
  <si>
    <t>WHERE NPI IN ('1821273913','1053385963')</t>
  </si>
  <si>
    <t>FROM REGISTRATION_USER_XREF</t>
  </si>
  <si>
    <t>WHERE UserID IN ('F0C156D8-2B03-4CBF-ACA1-9809C9576A86','BA1EEC4F-CB00-48F1-9661-8A9BFB796027','F8EF77F0-F422-4407-8FF6-0CE403462A44')</t>
  </si>
  <si>
    <t>-- delete UrbanSmiles from BA1EEC4F-CB00-48F1-9661-8A9BFB796027</t>
  </si>
  <si>
    <t>DELETE FROM REGISTRATION_USER_XREF WHERE UserId = '[GUID]'</t>
  </si>
  <si>
    <t>DELETE FROM USER_ACCOUNT_INFORMATION WHERE UserId = '[GUID]'</t>
  </si>
  <si>
    <t>--DELETE FROM aspnet_UsersInRoles WHERE UserId = '[GUID]'</t>
  </si>
  <si>
    <t>--DELETE FROM aspnet_Users WHERE UserId = '[GUID]'</t>
  </si>
  <si>
    <t xml:space="preserve">SELECT * FROM vw_WorkflowProcessParameters </t>
  </si>
  <si>
    <t>WHERE REG_ID = 5231</t>
  </si>
  <si>
    <t>DECLARE @PROCESS_ID int = 4492</t>
  </si>
  <si>
    <t>SELECT * FROM PROVIDER WHERE NPI = '1053615955'</t>
  </si>
  <si>
    <t>SELECT * FROM ERROR WHERE PartyID = 110490</t>
  </si>
  <si>
    <t>SELECT * FROM PARTY_ERROR_HISTORY WHERE ERROR_ID = 147557</t>
  </si>
  <si>
    <t>SELECT * FROM TRANSACTION_QUEUE WHERE PARTY_ID = 134161</t>
  </si>
  <si>
    <t>SELECT * FROM vw_WorkflowProcessParameters v WHERE v.PARTY_ID = 134161</t>
  </si>
  <si>
    <t>WHERE step.PROCESS_ID = 4032</t>
  </si>
  <si>
    <t>IF OBJECT_ID('tempdb..#3435sl') IS NOT NULL DROP TABLE #3435sl</t>
  </si>
  <si>
    <t>,MedicaidId</t>
  </si>
  <si>
    <t>INTO #3435sl</t>
  </si>
  <si>
    <t>IF OBJECT_ID('tempdb..#3435_1') IS NOT NULL DROP TABLE #3435_1</t>
  </si>
  <si>
    <t>wfpp.PARTY_ID</t>
  </si>
  <si>
    <t>,wfpp.END_DATE_TIME WF_END_DATE_TIME</t>
  </si>
  <si>
    <t>,wfpp.PROCESS_ID</t>
  </si>
  <si>
    <t>,e.ErrorCount</t>
  </si>
  <si>
    <t>,wfs.END_DATE_TIME</t>
  </si>
  <si>
    <t>INTO #3435_1</t>
  </si>
  <si>
    <t>FROM vw_WorkflowProcessParameters wfpp</t>
  </si>
  <si>
    <t>,MAX(PROCESS_ID) PROCESS_ID</t>
  </si>
  <si>
    <t>) wfppMax</t>
  </si>
  <si>
    <t>ON wfppMax.PROCESS_ID = wfpp.PROCESS_ID</t>
  </si>
  <si>
    <t>,MAX(END_DATE_TIME) END_DATE_TIME</t>
  </si>
  <si>
    <t>WHERE TASK_ID IN (2,24,43)  -- Provider Review</t>
  </si>
  <si>
    <t>) wfs</t>
  </si>
  <si>
    <t>ON wfs.PROCESS_ID = wfpp.PROCESS_ID</t>
  </si>
  <si>
    <t>,MAX(ErrorDate) ErrorDate</t>
  </si>
  <si>
    <t>ON e.PartyId = wfpp.PARTY_ID</t>
  </si>
  <si>
    <t>ON p.PartyID = wfpp.PARTY_ID</t>
  </si>
  <si>
    <t>JOIN #3435sl sl</t>
  </si>
  <si>
    <t>ON sl.PartyId = p.PartyID</t>
  </si>
  <si>
    <t>WHERE wfpp.END_DATE_TIME IS NOT NULL</t>
  </si>
  <si>
    <t>AND ((wfs.END_DATE_TIME &lt; e.ErrorDate) OR wfs.PROCESS_ID IS NULL)</t>
  </si>
  <si>
    <t>IF OBJECT_ID('tempdb..#3435_2') IS NOT NULL DROP TABLE #3435_2</t>
  </si>
  <si>
    <t>,NULL ErrorDate</t>
  </si>
  <si>
    <t>INTO #3435_2</t>
  </si>
  <si>
    <t>JOIN WF_STEP wfs</t>
  </si>
  <si>
    <t>WHERE wfpp.END_DATE_TIME IS NULL</t>
  </si>
  <si>
    <t>AND wfs.END_DATE_TIME IS NULL</t>
  </si>
  <si>
    <t>AND wfs.TASK_ID IN (2,24,43)  -- Provider Review</t>
  </si>
  <si>
    <t>IF OBJECT_ID('tempdb..#3435OldErrors') IS NOT NULL DROP TABLE #3435OldErrors</t>
  </si>
  <si>
    <t>,e.ErrorTypeName</t>
  </si>
  <si>
    <t>INTO #3435OldErrors</t>
  </si>
  <si>
    <t>e.ErrorType LIKE 'M%'</t>
  </si>
  <si>
    <t>AND (e.PartyId IN (SELECT PARTY_ID FROM #3435_1)</t>
  </si>
  <si>
    <t>OR e.PartyId IN (SELECT PARTY_ID FROM #3435_2))</t>
  </si>
  <si>
    <t>ORDER BY p.NPI,e.ErrorType</t>
  </si>
  <si>
    <t>SELECT * FROM #3435OldErrors</t>
  </si>
  <si>
    <t>MAX(NPI)</t>
  </si>
  <si>
    <t>,ErrorType</t>
  </si>
  <si>
    <t>FROM #3435OldErrors</t>
  </si>
  <si>
    <t>IF OBJECT_ID('tempdb..#WFPP') IS NOT NULL DROP TABLE #WFPP</t>
  </si>
  <si>
    <t>,vwpp.*</t>
  </si>
  <si>
    <t xml:space="preserve">INTO #WFPP </t>
  </si>
  <si>
    <t>FROM vw_WorkflowProcessParameters vwpp</t>
  </si>
  <si>
    <t>ON rp.REG_ID = vwpp.REG_ID</t>
  </si>
  <si>
    <t xml:space="preserve">WHERE vwpp.REG_ID = 5035 </t>
  </si>
  <si>
    <t>/* SELECT * FROM #WFPP */</t>
  </si>
  <si>
    <t>from registration_user_xref</t>
  </si>
  <si>
    <t>where UserId in ('DE89DCAF-BF96-4D82-A854-C47E3E699524','C91687F8-BC2C-4FD7-872E-FF488EC18B6D'</t>
  </si>
  <si>
    <t>-- dmcknight19692)</t>
  </si>
  <si>
    <t>from USER_ACCOUNT_INFORMATION</t>
  </si>
  <si>
    <t>where userid in ('DE89DCAF-BF96-4D82-A854-C47E3E699524','C91687F8-BC2C-4FD7-872E-FF488EC18B6D')</t>
  </si>
  <si>
    <t>SELEC</t>
  </si>
  <si>
    <t>from audit.A_registration_user_xref</t>
  </si>
  <si>
    <t>WHERE vwpp.OWNER_ID IN (SELECT OWNER_ID FROM #WFPP)</t>
  </si>
  <si>
    <t>u.UserId</t>
  </si>
  <si>
    <t>,ur.Description RoleDescription</t>
  </si>
  <si>
    <t>FROM aspnet_Users u</t>
  </si>
  <si>
    <t>JOIN aspnet_UsersInRoles uir</t>
  </si>
  <si>
    <t>ON uir.UserId = u.UserId</t>
  </si>
  <si>
    <t>WHERE u.UserId IN (</t>
  </si>
  <si>
    <t>'DE89DCAF-BF96-4D82-A854-C47E3E699524'</t>
  </si>
  <si>
    <t>,'C91687F8-BC2C-4FD7-872E-FF488EC18B6D'</t>
  </si>
  <si>
    <t>WHERE PROCESS_ID IN (</t>
  </si>
  <si>
    <t>SELECT PROCESS_ID FROM WF_PROCESS WHERE OWNER_ID IN (SELECT OWNER_ID FROM #WFPP)</t>
  </si>
  <si>
    <t>-- reassign all workflows to 'DE89DCAF-BF96-4D82-A854-C47E3E699524'</t>
  </si>
  <si>
    <t>-- check all workflows, delete processes where nothing has happened in the process: 4720,4744,4745,4800</t>
  </si>
  <si>
    <t>WHERE pro.PROCESS_ID IN (</t>
  </si>
  <si>
    <t xml:space="preserve">SELECT step.PROCESS_ID, step.STEP_ID, task.TASK_ID, task.NAME 'Task Name', task.TASK_TYPE, task.CLASS_NAME, ISNULL(usr.UserName, '') 'Owner', </t>
  </si>
  <si>
    <t>WHERE step.PROCESS_ID IN (</t>
  </si>
  <si>
    <t>ORDER BY step.PROCESS_ID,step.STEP_ID</t>
  </si>
  <si>
    <t>REG_ID</t>
  </si>
  <si>
    <t>FROM audit.A_USER_ACCOUNT_INFORMATION uai</t>
  </si>
  <si>
    <t>WHERE uai.Operation = 'I'</t>
  </si>
  <si>
    <t>AND uai.UserID IN (SELECT OWNER_ID FROM #WFPP)</t>
  </si>
  <si>
    <t>WHERE PartyID = 119448 -- CAQH_ID: 10752373</t>
  </si>
  <si>
    <t>WHERE PROVIDER_NPI = '1225240476'</t>
  </si>
  <si>
    <t>FROM audit.A_RETURN_ROSTER_FILE</t>
  </si>
  <si>
    <t>WHERE PROVIDER_ID = '10752373'</t>
  </si>
  <si>
    <t>ORDER BY RETURN_ROSTER_PK</t>
  </si>
  <si>
    <t xml:space="preserve">WHERE PartyID = 119448 </t>
  </si>
  <si>
    <t>FROM PARTY_ERROR_HISTORY peh</t>
  </si>
  <si>
    <t>ON u.UserID = peh.LAST_MODIFIED_USER</t>
  </si>
  <si>
    <t>WHERE peh.ERROR_ID IN (131552,154958)</t>
  </si>
  <si>
    <t>ORDER BY peh.ERROR_ID, peh.ERROR_STATUS_DATE_TIME</t>
  </si>
  <si>
    <t>WHERE NPI = '1215372354' -- Old Party Id: 110815; New Party Id: 133646</t>
  </si>
  <si>
    <t>MMIS_STAGING_GROUP_PK</t>
  </si>
  <si>
    <t>,MMIS_STATUS_TYPE_ID</t>
  </si>
  <si>
    <t>,ERROR_CODE</t>
  </si>
  <si>
    <t>,MEDICAID_ID</t>
  </si>
  <si>
    <t>,TAX_ID_VALUE</t>
  </si>
  <si>
    <t>,EFFECTIVE_DATE</t>
  </si>
  <si>
    <t>,TERM_DATE</t>
  </si>
  <si>
    <t>WHERE PARTY_ID IN (110815,133646)</t>
  </si>
  <si>
    <t>rpst.REG_PROGRAM_STATUS_TYPE_INTERNAL</t>
  </si>
  <si>
    <t>,r.*</t>
  </si>
  <si>
    <t>WHERE r.REG_ID = 9668</t>
  </si>
  <si>
    <t>SELECT * FROM REG_TRANSFER_HISTORY WHERE REG_ID = 9668</t>
  </si>
  <si>
    <t>select * from REGISTRATION_STATUS_TYPE</t>
  </si>
  <si>
    <t>SELECT * F</t>
  </si>
  <si>
    <t>WHERE v.GROUP_PARTY_ID IN (110815,133646)</t>
  </si>
  <si>
    <t>FROM audit.A_REG_PROVIDER</t>
  </si>
  <si>
    <t>SELECT REG_ID</t>
  </si>
  <si>
    <t>WHERE NPI = '1215372354'</t>
  </si>
  <si>
    <t>ORDER BY REG_ID,DateOfAction</t>
  </si>
  <si>
    <t xml:space="preserve">ON u.UserID = ra.LAST_MODIFIED_USER </t>
  </si>
  <si>
    <t>WHERE ra.REG_ID IN (</t>
  </si>
  <si>
    <t>ORDER BY ra.REG_ID,ra.REG_AFFILIATION_ID</t>
  </si>
  <si>
    <t xml:space="preserve">ON u.UserID = rsl.LAST_MODIFIED_USER </t>
  </si>
  <si>
    <t>ORDER BY rsl.REG_ID</t>
  </si>
  <si>
    <t>,REG_AFFILIATION_ID</t>
  </si>
  <si>
    <t>,CASE ara.Operation WHEN 'I' THEN 'Insert' ELSE 'Update' END Operation</t>
  </si>
  <si>
    <t>,NAME</t>
  </si>
  <si>
    <t>,GROUP_AFFILIATION_STATUS_ID</t>
  </si>
  <si>
    <t>,MODIFIED_STATUS_TYPE_ID</t>
  </si>
  <si>
    <t>,CONVERT(date,START_DATE) START_DATE</t>
  </si>
  <si>
    <t>,CONVERT(date,END_DATE) END_DATE</t>
  </si>
  <si>
    <t xml:space="preserve">ON u.UserID = ara.LAST_MODIFIED_USER </t>
  </si>
  <si>
    <t>WHERE REG_ID = 9019</t>
  </si>
  <si>
    <t>ORDER BY ara.REG_AFFILIATION_ID,ara.DateOfAction</t>
  </si>
  <si>
    <t>SELECT * FROM GROUP_AFFILIATION_STATUS</t>
  </si>
  <si>
    <t>SELECT * FROM vw_UserAccountDetail WHERE UserName = 'cjburris'</t>
  </si>
  <si>
    <t>SELECT * FROM REGISTRATION_USER_XREF WHERE REG_ID = 9019</t>
  </si>
  <si>
    <t>WHERE REG_ID IN (8352,8741)</t>
  </si>
  <si>
    <t>Old Billing Id: Q002307</t>
  </si>
  <si>
    <t>New Billing Id: Q007190</t>
  </si>
  <si>
    <t xml:space="preserve">-- </t>
  </si>
  <si>
    <t>Kept original effective date, populated the end date with the effective date (9/20/2014)</t>
  </si>
  <si>
    <t>SELECT * FROM vw_WorkflowProcessParameters WHERE REG_ID IN (9015,9019)</t>
  </si>
  <si>
    <t>SELECT * FROM REG_ACH_EDISON WHERE REG_ID IN (7797,8515)</t>
  </si>
  <si>
    <t>SELECT * FROM REG_ACH_EDISON WHERE REG_ID IN (9015,9019)</t>
  </si>
  <si>
    <t>,am.Email</t>
  </si>
  <si>
    <t xml:space="preserve">FROM REG_AFFILIATION </t>
  </si>
  <si>
    <t>HAVING COUNT(*) = 5</t>
  </si>
  <si>
    <t>) rac</t>
  </si>
  <si>
    <t>ON rac.REG_ID = rp.REG_ID</t>
  </si>
  <si>
    <t>WHERE END_DATE IS NOT NULL</t>
  </si>
  <si>
    <t>AND MODIFIED_STATUS_TYPE_ID = 2</t>
  </si>
  <si>
    <t>HAVING COUNT(*) &gt; 0</t>
  </si>
  <si>
    <t>) rat</t>
  </si>
  <si>
    <t>ON rat.REG_ID = rp.REG_ID</t>
  </si>
  <si>
    <t>ON rux.REG_ID = rp.REG_ID</t>
  </si>
  <si>
    <t>ON u.UserId = rux.UserID</t>
  </si>
  <si>
    <t>JOIN aspnet_Membership am</t>
  </si>
  <si>
    <t>ON am.UserID = rux.UserID</t>
  </si>
  <si>
    <t>,MAX(REG_ID) REG_ID</t>
  </si>
  <si>
    <t>) maxReg</t>
  </si>
  <si>
    <t>ON maxReg.REG_ID = rp.REG_ID</t>
  </si>
  <si>
    <t>on r.REG_ID = maxreg.REG_ID</t>
  </si>
  <si>
    <t>WHERE r.REG_PROGRAM_STATUS_TYPE_ID = 2 -- Maintenance</t>
  </si>
  <si>
    <t>ORDER BY rp.REG_ID DESC</t>
  </si>
  <si>
    <t>select * from REG_PROGRAM_STATUS_TYPE_ID</t>
  </si>
  <si>
    <t>TAX_ID</t>
  </si>
  <si>
    <t>UserName</t>
  </si>
  <si>
    <t>Email</t>
  </si>
  <si>
    <t>VPACP</t>
  </si>
  <si>
    <t>lvissepo@woundphysicians.com</t>
  </si>
  <si>
    <t>Miami</t>
  </si>
  <si>
    <t>New REG_ID: 9367</t>
  </si>
  <si>
    <t>New TAX_ID: 463611999</t>
  </si>
  <si>
    <t xml:space="preserve">FROM REG_PROVIDER </t>
  </si>
  <si>
    <t>WHERE NPI = '1063848968'</t>
  </si>
  <si>
    <t>WHERE REG_ID IN (8525,9367)</t>
  </si>
  <si>
    <t>ON p.NPI = ara.NPI</t>
  </si>
  <si>
    <t>WHERE REG_ID = 9668</t>
  </si>
  <si>
    <t>changed Richard Fogel start date to 9/26/2014 (forgot screenshot)</t>
  </si>
  <si>
    <t>added Alan Powers end date to 9/26/2014 (then screenshot.7.png)</t>
  </si>
  <si>
    <t>changed Monica Peeler Start date to 9/26/2014 (then screenshot.8.png)</t>
  </si>
  <si>
    <t>added Vetra Gipson end date to 9/26/2014 (then screenshot.9.png)</t>
  </si>
  <si>
    <t>click Next and go back to Individual Providers  (then screenshot.10.png)</t>
  </si>
  <si>
    <t>changed Alberto Martinez start date to 9/25/2014 and added end date to 9/26/2014 (then screenshot.11.png)</t>
  </si>
  <si>
    <t xml:space="preserve">WHERE rp.REG_ID = 9668 </t>
  </si>
  <si>
    <t>Mickie D Preston termed on 12/4/2013</t>
  </si>
  <si>
    <t>All others not termed</t>
  </si>
  <si>
    <t>SELECT COUNT(*) FROM vw_RETURN_SUBMIT_ROSTER_PK_20141006</t>
  </si>
  <si>
    <t>SELECT COUNT(*) FROM vw_RETURN_SUBMIT_ROSTER_PK</t>
  </si>
  <si>
    <t>INTO vw_RETURN_SUBMIT_ROSTER_PK_20141006</t>
  </si>
  <si>
    <t>-- Production: 21817</t>
  </si>
  <si>
    <t>FROM vw_RETURN_SUBMIT_ROSTER_PK</t>
  </si>
  <si>
    <t>FROM v_20141006 v1</t>
  </si>
  <si>
    <t>LEFT JOIN vw_RETURN_SUBMIT_ROSTER_PK v2</t>
  </si>
  <si>
    <t>ON v1.SUBMIT_ROSTER_PK = v2.SUBMIT_ROSTER_PK</t>
  </si>
  <si>
    <t>AND v1.RETURN_ROSTER_PK = v2.RETURN_ROSTER_PK</t>
  </si>
  <si>
    <t>WHERE v2.RETURN_ROSTER_PK IS NULL</t>
  </si>
  <si>
    <t>-- Baseline: 477</t>
  </si>
  <si>
    <t>PLAN_PROVIDER_ID</t>
  </si>
  <si>
    <t xml:space="preserve">FROM RETURN_ROSTER_FILE </t>
  </si>
  <si>
    <t>GROUP BY PLAN_PROVIDER_ID</t>
  </si>
  <si>
    <t>-- #1: 0</t>
  </si>
  <si>
    <t>-- #2: 0</t>
  </si>
  <si>
    <t>-- #3: 0</t>
  </si>
  <si>
    <t>-- #4: 0</t>
  </si>
  <si>
    <t>RETURN_ROSTER_PK</t>
  </si>
  <si>
    <t xml:space="preserve">FROM vw_RETURN_SUBMIT_ROSTER_PK </t>
  </si>
  <si>
    <t>GROUP BY RETURN_ROSTER_PK</t>
  </si>
  <si>
    <t>-- baseline: 487</t>
  </si>
  <si>
    <t>-- #1: 14</t>
  </si>
  <si>
    <t>-- #2: 12</t>
  </si>
  <si>
    <t>-- #3: 12</t>
  </si>
  <si>
    <t>-- #4: 12</t>
  </si>
  <si>
    <t>GROUP BY SUBMIT_ROSTER_PK</t>
  </si>
  <si>
    <t xml:space="preserve">HAVING COUNT(*) &gt; 1 </t>
  </si>
  <si>
    <t>-------------------------------------</t>
  </si>
  <si>
    <t>FROM vw_RETURN_SUBMIT_ROSTER_PK v</t>
  </si>
  <si>
    <t>WHERE v.SUBMIT_ROSTER_PK = 20281</t>
  </si>
  <si>
    <t>rrf.RETURN_ROSTER_PK</t>
  </si>
  <si>
    <t>,s.SubmitRosterID SUBMIT_ROSTER_PK</t>
  </si>
  <si>
    <t>JOIN vw_PartyCAQHId v</t>
  </si>
  <si>
    <t>ON v.CAQH_PIN = rrf.PROVIDER_ID</t>
  </si>
  <si>
    <t>ON s.PartyID = v.PARTY_ID</t>
  </si>
  <si>
    <t>WHERE rrf.BIRTH_DATE IS NULL</t>
  </si>
  <si>
    <t xml:space="preserve">AND rrf.RETURN_ROSTER_PK NOT IN </t>
  </si>
  <si>
    <t>SELECT RETURN_ROSTER_PK</t>
  </si>
  <si>
    <t>WHERE SUBMIT_ROSTER_PK = 20887</t>
  </si>
  <si>
    <t>CONVERT(varchar(20),CONVERT(bigint,dbo.fn_GetNumbers(LICENSE_NUMBER)))</t>
  </si>
  <si>
    <t>,*</t>
  </si>
  <si>
    <t>WHERE RETURN_ROSTER_PK = 4565305</t>
  </si>
  <si>
    <t>SELECT * FROM PROVIDER WHERE NPI = '1467638650'</t>
  </si>
  <si>
    <t>SELECT * FROM RETURN_ROSTER_FILE WHERE RETURN_ROSTER_PK = 4691817</t>
  </si>
  <si>
    <t>SELECT * FROM SUBMIT_ROSTER_ONLINE_FORM WHERE LAST_NAME = 'Dickerson'</t>
  </si>
  <si>
    <t>SELECT * FROM vw_RETURN_SUBMIT_ROSTER_PK WHERE SUBMIT_ROSTER_PK = 20281</t>
  </si>
  <si>
    <t>SELECT * FROM Jobs ORDER BY StartTime</t>
  </si>
  <si>
    <t>--------------------------</t>
  </si>
  <si>
    <t xml:space="preserve"> Status Changes</t>
  </si>
  <si>
    <t>IF OBJECT_ID('tempdb..#cs1') IS NOT NULL DROP TABLE #cs1</t>
  </si>
  <si>
    <t>INTO #cs1</t>
  </si>
  <si>
    <t>FROM audit.A_CAQH_STATUS cs</t>
  </si>
  <si>
    <t>WHERE CONVERT(date,cs.DateOfAction) = '2014-10-06'</t>
  </si>
  <si>
    <t>SELECT * FROM #cs1</t>
  </si>
  <si>
    <t>IF OBJECT_ID('tempdb..#cs2') IS NOT NULL DROP TABLE #cs2</t>
  </si>
  <si>
    <t>INTO #cs2</t>
  </si>
  <si>
    <t>,MAX(A_CAQH_STATUS_ID) A_CAQH_STATUS_ID</t>
  </si>
  <si>
    <t>WHERE CONVERT(date,cs.DateOfAction) &lt; '2014-10-06'</t>
  </si>
  <si>
    <t>) csMax</t>
  </si>
  <si>
    <t>ON csMax.A_CAQH_STATUS_ID = cs.A_CAQH_STATUS_ID</t>
  </si>
  <si>
    <t>AND cs.PROVIDER_STATUS_ID IN (SELECT PROVIDER_STATUS_ID FROM #cs1)</t>
  </si>
  <si>
    <t>SELECT * FROM #cs2</t>
  </si>
  <si>
    <t>a.PROVIDER_STATUS_ID</t>
  </si>
  <si>
    <t>,a.CAQH_STATUS_TYPE_ID</t>
  </si>
  <si>
    <t>,csta.CAQH_STATUS_TYPE_DESCRIPTION</t>
  </si>
  <si>
    <t>,b.CAQH_STATUS_TYPE_ID</t>
  </si>
  <si>
    <t>,cstb.CAQH_STATUS_TYPE_DESCRIPTION</t>
  </si>
  <si>
    <t>FROM #cs2 a</t>
  </si>
  <si>
    <t>JOIN #cs1 b</t>
  </si>
  <si>
    <t>ON b.PROVIDER_STATUS_ID = a.PROVIDER_STATUS_ID</t>
  </si>
  <si>
    <t>JOIN CAQH_STATUS_TYPE csta</t>
  </si>
  <si>
    <t>ON csta.CAQH_STATUS_TYPE_ID = a.CAQH_STATUS_TYPE_ID</t>
  </si>
  <si>
    <t>JOIN CAQH_STATUS_TYPE cstb</t>
  </si>
  <si>
    <t>ON cstb.CAQH_STATUS_TYPE_ID = b.CAQH_STATUS_TYPE_ID</t>
  </si>
  <si>
    <t>WHERE a.CAQH_STATUS_TYPE_ID &lt;&gt; b.CAQH_STATUS_TYPE_ID</t>
  </si>
  <si>
    <t>SELECT * FROM PROVIDER_STATUS WHERE PROVIDER_STATUS_ID = 17320</t>
  </si>
  <si>
    <t>SELECT * FROM PROVIDER WHERE PartyID = 48055</t>
  </si>
  <si>
    <t>SELECT * FROM SUBMIT_ROSTER_ONLINE_FORM WHERE SUBMIT_ROSTER_PK = 20458</t>
  </si>
  <si>
    <t>SELECT * FROM vw_RETURN_SUBMIT_ROSTER_PK WHERE SUBMIT_ROSTER_PK = 20458</t>
  </si>
  <si>
    <t>SELECT * FROM RETURN_ROSTER_FILE WHERE RETURN_ROSTER_PK = 4699879</t>
  </si>
  <si>
    <t>a.CAQH_STATUS_TYPE_ID</t>
  </si>
  <si>
    <t>,COUNT(*) ChangeCount</t>
  </si>
  <si>
    <t>csta.CAQH_STATUS_TYPE_DESCRIPTION</t>
  </si>
  <si>
    <t>SELECT * FROM ERROR</t>
  </si>
  <si>
    <t>WHERE CONVERT(date,LastModifiedDateTime) = '2014-10-06'</t>
  </si>
  <si>
    <t>AND ErrorTypeID IN (3,4,5,6,7,8)</t>
  </si>
  <si>
    <t>DECLARE @AffilNPI varchar(10) = '1962754184 '</t>
  </si>
  <si>
    <t>DECLARE @BaseMedicaidId varchar(10)</t>
  </si>
  <si>
    <t>@PartyId = PartyID</t>
  </si>
  <si>
    <t>,@BaseMedicaidId = BaseMedicaidId</t>
  </si>
  <si>
    <t>WHERE NPI = @AffilNPI</t>
  </si>
  <si>
    <t>PRINT '@PartyId: ' + CONVERT(varchar,@PartyId)</t>
  </si>
  <si>
    <t>PRINT '@AffilNPI: ' + CONVERT(varchar,@AffilNPI)</t>
  </si>
  <si>
    <t>PRINT '@BaseMedicaidId: ' + CONVERT(varchar,@BaseMedicaidId)</t>
  </si>
  <si>
    <t>SELECT * FROM PROVIDER WHERE PartyID = 110128</t>
  </si>
  <si>
    <t>SELECT * FROM REG_PROVIDER WHERE REG_ID IN (365,7857,8379)</t>
  </si>
  <si>
    <t>WHERE ra.NPI = '1962754184'</t>
  </si>
  <si>
    <t>AND rp.NPI = '1437194222'</t>
  </si>
  <si>
    <t>WHERE v.GroupNPI = '1437194222'</t>
  </si>
  <si>
    <t>AND v.AffilNPI = '1962754184'</t>
  </si>
  <si>
    <t>WHERE MEDICAID_PK = 43468</t>
  </si>
  <si>
    <t>AND PARTY_ID = 110128</t>
  </si>
  <si>
    <t>DECLARE @DTM2 datetime = GETDATE()</t>
  </si>
  <si>
    <t>DECLARE @User2 uniqueidentifier = dbo.fn_GetUniqueGUID(2)</t>
  </si>
  <si>
    <t>,43468</t>
  </si>
  <si>
    <t>,@DTM2</t>
  </si>
  <si>
    <t>,@User2</t>
  </si>
  <si>
    <t>DECLARE @DTM3 datetime = GETDATE()</t>
  </si>
  <si>
    <t>DECLARE @User3 uniqueidentifier = dbo.fn_GetUniqueGUID(2)</t>
  </si>
  <si>
    <t>EXEC usp_ClosePDMSError</t>
  </si>
  <si>
    <t>,222</t>
  </si>
  <si>
    <t>,@DTM3</t>
  </si>
  <si>
    <t>,@User3</t>
  </si>
  <si>
    <t>SELECT * FROM REG_PROVIDER WHERE PARTY_ID = 123881</t>
  </si>
  <si>
    <t>SELECT * FROM audit.A_REG_AFFILIATION WHERE  NPI = '1255332003' AND REG_ID = 7926 ORDER BY DateOfAction</t>
  </si>
  <si>
    <t>SELECT * FROM ERROR WHERE PartyId IN (110128,123881) ORDER BY PartyId</t>
  </si>
  <si>
    <t>WHERE v.GROUP_PARTY_ID = 123881</t>
  </si>
  <si>
    <t>AND v.PARTY_ID = 110128</t>
  </si>
  <si>
    <t>where LogTimestamp &gt;= '2014-06-05 03:15:22.170'</t>
  </si>
  <si>
    <t>and LogTimestamp &lt;= '2014-06-05 03:15:46.990'</t>
  </si>
  <si>
    <t>,sl.PrimaryFlag</t>
  </si>
  <si>
    <t>WHERE p.PartyTypeId = 15 -- Person</t>
  </si>
  <si>
    <t>,TaxID</t>
  </si>
  <si>
    <t>WHERE PrimaryFlag = 1</t>
  </si>
  <si>
    <t>WHERE PartyID = 2719 -- CAQHID: 10808649</t>
  </si>
  <si>
    <t>AND TaxID = '621854369'</t>
  </si>
  <si>
    <t>WHERE PartyID = 5170 -- CAQHID: 10832522</t>
  </si>
  <si>
    <t>AND TaxID = '621827090'</t>
  </si>
  <si>
    <t>DECLARE @PId int = 133212</t>
  </si>
  <si>
    <t>EXEC usp_SavePrimaryFlags @PId,@DTM,@User</t>
  </si>
  <si>
    <t>SELECT * FROM SERVICE_LOCATION WHERE PartyID = 133212</t>
  </si>
  <si>
    <t>DECLARE cursor1_Bug3636 CURSOR FAST_FORWARD FOR</t>
  </si>
  <si>
    <t>AND p.PartyID NOT IN (2719,11114,28992,30062,32459,39682,51927,56648,59930,61163,62731,64770,68619</t>
  </si>
  <si>
    <t>,68834,76391,81048,93950,118936,118973,119957,121806,122980,126398)</t>
  </si>
  <si>
    <t>AND p.PartyID &gt; 60951</t>
  </si>
  <si>
    <t>ORDER BY p.PartyID</t>
  </si>
  <si>
    <t>OPEN cursor1_Bug3636</t>
  </si>
  <si>
    <t>FETCH NEXT FROM cursor1_Bug3636 INTO @PartyId</t>
  </si>
  <si>
    <t xml:space="preserve">WHILE @@Fetch_Status = 0 </t>
  </si>
  <si>
    <t xml:space="preserve">BEGIN </t>
  </si>
  <si>
    <t>PRINT '@PartyId: ' + ISNULL(CONVERT(varchar(20),@PartyId),'[NULL]')</t>
  </si>
  <si>
    <t>EXEC usp_SavePrimaryFlags @PartyId,@DTM,@User</t>
  </si>
  <si>
    <t>CLOSE cursor1_Bug3636</t>
  </si>
  <si>
    <t>DEALLOCATE cursor1_Bug3636</t>
  </si>
  <si>
    <t>-- Questions:</t>
  </si>
  <si>
    <t>----</t>
  </si>
  <si>
    <t>Put together list and sent to Cathy (Provider NPI, Tax Id, Service Location Id, Medicaid Id)</t>
  </si>
  <si>
    <t>-- To Do:</t>
  </si>
  <si>
    <t>-- To Do [completed]:</t>
  </si>
  <si>
    <t>with same Medicaid Id in UpdatePDMSDataAdminSvcLoc</t>
  </si>
  <si>
    <t>SELECT TOP(500) * FROM audit.A_LICENSE_MEDICAID_ID_XREF ORDER BY DateOfAction DESC</t>
  </si>
  <si>
    <t>SELECT TOP(500) * FROM audit.A_SPECIALTY_MEDICAID_ID_XREF ORDER BY DateOfAction DESC</t>
  </si>
  <si>
    <t>SELECT * FROM Bug3040_SetPrimaryFlag WHERE Processed IS NULL</t>
  </si>
  <si>
    <t>------------------------</t>
  </si>
  <si>
    <t>FROM LICENSE_MEDICAID_ID_XREF</t>
  </si>
  <si>
    <t>FROM SPECIALTY_MEDICAID_ID_XREF</t>
  </si>
  <si>
    <t>Show problems</t>
  </si>
  <si>
    <t>IF OBJECT_ID('tempdb..#ssn') IS NOT NULL DROP TABLE #ssn</t>
  </si>
  <si>
    <t>INTO #ssn</t>
  </si>
  <si>
    <t>WHERE TAX_ID_TYPE_ID = 15</t>
  </si>
  <si>
    <t>ORDER BY TAX_ID,DateOfAction</t>
  </si>
  <si>
    <t>IF OBJECT_ID('tempdb..#taxid') IS NOT NULL DROP TABLE #taxid</t>
  </si>
  <si>
    <t>INTO #taxid</t>
  </si>
  <si>
    <t>IF OBJECT_ID('tempdb..#multi') IS NOT NULL DROP TABLE #multi</t>
  </si>
  <si>
    <t>s.PARTY_ID</t>
  </si>
  <si>
    <t>,s.DateOfAction</t>
  </si>
  <si>
    <t>INTO #multi</t>
  </si>
  <si>
    <t>FROM #ssn s</t>
  </si>
  <si>
    <t>JOIN #taxid t</t>
  </si>
  <si>
    <t>ON t.DateOfAction = s.DateOfAction</t>
  </si>
  <si>
    <t>AND s.TAX_ID_VALUE = t.TAX_ID_VALUE</t>
  </si>
  <si>
    <t>ORDER BY s.DateOfAction</t>
  </si>
  <si>
    <t>IF OBJECT_ID('tempdb..#MultiUpdate') IS NOT NULL DROP TABLE #MultiUpdate</t>
  </si>
  <si>
    <t>INTO #MultiUpdate</t>
  </si>
  <si>
    <t>FROM audit.A_TAX_ID t</t>
  </si>
  <si>
    <t>FROM #multi</t>
  </si>
  <si>
    <t>ON multi.PARTY_ID = t.PARTY_ID</t>
  </si>
  <si>
    <t>AND multi.DateOfAction = t.DateOfAction</t>
  </si>
  <si>
    <t>t.DateOfAction DESC</t>
  </si>
  <si>
    <t>,t.PARTY_ID</t>
  </si>
  <si>
    <t>SELECT * FROM #MultiUpdate</t>
  </si>
  <si>
    <t>WHERE v.PARTY_ID = 50669</t>
  </si>
  <si>
    <t>AND (</t>
  </si>
  <si>
    <t>SECTION_CHANGE = 'Practice Tax ID' OR SECTION_CHANGE = 'Provider Personal Information'</t>
  </si>
  <si>
    <t xml:space="preserve">-- AND CONVERT(date,cduf.LAST_MODIFIED_DATE_TIME) = </t>
  </si>
  <si>
    <t>cduf.LOAD_FILE_NAME desc</t>
  </si>
  <si>
    <t>FROM TAX_ID</t>
  </si>
  <si>
    <t>WHERE PARTY_ID = 121118</t>
  </si>
  <si>
    <t>AND DateOfAction &gt; '2014-10-07 09:30:58.350'</t>
  </si>
  <si>
    <t>WHERE PartyID = 121118</t>
  </si>
  <si>
    <t>SET CAQHID = '11981624'</t>
  </si>
  <si>
    <t>-- SET LastAttestDate = '2014-09-21 14:44:24.000'</t>
  </si>
  <si>
    <t xml:space="preserve"> BaseMedicaidId = '4033389'</t>
  </si>
  <si>
    <t>-- SET NPI = '125530018'</t>
  </si>
  <si>
    <t>-- SET FirstName = 'TERRENCE'</t>
  </si>
  <si>
    <t>SELECT TOP(10) * FROM audit.A_PARTY_PROVIDER_TYPE_XREF WHERE DateOfAction &gt; '2014-10-07 12:26:50.770' ORDER BY DateOfAction DESC</t>
  </si>
  <si>
    <t>SELECT TOP(10) * FROM audit.A_COMMUNICATION_EVENT WHERE DateOfAction &gt; '2014-10-07 12:15:06.793' ORDER BY DateOfAction DESC</t>
  </si>
  <si>
    <t>SELECT TOP(10) * FROM audit.A_PROVIDER_PROPERTY WHERE DateOfAction &gt; '2014-10-07 10:28:21.340' ORDER BY DateOfAction DESC</t>
  </si>
  <si>
    <t>SELECT TOP(10) * FROM audit.A_TAX_ID WHERE DateOfAction &gt; '2014-10-07 12:16:32.607' ORDER BY DateOfAction DESC</t>
  </si>
  <si>
    <t>SELECT TOP(10) * FROM audit.A_MEDICAID_ID WHERE DateOfAction &gt; '2014-10-07 12:18:58.390' ORDER BY DateOfAction DESC</t>
  </si>
  <si>
    <t>SELECT TOP(10) * FROM audit.A_PARTY_IDENTIFICATION_NUMBER WHERE DateOfAction &gt; '2014-10-07 12:12:46.390' ORDER BY DateOfAction DESC</t>
  </si>
  <si>
    <t>SELECT TOP(10) * FROM audit.A_ORGANIZATION WHERE DateOfAction &gt; '2014-09-25 17:13:07.390' ORDER BY DateOfAction DESC</t>
  </si>
  <si>
    <t>SELECT TOP(10) * FROM audit.A_PERSON WHERE DateOfAction &gt; '2014-10-07 12:12:27.760' ORDER BY DateOfAction DESC</t>
  </si>
  <si>
    <t>IF OBJECT_ID('tempdb..#ein') IS NOT NULL DROP TABLE #ein</t>
  </si>
  <si>
    <t>INTO #ein</t>
  </si>
  <si>
    <t>a.PARTY_ID</t>
  </si>
  <si>
    <t>,a.TAX_ID</t>
  </si>
  <si>
    <t>,a.TAX_ID_TYPE_ID</t>
  </si>
  <si>
    <t>,a.TAX_ID_VALUE</t>
  </si>
  <si>
    <t>,b.TAX_ID_VALUE</t>
  </si>
  <si>
    <t>,ssn.TAX_ID_VALUE SSN</t>
  </si>
  <si>
    <t>,a.DateOfAction</t>
  </si>
  <si>
    <t>,m.LAST_MODIFIED_DATE_TIME</t>
  </si>
  <si>
    <t>FROM #ein a</t>
  </si>
  <si>
    <t>LEFT JOIN #ein b</t>
  </si>
  <si>
    <t>ON a.TAX_ID = b.TAX_ID</t>
  </si>
  <si>
    <t>ON tpx.TAX_ID = a.TAX_ID</t>
  </si>
  <si>
    <t>ON mpx.CAQH_PRACTICE_ID = tpx.CAQH_PRACTICE_ID</t>
  </si>
  <si>
    <t>JOIN MEDICAID_ID m</t>
  </si>
  <si>
    <t>ON m.MEDICAID_PK = mpx.MEDICAID_PK</t>
  </si>
  <si>
    <t>ON u.UserId = m.LAST_MODIFIED_USER</t>
  </si>
  <si>
    <t>WHERE TAX_ID_TYPE_ID = 15 -- 15: SSN</t>
  </si>
  <si>
    <t>) ssn</t>
  </si>
  <si>
    <t>ON ssn.PARTY_ID = a.PARTY_ID</t>
  </si>
  <si>
    <t>WHERE (a.DateOfAction &gt; b.DateOfAction AND a.TAX_ID_VALUE &lt;&gt; b.TAX_ID_VALUE)</t>
  </si>
  <si>
    <t>AND ssn.TAX_ID_VALUE = a.TAX_ID_VALUE</t>
  </si>
  <si>
    <t>a.DateOfAction DESC</t>
  </si>
  <si>
    <t>,a.PARTY_ID</t>
  </si>
  <si>
    <t>IF OBJECT_ID('tempdb..#pnpi') IS NOT NULL DROP TABLE #pnpi</t>
  </si>
  <si>
    <t>INTO #pnpi</t>
  </si>
  <si>
    <t>,COUNT(*) DupCnt</t>
  </si>
  <si>
    <t>WHERE PartyTypeID = 15</t>
  </si>
  <si>
    <t>WHERE NPI = '1538100565'</t>
  </si>
  <si>
    <t>WHERE REG_ID = '2690'</t>
  </si>
  <si>
    <t>WHERE PROCESS_ID = 151</t>
  </si>
  <si>
    <t>DECLARE @PROCESS_ID int = 151</t>
  </si>
  <si>
    <t xml:space="preserve">SELECT * FROM WF_STEP </t>
  </si>
  <si>
    <t>WHERE STEP_ID = 35231</t>
  </si>
  <si>
    <t>SELECT * FROM WF_ACTION</t>
  </si>
  <si>
    <t>WHERE TASK_ID = 10</t>
  </si>
  <si>
    <t xml:space="preserve">UPDATE WF_STEP </t>
  </si>
  <si>
    <t>SELECT * FROM vw_UserAccountDetail WHERE UserName = 'abeasley001'</t>
  </si>
  <si>
    <t>SELECT * FROM vw_UserAccountDetail WHERE RegistrationContactName LIKE '%April%'</t>
  </si>
  <si>
    <t>-- acarter001 :: 0A0A7444-5999-4849-9EF4-39C381C3BE2E</t>
  </si>
  <si>
    <t>SELECT * FROM vw_UserAccountDetail WHERE UserName = 'Reuel.easterling@parallon.net'</t>
  </si>
  <si>
    <t>WHERE PARTY_ID = 90834</t>
  </si>
  <si>
    <t>WHERE PROVIDER_TYPE_CODE = 37</t>
  </si>
  <si>
    <t>AND PROVIDER_SPECIALTY_CODE = 1494</t>
  </si>
  <si>
    <t>AND TAXONOMY_CODE = '363LF0000X'</t>
  </si>
  <si>
    <t>ORDER BY LAST_MODIFIED_DATE_TIME</t>
  </si>
  <si>
    <t>WHERE PROVIDER_ID = '11907758'</t>
  </si>
  <si>
    <t>,NPI_ID</t>
  </si>
  <si>
    <t>,LAST_MODIFIED_DATE_TIME</t>
  </si>
  <si>
    <t>,PROVIDER_TYPE_CODE</t>
  </si>
  <si>
    <t>,PROVIDER_SPECIALTY_CODE</t>
  </si>
  <si>
    <t>,TAXONOMY_CODE</t>
  </si>
  <si>
    <t>WHERE PARTY_ID IN (SELECT PartyId FROM #t1492)</t>
  </si>
  <si>
    <t>DECLARE @PartyId int = 90834 -- 90834</t>
  </si>
  <si>
    <t>SELECT * FROM TAXONOMY WHERE PartyID = @PartyId</t>
  </si>
  <si>
    <t>SELECT * FROM PARTY_PROVIDER_TYPE_XREF WHERE PARTY_ID = @PartyId</t>
  </si>
  <si>
    <t>SELECT * FROM vw_PartyCAQHId WHERE PARTY_ID = @PartyId</t>
  </si>
  <si>
    <t>SELECT * FROM audit.A_PARTY_PROVIDER_TYPE_XREF WHERE PARTY_ID = @PartyId ORDER BY DateOfAction DESC</t>
  </si>
  <si>
    <t>SELECT * FROM audit.A_PARTY_TAXONOMY WHERE PARTY_ID = @PartyId ORDER BY DateOfAction DESC</t>
  </si>
  <si>
    <t>SELECT * FROM audit.A_PARTY_SPECIALTY WHERE PARTY_ID = @PartyId ORDER BY DateOfAction DESC</t>
  </si>
  <si>
    <t>tt.*</t>
  </si>
  <si>
    <t>JOIN SPECIALTY s</t>
  </si>
  <si>
    <t>JOIN TAXONOMY_TYPE tt</t>
  </si>
  <si>
    <t xml:space="preserve">ON tt.PROVIDER_TYPE_ID = p.ProviderTypeID </t>
  </si>
  <si>
    <t>AND tt.SPECIALTY_TYPE_ID = s.SpecialtyTypeID</t>
  </si>
  <si>
    <t>LEFT JOIN TAXONOMY t</t>
  </si>
  <si>
    <t>ON t.PartyID = p.PartyID</t>
  </si>
  <si>
    <t>WHERE s.PrimaryFlag = 1</t>
  </si>
  <si>
    <t>AND t.PartyID IS NULL</t>
  </si>
  <si>
    <t>AND p.PartyID = 136394</t>
  </si>
  <si>
    <t xml:space="preserve">SELECT * FROM TAXONOMY_TYPE </t>
  </si>
  <si>
    <t>WHERE PROVIDER_TYPE_ID = 37</t>
  </si>
  <si>
    <t>AND SPECIALTY_TYPE_ID = 1494</t>
  </si>
  <si>
    <t>FROM TAXONOMY_TYPE</t>
  </si>
  <si>
    <t xml:space="preserve">WHERE PROVIDER_TYPE_ID = 37 </t>
  </si>
  <si>
    <t xml:space="preserve">AND SPECIALTY_TYPE_ID = 1494 </t>
  </si>
  <si>
    <t>WHERE TAXONOMY_CODE = '363LF0000X'</t>
  </si>
  <si>
    <t>EXEC usp_SaveBusinessRuleErrors 136394,@DTM,@User</t>
  </si>
  <si>
    <t>EXEC usp_SavePrimaryFlags 136394,@DTM,@User</t>
  </si>
  <si>
    <t>DELETE FROM TAXONOMY WHERE PartyID = 136394</t>
  </si>
  <si>
    <t>WHERE LogTimestamp &gt; '2014-09-25 06:10:00.250'</t>
  </si>
  <si>
    <t>AND LogTimestamp &lt; '2014-09-25 06:11:23.250'</t>
  </si>
  <si>
    <t>tt.TAXONOMY_TYPE_ID</t>
  </si>
  <si>
    <t>,tt.TAXONOMY_CODE</t>
  </si>
  <si>
    <t>,tt.TAXONOMY_NAME</t>
  </si>
  <si>
    <t>,st.SPECIALTY_TYPE_ID</t>
  </si>
  <si>
    <t>,st.SPECIALTY_TYPE_NAME</t>
  </si>
  <si>
    <t>,pt.PROVIDER_TYPE_ID</t>
  </si>
  <si>
    <t>,pt.PROVIDER_TYPE_NAME</t>
  </si>
  <si>
    <t>FROM TAXONOMY_TYPE tt</t>
  </si>
  <si>
    <t>JOIN SPECIALTY_TYPE st</t>
  </si>
  <si>
    <t>ON st.SPECIALTY_TYPE_ID = tt.SPECIALTY_TYPE_ID</t>
  </si>
  <si>
    <t>JOIN PROVIDER_TYPE pt</t>
  </si>
  <si>
    <t>ON pt.PROVIDER_TYPE_ID = tt.PROVIDER_TYPE_ID</t>
  </si>
  <si>
    <t>WHERE tt.TAXONOMY_CODE = '363LF0000X'</t>
  </si>
  <si>
    <t>AND tt.PROVIDER_TYPE_ID = 37</t>
  </si>
  <si>
    <t>SELECT * FROM SPECIALTY_TYPE WHERE SPECIALTY_TYPE_ID IN (1492,1494)</t>
  </si>
  <si>
    <t>IF OBJECT_ID('tempdb..#t1492') IS NOT NULL DROP TABLE #t1492</t>
  </si>
  <si>
    <t>,sl.LocCnt</t>
  </si>
  <si>
    <t>INTO #t1492</t>
  </si>
  <si>
    <t xml:space="preserve">FROM PROVIDER p </t>
  </si>
  <si>
    <t>JOIN TAXONOMY t</t>
  </si>
  <si>
    <t>ON t.PartyId = p.PartyId</t>
  </si>
  <si>
    <t>WHERE t.PrimaryFlag = 1</t>
  </si>
  <si>
    <t>AND t.TaxonomyTypeID = 3871</t>
  </si>
  <si>
    <t>ORDER BY p.PartyId</t>
  </si>
  <si>
    <t>SELECT * FROM #t1492</t>
  </si>
  <si>
    <t>FROM MMISTaxo mmis</t>
  </si>
  <si>
    <t>LEFT JOIN TAXONOMY_TYPE tt</t>
  </si>
  <si>
    <t>ON tt.TAXONOMY_CODE = mmis.CAQH_TAXONOMY</t>
  </si>
  <si>
    <t>AND tt.SPECIALTY_TYPE_ID = mmis.CAQH_SPECIALTY</t>
  </si>
  <si>
    <t>AND tt.PROVIDER_TYPE_ID = mmis.CAQH_TYPE</t>
  </si>
  <si>
    <t>WHERE mmis.CAQH_TAXONOMY IS NULL</t>
  </si>
  <si>
    <t>pt.PROVIDER_TYPE_ID</t>
  </si>
  <si>
    <t>,pt.MMIS_PROVIDER_TYPE_ID</t>
  </si>
  <si>
    <t>,st.MMIS_SPECIALTY_TYPE_ID</t>
  </si>
  <si>
    <t>,tt.*</t>
  </si>
  <si>
    <t>LEFT JOIN PROVIDER_TYPE pt</t>
  </si>
  <si>
    <t>LEFT JOIN SPECIALTY_TYPE st</t>
  </si>
  <si>
    <t>WHERE pt.MMIS_PROVIDER_TYPE_ID IN ('08')</t>
  </si>
  <si>
    <t>-- 193200000X::193200000X</t>
  </si>
  <si>
    <t>--WHERE pt.MMIS_PROVIDER_TYPE_ID IN ('08','32','33')</t>
  </si>
  <si>
    <t>SELECT * FROM PROVIDER_TYPE WHERE MMIS_PROVIDER_TYPE_ID IS NOT NULL</t>
  </si>
  <si>
    <t>59 -- No Taxonomy for this PROVIDER_TYPE_ID</t>
  </si>
  <si>
    <t>PROVIDER_TYPE</t>
  </si>
  <si>
    <t>,SPECIALTY</t>
  </si>
  <si>
    <t>,TAXONOMY</t>
  </si>
  <si>
    <t>s.PartyID</t>
  </si>
  <si>
    <t>,MIN(s.StatusID) StatusID</t>
  </si>
  <si>
    <t>INTO Bug3774_FixDupStatus</t>
  </si>
  <si>
    <t>WHERE s.PartyID IN (SELECT PartyID FROM #pd)</t>
  </si>
  <si>
    <t>ORDER BY s.PartyID</t>
  </si>
  <si>
    <t>SELECT TOP(300) * FROM audit.A_PROVIDER_STATUS ORDER BY DateOfAction DESC</t>
  </si>
  <si>
    <t>SELECT * FROM STATUS WHERE PartyID IN (607,2230)</t>
  </si>
  <si>
    <t xml:space="preserve">SELECT * FROM MMIS_STAGING_GROUP WHERE MMIS_STAGING_GROUP_PK = 30736 </t>
  </si>
  <si>
    <t>SELECT * FROM MMIS_STAGING_GROUP WHERE NPI = '1427481753'</t>
  </si>
  <si>
    <t>SELECT * FROM MEDICAID_ID WHERE PARTY_ID = 132557</t>
  </si>
  <si>
    <t>, TRANSACTION_TYPE_ID</t>
  </si>
  <si>
    <t>WHERE MMIS_STAGING_GROUP_PK = 10840</t>
  </si>
  <si>
    <t>SELECT sl.ServiceLocationID</t>
  </si>
  <si>
    <t xml:space="preserve">JOIN SERVICE_LOCATION sl ON sl.PartyID = p.PartyID </t>
  </si>
  <si>
    <t>WHERE p.PartyID = 132557</t>
  </si>
  <si>
    <t>UPDATE MEDICAID_ID</t>
  </si>
  <si>
    <t>SET MEDICAID_ID = 'Q007026'</t>
  </si>
  <si>
    <t>WHERE MEDICAID_PK = 48595</t>
  </si>
  <si>
    <t>AND (MEDICAID_ID &lt;&gt; 'Q007026' OR MEDICAID_ID IS NULL)</t>
  </si>
  <si>
    <t>SELECT * FROM PROVIDER WHERE PartyId = 132557</t>
  </si>
  <si>
    <t>SELECT * FROM SERVICE_LOCATION WHERE PartyId = 132557</t>
  </si>
  <si>
    <t>SELECT * FROM REG_PROVIDER WHERE PARTY_ID = 132557</t>
  </si>
  <si>
    <t>SELECT * FROM TRANSACTION_QUEUE WHERE PARTY_ID = 132557</t>
  </si>
  <si>
    <t>SELECT REG_ID,REG_SERVICE_LOCATION_ID,SERVICE_LOCATION_ID,MEDICAID_ID,DateOfAction</t>
  </si>
  <si>
    <t>FROM audit.A_REG_SERVICE_LOCATION WHERE REG_ID = 8930 ORDER BY DateOfAction</t>
  </si>
  <si>
    <t>WHERE LogTimestamp &gt;= '2014-08-29 08:51:00.950'</t>
  </si>
  <si>
    <t>AND LogTimestamp &lt;= '2014-08-29 08:51:40.950'</t>
  </si>
  <si>
    <t>--WHERE LogTimestamp &gt;= '2014-08-14 03:15:00.017'</t>
  </si>
  <si>
    <t>AND LogTimestamp &lt;= '2014-08-14 03:15:59.017'</t>
  </si>
  <si>
    <t>SELECT * FROM audit.A_MMIS_STAGING_GROUP WHERE MMIS_STAGING_GROUP_PK = 10840 ORDER BY DateOfAction</t>
  </si>
  <si>
    <t>SELECT * FROM audit.A_MEDICAID_ID WHERE MEDICAID_PK = 48595 ORDER BY DateOfAction --- cleared out on 2014-08-29 08:51:21.950</t>
  </si>
  <si>
    <t>SELECT * FROM REG_TRANSFER_HISTORY WHERE REG_ID = 8930 OR PARTY_ID = 132557</t>
  </si>
  <si>
    <t>SELECT * FROM aspnet_Users WHERE UserID = '842BBCFF-13F6-490F-89E5-4CC54C5B2DD0'</t>
  </si>
  <si>
    <t>SELECT * FROM audit.A_REG_PROVIDER WHERE REG_ID = 8930</t>
  </si>
  <si>
    <t>SELECT * FROM audit.A_REG_SERVICE_LOCATION WHERE REG_ID = 8930</t>
  </si>
  <si>
    <t>b.PartyID</t>
  </si>
  <si>
    <t>,b.ServiceLocationID</t>
  </si>
  <si>
    <t>,b.MedicaidID</t>
  </si>
  <si>
    <t>FROM Bug3816_UpdateMedicaidId b</t>
  </si>
  <si>
    <t>WHERE NPI = '1578821070'</t>
  </si>
  <si>
    <t>WHERE REG_ID IN (7841,7842)</t>
  </si>
  <si>
    <t>WHERE REG_ID IN (5221,7841,7842)</t>
  </si>
  <si>
    <t>EXEC usp_WF_SelectRegistrationWorkflows '74BCDC7A-384D-4CF6-B075-606EBA070E10'</t>
  </si>
  <si>
    <t>WHERE PROCESS_ID IN (2660,2661)</t>
  </si>
  <si>
    <t>WHERE step.PROCESS_ID = 2661</t>
  </si>
  <si>
    <t>DECLARE @PROCESS_ID int = 2660</t>
  </si>
  <si>
    <t>NAME</t>
  </si>
  <si>
    <t>,TAX_ID</t>
  </si>
  <si>
    <t>WHERE REG_ID IN</t>
  </si>
  <si>
    <t>WHERE PROCESS_ID IN (3029,3016,2958,2954,2756,2755,2660,2588,2442)</t>
  </si>
  <si>
    <t>SELECT COUNT(*) FROM Bug3040_SetPrimaryFlag WHERE Processed IS NULL</t>
  </si>
  <si>
    <t>-- 1 primary per Tax Id</t>
  </si>
  <si>
    <t>-- 1 Medicaid Id per Tax Id</t>
  </si>
  <si>
    <t>IF OBJECT_ID('tempdb..#midti') IS NOT NULL DROP TABLE #midti</t>
  </si>
  <si>
    <t>,ISNULL(MedicaidId,0) MedicaidId</t>
  </si>
  <si>
    <t>INTO #midti</t>
  </si>
  <si>
    <t>WHERE TermDate IS NULL</t>
  </si>
  <si>
    <t>,ISNULL(MedicaidId,0)</t>
  </si>
  <si>
    <t>a.PartyID</t>
  </si>
  <si>
    <t>,a.TaxID</t>
  </si>
  <si>
    <t>,a.MedicaidId</t>
  </si>
  <si>
    <t>,b.MedicaidId</t>
  </si>
  <si>
    <t>FROM #midti a</t>
  </si>
  <si>
    <t>JOIN #midti b</t>
  </si>
  <si>
    <t>ON a.PartyId = b.PartyId</t>
  </si>
  <si>
    <t>AND a.TaxID = b.TaxID</t>
  </si>
  <si>
    <t>WHERE a.MedicaidId &lt;&gt; b.MedicaidId</t>
  </si>
  <si>
    <t>-- SELECT * FROM SERVICE_LOCATION WHERE PartyId = 6536 AND TaxId = '621759107'</t>
  </si>
  <si>
    <t>COUNT(*) LocationCount</t>
  </si>
  <si>
    <t>WHERE ServiceLocationID IN (SELECT ServiceLocationID FROM ERROR WHERE StatusID IN (1,2) AND HardSoft = 'H')</t>
  </si>
  <si>
    <t>AND PrimaryFlag = 0</t>
  </si>
  <si>
    <t>AND PartyTypeID = 15 -- Person (AKA Individual)</t>
  </si>
  <si>
    <t>/* Details</t>
  </si>
  <si>
    <t>ON sl.ServiceLocationID = e.ServiceLocationID</t>
  </si>
  <si>
    <t>AND sl.PrimaryFlag = 0</t>
  </si>
  <si>
    <t>WHERE CONVERT(date,LastModifiedDateTime) = CONVERT(date,GETDATE())</t>
  </si>
  <si>
    <t>ORDER BY LastModifiedDateTime DESC</t>
  </si>
  <si>
    <t>1) Change Medicaid Id on Primary and verify all non-primary updated with same medicaid id (CAQHId: 10915242)</t>
  </si>
  <si>
    <t>2) Update which adds a service location with same Tax Id and verify Medicaid Id carries over to new service location</t>
  </si>
  <si>
    <t xml:space="preserve">3) Update which deletes all service locations with a specific Tax Id and then a latter update adds </t>
  </si>
  <si>
    <t>a service location back with a tax id and the old medicaid id is picked up</t>
  </si>
  <si>
    <t>Analysis Queries</t>
  </si>
  <si>
    <t>sl.PartyId</t>
  </si>
  <si>
    <t>,sl.CAQHID</t>
  </si>
  <si>
    <t>WHERE sl.PartyID = 133047 -- CAQHId: 10915242</t>
  </si>
  <si>
    <t>Medicaid Id</t>
  </si>
  <si>
    <t>Q007236</t>
  </si>
  <si>
    <t>SELECT * FROM MEDICAID_ID_REFERENCE WHERE CAQH_PIN = 10915242</t>
  </si>
  <si>
    <t>@PartyId: 110128</t>
  </si>
  <si>
    <t>@AffilNPI: 1962754184</t>
  </si>
  <si>
    <t>@BaseMedicaidId: 1533513</t>
  </si>
  <si>
    <t>SELECT * FROM REG_AFFILIATION WHERE NPI = '1962754184'</t>
  </si>
  <si>
    <t>JOIN vw_PartyCAQHID v</t>
  </si>
  <si>
    <t>ON v.PARTY_ID = PartyID</t>
  </si>
  <si>
    <t>SELECT * FROM PROVIDER WHERE PartyID = 22802</t>
  </si>
  <si>
    <t xml:space="preserve">SELECT PartyID,ServiceLocationID,TaxID,TermDate,TermEnrollmentStatus,PrimaryFlag FROM SERVICE_LOCATION </t>
  </si>
  <si>
    <t>WHERE PartyID = 22802</t>
  </si>
  <si>
    <t>,PrimaryFlag</t>
  </si>
  <si>
    <t>WHERE PartyID = 132963</t>
  </si>
  <si>
    <t>EXEC usp_SavePrimaryFlags 119043,@DTM,@User</t>
  </si>
  <si>
    <t>SELECT * FROM MEDICAID_ID_REFERENCE ORDER BY LAST_MODIFIED_DATE_TIME</t>
  </si>
  <si>
    <t>WHERE CAQHID = '12249484'</t>
  </si>
  <si>
    <t>ORDER BY TaxID</t>
  </si>
  <si>
    <t>ORDER BY FileDateTime DESC</t>
  </si>
  <si>
    <t xml:space="preserve">SELECT DISTINCT TOP(5) </t>
  </si>
  <si>
    <t>ORDER BY LOAD_FILE_NAME DESC</t>
  </si>
  <si>
    <t>SELECT TOP(500) * FROM Log ORDER BY LogNumber DESC</t>
  </si>
  <si>
    <t xml:space="preserve">SELECT TOP(10) LOAD_FILE_NAME,CONVERT(date,LOAD_FILE_DATE_TIME) LOAD_FILE_DATE,COUNT(*) CNT </t>
  </si>
  <si>
    <t>FROM DATA_SUMMARY_FILE GROUP BY LOAD_FILE_NAME,CONVERT(date,LOAD_FILE_DATE_TIME) ORDER BY 2 DESC</t>
  </si>
  <si>
    <t xml:space="preserve">SELECT TOP(10) LOAD_FILE_NAME,CONVERT(date,LAST_MODIFIED_DATE_TIME) LAST_MODIFIED_DATE,COUNT(*) CNT </t>
  </si>
  <si>
    <t>FROM CAQH_DATA_UPDATE_FILE GROUP BY LOAD_FILE_NAME,CONVERT(date,LAST_MODIFIED_DATE_TIME) ORDER BY 2 DESC</t>
  </si>
  <si>
    <t>SELECT * FROM PROVIDER WHERE PartyID = 133047</t>
  </si>
  <si>
    <t>SET BaseMedicaidID = NULL</t>
  </si>
  <si>
    <t>WHERE PartyID = 133047</t>
  </si>
  <si>
    <t xml:space="preserve">SELECT TOP(100) * </t>
  </si>
  <si>
    <t xml:space="preserve">FROM audit.A_MEDICAID_ID </t>
  </si>
  <si>
    <t>WHERE PartyID IN</t>
  </si>
  <si>
    <t>(138240,138238,138236,138232,138227,138226,138220,138218,138217,138212,138210</t>
  </si>
  <si>
    <t>,138191,138185,138184,138183,138180,138173,138168,138165,138161,138156</t>
  </si>
  <si>
    <t>,138151,138147,138145)</t>
  </si>
  <si>
    <t xml:space="preserve">tq.* </t>
  </si>
  <si>
    <t>FROM Bug3381_SendAffiliations_20141010 b</t>
  </si>
  <si>
    <t>ON rsl.REG_ID = b.RegistrationId</t>
  </si>
  <si>
    <t>ON p.NPI = b.AffiliationNPI</t>
  </si>
  <si>
    <t>) aff</t>
  </si>
  <si>
    <t>ON aff.PartyID = tq.PARTY_ID</t>
  </si>
  <si>
    <t>AND aff.SERVICE_LOCATION_ID = tq.MEDICAID_PK</t>
  </si>
  <si>
    <t>ORDER BY tq.PARTY_ID,tq.TRANSACTION_QUEUE_ID</t>
  </si>
  <si>
    <t xml:space="preserve">a.* </t>
  </si>
  <si>
    <t>FROM Bug3381_SendAffiliations b</t>
  </si>
  <si>
    <t>ON rp.REG_ID = b.RegistrationId</t>
  </si>
  <si>
    <t>ON aff.PartyID = a.ChildPartyId</t>
  </si>
  <si>
    <t>AND aff.PARTY_ID = a.ParentPartyID</t>
  </si>
  <si>
    <t>SELECT * FROM PROVIDER WHERE PartyID IN (119908,119913,61848)</t>
  </si>
  <si>
    <t>SELECT * FROM REG_AFFILIATION WHERE REG_ID = 9915 AND NPI = '1841507878'</t>
  </si>
  <si>
    <t>SELECT * FROM PROVIDER WHERE PartyID = 128078</t>
  </si>
  <si>
    <t>SELECT * FROM REG_PROVIDER WHERE REG_ID IN (10662,10663,10664)</t>
  </si>
  <si>
    <t>SELECT TOP(10) * FROM REG_TRANSFER_HISTORY ORDER BY TRANSFER_DATE_TIME DESC</t>
  </si>
  <si>
    <t>,rae.VENDOR_NUMBER</t>
  </si>
  <si>
    <t>,rae.LOCATION_CODES</t>
  </si>
  <si>
    <t>,rae.SEQUENCE_NUMBER</t>
  </si>
  <si>
    <t>JOIN REG_ACH_EDISON rae</t>
  </si>
  <si>
    <t xml:space="preserve">      ON rae.REG_ID = rp.REG_ID</t>
  </si>
  <si>
    <t>WHERE rp.REG_ID IN (10664,10663)</t>
  </si>
  <si>
    <t xml:space="preserve">      ON rsl.REG_ID = rp.REG_ID</t>
  </si>
  <si>
    <t>SELECT * FROM WF_WORKFLOW</t>
  </si>
  <si>
    <t>SELECT * FROM vw_WorkflowProcessParameters WHERE WORKFLOW_ID = 3</t>
  </si>
  <si>
    <t>DECLARE @WORKFLOW_ID int = (SELECT WORKFLOW_ID FROM WF_PROCESS WHERE PROCESS_ID = 99)</t>
  </si>
  <si>
    <t>Requirements from Ticket :: http://192.168.36.8/bugzilla/show_bug.cgi?id=3666</t>
  </si>
  <si>
    <t>terminated but allow new unterminated affiliation to be added</t>
  </si>
  <si>
    <t>- Check that REG&lt;-&gt;LIVE processes track multiple affiliations and keeps them in</t>
  </si>
  <si>
    <t>the history</t>
  </si>
  <si>
    <t>Additional Items</t>
  </si>
  <si>
    <t>Service Methods</t>
  </si>
  <si>
    <t>SelectForProviderFile</t>
  </si>
  <si>
    <t>UpdateRegistrationData ("AFFILIATIONcustom")</t>
  </si>
  <si>
    <t>InsertRegistrationData ("AFFILIATION")</t>
  </si>
  <si>
    <t>PROC: usp_UpdateRegistrationAffiliations</t>
  </si>
  <si>
    <t>/* get registered groups w/affiliations and currently in provider review */</t>
  </si>
  <si>
    <t>,ra.RegCnt</t>
  </si>
  <si>
    <t>,ISNULL(racaqh.RegCAQHCnt,0) RegCAQHCnt</t>
  </si>
  <si>
    <t>,u.Email</t>
  </si>
  <si>
    <t>,u.SecurityQuestion1</t>
  </si>
  <si>
    <t>,u.SecurityAnswer1</t>
  </si>
  <si>
    <t>,u.SecurityQuestion2</t>
  </si>
  <si>
    <t>,u.SecurityAnswer2</t>
  </si>
  <si>
    <t xml:space="preserve">JOIN REGISTRATION_USER_XREF rux ON rux.REG_ID = rp.REG_ID      </t>
  </si>
  <si>
    <t>JOIN vw_UserAccountDetail u ON u.UserID = rux.UserID</t>
  </si>
  <si>
    <t xml:space="preserve">      ra.REG_ID</t>
  </si>
  <si>
    <t xml:space="preserve">      ,COUNT(*) RegCnt</t>
  </si>
  <si>
    <t xml:space="preserve">      GROUP BY ra.REG_ID</t>
  </si>
  <si>
    <t>) ra</t>
  </si>
  <si>
    <t>rpg.REG_ID</t>
  </si>
  <si>
    <t>,COUNT(*) RegCAQHCnt</t>
  </si>
  <si>
    <t>FROM REG_PROVIDER rpg</t>
  </si>
  <si>
    <t>JOIN REG_AFFILIATION rag</t>
  </si>
  <si>
    <t>ON rag.REG_ID = rpg.REG_ID</t>
  </si>
  <si>
    <t>ON p.NPI = rag.NPI</t>
  </si>
  <si>
    <t>JOIN CAQHS_GroupProviderPractice cgpp</t>
  </si>
  <si>
    <t>ON cgpp.GroupTaxID = rpg.TAX_ID</t>
  </si>
  <si>
    <t>AND cgpp.CAQHProviderID = p.CAQHID</t>
  </si>
  <si>
    <t>WHERE cgpp.CurrentlyPracticingFlag = 1</t>
  </si>
  <si>
    <t>) racaqh</t>
  </si>
  <si>
    <t>ON racaqh.REG_ID = rp.REG_ID</t>
  </si>
  <si>
    <t>WHERE (ra.RegCnt &gt; 5 AND ra.RegCnt &lt; 9)</t>
  </si>
  <si>
    <t>AND rp.ENTITY_TYPE_ID = 2 -- to pass edits</t>
  </si>
  <si>
    <t>AND r.REGISTRATION_STATUS_TYPE_ID = 1 -- Not Submitted</t>
  </si>
  <si>
    <t>ra.RegCnt DESC</t>
  </si>
  <si>
    <t>-- User ID: psriv; Email: rwilbanks1972@gmail.com; REG_ID: 8228</t>
  </si>
  <si>
    <t>SELECT * FROM REG_AFFILIATION WHERE REG_ID = 8228 ORDER BY NPI</t>
  </si>
  <si>
    <t>WHERE PROCESS_ID = 6628</t>
  </si>
  <si>
    <t>WHERE step.PROCESS_ID = 6628</t>
  </si>
  <si>
    <t>WHERE STEP_ID = 51236</t>
  </si>
  <si>
    <t>SET SLEEP_UNTIL = NULL</t>
  </si>
  <si>
    <t xml:space="preserve">declare @OldRegId int </t>
  </si>
  <si>
    <t>declare @OldPartyId int</t>
  </si>
  <si>
    <t>/* get registered groups in maintenance */</t>
  </si>
  <si>
    <t>@OldRegId = rp.REG_ID</t>
  </si>
  <si>
    <t>,@OldPartyId = rp.PARTY_ID</t>
  </si>
  <si>
    <t>--,rp.NAME</t>
  </si>
  <si>
    <t>--,rp.TAX_ID GROUP_TAX_ID</t>
  </si>
  <si>
    <t>--,rp.NPI GROUP_NPI</t>
  </si>
  <si>
    <t>--,ra.RegCnt</t>
  </si>
  <si>
    <t>,MAX(r.REG_ID) REG_ID</t>
  </si>
  <si>
    <t>WHERE rp.ENTITY_TYPE_ID = 2 -- to pass edits</t>
  </si>
  <si>
    <t>AND rp.PARTY_ID IS NOT NULL</t>
  </si>
  <si>
    <t>ORDER BY NEWID()</t>
  </si>
  <si>
    <t>PRINT '@OldRegId:' + CONVERT(varchar,ISNULL(@OldRegId,0))</t>
  </si>
  <si>
    <t>PRINT '@OldPartyId:' + CONVERT(varchar,ISNULL(@OldPartyId,0))</t>
  </si>
  <si>
    <t>--STEP 1</t>
  </si>
  <si>
    <t>declare @NewRegId int</t>
  </si>
  <si>
    <t>declare @NewPartyId int</t>
  </si>
  <si>
    <t>declare @OwnershipChanged bit = 1</t>
  </si>
  <si>
    <t>declare @UserID UNIQUEIDENTIFIER=dbo.fn_GetUniqueGUID(2)</t>
  </si>
  <si>
    <t>declare @RequestedEffectiveDate DATETIME= GETDATE()</t>
  </si>
  <si>
    <t>declare @ChangeEffectiveDate DATETIME= GETDATE()</t>
  </si>
  <si>
    <t>declare @FormCompletionName VARCHAR(80)='Testing'</t>
  </si>
  <si>
    <t>declare @FormCompletionPhone VARCHAR(10)='9999998888'</t>
  </si>
  <si>
    <t>exec usp_TransferLiveToReg_OwnershipChanged</t>
  </si>
  <si>
    <t xml:space="preserve">     @OldPartyId,</t>
  </si>
  <si>
    <t xml:space="preserve">     @UserID, </t>
  </si>
  <si>
    <t xml:space="preserve">     @RequestedEffectiveDate,</t>
  </si>
  <si>
    <t xml:space="preserve">     @ChangeEffectiveDate,</t>
  </si>
  <si>
    <t xml:space="preserve">     @FormCompletionName,</t>
  </si>
  <si>
    <t xml:space="preserve">     @FormCompletionPhone</t>
  </si>
  <si>
    <t xml:space="preserve">     </t>
  </si>
  <si>
    <t xml:space="preserve">SELECT TOP(1) </t>
  </si>
  <si>
    <t xml:space="preserve">@NewRegId = REG_ID </t>
  </si>
  <si>
    <t>WHERE DATA_DIRECTION = 'LIVE_TO_REG'</t>
  </si>
  <si>
    <t>-- SELECT * FROM @Response</t>
  </si>
  <si>
    <t>PRINT '@NewRegId:' + CONVERT(varchar,ISNULL(@NewRegId,0))</t>
  </si>
  <si>
    <t>--STEP 2 - PUT NEW REG ID THEN EXECUTE</t>
  </si>
  <si>
    <t>-- update REG_PROVIDER set TAX_ID='888888888' where REG_ID = @NewRegId</t>
  </si>
  <si>
    <t>----STEP 3 - PUT NEW REG ID THEN EXECUTE</t>
  </si>
  <si>
    <t xml:space="preserve">--exec usp_TransferRegistrationToProviderTables @NewRegId, @OwnershipChanged </t>
  </si>
  <si>
    <t>--STEP 4 - PUT NEW REG ID AND PARTY ID THEN EXECUTE</t>
  </si>
  <si>
    <t>select * from REG_ACH_EDISON where REG_ID IN (@OldRegId,@NewRegId) ORDER BY REG_ID</t>
  </si>
  <si>
    <t>select * from REG_PROVIDER where REG_ID IN (@OldRegId,@NewRegId) ORDER BY REG_ID</t>
  </si>
  <si>
    <t>@OldRegId:7602</t>
  </si>
  <si>
    <t>@OldPartyId:123915</t>
  </si>
  <si>
    <t>@NewRegId:10674</t>
  </si>
  <si>
    <t>(1 row(s) affected)</t>
  </si>
  <si>
    <t>(2 row(s) affected)</t>
  </si>
  <si>
    <t>EXEC usp_TransferRegToLive 10674,0</t>
  </si>
  <si>
    <t>-- PartyId: 139331</t>
  </si>
  <si>
    <t>ServiceLocationId: 52475</t>
  </si>
  <si>
    <t>SELECT * FROM ACH_EDISON WHERE PARTY_ID = 139331</t>
  </si>
  <si>
    <t>select * from REG_PROVIDER where REG_ID IN (7602,10674) ORDER BY REG_ID</t>
  </si>
  <si>
    <t>DECLARE @PartyID int</t>
  </si>
  <si>
    <t>SELECT @PartyID = PARTY_ID FROM vw_PartyCAQHId WHERE CAQH_PIN = '12745137'</t>
  </si>
  <si>
    <t>SELECT * FROM PROVIDER WHERE NPI = '1477580504' -- PartyID = 140784; CAQHID = 12745137</t>
  </si>
  <si>
    <t>SELECT * FROM SERVICE_LOCATION WHERE PartyID = @PartyID</t>
  </si>
  <si>
    <t>SELECT * FROM ERROR WHERE PartyID = @PartyID</t>
  </si>
  <si>
    <t>SELECT * FROM TRANSACTION_QUEUE WHERE PARTY_ID = @PartyID</t>
  </si>
  <si>
    <t>SELECT * FROM PROVIDER WHERE NPI = '1144349523' OR CAQHID = '12077641'</t>
  </si>
  <si>
    <t>SELECT * FROM audit.A_MEDICAID_ID WHERE PARTY_ID = 144107</t>
  </si>
  <si>
    <t>SELECT * FROM CAQHS_GroupProviderPractice WHERE CAQHProviderID = '12077641'</t>
  </si>
  <si>
    <t>WHERE v.AffilPartyId = 144107</t>
  </si>
  <si>
    <t>WHERE REG_ID IN (3586,3976,5260,5801,11210)</t>
  </si>
  <si>
    <t>AND NPI = '1144349523'</t>
  </si>
  <si>
    <t>WHERE PARTY_ID = 144107</t>
  </si>
  <si>
    <t>SELECT -- TOP(1)</t>
  </si>
  <si>
    <t xml:space="preserve">WHERE v.PARTY_ID = </t>
  </si>
  <si>
    <t>GROUP_NAME</t>
  </si>
  <si>
    <t>GROUP_NPI</t>
  </si>
  <si>
    <t>GROUP_TAX_ID_VALUE</t>
  </si>
  <si>
    <t>WILSON COUNTY BOARD OF EDUCATION</t>
  </si>
  <si>
    <t>-- Group NPI:</t>
  </si>
  <si>
    <t>-- Affil NPI:</t>
  </si>
  <si>
    <t>-- Groups added:</t>
  </si>
  <si>
    <t>-- Base Medicaid Id (added):</t>
  </si>
  <si>
    <t>-- Affil status (Pending):</t>
  </si>
  <si>
    <t>-- Affil sent:</t>
  </si>
  <si>
    <t>-- Affil retrieved:</t>
  </si>
  <si>
    <t>SELECT * FROM audit.A_CAQHS_GroupProviderPractice WHERE CAQHProviderID = '12077641'</t>
  </si>
  <si>
    <t>EXEC usp_UpdateRegistrationAffiliations 11210,@DTM,@User</t>
  </si>
  <si>
    <t>SELECT TOP(1) a.AffiliationStatusID</t>
  </si>
  <si>
    <t>,a.ParentPartyID</t>
  </si>
  <si>
    <t>,a.EndDate</t>
  </si>
  <si>
    <t xml:space="preserve">JOIN MMIS_STAGING_GROUP msg </t>
  </si>
  <si>
    <t>JOIN AFFILIATION a ON a.ChildPartyID = msa.PARTY_ID</t>
  </si>
  <si>
    <t>AND a.ParentPartyID = msg.PARTY_ID</t>
  </si>
  <si>
    <t>WHERE msa.MMIS_STAGING_AFFILIATE_PK = 30856</t>
  </si>
  <si>
    <t>WHERE ParentPartyID = 113639</t>
  </si>
  <si>
    <t>AND ChildPartyID = 144107</t>
  </si>
  <si>
    <t>a.AffiliationStatus</t>
  </si>
  <si>
    <t>ON a.ParentPartyID = v.GROUP_PARTY_ID</t>
  </si>
  <si>
    <t>AND a.ChildPartyID = v.PARTY_ID</t>
  </si>
  <si>
    <t>AND v.GROUP_MMIS_STATUS_TYPE_ID = 201</t>
  </si>
  <si>
    <t>AND v.ERROR_CODE IS NULL</t>
  </si>
  <si>
    <t>AND v.GROUP_ERROR_CODE IS NULL</t>
  </si>
  <si>
    <t>AND (a.EndDate IS NULL AND v.TERM_DATE IS NULL) -- Need to check for any awaytin</t>
  </si>
  <si>
    <t>AND a.AffiliationStatusID = 1</t>
  </si>
  <si>
    <t>ORDER BY GROUP_LAST_MODIFIED_DATE_TIME DESC</t>
  </si>
  <si>
    <t>WHERE NPI = '1770929333'</t>
  </si>
  <si>
    <t>rar.*</t>
  </si>
  <si>
    <t>,v.UserName</t>
  </si>
  <si>
    <t>FROM audit.A_REG_ACH_REQUEST rar</t>
  </si>
  <si>
    <t xml:space="preserve">JOIN vw_UserAccountDetail v </t>
  </si>
  <si>
    <t>ON v.UserID = rar.LAST_MODIFIED_USER</t>
  </si>
  <si>
    <t>WHERE REG_ID IN (5435,9278)</t>
  </si>
  <si>
    <t>WHERE REG_ID IN (5435,9278) -- process ids: 344, 4691</t>
  </si>
  <si>
    <t>WHERE step.PROCESS_ID = 344</t>
  </si>
  <si>
    <t>rae.*</t>
  </si>
  <si>
    <t>FROM REG_ACH_EDISON rae</t>
  </si>
  <si>
    <t>ON v.UserID = rae.LAST_MODIFIED_USER</t>
  </si>
  <si>
    <t>FROM audit.A_REG_ACH_EDISON</t>
  </si>
  <si>
    <t>WHERE REG_ACH_EDISON_ID = 3098</t>
  </si>
  <si>
    <t>rp.REG_ID RegistrationId</t>
  </si>
  <si>
    <t>,rst.REGISTRATION_STATUS_TYPE_ID RegistrationStatusTypeId</t>
  </si>
  <si>
    <t>,rst.REGISTRATION_STATUS_TYPE RegistrationStatusType</t>
  </si>
  <si>
    <t>,rpst.REG_PROGRAM_STATUS_TYPE_ID ProgramStatusTypeId</t>
  </si>
  <si>
    <t>,rpst.REG_PROGRAM_STATUS_TYPE_INTERNAL ProgramStatusTypeInternal</t>
  </si>
  <si>
    <t>,rpst.REG_PROGRAM_STATUS_TYPE_EXTERNAL ProgramStatusTypeExternal</t>
  </si>
  <si>
    <t>,rp.PARTY_ID GroupPartyId</t>
  </si>
  <si>
    <t>,rp.NAME GroupName</t>
  </si>
  <si>
    <t>,rp.NPI GroupNPI</t>
  </si>
  <si>
    <t>,rp.TAX_ID GroupTaxId</t>
  </si>
  <si>
    <t>,rsl.SERVICE_LOCATION_ID GroupServiceLocationId</t>
  </si>
  <si>
    <t>LEFT JOIN REGISTRATION_STATUS_TYPE rst</t>
  </si>
  <si>
    <t>LEFT JOIN REG_PROGRAM_STATUS_TYPE rpst</t>
  </si>
  <si>
    <t xml:space="preserve">LEFT JOIN REGISTRATION_USER_XREF rux </t>
  </si>
  <si>
    <t xml:space="preserve">LEFT JOIN aspnet_Users u </t>
  </si>
  <si>
    <t xml:space="preserve">ON u.UserId = rux.UserID </t>
  </si>
  <si>
    <t>WHERE r.REG_ID IN (5435,9278)</t>
  </si>
  <si>
    <t>FROM REG_DOCUMENT_XREF rdx</t>
  </si>
  <si>
    <t>WHERE rdx.REG_ID IN (5435,9278)</t>
  </si>
  <si>
    <t>DECLARE @NPI varchar(10) = '1174925077'</t>
  </si>
  <si>
    <t>DECLARE @ServiceLocationId int</t>
  </si>
  <si>
    <t>SELECT @PartyId = PartyID FROM PROVIDER WHERE NPI = @NPI</t>
  </si>
  <si>
    <t>SELECT @ServiceLocationId = ServiceLocationId FROM SERVICE_LOCATION WHERE PartyID = @PartyId</t>
  </si>
  <si>
    <t>SELECT * FROM SERVICE_LOCATION WHERE ServiceLocationID = @ServiceLocationId</t>
  </si>
  <si>
    <t>SELECT * FROM REG_PROVIDER WHERE PARTY_ID = @PartyId</t>
  </si>
  <si>
    <t>SELECT * FROM REG_SERVICE_LOCATION WHERE SERVICE_LOCATION_ID = @ServiceLocationId</t>
  </si>
  <si>
    <t>SELECT @PartyId = PARTY_ID FROM vw_PartyCAQHID WHERE CAQH_PIN = '10807868'</t>
  </si>
  <si>
    <t>SELECT * FROM ERROR WHERE PartyID = @PartyId</t>
  </si>
  <si>
    <t>SELECT TOP(200) * FROM Log ORDER BY LogNumber DESC</t>
  </si>
  <si>
    <t>ON v.PARTY_ID = s.PartyID</t>
  </si>
  <si>
    <t>WHERE ServiceLocationID IS NULL</t>
  </si>
  <si>
    <t>AND PartyID IS NOT NULL</t>
  </si>
  <si>
    <t>ORDER BY 1 DESC</t>
  </si>
  <si>
    <t>SELECT TOP(5) *</t>
  </si>
  <si>
    <t xml:space="preserve">FROM STATUS </t>
  </si>
  <si>
    <t>WHERE PartyID = 121864</t>
  </si>
  <si>
    <t>SELECT * FROM PROVIDER WHERE PartyID IN (121864,134674)</t>
  </si>
  <si>
    <t>SELECT * FROM RETURN_ROSTER_FILE WHERE PROVIDER_ID IN ('12168339','10811558')</t>
  </si>
  <si>
    <t>SELECT * FROM RETURN_ROSTER_FILE WHERE PLAN_PROVIDER_ID = 19998</t>
  </si>
  <si>
    <t xml:space="preserve">FROM audit.A_RETURN_ROSTER_FILE </t>
  </si>
  <si>
    <t xml:space="preserve">WHERE PLAN_PROVIDER_ID = 19998 </t>
  </si>
  <si>
    <t xml:space="preserve">AND Operation = 'D' </t>
  </si>
  <si>
    <t xml:space="preserve"> WHERE SUBMIT_ROSTER_PK = 20202</t>
  </si>
  <si>
    <t>DECLARE @User uniqueidentifier = 'FD41DDFC-DBD6-4BFD-BCB2-27B3BB31D211'</t>
  </si>
  <si>
    <t>DECLARE @File varchar(255) = 'ReturnRoster_TennCare_20150114_4461'</t>
  </si>
  <si>
    <t>EXEC sp_InsertRosterStatuses @File,NULL,@DTM,@User</t>
  </si>
  <si>
    <t>EXEC sp_UpdateRosterStatuses @File,NULL,@DTM,@User</t>
  </si>
  <si>
    <t>DELETE FROM CAQH_STATUS WHERE PROVIDER_STATUS_ID = 44</t>
  </si>
  <si>
    <t>FROM audit.A_PROVIDER_STATUS</t>
  </si>
  <si>
    <t>WHERE PROVIDER_STATUS_ID IN (</t>
  </si>
  <si>
    <t>-- 2014-04-06 00:19:53.700</t>
  </si>
  <si>
    <t>,60621</t>
  </si>
  <si>
    <t>-- 2014-10-06 06:00:09.163</t>
  </si>
  <si>
    <t>WHERE SubmitRosterID = 19998</t>
  </si>
  <si>
    <t>,rrf.SUBMIT_ROSTER_PK</t>
  </si>
  <si>
    <t>,rrf.PARTY_ID</t>
  </si>
  <si>
    <t>,pdms.SubmitRosterID</t>
  </si>
  <si>
    <t>,pdms.PartyID</t>
  </si>
  <si>
    <t>--,pdms.StatusID</t>
  </si>
  <si>
    <t>FROM #pdms pdms</t>
  </si>
  <si>
    <t>JOIN #rrf rrf</t>
  </si>
  <si>
    <t>ON rrf.SUBMIT_ROSTER_PK = pdms.SubmitRosterID</t>
  </si>
  <si>
    <t>WHERE pdms.PartyID &lt;&gt; rrf.PARTY_ID</t>
  </si>
  <si>
    <t>SELECT COUNT(*) FROM [vw_RETURN_SUBMIT_ROSTER_PK]</t>
  </si>
  <si>
    <t>SELECT * FROM SUBMIT_ROSTER_ONLINE_FORM WHERE SUBMIT_ROSTER_PK = 20237</t>
  </si>
  <si>
    <t>SELECT * FROM PROVIDER WHERE PartyID IN (</t>
  </si>
  <si>
    <t>R</t>
  </si>
  <si>
    <t>ALGEE</t>
  </si>
  <si>
    <t>,8018</t>
  </si>
  <si>
    <t>Spigel</t>
  </si>
  <si>
    <t>Schroerlucke ***</t>
  </si>
  <si>
    <t>,121862</t>
  </si>
  <si>
    <t>L</t>
  </si>
  <si>
    <t xml:space="preserve">VU </t>
  </si>
  <si>
    <t>SELECT * FROM PARTY_ELIGIBILITY_TRANSACTION_XREF</t>
  </si>
  <si>
    <t>SELECT TOP(10) * FROM PARTY_ELIGIBILITY ORDER BY PARTY_ELIGIBILITY_ID DESC</t>
  </si>
  <si>
    <t>SELECT * FROM DIDD_REFERRAL WHERE APPLICATION_NO LIKE 'JF%'</t>
  </si>
  <si>
    <t>SELECT TOP(10) * FROM TRANSACTION_QUEUE ORDER BY TRANSACTION_QUEUE_ID DESC</t>
  </si>
  <si>
    <t xml:space="preserve">select TOP(10) * from provider </t>
  </si>
  <si>
    <t xml:space="preserve">where BaseMedicaidId is not null </t>
  </si>
  <si>
    <t>and partyid not in (select partyid from error where statusid IN (1,2) and hardsoft = 'h' and partyid is not null)</t>
  </si>
  <si>
    <t>order by lastname desc</t>
  </si>
  <si>
    <t>SELECT * FROM DIDD</t>
  </si>
  <si>
    <t>SELECT * FROM DCS</t>
  </si>
  <si>
    <t>EXEC usp_InsertDCSMMISTransaction 14,468,@DTM,@User</t>
  </si>
  <si>
    <t>ELIGIBILITY_TRANSACTION_XREF</t>
  </si>
  <si>
    <t>SELECT TOP (10) * FROM TRANSACTION_QUEUE ORDER BY CREATE_DATE_TIME DESC</t>
  </si>
  <si>
    <t>DELETE FROM TRANSACTION_QUEUE WHERE TRANSACTION_QUEUE_ID = 63114</t>
  </si>
  <si>
    <t xml:space="preserve">SELECT TOP(1) * FROM SERVICE_LOCATION WHERE PracticeID &lt;&gt; 777 ORDER BY PartyID </t>
  </si>
  <si>
    <t>SELECT * FROM audit.A_REG_SERVICE_LOCATION WHERE MEDICAID_ID IN ('034S144')</t>
  </si>
  <si>
    <t>CONVERT(date,DateOfAction) DateOfAction</t>
  </si>
  <si>
    <t>WHERE Operation = 'D'</t>
  </si>
  <si>
    <t>CONVERT(date,DateOfAction)</t>
  </si>
  <si>
    <t>SELECT * INTO BUG4K_NEW_REG_IDS_20150129 FROM BUG4K_NEW_REG_IDS</t>
  </si>
  <si>
    <t>SELECT * FROM PROVIDER WHERE NPI = '1518204148' -- Individual</t>
  </si>
  <si>
    <t>SELECT * FROM PROVIDER WHERE NPI = '1447418116' -- Group</t>
  </si>
  <si>
    <t>SELECT * FROM PROVIDER WHERE PartyID = 146844</t>
  </si>
  <si>
    <t>SELECT * FROM REG_AFFILIATION WHERE NPI = '1518204148'</t>
  </si>
  <si>
    <t>SELECT * FROM PARTY_ELIGIBILITY WHERE PARTY_ELIGIBILITY_ID = 4</t>
  </si>
  <si>
    <t>SELECT * FROM PARTY_ELIGIBILITY WHERE PARTY_ID = 136682</t>
  </si>
  <si>
    <t>SELECT * FROM TRANSACTION_QUEUE WHERE TRANSACTION_TYPE_ID = 14</t>
  </si>
  <si>
    <t xml:space="preserve">SELECT * FROM MMIS_STAGING_GROUP </t>
  </si>
  <si>
    <t>AND PROVIDER_STAGING_PK &gt; 15101</t>
  </si>
  <si>
    <t>,LastUpdatedDate = GETDATE()</t>
  </si>
  <si>
    <t>WHERE AppSettingsKey IN ('MMIS-TestAffilStatus','MMIS-TestGroupStatus')</t>
  </si>
  <si>
    <t>SET AppSettingsValue = '41'</t>
  </si>
  <si>
    <t>WHERE AppSettingsKey IN ('MMIS-TestAffilErrors','MMIS-TestGroupErrors')</t>
  </si>
  <si>
    <t>SELECT * FROM AppSettings</t>
  </si>
  <si>
    <t>OR AppSettingsKey IN ('MMIS-TestAffilErrors','MMIS-TestGroupErrors')</t>
  </si>
  <si>
    <t>SELECT TOP(5) * FROM vw_WorkflowProcessParameters ORDER BY PROCESS_ID desc</t>
  </si>
  <si>
    <t>SELECT TOP(5) * FROM WF_PROCESS ORDER BY PROCESS_ID DESC</t>
  </si>
  <si>
    <t>SELECT TOP(5) * FROM REGISTRATION ORDER BY REG_ID DESC</t>
  </si>
  <si>
    <t>SELECT * FROM DIDD_REFERRAL WHERE NPI = '1518204148'</t>
  </si>
  <si>
    <t>SELECT * FROM ERROR WHERE PartyID = 136682</t>
  </si>
  <si>
    <t>tq.TRANSACTION_TYPE_ID</t>
  </si>
  <si>
    <t>SELECT * FROM Log ORDER BY LogNUmb</t>
  </si>
  <si>
    <t>-- /JobId "37F85AF0-EB67-42DB-A044-1523D275C271"</t>
  </si>
  <si>
    <t>-- JOB_ID_MMIS_DCS_ADD_RETRIEVE_UPDATE_PROVIDER: 14</t>
  </si>
  <si>
    <t>-- /JobId "10F0D323-8561-4410-9E75-A341DA0C5232"</t>
  </si>
  <si>
    <t>SELECT TOP(100) * FROM Log ORDER BY LogNumber DESC</t>
  </si>
  <si>
    <t>SELECT * FROM TRANSACTION_QUEUE tq WHERE TRANSACTION_TYPE_ID = 14 -- TRANSACTION_QUEUE_ID = 63103</t>
  </si>
  <si>
    <t>SELECT * FROM MMIS_STAGING_GROUP WHERE PARTY_ID IN (147090)</t>
  </si>
  <si>
    <t>SELECT * FROM PROVIDER WHERE PartyId IN (147090) -- Transaction Type = 63103</t>
  </si>
  <si>
    <t>SELECT * FROM SERVICE_LOCATION WHERE ServiceLocationID = 56048</t>
  </si>
  <si>
    <t>-- UPDATE SERVICE_LOCATION SET MedicaidID = '5604800' WHERE ServiceLocationID = 56048</t>
  </si>
  <si>
    <t>IF OBJECT_ID('tempdb..#1') IS NOT NULL DROP TABLE #1</t>
  </si>
  <si>
    <t xml:space="preserve">SELECT * INTO #1 FROM MMIS_STAGING_GROUP_ADDRESS_XREF </t>
  </si>
  <si>
    <t>WHERE MMIS_STAGING_GROUP_PK IN (SELECT MMIS_STAGING_GROUP_PK FROM MMIS_STAGING_GROUP WHERE TRANSACTION_QUEUE_ID IN (63103))</t>
  </si>
  <si>
    <t>DELETE FROM MMIS_STAGING_GROUP_ADDRESS_XREF WHERE MMIS_STAGING_GROUP_PK IN (SELECT MMIS_STAGING_GROUP_PK FROM #1)</t>
  </si>
  <si>
    <t>DELETE FROM MMIS_STAGING_ADDRESS WHERE MMIS_STAGING_ADDRESS_PK IN (SELECT MMIS_STAGING_ADDRESS_PK FROM #1)</t>
  </si>
  <si>
    <t>DELETE FROM MMIS_STAGING_GROUP WHERE MMIS_STAGING_GROUP_PK IN (SELECT MMIS_STAGING_GROUP_PK FROM #1)</t>
  </si>
  <si>
    <t>Traditionally 1st type buyer is 40% of market</t>
  </si>
  <si>
    <t>Currently is 30% of market (with low interest rate &amp; low down payment)</t>
  </si>
  <si>
    <t>Can even get down payment gifted</t>
  </si>
  <si>
    <t>51% of country is earning $20/hr or less</t>
  </si>
  <si>
    <t>WHERE PartyID = 147090</t>
  </si>
  <si>
    <t>DECLARE @GroupNPI varchar(12) = '1134128820'</t>
  </si>
  <si>
    <t>DECLARE @GroupTaxId varchar(12) = '620637925'</t>
  </si>
  <si>
    <t>DECLARE @AffilNPI varchar(12) = '1235334350'</t>
  </si>
  <si>
    <t>SELECT * FROM PROVIDER WHERE NPI = @AffilNPI</t>
  </si>
  <si>
    <t>WHERE v.GroupNPI = @GroupNPI</t>
  </si>
  <si>
    <t>AND v.AffilNPI = @AffilNPI</t>
  </si>
  <si>
    <t xml:space="preserve">SELECT * FROM CAQHS_GroupProviderPractice </t>
  </si>
  <si>
    <t>WHERE CAQHProviderID = '12034788'</t>
  </si>
  <si>
    <t>AND GroupTaxID = '620637925'</t>
  </si>
  <si>
    <t>, cp.ProviderTypeAbbreviation</t>
  </si>
  <si>
    <t>-- party ids which can be added (use rp.PARTY_ID) :: 6370</t>
  </si>
  <si>
    <t xml:space="preserve">ce.COMMUNICATED_FROM_PARTY_ID </t>
  </si>
  <si>
    <t>,cprx.REG_ID</t>
  </si>
  <si>
    <t>JOIN EMAIL e</t>
  </si>
  <si>
    <t>ON e.COMMUNICATION_EVENT_ID = ce.COMMUNICATION_EVENT_ID</t>
  </si>
  <si>
    <t>LEFT JOIN COMMUNICATIONEVENT_PARTY_REG_XREF cprx</t>
  </si>
  <si>
    <t>ON cprx.COMMUNICATION_EVENT_ID = ce.COMMUNICATION_EVENT_ID</t>
  </si>
  <si>
    <t>ON rp.REG_ID = cprx.REG_ID</t>
  </si>
  <si>
    <t>WHERE ce.COMMUNICATED_FROM_PARTY_ID = 1</t>
  </si>
  <si>
    <t>AND ce.COMMUNICATED_TO_PARTY_ID = 1</t>
  </si>
  <si>
    <t>-- party ids which cannot be added, will need to be added during REG-&gt;LIVE processing :: 2339</t>
  </si>
  <si>
    <t>LEFT JOIN REGISTRATION r</t>
  </si>
  <si>
    <t>AND rp.PARTY_ID IS NULL</t>
  </si>
  <si>
    <t>SELECT * FROM PROVIDER WHERE NPI IN ('1609123884','1255474300')</t>
  </si>
  <si>
    <t>SELECT * FROM REG_PROVIDER WHERE PARTY_ID IN (115787,128781) ORDER BY PARTY_ID,REG_ID</t>
  </si>
  <si>
    <t>SELECT * FROM REG_SERVICE_LOCATION WHERE REG_ID IN (11121,11183)</t>
  </si>
  <si>
    <t>SELECT * FROM TRANSACTION_QUEUE WHERE PARTY_ID IN (115787,128781)</t>
  </si>
  <si>
    <t>EXEC usp_ValidateMedicaidIds 115787,39380,56646</t>
  </si>
  <si>
    <t>SELECT * FROM vw_WorkflowProcessParameters WHERE PROCESS_ID = 7032 WHERE REG_ID IN (11121,11183)</t>
  </si>
  <si>
    <t>SELECT * FROM vw_WorkflowTaskParameters WHERE PROCESS_ID = 7032</t>
  </si>
  <si>
    <t>WHERE step.PROCESS_ID = 905</t>
  </si>
  <si>
    <t>SELECT * FROM Bug3985_RestartWorkflows</t>
  </si>
  <si>
    <t>DECLARE @PROCESS_ID int = 905</t>
  </si>
  <si>
    <t>SELECT * FROM vw_WorkflowProcessParameters WHERE PROCESS_ID = @PROCESS_ID</t>
  </si>
  <si>
    <t>Workflows missing steps</t>
  </si>
  <si>
    <t>SELECT * FROM WF_STEP WHERE PROCESS_ID = 905</t>
  </si>
  <si>
    <t>SELECT * FROM TRANSACTION_QUEUE WHERE TRANSACTION_QUEUE_ID = 6901</t>
  </si>
  <si>
    <t>SELECT * FROM SERVICE_LOCATION WHERE ServiceLocationID = 38184</t>
  </si>
  <si>
    <t xml:space="preserve">WHERE sl.PartyID IN </t>
  </si>
  <si>
    <t>* --PARTY_ID</t>
  </si>
  <si>
    <t>FROM MMIS_STAGING_GROUP g</t>
  </si>
  <si>
    <t>ON g.MMIS_STAGING_GROUP_PK = x.MMIS_STAGING_GROUP_PK</t>
  </si>
  <si>
    <t>WHERE g.MMIS_STAGING_GROUP_PK &gt;= 20903</t>
  </si>
  <si>
    <t xml:space="preserve">AND g.MMIS_STAGING_GROUP_PK &lt;= 20922 </t>
  </si>
  <si>
    <t>ORDER BY tq.MEDICAID_PK,tq.PARTY_ID,tq.CREATE_DATE_TIME</t>
  </si>
  <si>
    <t>b.PROCESS_ID</t>
  </si>
  <si>
    <t>,b.STEP_ID</t>
  </si>
  <si>
    <t>,b.PROCESS_START_DATE_TIME</t>
  </si>
  <si>
    <t>,b.PROCESS_END_DATE_TIME</t>
  </si>
  <si>
    <t>,v.END_DATE_TIME</t>
  </si>
  <si>
    <t>,b.START_DATE_TIME</t>
  </si>
  <si>
    <t>,b.END_DATE_TIME</t>
  </si>
  <si>
    <t>,b.TASK_ID</t>
  </si>
  <si>
    <t>,b.REG_ID</t>
  </si>
  <si>
    <t>,b.PARTY_ID</t>
  </si>
  <si>
    <t>,b.SERVICE_LOCATION_ID</t>
  </si>
  <si>
    <t>,b.WORKFLOW_ID</t>
  </si>
  <si>
    <t>,b.TAX_ID</t>
  </si>
  <si>
    <t>,b.NPI</t>
  </si>
  <si>
    <t>FROM Bug3985_RestartWorkflows b</t>
  </si>
  <si>
    <t>ON v.PROCESS_ID = b.PROCESS_ID</t>
  </si>
  <si>
    <t>SELECT * FROM vw_WorkflowProcessParameters WHERE PROCESS_ID = 7806</t>
  </si>
  <si>
    <t>SELECT * FROM vw_WorkflowTaskParameters WHERE PROCESS_ID = 7806</t>
  </si>
  <si>
    <t>SELECT * FROM WF_PARAMETER WHERE PROCESS_ID = 7806</t>
  </si>
  <si>
    <t>WHERE step.PROCESS_ID = 7806</t>
  </si>
  <si>
    <t>FROM vw_RegistrationAffiliationDetail</t>
  </si>
  <si>
    <t>WHERE RegistrationId = 11654</t>
  </si>
  <si>
    <t>EXEC usp_TransferRegistrationToProviderTables 11654,0</t>
  </si>
  <si>
    <t>EXEC usp_TransferRegToLive_AFFILIATION 11654,109135</t>
  </si>
  <si>
    <t>SELECT * FROM audit.A_REG_TRANSFER_ERROR</t>
  </si>
  <si>
    <t>UPDATE ADDRESS: PO BOX 3669</t>
  </si>
  <si>
    <t>Phone: 7316608759</t>
  </si>
  <si>
    <t>line 610 - usp_TransferRegToLive 0</t>
  </si>
  <si>
    <t>Msg 3930, Level 16, State 1, Procedure usp_TransferRegToLive, Line 732</t>
  </si>
  <si>
    <t>The current transaction cannot be committed and cannot support operations that write to the log file. Roll back the transaction.</t>
  </si>
  <si>
    <t>Msg 515, Level 16, State 2, Procedure usp_SaveAFFILIATION, Line 15</t>
  </si>
  <si>
    <t>Cannot insert the value NULL into column 'LAST_MODIFIED_DATE_TIME', table 'TN_PDMS_HSK01.dbo.PERSON_ORGANIZATION'; column does not allow nulls. UPDATE fails.</t>
  </si>
  <si>
    <t>The statement has been terminated.</t>
  </si>
  <si>
    <t>WHERE PARTY_ID = 109135</t>
  </si>
  <si>
    <t>Workflow Task not correctly configured. Process Id: 7806; Step Id: 58635; Exception: The current transaction cannot be committed and cannot support operations that write to the log file. Roll back the transaction.</t>
  </si>
  <si>
    <t>Exception encountered [Message :: Source :: Data :: StackTrace]: The current transaction cannot be committed and cannot support operations that write to the log file. Roll back the transaction. :: .Net SqlClient Data Provider :: System.Collections.ListDictionaryInternal ::    at MAXIMUS.Core.Libraries.DataAccess.ExecuteStoredProcedure(String connectionString, String dbName, String storedProcedureName, List`1 parameters, String dataSetName)     at MAXIMUS.Core.Libraries.DataAccess.ExecuteStoredProcedure(String dbName, String storedProcedureName, List`1 parameters, String dataSetName)     at PDMSWorkflow.WFPromoteToActive.ProcessTask()</t>
  </si>
  <si>
    <t>WHERE PARTY_ID IN (6536,21397,113740,117173,119726,119761,127526,130716,132587,135616)</t>
  </si>
  <si>
    <t>AND CONVERT(date,CREATE_DATE_TIME) = CONVERT(date,GETDATE())</t>
  </si>
  <si>
    <t>ORDER BY PARTY_ID, MEDICAID_PK, CREATE_DATE_TIME</t>
  </si>
  <si>
    <t>WHERE MEDICAID_PK = 47542</t>
  </si>
  <si>
    <t>-- 2015-01-12 11:44:14.447</t>
  </si>
  <si>
    <t>WHERE MEDICAID_ID = 'Q111111'</t>
  </si>
  <si>
    <t>ORDER BY DateOfAction,MEDICAID_PK</t>
  </si>
  <si>
    <t>WHERE PARTY_ID IN (6536)--,21397,113740,117173,119726,119761,127526,130716,132587,135616)</t>
  </si>
  <si>
    <t>AND CREATE_DATE_TIME &gt; '2015-01-12 12:43:51.270'</t>
  </si>
  <si>
    <t>ORDER BY PARTY_ID,CREATE_DATE_TIME</t>
  </si>
  <si>
    <t>,PracticeID</t>
  </si>
  <si>
    <t>PartyID,TaxId,PrimaryFlag DESC</t>
  </si>
  <si>
    <t>Reg ID: 11587</t>
  </si>
  <si>
    <t>NPI: 1952635690</t>
  </si>
  <si>
    <t>SELECT * FROM vw_WorkflowProcessParameters WHERE PROCESS_ID = 7728 -- RegId: 3206; -- 7716</t>
  </si>
  <si>
    <t>WHERE step.PROCESS_ID = 7728</t>
  </si>
  <si>
    <t>SELECT * FROM vw_WorkflowProcessParameters WHERE PROCESS_ID = 7728 -- 7716</t>
  </si>
  <si>
    <t>SELECT * FROM REG_PROVIDER WHERE REG_ID = 3206</t>
  </si>
  <si>
    <t>SELECT * FROM REG_TRANSFER_HISTORY WHERE REG_ID = 3206</t>
  </si>
  <si>
    <t>EXEC usp_TransferRegistrationToProviderTables 3206,0</t>
  </si>
  <si>
    <t>LEN(CONTACT_PHONE_NUMBER)</t>
  </si>
  <si>
    <t>,LEN(CONTACT_FAX_NUMBER)</t>
  </si>
  <si>
    <t xml:space="preserve">,* </t>
  </si>
  <si>
    <t>WHERE REG_ID = 3206</t>
  </si>
  <si>
    <t>DECLARE @RET TABLE (RETURN_VALUE1 INT)</t>
  </si>
  <si>
    <t>DECLARE @RegID INT</t>
  </si>
  <si>
    <t>DECLARE @PartyID INT = 0</t>
  </si>
  <si>
    <t>INSERT @RET EXEC usp_TransferRegToLive_PROVIDER @RegID, @PartyID OUTPUT</t>
  </si>
  <si>
    <t>PRINT @PartyID</t>
  </si>
  <si>
    <t>SELECT * FROM @RET</t>
  </si>
  <si>
    <t>(0 row(s) affected)</t>
  </si>
  <si>
    <t>SELECT * FROM PROVIDER WHERE NPI = '1750397105'</t>
  </si>
  <si>
    <t xml:space="preserve">INSERT PROVIDER </t>
  </si>
  <si>
    <t>PartyTypeID,</t>
  </si>
  <si>
    <t>OrganizationName,</t>
  </si>
  <si>
    <t>DBA,</t>
  </si>
  <si>
    <t xml:space="preserve">ProviderTypeID, </t>
  </si>
  <si>
    <t xml:space="preserve">NPI, </t>
  </si>
  <si>
    <t>TaxID,</t>
  </si>
  <si>
    <t xml:space="preserve">CredentialAddress1, </t>
  </si>
  <si>
    <t xml:space="preserve">CredentialAddress2, </t>
  </si>
  <si>
    <t xml:space="preserve">CredentialCity, </t>
  </si>
  <si>
    <t xml:space="preserve">CredentialState, </t>
  </si>
  <si>
    <t xml:space="preserve">CredentialZip, </t>
  </si>
  <si>
    <t>CredentialExtendedZip,</t>
  </si>
  <si>
    <t>CredentialAddressName,</t>
  </si>
  <si>
    <t xml:space="preserve">CredentialPhoneAreaCode, </t>
  </si>
  <si>
    <t xml:space="preserve">CredentialPhoneNumber, </t>
  </si>
  <si>
    <t xml:space="preserve">CredentialFaxAreaCode, </t>
  </si>
  <si>
    <t xml:space="preserve">CredentialFaxNumber, </t>
  </si>
  <si>
    <t>CredentialEmailAddress,</t>
  </si>
  <si>
    <t>RequestedEffectiveDate,</t>
  </si>
  <si>
    <t>ChangeEffectiveDate,</t>
  </si>
  <si>
    <t>ProgramStatusTypeID, -- 10/27/2013 Khan</t>
  </si>
  <si>
    <t>ContactTitle,</t>
  </si>
  <si>
    <t>TermDate, -- 11/04/2013 Khan</t>
  </si>
  <si>
    <t>TermEnrollmentStatus,-- 11/04/2013 Khan</t>
  </si>
  <si>
    <t xml:space="preserve">LastModifiedDateTime, </t>
  </si>
  <si>
    <t>LastModifiedUser</t>
  </si>
  <si>
    <t>dbo.fn_DecodePartyTypeAndEntityType(ENTITY_TYPE_ID, 'ENTITY_TYPE_ID'),</t>
  </si>
  <si>
    <t>NAME,</t>
  </si>
  <si>
    <t>PROVIDER_TYPE_ID,</t>
  </si>
  <si>
    <t>NPI,</t>
  </si>
  <si>
    <t>TAX_ID,</t>
  </si>
  <si>
    <t>CONTACT_ADDRESS1,</t>
  </si>
  <si>
    <t>CONTACT_ADDRESS2,</t>
  </si>
  <si>
    <t>CONTACT_CITY,</t>
  </si>
  <si>
    <t>CONTACT_STATE,</t>
  </si>
  <si>
    <t>CONTACT_ZIP,</t>
  </si>
  <si>
    <t>CONTACT_EXT_ZIP,</t>
  </si>
  <si>
    <t>CONTACT_NAME,</t>
  </si>
  <si>
    <t>CONVERT(numeric,LEFT(CONTACT_PHONE_NUMBER,3)),</t>
  </si>
  <si>
    <t>CONVERT(numeric,RIGHT(CONTACT_PHONE_NUMBER,7)),</t>
  </si>
  <si>
    <t>LEFT(NULLIF(LTRIM(RTRIM(CONTACT_FAX_NUMBER)),''),3),</t>
  </si>
  <si>
    <t>RIGHT(NULLIF(LTRIM(RTRIM(CONTACT_FAX_NUMBER)),''),7),</t>
  </si>
  <si>
    <t>CONTACT_EMAIL_ADDRESS,</t>
  </si>
  <si>
    <t>r.REQUESTED_EFFECTIVE_DATE,</t>
  </si>
  <si>
    <t>r.CHANGE_EFFECTIVE_DATE, -- 10/23/2013 Khan</t>
  </si>
  <si>
    <t>r.REG_PROGRAM_STATUS_TYPE_ID,  -- 10/27/2013 Khan</t>
  </si>
  <si>
    <t>p.CONTACT_TITLE,</t>
  </si>
  <si>
    <t>p.TERM_DATE, -- 11/04/2013 Khan</t>
  </si>
  <si>
    <t>p.ENROLLMENT_STATUS_CODE,-- 11/04/2013 Khan</t>
  </si>
  <si>
    <t>p.LAST_MODIFIED_DATE_TIME,</t>
  </si>
  <si>
    <t xml:space="preserve">p.LAST_MODIFIED_USER </t>
  </si>
  <si>
    <t>FROM REG_PROVIDER p JOIN REGISTRATION r ON r.REG_ID = p.REG_ID</t>
  </si>
  <si>
    <t>WHERE p.REG_ID = 3206</t>
  </si>
  <si>
    <t xml:space="preserve">SELECT TOP(500) * FROM Log </t>
  </si>
  <si>
    <t>WHERE LogNumber &gt;= 2173350</t>
  </si>
  <si>
    <t>AND LogNumber &lt;  2172903</t>
  </si>
  <si>
    <t>SELECT * FROM Jobs WHERE Name LIKE 'MMIS%'</t>
  </si>
  <si>
    <t>-- UPDATE Jobs SET IsActive = 1 WHERE Id = '1F5C48DF-11F1-490B-B8B9-787598594258' AND IsActive = 0</t>
  </si>
  <si>
    <t>SELECT * FROM PROVIDER_STAGING WHERE PROVIDER_STAGING_PK = 16063</t>
  </si>
  <si>
    <t>DECLARE @PROVIDER_STAGING_PK int = 16063</t>
  </si>
  <si>
    <t>-- 4063: added for performance reasons</t>
  </si>
  <si>
    <t>IF OBJECT_ID('tempdb..#SLParty') IS NOT NULL DROP TABLE #SLParty</t>
  </si>
  <si>
    <t>INTO #SLParty</t>
  </si>
  <si>
    <t>ps.PARTY_ID PartyID</t>
  </si>
  <si>
    <t>, sl.ServiceLocationID</t>
  </si>
  <si>
    <t>, ps.MMIS_PRACTICE_INDICATOR</t>
  </si>
  <si>
    <t>JOIN REG_AFFILIATION ra ON ra.NPI = ps.NPI_ID</t>
  </si>
  <si>
    <t>SELECT rp.PARTY_ID, MAX(rp.REG_ID) REG_ID</t>
  </si>
  <si>
    <t>GROUP BY rp.PARTY_ID</t>
  </si>
  <si>
    <t>) regs ON regs.REG_ID = ra.REG_ID</t>
  </si>
  <si>
    <t>JOIN #SLParty sl ON sl.PartyID = regs.PARTY_ID</t>
  </si>
  <si>
    <t>WHERE ps.PROVIDER_STAGING_PK = @PROVIDER_STAGING_PK</t>
  </si>
  <si>
    <t>WHERE PROVIDER_NPI IN (</t>
  </si>
  <si>
    <t>'1376582155'</t>
  </si>
  <si>
    <t>-- SUBMIT_ROSTER_PK=25388;LAST_NAME=Shumaker</t>
  </si>
  <si>
    <t>,'1396880373'</t>
  </si>
  <si>
    <t>-- SUBMIT_ROSTER_PK=25411;LAST_NAME=Feeley</t>
  </si>
  <si>
    <t>WHERE PartyID IN (146335,146727)</t>
  </si>
  <si>
    <t>-- PartyID=146335;CAQHID=11517442;LAST_NAME=Shumaker</t>
  </si>
  <si>
    <t>-- PartyID=146727;CAQHID=11551161;LAST_NAME=Feeley</t>
  </si>
  <si>
    <t>WHERE PROVIDER_ID IN ('11551161','11517442')</t>
  </si>
  <si>
    <t>SELECT * FROM PROVIDER WHERE PartyID = 138644</t>
  </si>
  <si>
    <t>SET MEDICAID_ID = NULL</t>
  </si>
  <si>
    <t>WHERE MEDICAID_PK = 52079</t>
  </si>
  <si>
    <t>IF OBJECT_ID('tempdb..#MultiMedi') IS NOT NULL DROP TABLE #MultiMedi</t>
  </si>
  <si>
    <t>m.MEDICAID_PK</t>
  </si>
  <si>
    <t>INTO #MultiMedi</t>
  </si>
  <si>
    <t>LEFT JOIN MEDICAID_ID_PRACTICE_XREF xref</t>
  </si>
  <si>
    <t>ON xref.MEDICAID_PK = m.MEDICAID_PK</t>
  </si>
  <si>
    <t>JOIN vw_UserAccountDetail uad</t>
  </si>
  <si>
    <t>ON uad.UserId = m.LAST_MODIFIED_USER</t>
  </si>
  <si>
    <t>WHERE m.LAST_MODIFIED_USER = 'FD41DDFC-DBD6-4BFD-BCB2-27B3BB31D211'</t>
  </si>
  <si>
    <t>AND xref.MEDICAID_PK IS NULL</t>
  </si>
  <si>
    <t>AND PARTY_ID IN (</t>
  </si>
  <si>
    <t>WHERE CANCEL_DATE_TIME IS NULL</t>
  </si>
  <si>
    <t>AND TRANSACTION_TYPE_ID = 7</t>
  </si>
  <si>
    <t>FROM #MultiMedi</t>
  </si>
  <si>
    <t>WHERE PARTY_ID = 138644</t>
  </si>
  <si>
    <t>SET SUBMIT_DATE_TIME = '2014-10-31 17:15:36.553'</t>
  </si>
  <si>
    <t>WHERE TRANSACTION_QUEUE_ID = 51769</t>
  </si>
  <si>
    <t>DELETE FROM TRANSACTION_QUEUE WHERE TRANSACTION_QUEUE_ID = 51865</t>
  </si>
  <si>
    <t xml:space="preserve">FROM audit.A_TRANSACTION_QUEUE </t>
  </si>
  <si>
    <t>WHERE PARTY_ID = 146830</t>
  </si>
  <si>
    <t>TRANSACTION_QUEUE_ID</t>
  </si>
  <si>
    <t xml:space="preserve">62794 - </t>
  </si>
  <si>
    <t>Created: 2015-01-09 17:15:49.680</t>
  </si>
  <si>
    <t>Submitted: 2015-01-09 18:01:46.550</t>
  </si>
  <si>
    <t xml:space="preserve">62966 - </t>
  </si>
  <si>
    <t>Created: 2015-01-10 17:15:17.890</t>
  </si>
  <si>
    <t>Submitted: 2015-01-12 18:02:23.823</t>
  </si>
  <si>
    <t>,TRANSACTION_TYPE_ID</t>
  </si>
  <si>
    <t>,p.OrganizationTypeID</t>
  </si>
  <si>
    <t>,p.OrganizationType</t>
  </si>
  <si>
    <t>ON p.PartyID = PARTY_ID</t>
  </si>
  <si>
    <t>HAVING COUNT(*) &gt; 140</t>
  </si>
  <si>
    <t>IF OBJECT_ID('tempdb..#tq') IS NOT NULL DROP TABLE #tq</t>
  </si>
  <si>
    <t>g.PARTY_ID</t>
  </si>
  <si>
    <t>,g.MMIS_STAGING_GROUP_PK</t>
  </si>
  <si>
    <t>,x.MMIS_STAGING_ADDRESS_PK</t>
  </si>
  <si>
    <t>INTO #tq</t>
  </si>
  <si>
    <t>LEFT JOIN MMIS_STAGING_GROUP g</t>
  </si>
  <si>
    <t>ON g.TRANSACTION_QUEUE_ID = tq.TRANSACTION_QUEUE_ID</t>
  </si>
  <si>
    <t>LEFT JOIN MMIS_STAGING_GROUP_ADDRESS_XREF x</t>
  </si>
  <si>
    <t>ON x.MMIS_STAGING_GROUP_PK = g.MMIS_STAGING_GROUP_PK</t>
  </si>
  <si>
    <t>WHERE tq.PARTY_ID IN (146514,146610)</t>
  </si>
  <si>
    <t>SELECT * FROM #tq</t>
  </si>
  <si>
    <t>DELETE FROM #tq WHERE TRANSACTION_QUEUE_ID &lt;&gt; 71730</t>
  </si>
  <si>
    <t>DELETE FROM MMIS_STAGING_GROUP_ADDRESS_XREF WHERE MMIS_STAGING_ADDRESS_PK IN (SELECT MMIS_STAGING_ADDRESS_PK FROM #tq)</t>
  </si>
  <si>
    <t>DELETE FROM MMIS_STAGING_ADDRESS WHERE MMIS_STAGING_ADDRESS_PK IN (SELECT MMIS_STAGING_ADDRESS_PK FROM #tq)</t>
  </si>
  <si>
    <t>DELETE FROM MMIS_STAGING_GROUP WHERE MMIS_STAGING_GROUP_PK IN (SELECT MMIS_STAGING_GROUP_PK FROM #tq)</t>
  </si>
  <si>
    <t>DELETE FROM TRANSACTION_QUEUE WHERE TRANSACTION_QUEUE_ID IN (SELECT TRANSACTION_QUEUE_ID FROM #tq)</t>
  </si>
  <si>
    <t>-- ONLY 2 Existed!</t>
  </si>
  <si>
    <t>(9072 row(s) affected)</t>
  </si>
  <si>
    <t>(9274 row(s) affected)</t>
  </si>
  <si>
    <t>WHERE PARTY_ID = 146514</t>
  </si>
  <si>
    <t>-- Started creating large number of Txns 2015-01-15 13:36:46.830 thru 2015-01-15 14:09:22.783</t>
  </si>
  <si>
    <t>-- EXEC usp_TransferRegistrationToProviderTables 5041,0</t>
  </si>
  <si>
    <t>SELECT * FROM REG_TRANSFER_HISTORY WHERE REG_ID = 5041</t>
  </si>
  <si>
    <t>EXEC usp_InsertMMISStagingGroups 1,@DTM,@User</t>
  </si>
  <si>
    <t>-- SELECT MAX(MMIS_STAGING_GROUP_PK) FROM MMIS_STAGING_GROUP</t>
  </si>
  <si>
    <t>WHERE MMIS_STAGING_GROUP_PK &gt; 58231</t>
  </si>
  <si>
    <t>SELECT * FROM PROVIDER WHERE PartyID = 146514</t>
  </si>
  <si>
    <t>SELECT * FROM SERVICE_LOCATION WHERE PartyID = 146514</t>
  </si>
  <si>
    <t>WHERE step.PROCESS_ID = 7893</t>
  </si>
  <si>
    <t>SELECT TOP(200)</t>
  </si>
  <si>
    <t>--WHERE LogTimestamp &gt;= '2015-01-15 13:35:46.830'</t>
  </si>
  <si>
    <t>AND LogTimestamp &lt;= '2015-01-15 14:10:22.783'</t>
  </si>
  <si>
    <t>-- 2015-01-15 13:36:46.830 thru 2015-01-15 14:09:22.783</t>
  </si>
  <si>
    <t>FROM audit.A_MMIS_STAGING_GROUP</t>
  </si>
  <si>
    <t>WHERE MMIS_STAGING_GROUP_PK IN (48736,48737,48738,48739,48740,48741,48742)</t>
  </si>
  <si>
    <t>ORDER BY MMIS_STAGING_GROUP_PK,DateOfAction</t>
  </si>
  <si>
    <t>-- WHERE MMIS_STAGING_GROUP_PK IN (48890,48735,48736)</t>
  </si>
  <si>
    <t>SELECT * FROM vw_WorkflowProcessParameters WHERE REG_ID = 11217</t>
  </si>
  <si>
    <t>WHERE step.PROCESS_ID = 7188</t>
  </si>
  <si>
    <t>pt.PROVIDER_TYPE_NAME</t>
  </si>
  <si>
    <t>,pt.PROVIDER_TYPE_ABBREVIATION</t>
  </si>
  <si>
    <t>,rp.*</t>
  </si>
  <si>
    <t>ON pt.PROVIDER_TYPE_ID = rp.PROVIDER_TYPE_ID</t>
  </si>
  <si>
    <t>WHERE rp.CONTACT_EMAIL_ADDRESS = 'blah@blah.com'</t>
  </si>
  <si>
    <t>p.OrganizationTypeID</t>
  </si>
  <si>
    <t>,p.ProviderCategoryTypeID</t>
  </si>
  <si>
    <t>,p.ProviderCategoryTypeName</t>
  </si>
  <si>
    <t>,p.PartyTypeID</t>
  </si>
  <si>
    <t>,pom.PROVTYPE_ORGTYPE_MAPPING_ID</t>
  </si>
  <si>
    <t>LEFT JOIN PROVTYPE_ORGTYPE_MAPPING pom</t>
  </si>
  <si>
    <t>ON pom.ORGANIZATION_TYPE_ID = p.OrganizationTypeID</t>
  </si>
  <si>
    <t>WHERE p.ProviderCategoryTypeID IN (2,3,4)</t>
  </si>
  <si>
    <t>DECLARE @RegId int = 25086 -- 25086 (146644,55825),25085,25084</t>
  </si>
  <si>
    <t>SELECT @PartyId = PARTY_ID FROM REG_PROVIDER WHERE REG_ID = @RegId</t>
  </si>
  <si>
    <t>SELECT * FROM REG_PROVIDER WHERE REG_ID = @RegId</t>
  </si>
  <si>
    <t>SELECT * FROM REG_TAXONOMY WHERE REG_ID = @RegId</t>
  </si>
  <si>
    <t>SELECT * FROM REG_SPECIALTY WHERE REG_ID = @RegId</t>
  </si>
  <si>
    <t>SELECT * FROM SERVICE_LOCATION WHERE PartyID = @PartyId</t>
  </si>
  <si>
    <t>SELECT TOP(20) * FROM TRANSACTION_QUEUE WHERE PARTY_ID IN (146644,146639)</t>
  </si>
  <si>
    <t>SELECT * FROM REG_TRANSFER_HISTORY WHERE PARTY_ID IN (146644,146639)</t>
  </si>
  <si>
    <t>SELECT * FROM MMIS_STAGING_GROUP WHERE PARTY_ID IN (146644,146639) OR MMIS_STAGING_GROUP_PK &gt; 59996</t>
  </si>
  <si>
    <t>SELECT TOP(100) * FROM Log WHERE LogNumber &gt; 2294062 ORDER BY LogNumber DESC</t>
  </si>
  <si>
    <t>-- UPDATE SERVICE_LOCATION SET PrimaryFlag = 1 WHERE ServiceLocationID = 55825</t>
  </si>
  <si>
    <t>IF OBJECT_ID('tempdb..#tnp') IS NOT NULL DROP TABLE #tnp</t>
  </si>
  <si>
    <t>,PROVIDER_TYPE_ID</t>
  </si>
  <si>
    <t>INTO #tnp</t>
  </si>
  <si>
    <t>WHERE REG_ID IN (SELECT REG_ID FROM BUG4K_NEW_REG_IDS)</t>
  </si>
  <si>
    <t>4 DESC</t>
  </si>
  <si>
    <t>SELECT * FROM #tnp</t>
  </si>
  <si>
    <t>,rp.PROVIDER_TYPE_ID</t>
  </si>
  <si>
    <t>FROM #tnp</t>
  </si>
  <si>
    <t>) tnp</t>
  </si>
  <si>
    <t>ON tnp.NPI = rp.NPI</t>
  </si>
  <si>
    <t>AND tnp.TAX_ID = rp.TAX_ID</t>
  </si>
  <si>
    <t>AND tnp.PROVIDER_TYPE_ID = rp.PROVIDER_TYPE_ID</t>
  </si>
  <si>
    <t>WHERE rp.REG_ID IN (SELECT REG_ID FROM BUG4K_NEW_REG_IDS)</t>
  </si>
  <si>
    <t>WHERE TAX_ID = '520795508'</t>
  </si>
  <si>
    <t>AND NPI = '9999999999'</t>
  </si>
  <si>
    <t>,rp.ENTITY_TYPE_ID</t>
  </si>
  <si>
    <t>WHERE rp.TAX_ID = '520795508'</t>
  </si>
  <si>
    <t>AND rp.NPI = '9999999999'</t>
  </si>
  <si>
    <t>AND rp.REG_ID IN (SELECT REG_ID FROM BUG4K_NEW_REG_IDS)</t>
  </si>
  <si>
    <t>-- one list with NPIs that are all 9</t>
  </si>
  <si>
    <t>-- http://192.168.36.8/bugzilla/show_bug.cgi?id=4139</t>
  </si>
  <si>
    <t>-- metric of workflow type and what step they're in</t>
  </si>
  <si>
    <t>,task.CLASS_NAME</t>
  </si>
  <si>
    <t>ON wfpp.PROCESS_ID = step.PROCESS_ID</t>
  </si>
  <si>
    <t>step.PROCESS_ID</t>
  </si>
  <si>
    <t>,step.STEP_ID</t>
  </si>
  <si>
    <t xml:space="preserve">DECLARE @PartyID int </t>
  </si>
  <si>
    <t>SELECT @PartyID = PartyID FROM PROVIDER WHERE NPI = '1861802407'</t>
  </si>
  <si>
    <t>SELECT * FROM PROVIDER WHERE PartyID = @PartyID</t>
  </si>
  <si>
    <t>SELECT * FROM MEDICAID_ID WHERE PARTY_ID = 144638</t>
  </si>
  <si>
    <t>SELECT * FROM TRANSACTION_QUEUE WHERE PARTY_ID = 144638</t>
  </si>
  <si>
    <t>EXEC usp_SaveTransaction 144638,54864,1,NULL,NULL,@DTM,@User</t>
  </si>
  <si>
    <t>INSERT INTO MEDICAID_ID</t>
  </si>
  <si>
    <t>(MEDICAID_ID,LAST_MODIFIED_DATE_TIME,LAST_MODIFIED_USER,PARTY_ID)</t>
  </si>
  <si>
    <t>(NULL,@DTM,@User,144638)</t>
  </si>
  <si>
    <t>WHERE MEDICAID_PK = 56727</t>
  </si>
  <si>
    <t>/* List of Providers to add to test Return Roster */</t>
  </si>
  <si>
    <t>,s.CAQHStatus</t>
  </si>
  <si>
    <t>,CONVERT(VARCHAR(10), p.CAQHStatusDate, 112) CAQHStatusDate</t>
  </si>
  <si>
    <t>,s.SubmitRosterId</t>
  </si>
  <si>
    <t>,ISNULL(p.MiddleName,'') MiddleName</t>
  </si>
  <si>
    <t>,p.ProviderType</t>
  </si>
  <si>
    <t>,p.CredentialAddress1</t>
  </si>
  <si>
    <t>,ISNULL(p.CredentialAddress2,'') CredentialAddress2</t>
  </si>
  <si>
    <t>,p.CredentialCity</t>
  </si>
  <si>
    <t>,p.CredentialState</t>
  </si>
  <si>
    <t>,p.CredentialZip</t>
  </si>
  <si>
    <t>,CONVERT(VARCHAR(10), p.BirthDate, 112) BirthDate</t>
  </si>
  <si>
    <t>,l.LicenseNumber</t>
  </si>
  <si>
    <t>,l.LicenseState</t>
  </si>
  <si>
    <t>,p.UPIN</t>
  </si>
  <si>
    <t>,'' DEANumber</t>
  </si>
  <si>
    <t>,p.PracticeState</t>
  </si>
  <si>
    <t>JOIN LICENSE l</t>
  </si>
  <si>
    <t>ON l.PartyID = p.PartyID</t>
  </si>
  <si>
    <t>JOIN LICENSE_PRIMARY_FLAG lpf</t>
  </si>
  <si>
    <t>ON lpf.LICENSURE_ID = l.LicensureID</t>
  </si>
  <si>
    <t>WHERE CAQHID IS NOT NULL</t>
  </si>
  <si>
    <t>ORDER BY CAQHID DESC</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</si>
</sst>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10.5"/>
      <color theme="1"/>
      <name val="Consolas"/>
      <family val="3"/>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Font="1"/>
    <xf numFmtId="0" fontId="0" fillId="0" borderId="0" xfId="0" applyFont="1" applyAlignment="1">
      <alignment horizontal="center"/>
    </xf>
    <xf numFmtId="0" fontId="1" fillId="2" borderId="0" xfId="0" applyFont="1" applyFill="1"/>
    <xf numFmtId="0" fontId="1" fillId="2" borderId="0" xfId="0" applyFont="1" applyFill="1" applyAlignment="1">
      <alignment horizontal="center"/>
    </xf>
    <xf numFmtId="0" fontId="0" fillId="3" borderId="0" xfId="0" applyFont="1" applyFill="1"/>
    <xf numFmtId="0" fontId="0" fillId="3" borderId="0" xfId="0" applyFont="1" applyFill="1" applyAlignment="1">
      <alignment horizontal="center"/>
    </xf>
    <xf numFmtId="0" fontId="0" fillId="0" borderId="0" xfId="0" applyFont="1" applyFill="1"/>
    <xf numFmtId="0" fontId="0" fillId="0" borderId="0" xfId="0" applyFont="1" applyFill="1" applyAlignment="1">
      <alignment horizontal="center"/>
    </xf>
    <xf numFmtId="0" fontId="2" fillId="0" borderId="0" xfId="0" applyFont="1" applyFill="1"/>
    <xf numFmtId="0" fontId="3" fillId="0" borderId="0" xfId="0" applyFont="1"/>
    <xf numFmtId="14" fontId="0" fillId="3" borderId="0" xfId="0" applyNumberFormat="1" applyFont="1" applyFill="1" applyAlignment="1">
      <alignment horizontal="center"/>
    </xf>
    <xf numFmtId="14" fontId="0" fillId="0" borderId="0" xfId="0" applyNumberFormat="1" applyFont="1" applyFill="1" applyAlignment="1">
      <alignment horizontal="center"/>
    </xf>
    <xf numFmtId="0" fontId="4" fillId="0" borderId="0" xfId="0" applyFont="1"/>
    <xf numFmtId="0" fontId="2" fillId="0" borderId="0" xfId="0" applyFont="1"/>
    <xf numFmtId="0" fontId="5" fillId="0" borderId="0" xfId="0" applyFont="1"/>
    <xf numFmtId="0" fontId="0" fillId="0" borderId="0" xfId="0" applyFont="1" applyFill="1" applyAlignment="1">
      <alignment horizontal="left"/>
    </xf>
    <xf numFmtId="14" fontId="0" fillId="0" borderId="0" xfId="0" applyNumberFormat="1"/>
    <xf numFmtId="0" fontId="0" fillId="0" borderId="0" xfId="0" applyFill="1" applyAlignment="1">
      <alignment horizontal="center"/>
    </xf>
    <xf numFmtId="0" fontId="0" fillId="0" borderId="0" xfId="0" applyAlignment="1">
      <alignment horizontal="center"/>
    </xf>
    <xf numFmtId="0" fontId="6" fillId="0" borderId="0" xfId="0" applyFont="1"/>
    <xf numFmtId="0" fontId="0" fillId="3" borderId="0" xfId="0" applyFill="1"/>
    <xf numFmtId="47" fontId="0" fillId="0" borderId="0" xfId="0" applyNumberFormat="1"/>
    <xf numFmtId="0" fontId="0" fillId="0" borderId="0" xfId="0" quotePrefix="1"/>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election activeCell="A16" sqref="A16"/>
    </sheetView>
  </sheetViews>
  <sheetFormatPr defaultRowHeight="15" x14ac:dyDescent="0.25"/>
  <cols>
    <col min="1" max="1" width="8.5703125" style="1" customWidth="1"/>
    <col min="2" max="2" width="70.85546875" style="1" bestFit="1" customWidth="1"/>
    <col min="3" max="6" width="12.7109375" style="2" customWidth="1"/>
    <col min="7" max="7" width="91.5703125" style="1" customWidth="1"/>
    <col min="8" max="16384" width="9.140625" style="1"/>
  </cols>
  <sheetData>
    <row r="1" spans="1:7" s="3" customFormat="1" x14ac:dyDescent="0.25">
      <c r="A1" s="3" t="s">
        <v>0</v>
      </c>
      <c r="B1" s="3" t="s">
        <v>1</v>
      </c>
      <c r="C1" s="4" t="s">
        <v>2</v>
      </c>
      <c r="D1" s="4" t="s">
        <v>3</v>
      </c>
      <c r="E1" s="4" t="s">
        <v>4</v>
      </c>
      <c r="F1" s="4" t="s">
        <v>76</v>
      </c>
      <c r="G1" s="3" t="s">
        <v>11</v>
      </c>
    </row>
    <row r="2" spans="1:7" x14ac:dyDescent="0.25">
      <c r="A2" s="5">
        <v>1184</v>
      </c>
      <c r="B2" s="5" t="s">
        <v>9</v>
      </c>
      <c r="C2" s="6" t="s">
        <v>6</v>
      </c>
      <c r="D2" s="6" t="s">
        <v>6</v>
      </c>
      <c r="E2" s="6" t="s">
        <v>6</v>
      </c>
      <c r="F2" s="11">
        <v>41227</v>
      </c>
      <c r="G2" s="5" t="s">
        <v>30</v>
      </c>
    </row>
    <row r="3" spans="1:7" s="7" customFormat="1" x14ac:dyDescent="0.25">
      <c r="A3" s="7">
        <v>1275</v>
      </c>
      <c r="B3" s="7" t="s">
        <v>5</v>
      </c>
      <c r="C3" s="8" t="s">
        <v>6</v>
      </c>
      <c r="D3" s="8" t="s">
        <v>6</v>
      </c>
      <c r="E3" s="8" t="s">
        <v>6</v>
      </c>
      <c r="F3" s="12">
        <v>41227</v>
      </c>
    </row>
    <row r="4" spans="1:7" s="7" customFormat="1" x14ac:dyDescent="0.25">
      <c r="A4" s="7">
        <v>1290</v>
      </c>
      <c r="B4" s="7" t="s">
        <v>8</v>
      </c>
      <c r="C4" s="8" t="s">
        <v>6</v>
      </c>
      <c r="D4" s="8" t="s">
        <v>6</v>
      </c>
      <c r="E4" s="8" t="s">
        <v>6</v>
      </c>
      <c r="F4" s="12">
        <v>41227</v>
      </c>
    </row>
    <row r="5" spans="1:7" s="7" customFormat="1" x14ac:dyDescent="0.25">
      <c r="A5" s="7">
        <v>1317</v>
      </c>
      <c r="B5" s="7" t="s">
        <v>7</v>
      </c>
      <c r="C5" s="8" t="s">
        <v>6</v>
      </c>
      <c r="D5" s="8" t="s">
        <v>6</v>
      </c>
      <c r="E5" s="8" t="s">
        <v>6</v>
      </c>
      <c r="F5" s="12">
        <v>41227</v>
      </c>
    </row>
    <row r="6" spans="1:7" s="7" customFormat="1" x14ac:dyDescent="0.25">
      <c r="A6" s="9">
        <v>1324</v>
      </c>
      <c r="B6" s="7" t="s">
        <v>10</v>
      </c>
      <c r="C6" s="8" t="s">
        <v>6</v>
      </c>
      <c r="D6" s="8" t="s">
        <v>6</v>
      </c>
      <c r="E6" s="8" t="s">
        <v>6</v>
      </c>
      <c r="F6" s="12">
        <v>41227</v>
      </c>
    </row>
    <row r="7" spans="1:7" s="7" customFormat="1" x14ac:dyDescent="0.25">
      <c r="A7" s="7">
        <v>1325</v>
      </c>
      <c r="B7" s="7" t="s">
        <v>71</v>
      </c>
      <c r="C7" s="8" t="s">
        <v>6</v>
      </c>
      <c r="D7" s="8" t="s">
        <v>6</v>
      </c>
      <c r="E7" s="8" t="s">
        <v>6</v>
      </c>
      <c r="F7" s="12">
        <v>41227</v>
      </c>
      <c r="G7" s="16" t="s">
        <v>77</v>
      </c>
    </row>
    <row r="8" spans="1:7" s="7" customFormat="1" x14ac:dyDescent="0.25">
      <c r="A8" s="7">
        <v>1375</v>
      </c>
      <c r="B8" s="7" t="s">
        <v>78</v>
      </c>
      <c r="C8" s="8" t="s">
        <v>6</v>
      </c>
      <c r="D8" s="8" t="s">
        <v>6</v>
      </c>
      <c r="E8" s="8" t="s">
        <v>6</v>
      </c>
      <c r="F8" s="12">
        <v>41255</v>
      </c>
    </row>
    <row r="9" spans="1:7" s="7" customFormat="1" x14ac:dyDescent="0.25">
      <c r="A9" s="7">
        <v>1459</v>
      </c>
      <c r="B9" s="7" t="s">
        <v>128</v>
      </c>
      <c r="C9" s="8" t="s">
        <v>129</v>
      </c>
      <c r="D9" s="8" t="s">
        <v>129</v>
      </c>
      <c r="E9" s="8" t="s">
        <v>129</v>
      </c>
      <c r="F9" s="12">
        <v>41255</v>
      </c>
    </row>
    <row r="10" spans="1:7" s="7" customFormat="1" x14ac:dyDescent="0.25">
      <c r="A10" s="7">
        <v>1252</v>
      </c>
      <c r="B10" s="7" t="s">
        <v>141</v>
      </c>
      <c r="C10" s="8" t="s">
        <v>6</v>
      </c>
      <c r="D10" s="8" t="s">
        <v>6</v>
      </c>
      <c r="E10" s="8" t="s">
        <v>6</v>
      </c>
      <c r="F10" s="12">
        <v>41271</v>
      </c>
    </row>
    <row r="11" spans="1:7" s="7" customFormat="1" x14ac:dyDescent="0.25">
      <c r="A11" s="7">
        <v>1468</v>
      </c>
      <c r="B11" s="7" t="s">
        <v>142</v>
      </c>
      <c r="C11" s="8" t="s">
        <v>6</v>
      </c>
      <c r="D11" s="8" t="s">
        <v>6</v>
      </c>
      <c r="E11" s="8" t="s">
        <v>6</v>
      </c>
      <c r="F11" s="12">
        <v>41269</v>
      </c>
    </row>
    <row r="12" spans="1:7" s="7" customFormat="1" x14ac:dyDescent="0.25">
      <c r="A12" s="7">
        <v>1159</v>
      </c>
      <c r="B12" s="7" t="s">
        <v>152</v>
      </c>
      <c r="C12" s="8" t="s">
        <v>6</v>
      </c>
      <c r="D12" s="8" t="s">
        <v>6</v>
      </c>
      <c r="E12" s="8" t="s">
        <v>6</v>
      </c>
      <c r="F12" s="12">
        <v>41271</v>
      </c>
    </row>
    <row r="13" spans="1:7" s="7" customFormat="1" x14ac:dyDescent="0.25">
      <c r="A13" s="7">
        <v>1462</v>
      </c>
      <c r="B13" s="14" t="s">
        <v>179</v>
      </c>
      <c r="C13" s="8" t="s">
        <v>6</v>
      </c>
      <c r="D13" s="8" t="s">
        <v>6</v>
      </c>
      <c r="E13" s="8" t="s">
        <v>6</v>
      </c>
      <c r="F13" s="12">
        <v>41271</v>
      </c>
    </row>
    <row r="14" spans="1:7" s="7" customFormat="1" x14ac:dyDescent="0.25">
      <c r="A14" s="7">
        <v>1511</v>
      </c>
      <c r="B14" s="7" t="s">
        <v>294</v>
      </c>
      <c r="C14" s="18" t="s">
        <v>6</v>
      </c>
      <c r="D14" s="18" t="s">
        <v>6</v>
      </c>
      <c r="E14" s="18" t="s">
        <v>6</v>
      </c>
      <c r="F14" s="12">
        <v>41306</v>
      </c>
    </row>
    <row r="15" spans="1:7" s="7" customFormat="1" x14ac:dyDescent="0.25">
      <c r="A15" s="7">
        <v>1545</v>
      </c>
      <c r="B15" s="7" t="s">
        <v>322</v>
      </c>
      <c r="C15" s="18" t="s">
        <v>6</v>
      </c>
      <c r="D15" s="18" t="s">
        <v>6</v>
      </c>
      <c r="E15" s="18" t="s">
        <v>6</v>
      </c>
      <c r="F15" s="12">
        <v>41313</v>
      </c>
    </row>
    <row r="16" spans="1:7" x14ac:dyDescent="0.25">
      <c r="A16" s="7">
        <v>1670</v>
      </c>
      <c r="B16" s="7" t="s">
        <v>323</v>
      </c>
      <c r="C16" s="19" t="s">
        <v>6</v>
      </c>
      <c r="D16" s="19" t="s">
        <v>6</v>
      </c>
      <c r="E16" s="19" t="s">
        <v>6</v>
      </c>
    </row>
  </sheetData>
  <sortState ref="A2:F6">
    <sortCondition ref="A2:A6"/>
  </sortState>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topLeftCell="A118" workbookViewId="0">
      <selection activeCell="A134" sqref="A134"/>
    </sheetView>
  </sheetViews>
  <sheetFormatPr defaultRowHeight="15" x14ac:dyDescent="0.25"/>
  <cols>
    <col min="1" max="1" width="18.85546875" style="1" customWidth="1"/>
    <col min="2" max="16384" width="9.140625" style="1"/>
  </cols>
  <sheetData>
    <row r="1" spans="1:1" x14ac:dyDescent="0.25">
      <c r="A1" s="10" t="s">
        <v>157</v>
      </c>
    </row>
    <row r="2" spans="1:1" s="15" customFormat="1" x14ac:dyDescent="0.25">
      <c r="A2" s="15" t="s">
        <v>153</v>
      </c>
    </row>
    <row r="3" spans="1:1" s="15" customFormat="1" x14ac:dyDescent="0.25">
      <c r="A3" s="15" t="s">
        <v>154</v>
      </c>
    </row>
    <row r="4" spans="1:1" s="15" customFormat="1" x14ac:dyDescent="0.25">
      <c r="A4" s="15" t="s">
        <v>155</v>
      </c>
    </row>
    <row r="5" spans="1:1" x14ac:dyDescent="0.25">
      <c r="A5" s="15" t="s">
        <v>156</v>
      </c>
    </row>
    <row r="6" spans="1:1" x14ac:dyDescent="0.25">
      <c r="A6" s="15" t="s">
        <v>158</v>
      </c>
    </row>
    <row r="7" spans="1:1" x14ac:dyDescent="0.25">
      <c r="A7" s="15" t="s">
        <v>147</v>
      </c>
    </row>
    <row r="8" spans="1:1" x14ac:dyDescent="0.25">
      <c r="A8" s="15" t="s">
        <v>159</v>
      </c>
    </row>
    <row r="9" spans="1:1" s="15" customFormat="1" x14ac:dyDescent="0.25">
      <c r="A9" s="15" t="s">
        <v>172</v>
      </c>
    </row>
    <row r="10" spans="1:1" x14ac:dyDescent="0.25">
      <c r="A10" s="15" t="s">
        <v>178</v>
      </c>
    </row>
    <row r="11" spans="1:1" s="15" customFormat="1" x14ac:dyDescent="0.25">
      <c r="A11" s="15" t="s">
        <v>177</v>
      </c>
    </row>
    <row r="17" spans="1:2" x14ac:dyDescent="0.25">
      <c r="A17" s="1" t="s">
        <v>173</v>
      </c>
    </row>
    <row r="18" spans="1:2" x14ac:dyDescent="0.25">
      <c r="A18" s="14" t="s">
        <v>174</v>
      </c>
      <c r="B18" s="1">
        <v>12082349</v>
      </c>
    </row>
    <row r="19" spans="1:2" x14ac:dyDescent="0.25">
      <c r="A19" s="14" t="s">
        <v>175</v>
      </c>
      <c r="B19" s="1">
        <v>10807912</v>
      </c>
    </row>
    <row r="20" spans="1:2" x14ac:dyDescent="0.25">
      <c r="A20" t="s">
        <v>176</v>
      </c>
      <c r="B20" s="1">
        <v>10837405</v>
      </c>
    </row>
    <row r="22" spans="1:2" x14ac:dyDescent="0.25">
      <c r="A22" s="1" t="s">
        <v>79</v>
      </c>
    </row>
    <row r="23" spans="1:2" x14ac:dyDescent="0.25">
      <c r="A23" s="1" t="s">
        <v>214</v>
      </c>
    </row>
    <row r="24" spans="1:2" x14ac:dyDescent="0.25">
      <c r="A24" s="1" t="s">
        <v>215</v>
      </c>
    </row>
    <row r="25" spans="1:2" x14ac:dyDescent="0.25">
      <c r="A25" s="1" t="s">
        <v>216</v>
      </c>
    </row>
    <row r="26" spans="1:2" x14ac:dyDescent="0.25">
      <c r="A26" s="1" t="s">
        <v>217</v>
      </c>
    </row>
    <row r="27" spans="1:2" x14ac:dyDescent="0.25">
      <c r="A27" s="1" t="s">
        <v>218</v>
      </c>
    </row>
    <row r="28" spans="1:2" x14ac:dyDescent="0.25">
      <c r="A28" s="1" t="s">
        <v>82</v>
      </c>
    </row>
    <row r="29" spans="1:2" x14ac:dyDescent="0.25">
      <c r="A29" s="1" t="s">
        <v>83</v>
      </c>
    </row>
    <row r="31" spans="1:2" x14ac:dyDescent="0.25">
      <c r="A31" s="1" t="s">
        <v>219</v>
      </c>
    </row>
    <row r="32" spans="1:2" x14ac:dyDescent="0.25">
      <c r="B32" s="1" t="s">
        <v>220</v>
      </c>
    </row>
    <row r="33" spans="1:1" x14ac:dyDescent="0.25">
      <c r="A33" s="1" t="s">
        <v>221</v>
      </c>
    </row>
    <row r="35" spans="1:1" x14ac:dyDescent="0.25">
      <c r="A35" s="1" t="s">
        <v>222</v>
      </c>
    </row>
    <row r="36" spans="1:1" x14ac:dyDescent="0.25">
      <c r="A36" s="1" t="s">
        <v>223</v>
      </c>
    </row>
    <row r="37" spans="1:1" x14ac:dyDescent="0.25">
      <c r="A37" s="1" t="s">
        <v>224</v>
      </c>
    </row>
    <row r="38" spans="1:1" x14ac:dyDescent="0.25">
      <c r="A38" s="1" t="s">
        <v>225</v>
      </c>
    </row>
    <row r="39" spans="1:1" x14ac:dyDescent="0.25">
      <c r="A39" s="1" t="s">
        <v>226</v>
      </c>
    </row>
    <row r="40" spans="1:1" x14ac:dyDescent="0.25">
      <c r="A40" s="1" t="s">
        <v>227</v>
      </c>
    </row>
    <row r="41" spans="1:1" x14ac:dyDescent="0.25">
      <c r="A41" s="1" t="s">
        <v>87</v>
      </c>
    </row>
    <row r="42" spans="1:1" x14ac:dyDescent="0.25">
      <c r="A42" s="1" t="s">
        <v>88</v>
      </c>
    </row>
    <row r="43" spans="1:1" x14ac:dyDescent="0.25">
      <c r="A43" s="1" t="s">
        <v>228</v>
      </c>
    </row>
    <row r="44" spans="1:1" x14ac:dyDescent="0.25">
      <c r="A44" s="1" t="s">
        <v>229</v>
      </c>
    </row>
    <row r="45" spans="1:1" x14ac:dyDescent="0.25">
      <c r="A45" s="1" t="s">
        <v>230</v>
      </c>
    </row>
    <row r="47" spans="1:1" x14ac:dyDescent="0.25">
      <c r="A47" s="1" t="s">
        <v>231</v>
      </c>
    </row>
    <row r="48" spans="1:1" x14ac:dyDescent="0.25">
      <c r="A48" s="1" t="s">
        <v>232</v>
      </c>
    </row>
    <row r="49" spans="1:1" x14ac:dyDescent="0.25">
      <c r="A49" s="1" t="s">
        <v>233</v>
      </c>
    </row>
    <row r="50" spans="1:1" x14ac:dyDescent="0.25">
      <c r="A50" s="1" t="s">
        <v>92</v>
      </c>
    </row>
    <row r="51" spans="1:1" x14ac:dyDescent="0.25">
      <c r="A51" s="1" t="s">
        <v>234</v>
      </c>
    </row>
    <row r="52" spans="1:1" x14ac:dyDescent="0.25">
      <c r="A52" s="1" t="s">
        <v>235</v>
      </c>
    </row>
    <row r="53" spans="1:1" x14ac:dyDescent="0.25">
      <c r="A53" s="1" t="s">
        <v>236</v>
      </c>
    </row>
    <row r="54" spans="1:1" x14ac:dyDescent="0.25">
      <c r="A54" s="1" t="s">
        <v>237</v>
      </c>
    </row>
    <row r="55" spans="1:1" x14ac:dyDescent="0.25">
      <c r="A55" s="1" t="s">
        <v>238</v>
      </c>
    </row>
    <row r="56" spans="1:1" x14ac:dyDescent="0.25">
      <c r="A56" s="1" t="s">
        <v>239</v>
      </c>
    </row>
    <row r="58" spans="1:1" x14ac:dyDescent="0.25">
      <c r="A58" s="1" t="s">
        <v>240</v>
      </c>
    </row>
    <row r="59" spans="1:1" x14ac:dyDescent="0.25">
      <c r="A59" s="1" t="s">
        <v>241</v>
      </c>
    </row>
    <row r="60" spans="1:1" x14ac:dyDescent="0.25">
      <c r="A60" s="1" t="s">
        <v>242</v>
      </c>
    </row>
    <row r="62" spans="1:1" x14ac:dyDescent="0.25">
      <c r="A62" s="1" t="s">
        <v>243</v>
      </c>
    </row>
    <row r="65" spans="1:2" x14ac:dyDescent="0.25">
      <c r="A65" s="1" t="s">
        <v>244</v>
      </c>
    </row>
    <row r="66" spans="1:2" x14ac:dyDescent="0.25">
      <c r="A66" s="1" t="s">
        <v>245</v>
      </c>
    </row>
    <row r="67" spans="1:2" x14ac:dyDescent="0.25">
      <c r="A67" s="1" t="s">
        <v>246</v>
      </c>
    </row>
    <row r="68" spans="1:2" x14ac:dyDescent="0.25">
      <c r="A68" s="1" t="s">
        <v>247</v>
      </c>
      <c r="B68" s="1" t="s">
        <v>248</v>
      </c>
    </row>
    <row r="69" spans="1:2" x14ac:dyDescent="0.25">
      <c r="A69" s="1" t="e">
        <f>-- WHERE LogNumber &lt;= 3592</f>
        <v>#NAME?</v>
      </c>
    </row>
    <row r="70" spans="1:2" x14ac:dyDescent="0.25">
      <c r="A70" s="1" t="s">
        <v>249</v>
      </c>
    </row>
    <row r="71" spans="1:2" x14ac:dyDescent="0.25">
      <c r="A71" s="1" t="s">
        <v>250</v>
      </c>
    </row>
    <row r="72" spans="1:2" x14ac:dyDescent="0.25">
      <c r="A72" s="1" t="s">
        <v>251</v>
      </c>
    </row>
    <row r="74" spans="1:2" x14ac:dyDescent="0.25">
      <c r="A74" s="1" t="s">
        <v>240</v>
      </c>
    </row>
    <row r="75" spans="1:2" x14ac:dyDescent="0.25">
      <c r="A75" s="1" t="s">
        <v>242</v>
      </c>
    </row>
    <row r="76" spans="1:2" x14ac:dyDescent="0.25">
      <c r="A76" s="1" t="s">
        <v>252</v>
      </c>
    </row>
    <row r="77" spans="1:2" x14ac:dyDescent="0.25">
      <c r="A77" s="1" t="s">
        <v>253</v>
      </c>
    </row>
    <row r="78" spans="1:2" x14ac:dyDescent="0.25">
      <c r="A78" s="1" t="s">
        <v>254</v>
      </c>
    </row>
    <row r="79" spans="1:2" x14ac:dyDescent="0.25">
      <c r="A79" s="1" t="s">
        <v>255</v>
      </c>
    </row>
    <row r="80" spans="1:2" x14ac:dyDescent="0.25">
      <c r="A80" s="1" t="s">
        <v>256</v>
      </c>
    </row>
    <row r="81" spans="1:6" x14ac:dyDescent="0.25">
      <c r="A81" s="1" t="s">
        <v>257</v>
      </c>
    </row>
    <row r="82" spans="1:6" x14ac:dyDescent="0.25">
      <c r="A82" s="1" t="s">
        <v>258</v>
      </c>
    </row>
    <row r="84" spans="1:6" x14ac:dyDescent="0.25">
      <c r="A84" s="1" t="s">
        <v>259</v>
      </c>
    </row>
    <row r="87" spans="1:6" x14ac:dyDescent="0.25">
      <c r="A87" s="1" t="s">
        <v>260</v>
      </c>
    </row>
    <row r="88" spans="1:6" x14ac:dyDescent="0.25">
      <c r="A88" s="1" t="s">
        <v>261</v>
      </c>
    </row>
    <row r="89" spans="1:6" x14ac:dyDescent="0.25">
      <c r="F89" s="1" t="s">
        <v>262</v>
      </c>
    </row>
    <row r="90" spans="1:6" x14ac:dyDescent="0.25">
      <c r="A90" s="1" t="s">
        <v>263</v>
      </c>
    </row>
    <row r="91" spans="1:6" x14ac:dyDescent="0.25">
      <c r="A91" s="1" t="s">
        <v>264</v>
      </c>
    </row>
    <row r="92" spans="1:6" x14ac:dyDescent="0.25">
      <c r="A92" s="1" t="s">
        <v>265</v>
      </c>
    </row>
    <row r="94" spans="1:6" x14ac:dyDescent="0.25">
      <c r="A94" s="1" t="s">
        <v>266</v>
      </c>
    </row>
    <row r="95" spans="1:6" x14ac:dyDescent="0.25">
      <c r="A95" s="1" t="s">
        <v>267</v>
      </c>
    </row>
    <row r="96" spans="1:6" x14ac:dyDescent="0.25">
      <c r="A96" s="1" t="s">
        <v>268</v>
      </c>
    </row>
    <row r="97" spans="1:2" x14ac:dyDescent="0.25">
      <c r="A97" s="1" t="s">
        <v>269</v>
      </c>
    </row>
    <row r="98" spans="1:2" x14ac:dyDescent="0.25">
      <c r="A98" s="1" t="s">
        <v>270</v>
      </c>
    </row>
    <row r="99" spans="1:2" x14ac:dyDescent="0.25">
      <c r="A99" s="1" t="s">
        <v>271</v>
      </c>
    </row>
    <row r="100" spans="1:2" x14ac:dyDescent="0.25">
      <c r="A100" s="1" t="s">
        <v>105</v>
      </c>
    </row>
    <row r="101" spans="1:2" x14ac:dyDescent="0.25">
      <c r="A101" s="1" t="s">
        <v>244</v>
      </c>
    </row>
    <row r="102" spans="1:2" x14ac:dyDescent="0.25">
      <c r="A102" s="1" t="s">
        <v>245</v>
      </c>
    </row>
    <row r="103" spans="1:2" x14ac:dyDescent="0.25">
      <c r="A103" s="1" t="s">
        <v>246</v>
      </c>
    </row>
    <row r="104" spans="1:2" x14ac:dyDescent="0.25">
      <c r="A104" s="1" t="s">
        <v>247</v>
      </c>
      <c r="B104" s="1" t="s">
        <v>248</v>
      </c>
    </row>
    <row r="105" spans="1:2" x14ac:dyDescent="0.25">
      <c r="A105" s="1" t="e">
        <f>-- WHERE LogNumber &lt;= 3592</f>
        <v>#NAME?</v>
      </c>
    </row>
    <row r="106" spans="1:2" x14ac:dyDescent="0.25">
      <c r="A106" s="1" t="s">
        <v>249</v>
      </c>
    </row>
    <row r="107" spans="1:2" x14ac:dyDescent="0.25">
      <c r="A107" s="1" t="s">
        <v>250</v>
      </c>
    </row>
    <row r="108" spans="1:2" x14ac:dyDescent="0.25">
      <c r="A108" s="1" t="s">
        <v>251</v>
      </c>
    </row>
    <row r="111" spans="1:2" x14ac:dyDescent="0.25">
      <c r="A111" s="1" t="s">
        <v>213</v>
      </c>
    </row>
    <row r="112" spans="1:2" x14ac:dyDescent="0.25">
      <c r="B112" s="1" t="s">
        <v>272</v>
      </c>
    </row>
    <row r="113" spans="1:1" x14ac:dyDescent="0.25">
      <c r="A113" s="1" t="s">
        <v>273</v>
      </c>
    </row>
    <row r="114" spans="1:1" x14ac:dyDescent="0.25">
      <c r="A114" s="1" t="s">
        <v>274</v>
      </c>
    </row>
    <row r="116" spans="1:1" x14ac:dyDescent="0.25">
      <c r="A116" s="1" t="s">
        <v>275</v>
      </c>
    </row>
    <row r="117" spans="1:1" x14ac:dyDescent="0.25">
      <c r="A117" s="1" t="s">
        <v>273</v>
      </c>
    </row>
    <row r="119" spans="1:1" x14ac:dyDescent="0.25">
      <c r="A119" s="1" t="s">
        <v>276</v>
      </c>
    </row>
    <row r="121" spans="1:1" x14ac:dyDescent="0.25">
      <c r="A121" s="1" t="s">
        <v>277</v>
      </c>
    </row>
    <row r="123" spans="1:1" x14ac:dyDescent="0.25">
      <c r="A123" s="1" t="s">
        <v>278</v>
      </c>
    </row>
    <row r="124" spans="1:1" x14ac:dyDescent="0.25">
      <c r="A124" s="1" t="s">
        <v>279</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sqref="A1:X7"/>
    </sheetView>
  </sheetViews>
  <sheetFormatPr defaultRowHeight="15" x14ac:dyDescent="0.25"/>
  <sheetData>
    <row r="1" spans="1:1" x14ac:dyDescent="0.25">
      <c r="A1" t="s">
        <v>37</v>
      </c>
    </row>
    <row r="2" spans="1:1" x14ac:dyDescent="0.25">
      <c r="A2" t="s">
        <v>36</v>
      </c>
    </row>
    <row r="3" spans="1:1" x14ac:dyDescent="0.25">
      <c r="A3" t="s">
        <v>31</v>
      </c>
    </row>
    <row r="4" spans="1:1" x14ac:dyDescent="0.25">
      <c r="A4" t="s">
        <v>32</v>
      </c>
    </row>
    <row r="5" spans="1:1" x14ac:dyDescent="0.25">
      <c r="A5" t="s">
        <v>33</v>
      </c>
    </row>
    <row r="6" spans="1:1" x14ac:dyDescent="0.25">
      <c r="A6" t="s">
        <v>34</v>
      </c>
    </row>
    <row r="7" spans="1:1" x14ac:dyDescent="0.25">
      <c r="A7" t="s">
        <v>35</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A24" sqref="A24:A30"/>
    </sheetView>
  </sheetViews>
  <sheetFormatPr defaultRowHeight="15" x14ac:dyDescent="0.25"/>
  <sheetData>
    <row r="1" spans="1:1" s="10" customFormat="1" x14ac:dyDescent="0.25">
      <c r="A1" s="10" t="s">
        <v>65</v>
      </c>
    </row>
    <row r="2" spans="1:1" x14ac:dyDescent="0.25">
      <c r="A2" t="s">
        <v>56</v>
      </c>
    </row>
    <row r="3" spans="1:1" x14ac:dyDescent="0.25">
      <c r="A3" t="s">
        <v>57</v>
      </c>
    </row>
    <row r="4" spans="1:1" x14ac:dyDescent="0.25">
      <c r="A4" t="s">
        <v>58</v>
      </c>
    </row>
    <row r="5" spans="1:1" x14ac:dyDescent="0.25">
      <c r="A5" t="s">
        <v>59</v>
      </c>
    </row>
    <row r="6" spans="1:1" x14ac:dyDescent="0.25">
      <c r="A6" t="s">
        <v>60</v>
      </c>
    </row>
    <row r="7" spans="1:1" x14ac:dyDescent="0.25">
      <c r="A7" t="s">
        <v>61</v>
      </c>
    </row>
    <row r="8" spans="1:1" x14ac:dyDescent="0.25">
      <c r="A8" t="s">
        <v>62</v>
      </c>
    </row>
    <row r="9" spans="1:1" x14ac:dyDescent="0.25">
      <c r="A9" t="s">
        <v>63</v>
      </c>
    </row>
    <row r="10" spans="1:1" x14ac:dyDescent="0.25">
      <c r="A10" t="s">
        <v>64</v>
      </c>
    </row>
    <row r="12" spans="1:1" s="10" customFormat="1" x14ac:dyDescent="0.25">
      <c r="A12" s="10" t="s">
        <v>70</v>
      </c>
    </row>
    <row r="13" spans="1:1" x14ac:dyDescent="0.25">
      <c r="A13" t="s">
        <v>56</v>
      </c>
    </row>
    <row r="14" spans="1:1" x14ac:dyDescent="0.25">
      <c r="A14" t="s">
        <v>57</v>
      </c>
    </row>
    <row r="15" spans="1:1" x14ac:dyDescent="0.25">
      <c r="A15" t="s">
        <v>58</v>
      </c>
    </row>
    <row r="16" spans="1:1" x14ac:dyDescent="0.25">
      <c r="A16" t="s">
        <v>66</v>
      </c>
    </row>
    <row r="17" spans="1:1" x14ac:dyDescent="0.25">
      <c r="A17" t="s">
        <v>60</v>
      </c>
    </row>
    <row r="18" spans="1:1" x14ac:dyDescent="0.25">
      <c r="A18" t="s">
        <v>61</v>
      </c>
    </row>
    <row r="19" spans="1:1" x14ac:dyDescent="0.25">
      <c r="A19" t="s">
        <v>62</v>
      </c>
    </row>
    <row r="20" spans="1:1" x14ac:dyDescent="0.25">
      <c r="A20" t="s">
        <v>67</v>
      </c>
    </row>
    <row r="21" spans="1:1" x14ac:dyDescent="0.25">
      <c r="A21" t="s">
        <v>68</v>
      </c>
    </row>
    <row r="22" spans="1:1" x14ac:dyDescent="0.25">
      <c r="A22" t="s">
        <v>69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A18" sqref="A18"/>
    </sheetView>
  </sheetViews>
  <sheetFormatPr defaultRowHeight="15" x14ac:dyDescent="0.25"/>
  <sheetData>
    <row r="1" spans="1:3" x14ac:dyDescent="0.25">
      <c r="A1" t="s">
        <v>130</v>
      </c>
    </row>
    <row r="2" spans="1:3" x14ac:dyDescent="0.25">
      <c r="B2" t="s">
        <v>131</v>
      </c>
    </row>
    <row r="3" spans="1:3" x14ac:dyDescent="0.25">
      <c r="C3" t="s">
        <v>132</v>
      </c>
    </row>
    <row r="4" spans="1:3" x14ac:dyDescent="0.25">
      <c r="C4" t="s">
        <v>133</v>
      </c>
    </row>
    <row r="5" spans="1:3" x14ac:dyDescent="0.25">
      <c r="C5" t="s">
        <v>134</v>
      </c>
    </row>
    <row r="6" spans="1:3" x14ac:dyDescent="0.25">
      <c r="C6" t="s">
        <v>133</v>
      </c>
    </row>
    <row r="7" spans="1:3" x14ac:dyDescent="0.25">
      <c r="C7" t="s">
        <v>135</v>
      </c>
    </row>
    <row r="8" spans="1:3" x14ac:dyDescent="0.25">
      <c r="C8" t="s">
        <v>133</v>
      </c>
    </row>
    <row r="9" spans="1:3" x14ac:dyDescent="0.25">
      <c r="C9" t="s">
        <v>136</v>
      </c>
    </row>
    <row r="10" spans="1:3" x14ac:dyDescent="0.25">
      <c r="C10" t="s">
        <v>133</v>
      </c>
    </row>
    <row r="11" spans="1:3" x14ac:dyDescent="0.25">
      <c r="C11" t="s">
        <v>137</v>
      </c>
    </row>
    <row r="12" spans="1:3" x14ac:dyDescent="0.25">
      <c r="C12" t="s">
        <v>133</v>
      </c>
    </row>
    <row r="13" spans="1:3" x14ac:dyDescent="0.25">
      <c r="C13" t="s">
        <v>138</v>
      </c>
    </row>
    <row r="14" spans="1:3" x14ac:dyDescent="0.25">
      <c r="C14" t="s">
        <v>133</v>
      </c>
    </row>
    <row r="15" spans="1:3" x14ac:dyDescent="0.25">
      <c r="C15" t="s">
        <v>139</v>
      </c>
    </row>
    <row r="16" spans="1:3" x14ac:dyDescent="0.25">
      <c r="A16"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sqref="A1:L11"/>
    </sheetView>
  </sheetViews>
  <sheetFormatPr defaultRowHeight="15" x14ac:dyDescent="0.25"/>
  <sheetData>
    <row r="1" spans="1:1" x14ac:dyDescent="0.25">
      <c r="A1" t="s">
        <v>19</v>
      </c>
    </row>
    <row r="2" spans="1:1" x14ac:dyDescent="0.25">
      <c r="A2" t="s">
        <v>20</v>
      </c>
    </row>
    <row r="3" spans="1:1" x14ac:dyDescent="0.25">
      <c r="A3" t="s">
        <v>21</v>
      </c>
    </row>
    <row r="4" spans="1:1" x14ac:dyDescent="0.25">
      <c r="A4" t="s">
        <v>22</v>
      </c>
    </row>
    <row r="5" spans="1:1" x14ac:dyDescent="0.25">
      <c r="A5" t="s">
        <v>23</v>
      </c>
    </row>
    <row r="6" spans="1:1" x14ac:dyDescent="0.25">
      <c r="A6" t="s">
        <v>24</v>
      </c>
    </row>
    <row r="7" spans="1:1" x14ac:dyDescent="0.25">
      <c r="A7" t="s">
        <v>25</v>
      </c>
    </row>
    <row r="8" spans="1:1" x14ac:dyDescent="0.25">
      <c r="A8" t="s">
        <v>26</v>
      </c>
    </row>
    <row r="9" spans="1:1" x14ac:dyDescent="0.25">
      <c r="A9" t="s">
        <v>27</v>
      </c>
    </row>
    <row r="10" spans="1:1" x14ac:dyDescent="0.25">
      <c r="A10" t="s">
        <v>28</v>
      </c>
    </row>
    <row r="11" spans="1:1" x14ac:dyDescent="0.25">
      <c r="A11" t="s">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XFD1"/>
    </sheetView>
  </sheetViews>
  <sheetFormatPr defaultRowHeight="15" x14ac:dyDescent="0.25"/>
  <cols>
    <col min="1" max="3" width="12.5703125" customWidth="1"/>
  </cols>
  <sheetData>
    <row r="1" spans="1:4" s="3" customFormat="1" x14ac:dyDescent="0.25">
      <c r="A1" s="3" t="s">
        <v>47</v>
      </c>
      <c r="B1" s="3" t="s">
        <v>48</v>
      </c>
      <c r="C1" s="3" t="s">
        <v>46</v>
      </c>
    </row>
    <row r="2" spans="1:4" x14ac:dyDescent="0.25">
      <c r="A2" t="s">
        <v>50</v>
      </c>
      <c r="B2" t="s">
        <v>49</v>
      </c>
      <c r="C2">
        <v>11441209</v>
      </c>
    </row>
    <row r="4" spans="1:4" s="3" customFormat="1" x14ac:dyDescent="0.25">
      <c r="A4" s="3" t="s">
        <v>51</v>
      </c>
    </row>
    <row r="5" spans="1:4" x14ac:dyDescent="0.25">
      <c r="A5" t="s">
        <v>53</v>
      </c>
      <c r="D5" t="s">
        <v>52</v>
      </c>
    </row>
  </sheetData>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A9" sqref="A9:A13"/>
    </sheetView>
  </sheetViews>
  <sheetFormatPr defaultRowHeight="15" x14ac:dyDescent="0.25"/>
  <cols>
    <col min="1" max="3" width="15.28515625" customWidth="1"/>
  </cols>
  <sheetData>
    <row r="1" spans="1:3" x14ac:dyDescent="0.25">
      <c r="A1" t="s">
        <v>12</v>
      </c>
    </row>
    <row r="2" spans="1:3" x14ac:dyDescent="0.25">
      <c r="A2" t="s">
        <v>13</v>
      </c>
    </row>
    <row r="3" spans="1:3" x14ac:dyDescent="0.25">
      <c r="A3" t="s">
        <v>14</v>
      </c>
    </row>
    <row r="4" spans="1:3" x14ac:dyDescent="0.25">
      <c r="A4" t="s">
        <v>15</v>
      </c>
    </row>
    <row r="5" spans="1:3" x14ac:dyDescent="0.25">
      <c r="A5" t="s">
        <v>16</v>
      </c>
    </row>
    <row r="6" spans="1:3" x14ac:dyDescent="0.25">
      <c r="A6" t="s">
        <v>17</v>
      </c>
    </row>
    <row r="7" spans="1:3" x14ac:dyDescent="0.25">
      <c r="A7" t="s">
        <v>18</v>
      </c>
    </row>
    <row r="9" spans="1:3" x14ac:dyDescent="0.25">
      <c r="A9" t="s">
        <v>41</v>
      </c>
    </row>
    <row r="10" spans="1:3" x14ac:dyDescent="0.25">
      <c r="A10" t="s">
        <v>42</v>
      </c>
      <c r="B10" t="s">
        <v>38</v>
      </c>
      <c r="C10" t="s">
        <v>39</v>
      </c>
    </row>
    <row r="11" spans="1:3" x14ac:dyDescent="0.25">
      <c r="A11" t="s">
        <v>43</v>
      </c>
      <c r="B11" t="s">
        <v>40</v>
      </c>
      <c r="C11">
        <v>12257552</v>
      </c>
    </row>
    <row r="12" spans="1:3" x14ac:dyDescent="0.25">
      <c r="A12" t="s">
        <v>44</v>
      </c>
    </row>
    <row r="13" spans="1:3" x14ac:dyDescent="0.25">
      <c r="A13" t="s">
        <v>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2" sqref="B2"/>
    </sheetView>
  </sheetViews>
  <sheetFormatPr defaultRowHeight="15" x14ac:dyDescent="0.25"/>
  <cols>
    <col min="1" max="3" width="14.85546875" customWidth="1"/>
  </cols>
  <sheetData>
    <row r="1" spans="1:3" s="3" customFormat="1" x14ac:dyDescent="0.25">
      <c r="A1" s="3" t="s">
        <v>47</v>
      </c>
      <c r="B1" s="3" t="s">
        <v>48</v>
      </c>
      <c r="C1" s="3" t="s">
        <v>46</v>
      </c>
    </row>
    <row r="2" spans="1:3" x14ac:dyDescent="0.25">
      <c r="A2" t="s">
        <v>55</v>
      </c>
      <c r="B2" t="s">
        <v>54</v>
      </c>
      <c r="C2">
        <v>10808364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C13" sqref="C13"/>
    </sheetView>
  </sheetViews>
  <sheetFormatPr defaultRowHeight="15" x14ac:dyDescent="0.25"/>
  <sheetData>
    <row r="1" spans="1:2" x14ac:dyDescent="0.25">
      <c r="A1" t="s">
        <v>72</v>
      </c>
    </row>
    <row r="2" spans="1:2" x14ac:dyDescent="0.25">
      <c r="A2" t="s">
        <v>73</v>
      </c>
    </row>
    <row r="3" spans="1:2" x14ac:dyDescent="0.25">
      <c r="B3" t="s">
        <v>74</v>
      </c>
    </row>
    <row r="4" spans="1:2" x14ac:dyDescent="0.25">
      <c r="A4" t="s">
        <v>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Views>
    <sheetView workbookViewId="0">
      <selection sqref="A1:A40"/>
    </sheetView>
  </sheetViews>
  <sheetFormatPr defaultRowHeight="15" x14ac:dyDescent="0.25"/>
  <sheetData>
    <row r="1" spans="1:1" x14ac:dyDescent="0.25">
      <c r="A1" t="s">
        <v>79</v>
      </c>
    </row>
    <row r="2" spans="1:1" x14ac:dyDescent="0.25">
      <c r="A2" t="s">
        <v>80</v>
      </c>
    </row>
    <row r="3" spans="1:1" x14ac:dyDescent="0.25">
      <c r="A3" t="s">
        <v>81</v>
      </c>
    </row>
    <row r="4" spans="1:1" x14ac:dyDescent="0.25">
      <c r="A4" t="s">
        <v>82</v>
      </c>
    </row>
    <row r="5" spans="1:1" x14ac:dyDescent="0.25">
      <c r="A5" t="s">
        <v>83</v>
      </c>
    </row>
    <row r="7" spans="1:1" x14ac:dyDescent="0.25">
      <c r="A7" t="e">
        <f>-- TODO: Set parameter values here.</f>
        <v>#NAME?</v>
      </c>
    </row>
    <row r="9" spans="1:1" x14ac:dyDescent="0.25">
      <c r="A9" t="s">
        <v>84</v>
      </c>
    </row>
    <row r="10" spans="1:1" x14ac:dyDescent="0.25">
      <c r="A10" t="s">
        <v>85</v>
      </c>
    </row>
    <row r="11" spans="1:1" x14ac:dyDescent="0.25">
      <c r="A11" t="s">
        <v>86</v>
      </c>
    </row>
    <row r="12" spans="1:1" x14ac:dyDescent="0.25">
      <c r="A12" t="s">
        <v>87</v>
      </c>
    </row>
    <row r="13" spans="1:1" x14ac:dyDescent="0.25">
      <c r="A13" t="s">
        <v>88</v>
      </c>
    </row>
    <row r="15" spans="1:1" x14ac:dyDescent="0.25">
      <c r="A15" t="s">
        <v>89</v>
      </c>
    </row>
    <row r="18" spans="1:1" x14ac:dyDescent="0.25">
      <c r="A18" t="s">
        <v>90</v>
      </c>
    </row>
    <row r="19" spans="1:1" x14ac:dyDescent="0.25">
      <c r="A19" t="s">
        <v>91</v>
      </c>
    </row>
    <row r="20" spans="1:1" x14ac:dyDescent="0.25">
      <c r="A20" t="s">
        <v>92</v>
      </c>
    </row>
    <row r="21" spans="1:1" x14ac:dyDescent="0.25">
      <c r="A21" t="s">
        <v>93</v>
      </c>
    </row>
    <row r="22" spans="1:1" x14ac:dyDescent="0.25">
      <c r="A22" t="s">
        <v>94</v>
      </c>
    </row>
    <row r="23" spans="1:1" x14ac:dyDescent="0.25">
      <c r="A23" t="s">
        <v>95</v>
      </c>
    </row>
    <row r="24" spans="1:1" x14ac:dyDescent="0.25">
      <c r="A24" t="s">
        <v>96</v>
      </c>
    </row>
    <row r="25" spans="1:1" x14ac:dyDescent="0.25">
      <c r="A25" t="s">
        <v>97</v>
      </c>
    </row>
    <row r="27" spans="1:1" x14ac:dyDescent="0.25">
      <c r="A27" t="s">
        <v>98</v>
      </c>
    </row>
    <row r="28" spans="1:1" x14ac:dyDescent="0.25">
      <c r="A28" t="s">
        <v>99</v>
      </c>
    </row>
    <row r="31" spans="1:1" x14ac:dyDescent="0.25">
      <c r="A31" t="s">
        <v>100</v>
      </c>
    </row>
    <row r="32" spans="1:1" x14ac:dyDescent="0.25">
      <c r="A32" t="s">
        <v>101</v>
      </c>
    </row>
    <row r="33" spans="1:1" x14ac:dyDescent="0.25">
      <c r="A33" t="s">
        <v>102</v>
      </c>
    </row>
    <row r="34" spans="1:1" x14ac:dyDescent="0.25">
      <c r="A34" t="s">
        <v>103</v>
      </c>
    </row>
    <row r="35" spans="1:1" x14ac:dyDescent="0.25">
      <c r="A35" t="s">
        <v>104</v>
      </c>
    </row>
    <row r="36" spans="1:1" x14ac:dyDescent="0.25">
      <c r="A36" t="s">
        <v>105</v>
      </c>
    </row>
    <row r="37" spans="1:1" x14ac:dyDescent="0.25">
      <c r="A37" t="s">
        <v>105</v>
      </c>
    </row>
    <row r="38" spans="1:1" x14ac:dyDescent="0.25">
      <c r="A38" t="s">
        <v>106</v>
      </c>
    </row>
    <row r="39" spans="1:1" x14ac:dyDescent="0.25">
      <c r="A39" t="s">
        <v>107</v>
      </c>
    </row>
    <row r="40" spans="1:1" x14ac:dyDescent="0.25">
      <c r="A40" t="s">
        <v>108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
  <sheetViews>
    <sheetView workbookViewId="0">
      <selection activeCell="A2" sqref="A2:N26"/>
    </sheetView>
  </sheetViews>
  <sheetFormatPr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4" spans="1:1" x14ac:dyDescent="0.25">
      <c r="A14" t="s">
        <v>121</v>
      </c>
    </row>
    <row r="15" spans="1:1" x14ac:dyDescent="0.25">
      <c r="A15" t="s">
        <v>122</v>
      </c>
    </row>
    <row r="16" spans="1:1" x14ac:dyDescent="0.25">
      <c r="A16" t="s">
        <v>123</v>
      </c>
    </row>
    <row r="17" spans="1:1" x14ac:dyDescent="0.25">
      <c r="A17" t="s">
        <v>124</v>
      </c>
    </row>
    <row r="18" spans="1:1" x14ac:dyDescent="0.25">
      <c r="A18" t="s">
        <v>114</v>
      </c>
    </row>
    <row r="19" spans="1:1" x14ac:dyDescent="0.25">
      <c r="A19" t="s">
        <v>115</v>
      </c>
    </row>
    <row r="20" spans="1:1" x14ac:dyDescent="0.25">
      <c r="A20" t="s">
        <v>116</v>
      </c>
    </row>
    <row r="21" spans="1:1" x14ac:dyDescent="0.25">
      <c r="A21" t="s">
        <v>117</v>
      </c>
    </row>
    <row r="22" spans="1:1" x14ac:dyDescent="0.25">
      <c r="A22" t="s">
        <v>118</v>
      </c>
    </row>
    <row r="23" spans="1:1" x14ac:dyDescent="0.25">
      <c r="A23" t="s">
        <v>125</v>
      </c>
    </row>
    <row r="24" spans="1:1" x14ac:dyDescent="0.25">
      <c r="A24" t="s">
        <v>126</v>
      </c>
    </row>
    <row r="25" spans="1:1" x14ac:dyDescent="0.25">
      <c r="A25" t="s">
        <v>127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election activeCell="E25" sqref="E25"/>
    </sheetView>
  </sheetViews>
  <sheetFormatPr defaultRowHeight="15" x14ac:dyDescent="0.25"/>
  <cols>
    <col min="1" max="1" width="12.140625" bestFit="1" customWidth="1"/>
  </cols>
  <sheetData>
    <row r="1" spans="1:1" x14ac:dyDescent="0.25">
      <c r="A1" s="10" t="s">
        <v>143</v>
      </c>
    </row>
    <row r="2" spans="1:1" x14ac:dyDescent="0.25">
      <c r="A2" t="s">
        <v>144</v>
      </c>
    </row>
    <row r="3" spans="1:1" x14ac:dyDescent="0.25">
      <c r="A3" t="s">
        <v>145</v>
      </c>
    </row>
    <row r="4" spans="1:1" x14ac:dyDescent="0.25">
      <c r="A4" s="13" t="s">
        <v>150</v>
      </c>
    </row>
    <row r="5" spans="1:1" x14ac:dyDescent="0.25">
      <c r="A5" t="s">
        <v>151</v>
      </c>
    </row>
    <row r="7" spans="1:1" x14ac:dyDescent="0.25">
      <c r="A7" s="10" t="s">
        <v>146</v>
      </c>
    </row>
    <row r="8" spans="1:1" x14ac:dyDescent="0.25">
      <c r="A8" t="s">
        <v>147</v>
      </c>
    </row>
    <row r="12" spans="1:1" x14ac:dyDescent="0.25">
      <c r="A12" s="10" t="s">
        <v>148</v>
      </c>
    </row>
    <row r="13" spans="1:1" x14ac:dyDescent="0.25">
      <c r="A13" t="s">
        <v>149</v>
      </c>
    </row>
  </sheetData>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A25" sqref="A25"/>
    </sheetView>
  </sheetViews>
  <sheetFormatPr defaultColWidth="8.85546875" defaultRowHeight="15" x14ac:dyDescent="0.25"/>
  <sheetData>
    <row r="1" spans="1:2" x14ac:dyDescent="0.25">
      <c r="A1" s="10" t="s">
        <v>180</v>
      </c>
      <c r="B1" s="10" t="s">
        <v>181</v>
      </c>
    </row>
    <row r="2" spans="1:2" x14ac:dyDescent="0.25">
      <c r="A2" t="s">
        <v>182</v>
      </c>
      <c r="B2" t="s">
        <v>285</v>
      </c>
    </row>
    <row r="5" spans="1:2" x14ac:dyDescent="0.25">
      <c r="A5" s="10" t="s">
        <v>185</v>
      </c>
      <c r="B5" s="10" t="s">
        <v>186</v>
      </c>
    </row>
    <row r="6" spans="1:2" x14ac:dyDescent="0.25">
      <c r="A6" t="s">
        <v>280</v>
      </c>
    </row>
    <row r="8" spans="1:2" x14ac:dyDescent="0.25">
      <c r="A8" t="s">
        <v>160</v>
      </c>
    </row>
    <row r="9" spans="1:2" x14ac:dyDescent="0.25">
      <c r="A9" t="s">
        <v>161</v>
      </c>
    </row>
    <row r="10" spans="1:2" x14ac:dyDescent="0.25">
      <c r="A10" t="s">
        <v>162</v>
      </c>
    </row>
    <row r="11" spans="1:2" x14ac:dyDescent="0.25">
      <c r="A11" t="s">
        <v>163</v>
      </c>
    </row>
    <row r="12" spans="1:2" x14ac:dyDescent="0.25">
      <c r="A12" t="s">
        <v>164</v>
      </c>
    </row>
    <row r="13" spans="1:2" x14ac:dyDescent="0.25">
      <c r="A13" t="s">
        <v>165</v>
      </c>
    </row>
    <row r="14" spans="1:2" x14ac:dyDescent="0.25">
      <c r="A14" t="s">
        <v>166</v>
      </c>
    </row>
    <row r="15" spans="1:2" x14ac:dyDescent="0.25">
      <c r="A15" t="s">
        <v>167</v>
      </c>
    </row>
    <row r="16" spans="1:2" x14ac:dyDescent="0.25">
      <c r="A16" t="s">
        <v>168</v>
      </c>
    </row>
    <row r="17" spans="1:2" x14ac:dyDescent="0.25">
      <c r="A17" t="s">
        <v>169</v>
      </c>
    </row>
    <row r="18" spans="1:2" x14ac:dyDescent="0.25">
      <c r="A18" t="s">
        <v>170</v>
      </c>
    </row>
    <row r="19" spans="1:2" x14ac:dyDescent="0.25">
      <c r="A19" t="s">
        <v>171</v>
      </c>
    </row>
    <row r="21" spans="1:2" x14ac:dyDescent="0.25">
      <c r="A21" t="s">
        <v>281</v>
      </c>
    </row>
    <row r="22" spans="1:2" x14ac:dyDescent="0.25">
      <c r="B22" t="s">
        <v>282</v>
      </c>
    </row>
    <row r="23" spans="1:2" x14ac:dyDescent="0.25">
      <c r="B23" t="s">
        <v>283</v>
      </c>
    </row>
    <row r="24" spans="1:2" x14ac:dyDescent="0.25">
      <c r="A24" t="s">
        <v>284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A9" sqref="A9:G12"/>
    </sheetView>
  </sheetViews>
  <sheetFormatPr defaultColWidth="16.42578125" defaultRowHeight="15" x14ac:dyDescent="0.25"/>
  <sheetData>
    <row r="1" spans="1:3" x14ac:dyDescent="0.25">
      <c r="A1" s="10" t="s">
        <v>180</v>
      </c>
      <c r="B1" s="10" t="s">
        <v>181</v>
      </c>
    </row>
    <row r="2" spans="1:3" x14ac:dyDescent="0.25">
      <c r="A2" t="s">
        <v>182</v>
      </c>
      <c r="B2" t="s">
        <v>286</v>
      </c>
    </row>
    <row r="3" spans="1:3" x14ac:dyDescent="0.25">
      <c r="B3" t="s">
        <v>287</v>
      </c>
    </row>
    <row r="5" spans="1:3" x14ac:dyDescent="0.25">
      <c r="A5" s="10" t="s">
        <v>185</v>
      </c>
      <c r="B5" s="10" t="s">
        <v>186</v>
      </c>
    </row>
    <row r="6" spans="1:3" x14ac:dyDescent="0.25">
      <c r="A6" t="s">
        <v>182</v>
      </c>
    </row>
    <row r="8" spans="1:3" x14ac:dyDescent="0.25">
      <c r="A8" t="s">
        <v>290</v>
      </c>
    </row>
    <row r="9" spans="1:3" x14ac:dyDescent="0.25">
      <c r="A9" t="s">
        <v>291</v>
      </c>
    </row>
    <row r="10" spans="1:3" x14ac:dyDescent="0.25">
      <c r="A10" t="s">
        <v>292</v>
      </c>
    </row>
    <row r="11" spans="1:3" x14ac:dyDescent="0.25">
      <c r="C11" t="s">
        <v>293</v>
      </c>
    </row>
    <row r="12" spans="1:3" x14ac:dyDescent="0.25">
      <c r="A12" t="s">
        <v>288</v>
      </c>
    </row>
    <row r="13" spans="1:3" x14ac:dyDescent="0.25">
      <c r="C13" s="17"/>
    </row>
    <row r="14" spans="1:3" x14ac:dyDescent="0.25">
      <c r="C14" s="17"/>
    </row>
    <row r="15" spans="1:3" x14ac:dyDescent="0.25">
      <c r="A15" t="s">
        <v>281</v>
      </c>
      <c r="C15" s="17"/>
    </row>
    <row r="16" spans="1:3" x14ac:dyDescent="0.25">
      <c r="B16" t="s">
        <v>282</v>
      </c>
    </row>
    <row r="17" spans="1:6" x14ac:dyDescent="0.25">
      <c r="B17" t="s">
        <v>283</v>
      </c>
    </row>
    <row r="18" spans="1:6" x14ac:dyDescent="0.25">
      <c r="A18" t="s">
        <v>289</v>
      </c>
    </row>
    <row r="19" spans="1:6" x14ac:dyDescent="0.25">
      <c r="F19" s="17"/>
    </row>
    <row r="20" spans="1:6" x14ac:dyDescent="0.25">
      <c r="F20" s="1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sqref="A1:E6"/>
    </sheetView>
  </sheetViews>
  <sheetFormatPr defaultRowHeight="15" x14ac:dyDescent="0.25"/>
  <cols>
    <col min="1" max="1" width="16" bestFit="1" customWidth="1"/>
  </cols>
  <sheetData>
    <row r="1" spans="1:2" s="10" customFormat="1" x14ac:dyDescent="0.25">
      <c r="A1" s="10" t="s">
        <v>180</v>
      </c>
      <c r="B1" s="10" t="s">
        <v>181</v>
      </c>
    </row>
    <row r="2" spans="1:2" x14ac:dyDescent="0.25">
      <c r="A2" t="s">
        <v>182</v>
      </c>
      <c r="B2" t="s">
        <v>183</v>
      </c>
    </row>
    <row r="3" spans="1:2" x14ac:dyDescent="0.25">
      <c r="A3" t="s">
        <v>182</v>
      </c>
      <c r="B3" t="s">
        <v>206</v>
      </c>
    </row>
    <row r="5" spans="1:2" s="10" customFormat="1" x14ac:dyDescent="0.25">
      <c r="A5" s="10" t="s">
        <v>185</v>
      </c>
      <c r="B5" s="10" t="s">
        <v>186</v>
      </c>
    </row>
    <row r="6" spans="1:2" x14ac:dyDescent="0.25">
      <c r="A6" t="s">
        <v>182</v>
      </c>
      <c r="B6" t="s">
        <v>184</v>
      </c>
    </row>
    <row r="9" spans="1:2" x14ac:dyDescent="0.25">
      <c r="A9" t="s">
        <v>205</v>
      </c>
    </row>
    <row r="10" spans="1:2" x14ac:dyDescent="0.25">
      <c r="A10" t="s">
        <v>187</v>
      </c>
    </row>
    <row r="11" spans="1:2" x14ac:dyDescent="0.25">
      <c r="B11" t="s">
        <v>188</v>
      </c>
    </row>
    <row r="12" spans="1:2" x14ac:dyDescent="0.25">
      <c r="B12" t="s">
        <v>189</v>
      </c>
    </row>
    <row r="13" spans="1:2" x14ac:dyDescent="0.25">
      <c r="B13" t="s">
        <v>190</v>
      </c>
    </row>
    <row r="14" spans="1:2" x14ac:dyDescent="0.25">
      <c r="B14" t="s">
        <v>191</v>
      </c>
    </row>
    <row r="15" spans="1:2" x14ac:dyDescent="0.25">
      <c r="A15" t="s">
        <v>192</v>
      </c>
    </row>
    <row r="16" spans="1:2" x14ac:dyDescent="0.25">
      <c r="A16" t="s">
        <v>193</v>
      </c>
    </row>
    <row r="17" spans="1:2" x14ac:dyDescent="0.25">
      <c r="A17" t="s">
        <v>194</v>
      </c>
    </row>
    <row r="18" spans="1:2" x14ac:dyDescent="0.25">
      <c r="A18" t="s">
        <v>195</v>
      </c>
    </row>
    <row r="19" spans="1:2" x14ac:dyDescent="0.25">
      <c r="A19" t="s">
        <v>196</v>
      </c>
    </row>
    <row r="20" spans="1:2" x14ac:dyDescent="0.25">
      <c r="A20" t="s">
        <v>197</v>
      </c>
    </row>
    <row r="21" spans="1:2" x14ac:dyDescent="0.25">
      <c r="A21" t="s">
        <v>198</v>
      </c>
    </row>
    <row r="22" spans="1:2" x14ac:dyDescent="0.25">
      <c r="A22" t="s">
        <v>199</v>
      </c>
    </row>
    <row r="23" spans="1:2" x14ac:dyDescent="0.25">
      <c r="A23" t="s">
        <v>200</v>
      </c>
    </row>
    <row r="24" spans="1:2" x14ac:dyDescent="0.25">
      <c r="A24" t="s">
        <v>201</v>
      </c>
    </row>
    <row r="25" spans="1:2" x14ac:dyDescent="0.25">
      <c r="A25" t="s">
        <v>202</v>
      </c>
    </row>
    <row r="26" spans="1:2" x14ac:dyDescent="0.25">
      <c r="A26" t="s">
        <v>203</v>
      </c>
    </row>
    <row r="27" spans="1:2" x14ac:dyDescent="0.25">
      <c r="A27" t="s">
        <v>204</v>
      </c>
    </row>
    <row r="29" spans="1:2" x14ac:dyDescent="0.25">
      <c r="A29" t="s">
        <v>207</v>
      </c>
      <c r="B29">
        <v>10587133</v>
      </c>
    </row>
    <row r="30" spans="1:2" x14ac:dyDescent="0.25">
      <c r="A30" t="s">
        <v>208</v>
      </c>
      <c r="B30">
        <v>10754051</v>
      </c>
    </row>
    <row r="31" spans="1:2" x14ac:dyDescent="0.25">
      <c r="A31" t="s">
        <v>209</v>
      </c>
      <c r="B31">
        <v>10807588</v>
      </c>
    </row>
    <row r="32" spans="1:2" x14ac:dyDescent="0.25">
      <c r="A32" t="s">
        <v>210</v>
      </c>
      <c r="B32">
        <v>10808036</v>
      </c>
    </row>
    <row r="33" spans="1:2" x14ac:dyDescent="0.25">
      <c r="A33" t="s">
        <v>210</v>
      </c>
      <c r="B33">
        <v>10808036</v>
      </c>
    </row>
    <row r="34" spans="1:2" x14ac:dyDescent="0.25">
      <c r="A34" t="s">
        <v>211</v>
      </c>
      <c r="B34">
        <v>10808400</v>
      </c>
    </row>
    <row r="35" spans="1:2" x14ac:dyDescent="0.25">
      <c r="A35" t="s">
        <v>211</v>
      </c>
      <c r="B35">
        <v>10808400</v>
      </c>
    </row>
    <row r="36" spans="1:2" x14ac:dyDescent="0.25">
      <c r="A36" t="s">
        <v>212</v>
      </c>
      <c r="B36">
        <v>10810329</v>
      </c>
    </row>
  </sheetData>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H16" sqref="H16"/>
    </sheetView>
  </sheetViews>
  <sheetFormatPr defaultRowHeight="15" x14ac:dyDescent="0.25"/>
  <sheetData>
    <row r="1" spans="1:1" x14ac:dyDescent="0.25">
      <c r="A1" t="s">
        <v>295</v>
      </c>
    </row>
    <row r="2" spans="1:1" x14ac:dyDescent="0.25">
      <c r="A2" t="s">
        <v>296</v>
      </c>
    </row>
    <row r="4" spans="1:1" x14ac:dyDescent="0.25">
      <c r="A4" t="s">
        <v>297</v>
      </c>
    </row>
    <row r="5" spans="1:1" x14ac:dyDescent="0.25">
      <c r="A5" t="s">
        <v>298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defaultRowHeight="15" x14ac:dyDescent="0.25"/>
  <sheetData>
    <row r="1" spans="1:2" x14ac:dyDescent="0.25">
      <c r="A1" t="s">
        <v>299</v>
      </c>
    </row>
    <row r="2" spans="1:2" x14ac:dyDescent="0.25">
      <c r="A2" t="s">
        <v>300</v>
      </c>
    </row>
    <row r="3" spans="1:2" x14ac:dyDescent="0.25">
      <c r="A3" t="s">
        <v>301</v>
      </c>
    </row>
    <row r="4" spans="1:2" x14ac:dyDescent="0.25">
      <c r="A4" t="s">
        <v>302</v>
      </c>
    </row>
    <row r="5" spans="1:2" x14ac:dyDescent="0.25">
      <c r="A5" t="s">
        <v>303</v>
      </c>
    </row>
    <row r="6" spans="1:2" x14ac:dyDescent="0.25">
      <c r="A6" t="s">
        <v>304</v>
      </c>
    </row>
    <row r="7" spans="1:2" x14ac:dyDescent="0.25">
      <c r="A7" t="s">
        <v>305</v>
      </c>
    </row>
    <row r="8" spans="1:2" x14ac:dyDescent="0.25">
      <c r="A8" t="s">
        <v>306</v>
      </c>
    </row>
    <row r="9" spans="1:2" x14ac:dyDescent="0.25">
      <c r="A9" t="s">
        <v>307</v>
      </c>
    </row>
    <row r="10" spans="1:2" x14ac:dyDescent="0.25">
      <c r="A10" t="s">
        <v>308</v>
      </c>
    </row>
    <row r="11" spans="1:2" x14ac:dyDescent="0.25">
      <c r="A11" t="s">
        <v>309</v>
      </c>
    </row>
    <row r="13" spans="1:2" x14ac:dyDescent="0.25">
      <c r="A13" t="s">
        <v>310</v>
      </c>
    </row>
    <row r="14" spans="1:2" x14ac:dyDescent="0.25">
      <c r="B14" t="s">
        <v>311</v>
      </c>
    </row>
    <row r="15" spans="1:2" x14ac:dyDescent="0.25">
      <c r="B15" t="s">
        <v>220</v>
      </c>
    </row>
    <row r="16" spans="1:2" x14ac:dyDescent="0.25">
      <c r="A16" t="s">
        <v>312</v>
      </c>
    </row>
    <row r="17" spans="1:2" x14ac:dyDescent="0.25">
      <c r="B17" t="s">
        <v>313</v>
      </c>
    </row>
    <row r="19" spans="1:2" x14ac:dyDescent="0.25">
      <c r="A19" t="s">
        <v>314</v>
      </c>
    </row>
    <row r="20" spans="1:2" x14ac:dyDescent="0.25">
      <c r="A20" t="s">
        <v>315</v>
      </c>
    </row>
    <row r="21" spans="1:2" x14ac:dyDescent="0.25">
      <c r="B21" t="s">
        <v>316</v>
      </c>
    </row>
    <row r="22" spans="1:2" x14ac:dyDescent="0.25">
      <c r="B22" t="s">
        <v>317</v>
      </c>
    </row>
    <row r="24" spans="1:2" x14ac:dyDescent="0.25">
      <c r="A24" t="s">
        <v>318</v>
      </c>
    </row>
    <row r="25" spans="1:2" x14ac:dyDescent="0.25">
      <c r="B25" t="s">
        <v>319</v>
      </c>
    </row>
    <row r="26" spans="1:2" x14ac:dyDescent="0.25">
      <c r="A26" t="s">
        <v>320</v>
      </c>
    </row>
    <row r="27" spans="1:2" x14ac:dyDescent="0.25">
      <c r="A27" t="s">
        <v>321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sqref="A1:I12"/>
    </sheetView>
  </sheetViews>
  <sheetFormatPr defaultRowHeight="15" x14ac:dyDescent="0.25"/>
  <sheetData>
    <row r="1" spans="1:5" x14ac:dyDescent="0.25">
      <c r="A1" s="10" t="s">
        <v>180</v>
      </c>
      <c r="B1" s="10" t="s">
        <v>181</v>
      </c>
      <c r="C1" s="10"/>
      <c r="D1" s="10"/>
      <c r="E1" s="10"/>
    </row>
    <row r="2" spans="1:5" x14ac:dyDescent="0.25">
      <c r="A2" t="s">
        <v>182</v>
      </c>
      <c r="B2" t="s">
        <v>362</v>
      </c>
    </row>
    <row r="3" spans="1:5" x14ac:dyDescent="0.25">
      <c r="A3" t="s">
        <v>365</v>
      </c>
      <c r="B3" t="s">
        <v>364</v>
      </c>
    </row>
    <row r="4" spans="1:5" x14ac:dyDescent="0.25">
      <c r="A4" t="s">
        <v>182</v>
      </c>
      <c r="B4" t="s">
        <v>366</v>
      </c>
    </row>
    <row r="5" spans="1:5" x14ac:dyDescent="0.25">
      <c r="A5" t="s">
        <v>182</v>
      </c>
      <c r="B5" t="s">
        <v>367</v>
      </c>
    </row>
    <row r="6" spans="1:5" x14ac:dyDescent="0.25">
      <c r="A6" t="s">
        <v>182</v>
      </c>
      <c r="B6" t="s">
        <v>368</v>
      </c>
    </row>
    <row r="7" spans="1:5" x14ac:dyDescent="0.25">
      <c r="A7" t="s">
        <v>182</v>
      </c>
      <c r="B7" t="s">
        <v>369</v>
      </c>
    </row>
    <row r="8" spans="1:5" x14ac:dyDescent="0.25">
      <c r="A8" t="s">
        <v>182</v>
      </c>
      <c r="B8" t="s">
        <v>370</v>
      </c>
    </row>
    <row r="9" spans="1:5" x14ac:dyDescent="0.25">
      <c r="A9" s="10" t="s">
        <v>185</v>
      </c>
      <c r="B9" s="10" t="s">
        <v>186</v>
      </c>
      <c r="C9" s="10"/>
      <c r="D9" s="10"/>
      <c r="E9" s="10"/>
    </row>
    <row r="16" spans="1:5" x14ac:dyDescent="0.25">
      <c r="A16" t="s">
        <v>363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
  <sheetViews>
    <sheetView workbookViewId="0">
      <selection activeCell="A54" sqref="A54:N73"/>
    </sheetView>
  </sheetViews>
  <sheetFormatPr defaultRowHeight="15" x14ac:dyDescent="0.25"/>
  <sheetData>
    <row r="1" spans="1:1" x14ac:dyDescent="0.25">
      <c r="A1" t="s">
        <v>338</v>
      </c>
    </row>
    <row r="2" spans="1:1" x14ac:dyDescent="0.25">
      <c r="A2" t="s">
        <v>339</v>
      </c>
    </row>
    <row r="3" spans="1:1" x14ac:dyDescent="0.25">
      <c r="A3" t="s">
        <v>340</v>
      </c>
    </row>
    <row r="4" spans="1:1" x14ac:dyDescent="0.25">
      <c r="A4" t="s">
        <v>341</v>
      </c>
    </row>
    <row r="5" spans="1:1" x14ac:dyDescent="0.25">
      <c r="A5" t="s">
        <v>342</v>
      </c>
    </row>
    <row r="6" spans="1:1" x14ac:dyDescent="0.25">
      <c r="A6" t="s">
        <v>343</v>
      </c>
    </row>
    <row r="7" spans="1:1" x14ac:dyDescent="0.25">
      <c r="A7" t="s">
        <v>344</v>
      </c>
    </row>
    <row r="8" spans="1:1" x14ac:dyDescent="0.25">
      <c r="A8" t="s">
        <v>345</v>
      </c>
    </row>
    <row r="9" spans="1:1" x14ac:dyDescent="0.25">
      <c r="A9" t="s">
        <v>346</v>
      </c>
    </row>
    <row r="10" spans="1:1" x14ac:dyDescent="0.25">
      <c r="A10" t="s">
        <v>347</v>
      </c>
    </row>
    <row r="12" spans="1:1" x14ac:dyDescent="0.25">
      <c r="A12" t="s">
        <v>348</v>
      </c>
    </row>
    <row r="13" spans="1:1" x14ac:dyDescent="0.25">
      <c r="A13" t="s">
        <v>349</v>
      </c>
    </row>
    <row r="14" spans="1:1" x14ac:dyDescent="0.25">
      <c r="A14" t="s">
        <v>350</v>
      </c>
    </row>
    <row r="15" spans="1:1" x14ac:dyDescent="0.25">
      <c r="A15" t="s">
        <v>351</v>
      </c>
    </row>
    <row r="16" spans="1:1" x14ac:dyDescent="0.25">
      <c r="A16" t="s">
        <v>352</v>
      </c>
    </row>
    <row r="17" spans="1:1" x14ac:dyDescent="0.25">
      <c r="A17" t="s">
        <v>353</v>
      </c>
    </row>
    <row r="18" spans="1:1" x14ac:dyDescent="0.25">
      <c r="A18" t="s">
        <v>344</v>
      </c>
    </row>
    <row r="19" spans="1:1" x14ac:dyDescent="0.25">
      <c r="A19" t="s">
        <v>345</v>
      </c>
    </row>
    <row r="20" spans="1:1" x14ac:dyDescent="0.25">
      <c r="A20" t="s">
        <v>346</v>
      </c>
    </row>
    <row r="21" spans="1:1" x14ac:dyDescent="0.25">
      <c r="A21" t="s">
        <v>354</v>
      </c>
    </row>
    <row r="25" spans="1:1" x14ac:dyDescent="0.25">
      <c r="A25" t="s">
        <v>324</v>
      </c>
    </row>
    <row r="26" spans="1:1" x14ac:dyDescent="0.25">
      <c r="A26" t="s">
        <v>325</v>
      </c>
    </row>
    <row r="27" spans="1:1" x14ac:dyDescent="0.25">
      <c r="A27" t="s">
        <v>326</v>
      </c>
    </row>
    <row r="28" spans="1:1" x14ac:dyDescent="0.25">
      <c r="A28" t="s">
        <v>327</v>
      </c>
    </row>
    <row r="29" spans="1:1" x14ac:dyDescent="0.25">
      <c r="A29" t="s">
        <v>328</v>
      </c>
    </row>
    <row r="30" spans="1:1" x14ac:dyDescent="0.25">
      <c r="A30" t="s">
        <v>329</v>
      </c>
    </row>
    <row r="31" spans="1:1" x14ac:dyDescent="0.25">
      <c r="A31" t="s">
        <v>330</v>
      </c>
    </row>
    <row r="32" spans="1:1" x14ac:dyDescent="0.25">
      <c r="A32" t="s">
        <v>331</v>
      </c>
    </row>
    <row r="33" spans="1:1" x14ac:dyDescent="0.25">
      <c r="A33" t="s">
        <v>332</v>
      </c>
    </row>
    <row r="34" spans="1:1" x14ac:dyDescent="0.25">
      <c r="A34" t="s">
        <v>333</v>
      </c>
    </row>
    <row r="35" spans="1:1" x14ac:dyDescent="0.25">
      <c r="A35" t="s">
        <v>334</v>
      </c>
    </row>
    <row r="36" spans="1:1" x14ac:dyDescent="0.25">
      <c r="A36" t="s">
        <v>335</v>
      </c>
    </row>
    <row r="37" spans="1:1" x14ac:dyDescent="0.25">
      <c r="A37" t="s">
        <v>336</v>
      </c>
    </row>
    <row r="38" spans="1:1" x14ac:dyDescent="0.25">
      <c r="A38" t="s">
        <v>337</v>
      </c>
    </row>
    <row r="54" spans="1:1" x14ac:dyDescent="0.25">
      <c r="A54" s="20"/>
    </row>
    <row r="55" spans="1:1" x14ac:dyDescent="0.25">
      <c r="A55" s="20"/>
    </row>
    <row r="56" spans="1:1" x14ac:dyDescent="0.25">
      <c r="A56" s="20"/>
    </row>
    <row r="57" spans="1:1" x14ac:dyDescent="0.25">
      <c r="A57" s="20"/>
    </row>
    <row r="58" spans="1:1" x14ac:dyDescent="0.25">
      <c r="A58" s="20"/>
    </row>
    <row r="59" spans="1:1" x14ac:dyDescent="0.25">
      <c r="A59" s="20"/>
    </row>
    <row r="60" spans="1:1" x14ac:dyDescent="0.25">
      <c r="A60" s="20"/>
    </row>
    <row r="61" spans="1:1" x14ac:dyDescent="0.25">
      <c r="A61" s="20"/>
    </row>
    <row r="62" spans="1:1" x14ac:dyDescent="0.25">
      <c r="A62" s="20"/>
    </row>
    <row r="63" spans="1:1" x14ac:dyDescent="0.25">
      <c r="A63" s="20"/>
    </row>
    <row r="64" spans="1:1" x14ac:dyDescent="0.25">
      <c r="A64" s="20"/>
    </row>
    <row r="65" spans="1:1" x14ac:dyDescent="0.25">
      <c r="A65" s="20"/>
    </row>
    <row r="66" spans="1:1" x14ac:dyDescent="0.25">
      <c r="A66" s="20"/>
    </row>
    <row r="67" spans="1:1" x14ac:dyDescent="0.25">
      <c r="A67" s="20"/>
    </row>
    <row r="68" spans="1:1" x14ac:dyDescent="0.25">
      <c r="A68" s="20"/>
    </row>
    <row r="69" spans="1:1" x14ac:dyDescent="0.25">
      <c r="A69" s="20"/>
    </row>
    <row r="70" spans="1:1" x14ac:dyDescent="0.25">
      <c r="A70" s="20"/>
    </row>
    <row r="71" spans="1:1" x14ac:dyDescent="0.25">
      <c r="A71" s="20"/>
    </row>
    <row r="72" spans="1:1" x14ac:dyDescent="0.25">
      <c r="A72" s="2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7" sqref="A7:B9"/>
    </sheetView>
  </sheetViews>
  <sheetFormatPr defaultColWidth="8.85546875" defaultRowHeight="15" x14ac:dyDescent="0.25"/>
  <sheetData>
    <row r="1" spans="1:2" x14ac:dyDescent="0.25">
      <c r="A1" t="s">
        <v>355</v>
      </c>
    </row>
    <row r="2" spans="1:2" x14ac:dyDescent="0.25">
      <c r="A2" t="s">
        <v>356</v>
      </c>
    </row>
    <row r="3" spans="1:2" x14ac:dyDescent="0.25">
      <c r="B3" t="s">
        <v>282</v>
      </c>
    </row>
    <row r="4" spans="1:2" x14ac:dyDescent="0.25">
      <c r="A4" t="s">
        <v>357</v>
      </c>
    </row>
    <row r="5" spans="1:2" x14ac:dyDescent="0.25">
      <c r="A5" t="s">
        <v>358</v>
      </c>
    </row>
    <row r="7" spans="1:2" x14ac:dyDescent="0.25">
      <c r="A7" t="s">
        <v>359</v>
      </c>
    </row>
    <row r="8" spans="1:2" x14ac:dyDescent="0.25">
      <c r="A8" t="s">
        <v>360</v>
      </c>
    </row>
    <row r="9" spans="1:2" x14ac:dyDescent="0.25">
      <c r="B9" t="s">
        <v>361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sqref="A1:XFD1048576"/>
    </sheetView>
  </sheetViews>
  <sheetFormatPr defaultRowHeight="15" x14ac:dyDescent="0.25"/>
  <sheetData>
    <row r="1" spans="1:5" x14ac:dyDescent="0.25">
      <c r="A1" s="10" t="s">
        <v>180</v>
      </c>
      <c r="B1" s="10" t="s">
        <v>181</v>
      </c>
      <c r="C1" s="10"/>
      <c r="D1" s="10"/>
      <c r="E1" s="10"/>
    </row>
    <row r="2" spans="1:5" x14ac:dyDescent="0.25">
      <c r="A2" t="s">
        <v>182</v>
      </c>
      <c r="B2" t="s">
        <v>371</v>
      </c>
    </row>
    <row r="3" spans="1:5" x14ac:dyDescent="0.25">
      <c r="A3" t="s">
        <v>182</v>
      </c>
      <c r="B3" t="s">
        <v>372</v>
      </c>
    </row>
    <row r="6" spans="1:5" x14ac:dyDescent="0.25">
      <c r="A6" s="10" t="s">
        <v>185</v>
      </c>
      <c r="B6" s="10" t="s">
        <v>186</v>
      </c>
      <c r="C6" s="10"/>
      <c r="D6" s="10"/>
      <c r="E6" s="10"/>
    </row>
    <row r="7" spans="1:5" x14ac:dyDescent="0.25">
      <c r="A7" t="s">
        <v>373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11" sqref="A11"/>
    </sheetView>
  </sheetViews>
  <sheetFormatPr defaultRowHeight="15" x14ac:dyDescent="0.25"/>
  <sheetData>
    <row r="1" spans="1:1" x14ac:dyDescent="0.25">
      <c r="A1" t="s">
        <v>374</v>
      </c>
    </row>
    <row r="2" spans="1:1" x14ac:dyDescent="0.25">
      <c r="A2" t="s">
        <v>375</v>
      </c>
    </row>
    <row r="3" spans="1:1" x14ac:dyDescent="0.25">
      <c r="A3" t="s">
        <v>376</v>
      </c>
    </row>
    <row r="4" spans="1:1" x14ac:dyDescent="0.25">
      <c r="A4" t="s">
        <v>377</v>
      </c>
    </row>
    <row r="5" spans="1:1" x14ac:dyDescent="0.25">
      <c r="A5" t="s">
        <v>378</v>
      </c>
    </row>
    <row r="6" spans="1:1" x14ac:dyDescent="0.25">
      <c r="A6" t="s">
        <v>379</v>
      </c>
    </row>
    <row r="7" spans="1:1" x14ac:dyDescent="0.25">
      <c r="A7" t="s">
        <v>380</v>
      </c>
    </row>
    <row r="8" spans="1:1" x14ac:dyDescent="0.25">
      <c r="A8" t="s">
        <v>381</v>
      </c>
    </row>
    <row r="9" spans="1:1" x14ac:dyDescent="0.25">
      <c r="A9" t="s">
        <v>382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sheetViews>
  <sheetFormatPr defaultRowHeight="15" x14ac:dyDescent="0.25"/>
  <sheetData>
    <row r="1" spans="1:1" x14ac:dyDescent="0.25">
      <c r="A1" t="s">
        <v>1490</v>
      </c>
    </row>
    <row r="2" spans="1:1" x14ac:dyDescent="0.25">
      <c r="A2" t="s">
        <v>467</v>
      </c>
    </row>
    <row r="3" spans="1:1" x14ac:dyDescent="0.25">
      <c r="A3" t="s">
        <v>641</v>
      </c>
    </row>
    <row r="4" spans="1:1" x14ac:dyDescent="0.25">
      <c r="A4" t="s">
        <v>1491</v>
      </c>
    </row>
    <row r="5" spans="1:1" x14ac:dyDescent="0.25">
      <c r="A5" t="s">
        <v>1492</v>
      </c>
    </row>
    <row r="6" spans="1:1" x14ac:dyDescent="0.25">
      <c r="A6" t="s">
        <v>1493</v>
      </c>
    </row>
    <row r="7" spans="1:1" x14ac:dyDescent="0.25">
      <c r="A7" t="s">
        <v>643</v>
      </c>
    </row>
    <row r="9" spans="1:1" x14ac:dyDescent="0.25">
      <c r="A9" t="s">
        <v>1494</v>
      </c>
    </row>
    <row r="10" spans="1:1" x14ac:dyDescent="0.25">
      <c r="A10" t="s">
        <v>467</v>
      </c>
    </row>
    <row r="11" spans="1:1" x14ac:dyDescent="0.25">
      <c r="A11" t="s">
        <v>641</v>
      </c>
    </row>
    <row r="12" spans="1:1" x14ac:dyDescent="0.25">
      <c r="A12" t="s">
        <v>1491</v>
      </c>
    </row>
    <row r="13" spans="1:1" x14ac:dyDescent="0.25">
      <c r="A13" t="s">
        <v>1492</v>
      </c>
    </row>
    <row r="14" spans="1:1" x14ac:dyDescent="0.25">
      <c r="A14" t="s">
        <v>1495</v>
      </c>
    </row>
    <row r="15" spans="1:1" x14ac:dyDescent="0.25">
      <c r="A15" t="s">
        <v>1496</v>
      </c>
    </row>
    <row r="16" spans="1:1" x14ac:dyDescent="0.25">
      <c r="A16" t="s">
        <v>1497</v>
      </c>
    </row>
    <row r="18" spans="1:2" x14ac:dyDescent="0.25">
      <c r="A18" t="s">
        <v>538</v>
      </c>
    </row>
    <row r="19" spans="1:2" x14ac:dyDescent="0.25">
      <c r="A19" t="s">
        <v>1498</v>
      </c>
    </row>
    <row r="20" spans="1:2" x14ac:dyDescent="0.25">
      <c r="A20" t="s">
        <v>675</v>
      </c>
    </row>
    <row r="21" spans="1:2" x14ac:dyDescent="0.25">
      <c r="A21" t="s">
        <v>1499</v>
      </c>
    </row>
    <row r="22" spans="1:2" x14ac:dyDescent="0.25">
      <c r="A22" t="s">
        <v>704</v>
      </c>
    </row>
    <row r="23" spans="1:2" x14ac:dyDescent="0.25">
      <c r="A23" t="s">
        <v>1500</v>
      </c>
    </row>
    <row r="24" spans="1:2" x14ac:dyDescent="0.25">
      <c r="A24" t="s">
        <v>656</v>
      </c>
    </row>
    <row r="25" spans="1:2" x14ac:dyDescent="0.25">
      <c r="B25" t="s">
        <v>1501</v>
      </c>
    </row>
    <row r="26" spans="1:2" x14ac:dyDescent="0.25">
      <c r="A26" t="s">
        <v>1502</v>
      </c>
    </row>
    <row r="27" spans="1:2" x14ac:dyDescent="0.25">
      <c r="B27" t="s">
        <v>1503</v>
      </c>
    </row>
    <row r="28" spans="1:2" x14ac:dyDescent="0.25">
      <c r="A28" t="s">
        <v>1106</v>
      </c>
    </row>
    <row r="29" spans="1:2" x14ac:dyDescent="0.25">
      <c r="A29" t="s">
        <v>697</v>
      </c>
    </row>
    <row r="30" spans="1:2" x14ac:dyDescent="0.25">
      <c r="B30" t="s">
        <v>572</v>
      </c>
    </row>
    <row r="31" spans="1:2" x14ac:dyDescent="0.25">
      <c r="B31" t="s">
        <v>1265</v>
      </c>
    </row>
    <row r="32" spans="1:2" x14ac:dyDescent="0.25">
      <c r="B32" t="s">
        <v>1504</v>
      </c>
    </row>
    <row r="33" spans="1:3" x14ac:dyDescent="0.25">
      <c r="B33" t="s">
        <v>1267</v>
      </c>
    </row>
    <row r="34" spans="1:3" x14ac:dyDescent="0.25">
      <c r="B34" t="s">
        <v>1505</v>
      </c>
    </row>
    <row r="35" spans="1:3" x14ac:dyDescent="0.25">
      <c r="C35" t="s">
        <v>1025</v>
      </c>
    </row>
    <row r="36" spans="1:3" x14ac:dyDescent="0.25">
      <c r="A36" t="s">
        <v>1269</v>
      </c>
    </row>
    <row r="37" spans="1:3" x14ac:dyDescent="0.25">
      <c r="B37" t="s">
        <v>1506</v>
      </c>
    </row>
    <row r="38" spans="1:3" x14ac:dyDescent="0.25">
      <c r="A38" t="s">
        <v>1507</v>
      </c>
    </row>
    <row r="39" spans="1:3" x14ac:dyDescent="0.25">
      <c r="B39" t="s">
        <v>1508</v>
      </c>
    </row>
    <row r="40" spans="1:3" x14ac:dyDescent="0.25">
      <c r="B40" t="s">
        <v>1509</v>
      </c>
    </row>
    <row r="41" spans="1:3" x14ac:dyDescent="0.25">
      <c r="A41" t="s">
        <v>672</v>
      </c>
    </row>
    <row r="42" spans="1:3" x14ac:dyDescent="0.25">
      <c r="A42" t="s">
        <v>1510</v>
      </c>
    </row>
    <row r="45" spans="1:3" x14ac:dyDescent="0.25">
      <c r="A45" t="s">
        <v>244</v>
      </c>
    </row>
    <row r="46" spans="1:3" x14ac:dyDescent="0.25">
      <c r="A46" t="s">
        <v>611</v>
      </c>
    </row>
    <row r="47" spans="1:3" x14ac:dyDescent="0.25">
      <c r="A47" t="s">
        <v>1511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17" sqref="A17:A29"/>
    </sheetView>
  </sheetViews>
  <sheetFormatPr defaultRowHeight="15" x14ac:dyDescent="0.25"/>
  <sheetData>
    <row r="1" spans="1:8" x14ac:dyDescent="0.25">
      <c r="A1" t="s">
        <v>412</v>
      </c>
    </row>
    <row r="2" spans="1:8" x14ac:dyDescent="0.25">
      <c r="A2" t="s">
        <v>413</v>
      </c>
    </row>
    <row r="3" spans="1:8" x14ac:dyDescent="0.25">
      <c r="A3" t="s">
        <v>414</v>
      </c>
    </row>
    <row r="5" spans="1:8" x14ac:dyDescent="0.25">
      <c r="A5" t="s">
        <v>415</v>
      </c>
      <c r="B5" t="s">
        <v>416</v>
      </c>
      <c r="C5" t="s">
        <v>417</v>
      </c>
      <c r="D5" t="s">
        <v>384</v>
      </c>
      <c r="E5" t="s">
        <v>390</v>
      </c>
      <c r="F5" t="s">
        <v>418</v>
      </c>
      <c r="G5" t="s">
        <v>419</v>
      </c>
      <c r="H5" t="s">
        <v>420</v>
      </c>
    </row>
    <row r="6" spans="1:8" x14ac:dyDescent="0.25">
      <c r="A6">
        <v>8129</v>
      </c>
      <c r="B6" s="22">
        <v>41329.714125543978</v>
      </c>
      <c r="C6">
        <v>2</v>
      </c>
      <c r="D6">
        <v>5404</v>
      </c>
      <c r="E6">
        <v>5921</v>
      </c>
      <c r="F6" t="s">
        <v>394</v>
      </c>
      <c r="G6" s="22">
        <v>41329.714125543978</v>
      </c>
      <c r="H6" t="s">
        <v>421</v>
      </c>
    </row>
    <row r="7" spans="1:8" x14ac:dyDescent="0.25">
      <c r="A7">
        <v>8625</v>
      </c>
      <c r="B7" s="22">
        <v>41334.535220752317</v>
      </c>
      <c r="C7">
        <v>2</v>
      </c>
      <c r="D7">
        <v>5404</v>
      </c>
      <c r="E7">
        <v>5921</v>
      </c>
      <c r="F7" t="s">
        <v>394</v>
      </c>
      <c r="G7" s="22">
        <v>41334.535220752317</v>
      </c>
      <c r="H7" t="s">
        <v>421</v>
      </c>
    </row>
    <row r="9" spans="1:8" x14ac:dyDescent="0.25">
      <c r="A9" t="s">
        <v>415</v>
      </c>
      <c r="B9" t="s">
        <v>422</v>
      </c>
      <c r="C9" t="s">
        <v>419</v>
      </c>
      <c r="D9" t="s">
        <v>420</v>
      </c>
    </row>
    <row r="10" spans="1:8" x14ac:dyDescent="0.25">
      <c r="A10">
        <v>8625</v>
      </c>
      <c r="B10">
        <v>201</v>
      </c>
      <c r="C10" s="22">
        <v>41333.349872222221</v>
      </c>
      <c r="D10" t="s">
        <v>423</v>
      </c>
    </row>
    <row r="12" spans="1:8" x14ac:dyDescent="0.25">
      <c r="A12" t="s">
        <v>415</v>
      </c>
      <c r="B12" t="s">
        <v>424</v>
      </c>
      <c r="C12" t="s">
        <v>419</v>
      </c>
      <c r="D12" t="s">
        <v>420</v>
      </c>
    </row>
    <row r="13" spans="1:8" x14ac:dyDescent="0.25">
      <c r="A13">
        <v>8129</v>
      </c>
      <c r="B13">
        <v>3</v>
      </c>
      <c r="C13" s="22">
        <v>41329.714125543978</v>
      </c>
      <c r="D13" t="s">
        <v>421</v>
      </c>
    </row>
    <row r="14" spans="1:8" x14ac:dyDescent="0.25">
      <c r="A14">
        <v>8625</v>
      </c>
      <c r="B14">
        <v>5</v>
      </c>
      <c r="C14" s="22">
        <v>41334.535220752317</v>
      </c>
      <c r="D14" t="s">
        <v>421</v>
      </c>
    </row>
    <row r="17" spans="1:1" x14ac:dyDescent="0.25">
      <c r="A17" t="s">
        <v>444</v>
      </c>
    </row>
    <row r="18" spans="1:1" x14ac:dyDescent="0.25">
      <c r="A18" t="s">
        <v>445</v>
      </c>
    </row>
    <row r="19" spans="1:1" x14ac:dyDescent="0.25">
      <c r="A19" t="s">
        <v>360</v>
      </c>
    </row>
    <row r="20" spans="1:1" x14ac:dyDescent="0.25">
      <c r="A20" t="s">
        <v>446</v>
      </c>
    </row>
    <row r="21" spans="1:1" x14ac:dyDescent="0.25">
      <c r="A21" t="s">
        <v>447</v>
      </c>
    </row>
    <row r="23" spans="1:1" x14ac:dyDescent="0.25">
      <c r="A23" t="s">
        <v>444</v>
      </c>
    </row>
    <row r="24" spans="1:1" x14ac:dyDescent="0.25">
      <c r="A24" t="s">
        <v>445</v>
      </c>
    </row>
    <row r="25" spans="1:1" x14ac:dyDescent="0.25">
      <c r="A25" t="s">
        <v>448</v>
      </c>
    </row>
    <row r="26" spans="1:1" x14ac:dyDescent="0.25">
      <c r="A26" t="s">
        <v>360</v>
      </c>
    </row>
    <row r="27" spans="1:1" x14ac:dyDescent="0.25">
      <c r="A27" t="s">
        <v>446</v>
      </c>
    </row>
    <row r="28" spans="1:1" x14ac:dyDescent="0.25">
      <c r="A28" t="s">
        <v>447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workbookViewId="0">
      <selection activeCell="A17" sqref="A17:D35"/>
    </sheetView>
  </sheetViews>
  <sheetFormatPr defaultRowHeight="15" x14ac:dyDescent="0.25"/>
  <cols>
    <col min="1" max="1" width="10.28515625" bestFit="1" customWidth="1"/>
    <col min="2" max="2" width="9.42578125" bestFit="1" customWidth="1"/>
    <col min="3" max="3" width="15" bestFit="1" customWidth="1"/>
    <col min="4" max="4" width="12.7109375" bestFit="1" customWidth="1"/>
    <col min="5" max="5" width="46.5703125" bestFit="1" customWidth="1"/>
    <col min="6" max="6" width="22.85546875" bestFit="1" customWidth="1"/>
    <col min="7" max="7" width="19.85546875" bestFit="1" customWidth="1"/>
    <col min="8" max="8" width="13.28515625" bestFit="1" customWidth="1"/>
  </cols>
  <sheetData>
    <row r="1" spans="1:8" x14ac:dyDescent="0.25">
      <c r="A1" t="s">
        <v>383</v>
      </c>
      <c r="B1" t="s">
        <v>384</v>
      </c>
      <c r="C1" t="s">
        <v>385</v>
      </c>
      <c r="D1" t="s">
        <v>386</v>
      </c>
      <c r="E1" t="s">
        <v>387</v>
      </c>
      <c r="F1" t="s">
        <v>388</v>
      </c>
      <c r="G1" t="s">
        <v>389</v>
      </c>
      <c r="H1" t="s">
        <v>390</v>
      </c>
    </row>
    <row r="2" spans="1:8" s="21" customFormat="1" x14ac:dyDescent="0.25">
      <c r="A2" s="21">
        <v>11762336</v>
      </c>
      <c r="B2" s="21">
        <v>29</v>
      </c>
      <c r="C2" s="21">
        <v>149</v>
      </c>
      <c r="D2" s="21" t="s">
        <v>391</v>
      </c>
      <c r="E2" s="21" t="s">
        <v>392</v>
      </c>
      <c r="F2" s="21">
        <v>1</v>
      </c>
      <c r="G2" s="21" t="s">
        <v>393</v>
      </c>
      <c r="H2" s="21" t="s">
        <v>394</v>
      </c>
    </row>
    <row r="3" spans="1:8" s="21" customFormat="1" x14ac:dyDescent="0.25">
      <c r="A3" s="21">
        <v>11762336</v>
      </c>
      <c r="B3" s="21">
        <v>29</v>
      </c>
      <c r="C3" s="21">
        <v>18</v>
      </c>
      <c r="D3" s="21" t="s">
        <v>395</v>
      </c>
      <c r="E3" s="21" t="s">
        <v>396</v>
      </c>
      <c r="F3" s="21">
        <v>2</v>
      </c>
      <c r="G3" s="21" t="s">
        <v>397</v>
      </c>
      <c r="H3" s="21" t="s">
        <v>394</v>
      </c>
    </row>
    <row r="4" spans="1:8" x14ac:dyDescent="0.25">
      <c r="A4">
        <v>11762336</v>
      </c>
      <c r="B4">
        <v>29</v>
      </c>
      <c r="C4">
        <v>1</v>
      </c>
      <c r="D4" t="s">
        <v>398</v>
      </c>
      <c r="E4" t="s">
        <v>399</v>
      </c>
      <c r="F4">
        <v>1</v>
      </c>
      <c r="G4" t="s">
        <v>393</v>
      </c>
      <c r="H4" t="s">
        <v>394</v>
      </c>
    </row>
    <row r="5" spans="1:8" x14ac:dyDescent="0.25">
      <c r="A5">
        <v>11762336</v>
      </c>
      <c r="B5">
        <v>29</v>
      </c>
      <c r="C5">
        <v>146</v>
      </c>
      <c r="D5" t="s">
        <v>400</v>
      </c>
      <c r="E5" t="s">
        <v>401</v>
      </c>
      <c r="F5">
        <v>1</v>
      </c>
      <c r="G5" t="s">
        <v>393</v>
      </c>
      <c r="H5" t="s">
        <v>394</v>
      </c>
    </row>
    <row r="6" spans="1:8" s="21" customFormat="1" x14ac:dyDescent="0.25">
      <c r="A6" s="21">
        <v>12504433</v>
      </c>
      <c r="B6" s="21">
        <v>109</v>
      </c>
      <c r="C6" s="21">
        <v>149</v>
      </c>
      <c r="D6" s="21" t="s">
        <v>391</v>
      </c>
      <c r="E6" s="21" t="s">
        <v>392</v>
      </c>
      <c r="F6" s="21">
        <v>1</v>
      </c>
      <c r="G6" s="21" t="s">
        <v>393</v>
      </c>
      <c r="H6" s="21" t="s">
        <v>394</v>
      </c>
    </row>
    <row r="7" spans="1:8" x14ac:dyDescent="0.25">
      <c r="A7">
        <v>12504433</v>
      </c>
      <c r="B7">
        <v>109</v>
      </c>
      <c r="C7">
        <v>9</v>
      </c>
      <c r="D7" t="s">
        <v>402</v>
      </c>
      <c r="E7" t="s">
        <v>403</v>
      </c>
      <c r="F7">
        <v>1</v>
      </c>
      <c r="G7" t="s">
        <v>393</v>
      </c>
      <c r="H7" t="s">
        <v>394</v>
      </c>
    </row>
    <row r="8" spans="1:8" x14ac:dyDescent="0.25">
      <c r="A8">
        <v>12504433</v>
      </c>
      <c r="B8">
        <v>109</v>
      </c>
      <c r="C8">
        <v>21</v>
      </c>
      <c r="D8" t="s">
        <v>404</v>
      </c>
      <c r="E8" t="s">
        <v>405</v>
      </c>
      <c r="F8">
        <v>2</v>
      </c>
      <c r="G8" t="s">
        <v>397</v>
      </c>
      <c r="H8" t="s">
        <v>394</v>
      </c>
    </row>
    <row r="11" spans="1:8" x14ac:dyDescent="0.25">
      <c r="A11" t="s">
        <v>383</v>
      </c>
      <c r="B11" t="s">
        <v>384</v>
      </c>
      <c r="C11" t="s">
        <v>385</v>
      </c>
      <c r="D11" t="s">
        <v>386</v>
      </c>
      <c r="E11" t="s">
        <v>387</v>
      </c>
      <c r="F11" t="s">
        <v>388</v>
      </c>
      <c r="G11" t="s">
        <v>389</v>
      </c>
      <c r="H11" t="s">
        <v>390</v>
      </c>
    </row>
    <row r="12" spans="1:8" x14ac:dyDescent="0.25">
      <c r="A12">
        <v>11762336</v>
      </c>
      <c r="B12">
        <v>27946</v>
      </c>
      <c r="C12">
        <v>1</v>
      </c>
      <c r="D12" t="s">
        <v>398</v>
      </c>
      <c r="E12" t="s">
        <v>399</v>
      </c>
      <c r="F12">
        <v>3</v>
      </c>
      <c r="G12" t="s">
        <v>406</v>
      </c>
      <c r="H12" t="s">
        <v>394</v>
      </c>
    </row>
    <row r="13" spans="1:8" x14ac:dyDescent="0.25">
      <c r="A13">
        <v>11762336</v>
      </c>
      <c r="B13">
        <v>27946</v>
      </c>
      <c r="C13">
        <v>146</v>
      </c>
      <c r="D13" t="s">
        <v>400</v>
      </c>
      <c r="E13" t="s">
        <v>401</v>
      </c>
      <c r="F13">
        <v>3</v>
      </c>
      <c r="G13" t="s">
        <v>406</v>
      </c>
      <c r="H13" t="s">
        <v>394</v>
      </c>
    </row>
    <row r="14" spans="1:8" x14ac:dyDescent="0.25">
      <c r="A14">
        <v>12504433</v>
      </c>
      <c r="B14">
        <v>28021</v>
      </c>
      <c r="C14">
        <v>9</v>
      </c>
      <c r="D14" t="s">
        <v>402</v>
      </c>
      <c r="E14" t="s">
        <v>403</v>
      </c>
      <c r="F14">
        <v>1</v>
      </c>
      <c r="G14" t="s">
        <v>393</v>
      </c>
      <c r="H14" t="s">
        <v>394</v>
      </c>
    </row>
    <row r="15" spans="1:8" x14ac:dyDescent="0.25">
      <c r="A15">
        <v>12504433</v>
      </c>
      <c r="B15">
        <v>28021</v>
      </c>
      <c r="C15">
        <v>21</v>
      </c>
      <c r="D15" t="s">
        <v>404</v>
      </c>
      <c r="E15" t="s">
        <v>405</v>
      </c>
      <c r="F15">
        <v>2</v>
      </c>
      <c r="G15" t="s">
        <v>397</v>
      </c>
      <c r="H15" t="s">
        <v>394</v>
      </c>
    </row>
    <row r="17" spans="1:4" x14ac:dyDescent="0.25">
      <c r="A17" t="s">
        <v>384</v>
      </c>
      <c r="B17" t="s">
        <v>390</v>
      </c>
      <c r="C17" t="s">
        <v>407</v>
      </c>
      <c r="D17" t="s">
        <v>408</v>
      </c>
    </row>
    <row r="18" spans="1:4" x14ac:dyDescent="0.25">
      <c r="A18">
        <v>28037</v>
      </c>
      <c r="B18" t="s">
        <v>394</v>
      </c>
      <c r="C18" t="s">
        <v>409</v>
      </c>
      <c r="D18" t="s">
        <v>410</v>
      </c>
    </row>
    <row r="19" spans="1:4" x14ac:dyDescent="0.25">
      <c r="A19">
        <v>28043</v>
      </c>
      <c r="B19" t="s">
        <v>394</v>
      </c>
      <c r="C19" t="s">
        <v>409</v>
      </c>
      <c r="D19" t="s">
        <v>410</v>
      </c>
    </row>
    <row r="20" spans="1:4" x14ac:dyDescent="0.25">
      <c r="A20">
        <v>28053</v>
      </c>
      <c r="B20" t="s">
        <v>394</v>
      </c>
      <c r="C20" t="s">
        <v>409</v>
      </c>
      <c r="D20" t="s">
        <v>410</v>
      </c>
    </row>
    <row r="21" spans="1:4" x14ac:dyDescent="0.25">
      <c r="A21">
        <v>28059</v>
      </c>
      <c r="B21" t="s">
        <v>394</v>
      </c>
      <c r="C21" t="s">
        <v>409</v>
      </c>
      <c r="D21" t="s">
        <v>410</v>
      </c>
    </row>
    <row r="22" spans="1:4" x14ac:dyDescent="0.25">
      <c r="A22" t="s">
        <v>394</v>
      </c>
      <c r="B22" t="s">
        <v>394</v>
      </c>
      <c r="C22" t="s">
        <v>394</v>
      </c>
      <c r="D22" t="s">
        <v>394</v>
      </c>
    </row>
    <row r="23" spans="1:4" x14ac:dyDescent="0.25">
      <c r="A23" t="s">
        <v>394</v>
      </c>
      <c r="B23" t="s">
        <v>394</v>
      </c>
      <c r="C23" t="s">
        <v>394</v>
      </c>
      <c r="D23" t="s">
        <v>394</v>
      </c>
    </row>
    <row r="24" spans="1:4" x14ac:dyDescent="0.25">
      <c r="A24">
        <v>27946</v>
      </c>
      <c r="B24" t="s">
        <v>394</v>
      </c>
      <c r="C24" t="s">
        <v>409</v>
      </c>
      <c r="D24" t="s">
        <v>410</v>
      </c>
    </row>
    <row r="25" spans="1:4" x14ac:dyDescent="0.25">
      <c r="A25">
        <v>27946</v>
      </c>
      <c r="B25">
        <v>8478</v>
      </c>
      <c r="C25" t="s">
        <v>409</v>
      </c>
      <c r="D25" t="s">
        <v>410</v>
      </c>
    </row>
    <row r="26" spans="1:4" x14ac:dyDescent="0.25">
      <c r="A26">
        <v>28089</v>
      </c>
      <c r="B26" t="s">
        <v>394</v>
      </c>
      <c r="C26" t="s">
        <v>409</v>
      </c>
      <c r="D26" t="s">
        <v>410</v>
      </c>
    </row>
    <row r="27" spans="1:4" x14ac:dyDescent="0.25">
      <c r="A27" t="s">
        <v>394</v>
      </c>
      <c r="B27" t="s">
        <v>394</v>
      </c>
      <c r="C27" t="s">
        <v>394</v>
      </c>
      <c r="D27" t="s">
        <v>394</v>
      </c>
    </row>
    <row r="28" spans="1:4" x14ac:dyDescent="0.25">
      <c r="A28">
        <v>28099</v>
      </c>
      <c r="B28" t="s">
        <v>394</v>
      </c>
      <c r="C28" t="s">
        <v>409</v>
      </c>
      <c r="D28" t="s">
        <v>410</v>
      </c>
    </row>
    <row r="29" spans="1:4" x14ac:dyDescent="0.25">
      <c r="A29">
        <v>28104</v>
      </c>
      <c r="B29" t="s">
        <v>394</v>
      </c>
      <c r="C29" t="s">
        <v>409</v>
      </c>
      <c r="D29" t="s">
        <v>410</v>
      </c>
    </row>
    <row r="30" spans="1:4" x14ac:dyDescent="0.25">
      <c r="A30">
        <v>28110</v>
      </c>
      <c r="B30" t="s">
        <v>394</v>
      </c>
      <c r="C30" t="s">
        <v>409</v>
      </c>
      <c r="D30" t="s">
        <v>410</v>
      </c>
    </row>
    <row r="31" spans="1:4" x14ac:dyDescent="0.25">
      <c r="A31" t="s">
        <v>394</v>
      </c>
      <c r="B31" t="s">
        <v>394</v>
      </c>
      <c r="C31" t="s">
        <v>394</v>
      </c>
      <c r="D31" t="s">
        <v>394</v>
      </c>
    </row>
    <row r="32" spans="1:4" x14ac:dyDescent="0.25">
      <c r="A32" t="s">
        <v>394</v>
      </c>
      <c r="B32" t="s">
        <v>394</v>
      </c>
      <c r="C32" t="s">
        <v>394</v>
      </c>
      <c r="D32" t="s">
        <v>394</v>
      </c>
    </row>
    <row r="33" spans="1:4" x14ac:dyDescent="0.25">
      <c r="A33" t="s">
        <v>394</v>
      </c>
      <c r="B33" t="s">
        <v>394</v>
      </c>
      <c r="C33" t="s">
        <v>394</v>
      </c>
      <c r="D33" t="s">
        <v>394</v>
      </c>
    </row>
    <row r="34" spans="1:4" x14ac:dyDescent="0.25">
      <c r="A34" t="s">
        <v>394</v>
      </c>
      <c r="B34" t="s">
        <v>394</v>
      </c>
      <c r="C34" t="s">
        <v>394</v>
      </c>
      <c r="D34" t="s">
        <v>394</v>
      </c>
    </row>
    <row r="35" spans="1:4" x14ac:dyDescent="0.25">
      <c r="A35">
        <v>28021</v>
      </c>
      <c r="B35" t="s">
        <v>394</v>
      </c>
      <c r="C35" t="s">
        <v>411</v>
      </c>
      <c r="D35" t="s">
        <v>410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
  <sheetViews>
    <sheetView zoomScale="75" zoomScaleNormal="75" workbookViewId="0">
      <selection activeCell="C16" sqref="C16"/>
    </sheetView>
  </sheetViews>
  <sheetFormatPr defaultRowHeight="15" x14ac:dyDescent="0.25"/>
  <cols>
    <col min="1" max="1" width="9.42578125" bestFit="1" customWidth="1"/>
    <col min="2" max="2" width="18.7109375" bestFit="1" customWidth="1"/>
    <col min="3" max="3" width="27" bestFit="1" customWidth="1"/>
    <col min="4" max="4" width="32.28515625" bestFit="1" customWidth="1"/>
    <col min="5" max="5" width="32.140625" bestFit="1" customWidth="1"/>
    <col min="6" max="6" width="21" bestFit="1" customWidth="1"/>
    <col min="8" max="8" width="9.42578125" bestFit="1" customWidth="1"/>
    <col min="9" max="9" width="18.7109375" bestFit="1" customWidth="1"/>
    <col min="10" max="10" width="22.5703125" bestFit="1" customWidth="1"/>
    <col min="11" max="11" width="11.28515625" bestFit="1" customWidth="1"/>
    <col min="12" max="12" width="16.42578125" bestFit="1" customWidth="1"/>
    <col min="13" max="13" width="13.5703125" bestFit="1" customWidth="1"/>
  </cols>
  <sheetData>
    <row r="1" spans="1:13" x14ac:dyDescent="0.25">
      <c r="A1" t="s">
        <v>384</v>
      </c>
      <c r="B1" t="s">
        <v>425</v>
      </c>
      <c r="C1" t="s">
        <v>426</v>
      </c>
      <c r="D1" t="s">
        <v>427</v>
      </c>
      <c r="E1" t="s">
        <v>428</v>
      </c>
      <c r="F1" t="s">
        <v>429</v>
      </c>
      <c r="H1" t="s">
        <v>384</v>
      </c>
      <c r="I1" t="s">
        <v>425</v>
      </c>
      <c r="J1" t="s">
        <v>426</v>
      </c>
      <c r="K1" t="s">
        <v>427</v>
      </c>
      <c r="L1" t="s">
        <v>428</v>
      </c>
      <c r="M1" t="s">
        <v>429</v>
      </c>
    </row>
    <row r="2" spans="1:13" x14ac:dyDescent="0.25">
      <c r="A2">
        <v>3882</v>
      </c>
      <c r="B2">
        <v>5027</v>
      </c>
      <c r="C2">
        <v>4145</v>
      </c>
      <c r="D2" t="s">
        <v>394</v>
      </c>
      <c r="E2">
        <v>51507</v>
      </c>
      <c r="F2" t="s">
        <v>394</v>
      </c>
      <c r="H2">
        <v>3882</v>
      </c>
      <c r="I2">
        <v>5027</v>
      </c>
      <c r="J2">
        <v>4145</v>
      </c>
      <c r="K2">
        <v>51507</v>
      </c>
      <c r="L2">
        <v>51507</v>
      </c>
      <c r="M2">
        <v>99</v>
      </c>
    </row>
    <row r="3" spans="1:13" x14ac:dyDescent="0.25">
      <c r="A3">
        <v>28329</v>
      </c>
      <c r="B3">
        <v>6660</v>
      </c>
      <c r="C3">
        <v>4146</v>
      </c>
      <c r="D3" t="s">
        <v>394</v>
      </c>
      <c r="E3">
        <v>36564</v>
      </c>
      <c r="F3" t="s">
        <v>394</v>
      </c>
      <c r="H3">
        <v>28329</v>
      </c>
      <c r="I3">
        <v>6660</v>
      </c>
      <c r="J3">
        <v>4146</v>
      </c>
      <c r="K3">
        <v>36564</v>
      </c>
      <c r="L3">
        <v>36564</v>
      </c>
      <c r="M3">
        <v>99</v>
      </c>
    </row>
    <row r="4" spans="1:13" x14ac:dyDescent="0.25">
      <c r="A4">
        <v>20301</v>
      </c>
      <c r="B4">
        <v>6725</v>
      </c>
      <c r="C4">
        <v>4147</v>
      </c>
      <c r="D4" t="s">
        <v>394</v>
      </c>
      <c r="E4">
        <v>53002</v>
      </c>
      <c r="F4" t="s">
        <v>394</v>
      </c>
      <c r="H4">
        <v>20301</v>
      </c>
      <c r="I4">
        <v>6725</v>
      </c>
      <c r="J4">
        <v>4147</v>
      </c>
      <c r="K4">
        <v>53002</v>
      </c>
      <c r="L4">
        <v>53002</v>
      </c>
      <c r="M4">
        <v>99</v>
      </c>
    </row>
    <row r="5" spans="1:13" x14ac:dyDescent="0.25">
      <c r="A5">
        <v>28630</v>
      </c>
      <c r="B5">
        <v>6731</v>
      </c>
      <c r="C5">
        <v>4148</v>
      </c>
      <c r="D5" t="s">
        <v>394</v>
      </c>
      <c r="E5">
        <v>5973</v>
      </c>
      <c r="F5" t="s">
        <v>394</v>
      </c>
      <c r="H5">
        <v>28630</v>
      </c>
      <c r="I5">
        <v>6731</v>
      </c>
      <c r="J5">
        <v>4148</v>
      </c>
      <c r="K5">
        <v>5973</v>
      </c>
      <c r="L5">
        <v>5973</v>
      </c>
      <c r="M5">
        <v>99</v>
      </c>
    </row>
    <row r="6" spans="1:13" x14ac:dyDescent="0.25">
      <c r="A6">
        <v>3882</v>
      </c>
      <c r="B6" t="s">
        <v>430</v>
      </c>
      <c r="C6">
        <v>4149</v>
      </c>
      <c r="D6" t="s">
        <v>394</v>
      </c>
      <c r="E6">
        <v>35202</v>
      </c>
      <c r="F6" t="s">
        <v>394</v>
      </c>
      <c r="H6">
        <v>3882</v>
      </c>
      <c r="I6" t="s">
        <v>430</v>
      </c>
      <c r="J6">
        <v>4149</v>
      </c>
      <c r="K6">
        <v>35202</v>
      </c>
      <c r="L6">
        <v>35202</v>
      </c>
      <c r="M6">
        <v>99</v>
      </c>
    </row>
    <row r="7" spans="1:13" x14ac:dyDescent="0.25">
      <c r="A7">
        <v>20301</v>
      </c>
      <c r="B7" t="s">
        <v>431</v>
      </c>
      <c r="C7">
        <v>4150</v>
      </c>
      <c r="D7" t="s">
        <v>394</v>
      </c>
      <c r="E7">
        <v>9619</v>
      </c>
      <c r="F7" t="s">
        <v>394</v>
      </c>
      <c r="H7">
        <v>20301</v>
      </c>
      <c r="I7" t="s">
        <v>431</v>
      </c>
      <c r="J7">
        <v>4150</v>
      </c>
      <c r="K7">
        <v>9619</v>
      </c>
      <c r="L7">
        <v>9619</v>
      </c>
      <c r="M7">
        <v>99</v>
      </c>
    </row>
    <row r="8" spans="1:13" x14ac:dyDescent="0.25">
      <c r="A8">
        <v>20545</v>
      </c>
      <c r="B8" t="s">
        <v>432</v>
      </c>
      <c r="C8">
        <v>4151</v>
      </c>
      <c r="D8" t="s">
        <v>394</v>
      </c>
      <c r="E8">
        <v>62363</v>
      </c>
      <c r="F8" t="s">
        <v>394</v>
      </c>
      <c r="H8">
        <v>20545</v>
      </c>
      <c r="I8" t="s">
        <v>432</v>
      </c>
      <c r="J8">
        <v>4151</v>
      </c>
      <c r="K8">
        <v>62363</v>
      </c>
      <c r="L8">
        <v>62363</v>
      </c>
      <c r="M8">
        <v>99</v>
      </c>
    </row>
    <row r="9" spans="1:13" x14ac:dyDescent="0.25">
      <c r="A9">
        <v>28630</v>
      </c>
      <c r="B9" t="s">
        <v>433</v>
      </c>
      <c r="C9">
        <v>4152</v>
      </c>
      <c r="D9" t="s">
        <v>394</v>
      </c>
      <c r="E9">
        <v>2543</v>
      </c>
      <c r="F9" t="s">
        <v>394</v>
      </c>
      <c r="H9">
        <v>28630</v>
      </c>
      <c r="I9" t="s">
        <v>433</v>
      </c>
      <c r="J9">
        <v>4152</v>
      </c>
      <c r="K9">
        <v>2543</v>
      </c>
      <c r="L9">
        <v>2543</v>
      </c>
      <c r="M9">
        <v>99</v>
      </c>
    </row>
    <row r="10" spans="1:13" x14ac:dyDescent="0.25">
      <c r="A10">
        <v>28638</v>
      </c>
      <c r="B10" t="s">
        <v>434</v>
      </c>
      <c r="C10">
        <v>4153</v>
      </c>
      <c r="D10" t="s">
        <v>394</v>
      </c>
      <c r="E10">
        <v>31772</v>
      </c>
      <c r="F10" t="s">
        <v>394</v>
      </c>
      <c r="H10">
        <v>28638</v>
      </c>
      <c r="I10" t="s">
        <v>434</v>
      </c>
      <c r="J10">
        <v>4153</v>
      </c>
      <c r="K10">
        <v>31772</v>
      </c>
      <c r="L10">
        <v>31772</v>
      </c>
      <c r="M10">
        <v>99</v>
      </c>
    </row>
    <row r="11" spans="1:13" x14ac:dyDescent="0.25">
      <c r="A11">
        <v>28663</v>
      </c>
      <c r="B11" t="s">
        <v>435</v>
      </c>
      <c r="C11">
        <v>4154</v>
      </c>
      <c r="D11" t="s">
        <v>394</v>
      </c>
      <c r="E11">
        <v>18981</v>
      </c>
      <c r="F11" t="s">
        <v>394</v>
      </c>
      <c r="H11">
        <v>28663</v>
      </c>
      <c r="I11" t="s">
        <v>435</v>
      </c>
      <c r="J11">
        <v>4154</v>
      </c>
      <c r="K11">
        <v>18981</v>
      </c>
      <c r="L11">
        <v>18981</v>
      </c>
      <c r="M11">
        <v>99</v>
      </c>
    </row>
    <row r="13" spans="1:13" x14ac:dyDescent="0.25">
      <c r="A13" t="s">
        <v>384</v>
      </c>
      <c r="B13" t="s">
        <v>390</v>
      </c>
      <c r="C13" t="s">
        <v>407</v>
      </c>
      <c r="D13" t="s">
        <v>436</v>
      </c>
      <c r="E13" t="s">
        <v>437</v>
      </c>
      <c r="F13" t="s">
        <v>438</v>
      </c>
    </row>
    <row r="14" spans="1:13" x14ac:dyDescent="0.25">
      <c r="A14">
        <v>3882</v>
      </c>
      <c r="B14" t="s">
        <v>394</v>
      </c>
      <c r="C14" t="s">
        <v>439</v>
      </c>
      <c r="D14" t="s">
        <v>440</v>
      </c>
      <c r="E14" t="s">
        <v>394</v>
      </c>
      <c r="F14">
        <v>2</v>
      </c>
    </row>
    <row r="15" spans="1:13" x14ac:dyDescent="0.25">
      <c r="A15">
        <v>3882</v>
      </c>
      <c r="B15">
        <v>946</v>
      </c>
      <c r="C15" t="s">
        <v>439</v>
      </c>
      <c r="D15" t="s">
        <v>394</v>
      </c>
      <c r="E15" t="s">
        <v>441</v>
      </c>
      <c r="F15">
        <v>3</v>
      </c>
    </row>
    <row r="16" spans="1:13" x14ac:dyDescent="0.25">
      <c r="A16">
        <v>3882</v>
      </c>
      <c r="B16">
        <v>6457</v>
      </c>
      <c r="C16" t="s">
        <v>439</v>
      </c>
      <c r="D16" t="s">
        <v>394</v>
      </c>
      <c r="E16" t="s">
        <v>442</v>
      </c>
      <c r="F16" t="s">
        <v>394</v>
      </c>
    </row>
    <row r="17" spans="1:6" x14ac:dyDescent="0.25">
      <c r="A17">
        <v>20301</v>
      </c>
      <c r="B17" t="s">
        <v>394</v>
      </c>
      <c r="C17" t="s">
        <v>439</v>
      </c>
      <c r="D17" t="s">
        <v>440</v>
      </c>
      <c r="E17" t="s">
        <v>394</v>
      </c>
      <c r="F17" t="s">
        <v>394</v>
      </c>
    </row>
    <row r="18" spans="1:6" x14ac:dyDescent="0.25">
      <c r="A18">
        <v>20301</v>
      </c>
      <c r="B18">
        <v>5735</v>
      </c>
      <c r="C18" t="s">
        <v>439</v>
      </c>
      <c r="D18" t="s">
        <v>394</v>
      </c>
      <c r="E18" t="s">
        <v>394</v>
      </c>
      <c r="F18">
        <v>4</v>
      </c>
    </row>
    <row r="19" spans="1:6" x14ac:dyDescent="0.25">
      <c r="A19">
        <v>20301</v>
      </c>
      <c r="B19">
        <v>8758</v>
      </c>
      <c r="C19" t="s">
        <v>439</v>
      </c>
      <c r="D19" t="s">
        <v>394</v>
      </c>
      <c r="E19" t="s">
        <v>394</v>
      </c>
      <c r="F19" t="s">
        <v>394</v>
      </c>
    </row>
    <row r="20" spans="1:6" x14ac:dyDescent="0.25">
      <c r="A20">
        <v>20545</v>
      </c>
      <c r="B20" t="s">
        <v>394</v>
      </c>
      <c r="C20" t="s">
        <v>439</v>
      </c>
      <c r="D20" t="s">
        <v>440</v>
      </c>
      <c r="E20" t="s">
        <v>394</v>
      </c>
      <c r="F20" t="s">
        <v>394</v>
      </c>
    </row>
    <row r="21" spans="1:6" x14ac:dyDescent="0.25">
      <c r="A21">
        <v>20545</v>
      </c>
      <c r="B21">
        <v>5789</v>
      </c>
      <c r="C21" t="s">
        <v>439</v>
      </c>
      <c r="D21" t="s">
        <v>394</v>
      </c>
      <c r="E21" t="s">
        <v>394</v>
      </c>
      <c r="F21">
        <v>2</v>
      </c>
    </row>
    <row r="22" spans="1:6" x14ac:dyDescent="0.25">
      <c r="A22">
        <v>20545</v>
      </c>
      <c r="B22">
        <v>8754</v>
      </c>
      <c r="C22" t="s">
        <v>439</v>
      </c>
      <c r="D22" t="s">
        <v>394</v>
      </c>
      <c r="E22" t="s">
        <v>394</v>
      </c>
      <c r="F22" t="s">
        <v>394</v>
      </c>
    </row>
    <row r="23" spans="1:6" x14ac:dyDescent="0.25">
      <c r="A23">
        <v>28329</v>
      </c>
      <c r="B23" t="s">
        <v>394</v>
      </c>
      <c r="C23" t="s">
        <v>439</v>
      </c>
      <c r="D23" t="s">
        <v>440</v>
      </c>
      <c r="E23" t="s">
        <v>394</v>
      </c>
      <c r="F23">
        <v>1</v>
      </c>
    </row>
    <row r="24" spans="1:6" x14ac:dyDescent="0.25">
      <c r="A24">
        <v>28329</v>
      </c>
      <c r="B24">
        <v>8673</v>
      </c>
      <c r="C24" t="s">
        <v>439</v>
      </c>
      <c r="D24" t="s">
        <v>394</v>
      </c>
      <c r="E24" t="s">
        <v>394</v>
      </c>
      <c r="F24">
        <v>2</v>
      </c>
    </row>
    <row r="25" spans="1:6" x14ac:dyDescent="0.25">
      <c r="A25">
        <v>28630</v>
      </c>
      <c r="B25" t="s">
        <v>394</v>
      </c>
      <c r="C25" t="s">
        <v>439</v>
      </c>
      <c r="D25" t="s">
        <v>443</v>
      </c>
      <c r="E25" t="s">
        <v>394</v>
      </c>
      <c r="F25">
        <v>2</v>
      </c>
    </row>
    <row r="26" spans="1:6" x14ac:dyDescent="0.25">
      <c r="A26">
        <v>28630</v>
      </c>
      <c r="B26">
        <v>8763</v>
      </c>
      <c r="C26" t="s">
        <v>439</v>
      </c>
      <c r="D26" t="s">
        <v>394</v>
      </c>
      <c r="E26" t="s">
        <v>394</v>
      </c>
      <c r="F26" t="s">
        <v>394</v>
      </c>
    </row>
    <row r="27" spans="1:6" x14ac:dyDescent="0.25">
      <c r="A27">
        <v>28630</v>
      </c>
      <c r="B27">
        <v>8764</v>
      </c>
      <c r="C27" t="s">
        <v>439</v>
      </c>
      <c r="D27" t="s">
        <v>394</v>
      </c>
      <c r="E27" t="s">
        <v>394</v>
      </c>
      <c r="F27" t="s">
        <v>394</v>
      </c>
    </row>
    <row r="28" spans="1:6" x14ac:dyDescent="0.25">
      <c r="A28">
        <v>28638</v>
      </c>
      <c r="B28" t="s">
        <v>394</v>
      </c>
      <c r="C28" t="s">
        <v>439</v>
      </c>
      <c r="D28" t="s">
        <v>443</v>
      </c>
      <c r="E28" t="s">
        <v>394</v>
      </c>
      <c r="F28">
        <v>2</v>
      </c>
    </row>
    <row r="29" spans="1:6" x14ac:dyDescent="0.25">
      <c r="A29">
        <v>28638</v>
      </c>
      <c r="B29">
        <v>8765</v>
      </c>
      <c r="C29" t="s">
        <v>439</v>
      </c>
      <c r="D29" t="s">
        <v>394</v>
      </c>
      <c r="E29" t="s">
        <v>394</v>
      </c>
      <c r="F29" t="s">
        <v>394</v>
      </c>
    </row>
    <row r="30" spans="1:6" x14ac:dyDescent="0.25">
      <c r="A30">
        <v>28638</v>
      </c>
      <c r="B30">
        <v>8766</v>
      </c>
      <c r="C30" t="s">
        <v>439</v>
      </c>
      <c r="D30" t="s">
        <v>394</v>
      </c>
      <c r="E30" t="s">
        <v>394</v>
      </c>
      <c r="F30" t="s">
        <v>394</v>
      </c>
    </row>
    <row r="31" spans="1:6" x14ac:dyDescent="0.25">
      <c r="A31">
        <v>28638</v>
      </c>
      <c r="B31">
        <v>8767</v>
      </c>
      <c r="C31" t="s">
        <v>439</v>
      </c>
      <c r="D31" t="s">
        <v>394</v>
      </c>
      <c r="E31" t="s">
        <v>394</v>
      </c>
      <c r="F31" t="s">
        <v>394</v>
      </c>
    </row>
    <row r="32" spans="1:6" x14ac:dyDescent="0.25">
      <c r="A32">
        <v>28638</v>
      </c>
      <c r="B32">
        <v>8768</v>
      </c>
      <c r="C32" t="s">
        <v>439</v>
      </c>
      <c r="D32" t="s">
        <v>394</v>
      </c>
      <c r="E32" t="s">
        <v>394</v>
      </c>
      <c r="F32" t="s">
        <v>394</v>
      </c>
    </row>
    <row r="33" spans="1:6" x14ac:dyDescent="0.25">
      <c r="A33">
        <v>28638</v>
      </c>
      <c r="B33">
        <v>8769</v>
      </c>
      <c r="C33" t="s">
        <v>439</v>
      </c>
      <c r="D33" t="s">
        <v>394</v>
      </c>
      <c r="E33" t="s">
        <v>394</v>
      </c>
      <c r="F33" t="s">
        <v>394</v>
      </c>
    </row>
    <row r="34" spans="1:6" x14ac:dyDescent="0.25">
      <c r="A34">
        <v>28638</v>
      </c>
      <c r="B34">
        <v>8770</v>
      </c>
      <c r="C34" t="s">
        <v>439</v>
      </c>
      <c r="D34" t="s">
        <v>394</v>
      </c>
      <c r="E34" t="s">
        <v>394</v>
      </c>
      <c r="F34" t="s">
        <v>394</v>
      </c>
    </row>
    <row r="35" spans="1:6" x14ac:dyDescent="0.25">
      <c r="A35">
        <v>28663</v>
      </c>
      <c r="B35" t="s">
        <v>394</v>
      </c>
      <c r="C35" t="s">
        <v>439</v>
      </c>
      <c r="D35" t="s">
        <v>440</v>
      </c>
      <c r="E35" t="s">
        <v>394</v>
      </c>
      <c r="F35">
        <v>2</v>
      </c>
    </row>
    <row r="36" spans="1:6" x14ac:dyDescent="0.25">
      <c r="A36">
        <v>28663</v>
      </c>
      <c r="B36">
        <v>8771</v>
      </c>
      <c r="C36" t="s">
        <v>439</v>
      </c>
      <c r="D36" t="s">
        <v>394</v>
      </c>
      <c r="E36" t="s">
        <v>394</v>
      </c>
      <c r="F36">
        <v>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6" sqref="B6"/>
    </sheetView>
  </sheetViews>
  <sheetFormatPr defaultRowHeight="15" x14ac:dyDescent="0.25"/>
  <sheetData>
    <row r="1" spans="1:1" x14ac:dyDescent="0.25">
      <c r="A1" t="s">
        <v>501</v>
      </c>
    </row>
    <row r="2" spans="1:1" x14ac:dyDescent="0.25">
      <c r="A2" t="s">
        <v>502</v>
      </c>
    </row>
    <row r="3" spans="1:1" x14ac:dyDescent="0.25">
      <c r="A3" t="s">
        <v>503</v>
      </c>
    </row>
    <row r="4" spans="1:1" x14ac:dyDescent="0.25">
      <c r="A4" t="s">
        <v>504</v>
      </c>
    </row>
    <row r="5" spans="1:1" x14ac:dyDescent="0.25">
      <c r="A5" t="s">
        <v>505</v>
      </c>
    </row>
    <row r="6" spans="1:1" x14ac:dyDescent="0.25">
      <c r="A6" t="s">
        <v>506</v>
      </c>
    </row>
    <row r="7" spans="1:1" x14ac:dyDescent="0.25">
      <c r="A7" t="s">
        <v>507</v>
      </c>
    </row>
    <row r="8" spans="1:1" x14ac:dyDescent="0.25">
      <c r="A8" t="s">
        <v>508</v>
      </c>
    </row>
    <row r="9" spans="1:1" x14ac:dyDescent="0.25">
      <c r="A9" t="s">
        <v>509</v>
      </c>
    </row>
    <row r="10" spans="1:1" x14ac:dyDescent="0.25">
      <c r="A10" t="s">
        <v>510</v>
      </c>
    </row>
    <row r="11" spans="1:1" x14ac:dyDescent="0.25">
      <c r="A11" t="s">
        <v>511</v>
      </c>
    </row>
    <row r="12" spans="1:1" x14ac:dyDescent="0.25">
      <c r="A12" t="s">
        <v>512</v>
      </c>
    </row>
    <row r="13" spans="1:1" x14ac:dyDescent="0.25">
      <c r="A13" t="s">
        <v>513</v>
      </c>
    </row>
    <row r="14" spans="1:1" x14ac:dyDescent="0.25">
      <c r="A14" t="s">
        <v>514</v>
      </c>
    </row>
    <row r="15" spans="1:1" x14ac:dyDescent="0.25">
      <c r="A15" t="s">
        <v>515</v>
      </c>
    </row>
    <row r="16" spans="1:1" x14ac:dyDescent="0.25">
      <c r="A16" t="s">
        <v>516</v>
      </c>
    </row>
    <row r="17" spans="1:2" x14ac:dyDescent="0.25">
      <c r="A17" t="s">
        <v>517</v>
      </c>
    </row>
    <row r="18" spans="1:2" x14ac:dyDescent="0.25">
      <c r="A18" t="s">
        <v>518</v>
      </c>
    </row>
    <row r="19" spans="1:2" x14ac:dyDescent="0.25">
      <c r="A19" t="s">
        <v>519</v>
      </c>
    </row>
    <row r="20" spans="1:2" x14ac:dyDescent="0.25">
      <c r="A20" t="s">
        <v>520</v>
      </c>
    </row>
    <row r="21" spans="1:2" x14ac:dyDescent="0.25">
      <c r="A21" t="s">
        <v>521</v>
      </c>
    </row>
    <row r="22" spans="1:2" x14ac:dyDescent="0.25">
      <c r="A22" t="s">
        <v>522</v>
      </c>
    </row>
    <row r="23" spans="1:2" x14ac:dyDescent="0.25">
      <c r="A23" t="s">
        <v>523</v>
      </c>
    </row>
    <row r="24" spans="1:2" x14ac:dyDescent="0.25">
      <c r="A24" t="s">
        <v>524</v>
      </c>
    </row>
    <row r="25" spans="1:2" x14ac:dyDescent="0.25">
      <c r="A25" t="s">
        <v>456</v>
      </c>
    </row>
    <row r="26" spans="1:2" x14ac:dyDescent="0.25">
      <c r="B26" t="s">
        <v>525</v>
      </c>
    </row>
    <row r="27" spans="1:2" x14ac:dyDescent="0.25">
      <c r="B27" t="s">
        <v>526</v>
      </c>
    </row>
    <row r="28" spans="1:2" x14ac:dyDescent="0.25">
      <c r="B28" t="s">
        <v>527</v>
      </c>
    </row>
    <row r="29" spans="1:2" x14ac:dyDescent="0.25">
      <c r="A29" t="s">
        <v>528</v>
      </c>
    </row>
    <row r="30" spans="1:2" x14ac:dyDescent="0.25">
      <c r="A30" t="s">
        <v>456</v>
      </c>
    </row>
    <row r="31" spans="1:2" x14ac:dyDescent="0.25">
      <c r="B31" t="s">
        <v>525</v>
      </c>
    </row>
    <row r="32" spans="1:2" x14ac:dyDescent="0.25">
      <c r="B32" t="s">
        <v>526</v>
      </c>
    </row>
    <row r="33" spans="1:2" x14ac:dyDescent="0.25">
      <c r="B33" t="s">
        <v>529</v>
      </c>
    </row>
    <row r="34" spans="1:2" x14ac:dyDescent="0.25">
      <c r="A34" t="s">
        <v>530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heetViews>
  <sheetFormatPr defaultRowHeight="15" x14ac:dyDescent="0.25"/>
  <sheetData>
    <row r="1" spans="1:2" x14ac:dyDescent="0.25">
      <c r="A1" t="s">
        <v>2651</v>
      </c>
    </row>
    <row r="2" spans="1:2" x14ac:dyDescent="0.25">
      <c r="A2" t="s">
        <v>1044</v>
      </c>
    </row>
    <row r="3" spans="1:2" x14ac:dyDescent="0.25">
      <c r="A3" t="s">
        <v>2652</v>
      </c>
    </row>
    <row r="4" spans="1:2" x14ac:dyDescent="0.25">
      <c r="B4" t="s">
        <v>2653</v>
      </c>
    </row>
    <row r="5" spans="1:2" x14ac:dyDescent="0.25">
      <c r="A5" t="s">
        <v>2654</v>
      </c>
    </row>
    <row r="7" spans="1:2" x14ac:dyDescent="0.25">
      <c r="A7" t="s">
        <v>572</v>
      </c>
    </row>
    <row r="8" spans="1:2" x14ac:dyDescent="0.25">
      <c r="A8" t="s">
        <v>2458</v>
      </c>
    </row>
    <row r="9" spans="1:2" x14ac:dyDescent="0.25">
      <c r="A9" t="s">
        <v>542</v>
      </c>
    </row>
    <row r="10" spans="1:2" x14ac:dyDescent="0.25">
      <c r="A10" t="s">
        <v>896</v>
      </c>
    </row>
    <row r="11" spans="1:2" x14ac:dyDescent="0.25">
      <c r="A11" t="s">
        <v>842</v>
      </c>
    </row>
    <row r="12" spans="1:2" x14ac:dyDescent="0.25">
      <c r="A12" t="s">
        <v>2655</v>
      </c>
    </row>
    <row r="13" spans="1:2" x14ac:dyDescent="0.25">
      <c r="A13" t="s">
        <v>576</v>
      </c>
    </row>
    <row r="14" spans="1:2" x14ac:dyDescent="0.25">
      <c r="A14" t="s">
        <v>619</v>
      </c>
    </row>
    <row r="15" spans="1:2" x14ac:dyDescent="0.25">
      <c r="B15" t="s">
        <v>2464</v>
      </c>
    </row>
    <row r="16" spans="1:2" x14ac:dyDescent="0.25">
      <c r="A16" t="s">
        <v>2656</v>
      </c>
    </row>
    <row r="18" spans="1:2" x14ac:dyDescent="0.25">
      <c r="A18" t="s">
        <v>2668</v>
      </c>
    </row>
    <row r="19" spans="1:2" x14ac:dyDescent="0.25">
      <c r="A19" t="s">
        <v>607</v>
      </c>
    </row>
    <row r="20" spans="1:2" x14ac:dyDescent="0.25">
      <c r="A20" t="s">
        <v>2657</v>
      </c>
    </row>
    <row r="21" spans="1:2" x14ac:dyDescent="0.25">
      <c r="A21" t="s">
        <v>2658</v>
      </c>
    </row>
    <row r="22" spans="1:2" x14ac:dyDescent="0.25">
      <c r="B22">
        <v>6536</v>
      </c>
    </row>
    <row r="23" spans="1:2" x14ac:dyDescent="0.25">
      <c r="B23" t="s">
        <v>2659</v>
      </c>
    </row>
    <row r="24" spans="1:2" x14ac:dyDescent="0.25">
      <c r="B24" t="s">
        <v>1036</v>
      </c>
    </row>
    <row r="25" spans="1:2" x14ac:dyDescent="0.25">
      <c r="B25" t="s">
        <v>1915</v>
      </c>
    </row>
    <row r="27" spans="1:2" x14ac:dyDescent="0.25">
      <c r="A27" t="s">
        <v>2660</v>
      </c>
    </row>
    <row r="28" spans="1:2" x14ac:dyDescent="0.25">
      <c r="A28" t="s">
        <v>2661</v>
      </c>
    </row>
    <row r="29" spans="1:2" x14ac:dyDescent="0.25">
      <c r="B29" t="s">
        <v>1026</v>
      </c>
    </row>
    <row r="30" spans="1:2" x14ac:dyDescent="0.25">
      <c r="B30" t="s">
        <v>1025</v>
      </c>
    </row>
    <row r="32" spans="1:2" x14ac:dyDescent="0.25">
      <c r="A32" t="s">
        <v>2662</v>
      </c>
    </row>
    <row r="33" spans="1:1" x14ac:dyDescent="0.25">
      <c r="A33" t="s">
        <v>2663</v>
      </c>
    </row>
    <row r="34" spans="1:1" x14ac:dyDescent="0.25">
      <c r="A34" t="s">
        <v>2664</v>
      </c>
    </row>
    <row r="35" spans="1:1" x14ac:dyDescent="0.25">
      <c r="A35" t="s">
        <v>2665</v>
      </c>
    </row>
    <row r="38" spans="1:1" x14ac:dyDescent="0.25">
      <c r="A38" t="s">
        <v>2666</v>
      </c>
    </row>
    <row r="39" spans="1:1" x14ac:dyDescent="0.25">
      <c r="A39" t="s">
        <v>2667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2"/>
  <sheetViews>
    <sheetView workbookViewId="0"/>
  </sheetViews>
  <sheetFormatPr defaultRowHeight="15" x14ac:dyDescent="0.25"/>
  <sheetData>
    <row r="1" spans="1:1" x14ac:dyDescent="0.25">
      <c r="A1" t="s">
        <v>254</v>
      </c>
    </row>
    <row r="2" spans="1:1" x14ac:dyDescent="0.25">
      <c r="A2" t="s">
        <v>2550</v>
      </c>
    </row>
    <row r="3" spans="1:1" x14ac:dyDescent="0.25">
      <c r="A3" t="s">
        <v>2551</v>
      </c>
    </row>
    <row r="5" spans="1:1" x14ac:dyDescent="0.25">
      <c r="A5" t="s">
        <v>2552</v>
      </c>
    </row>
    <row r="6" spans="1:1" x14ac:dyDescent="0.25">
      <c r="A6" t="s">
        <v>2553</v>
      </c>
    </row>
    <row r="8" spans="1:1" x14ac:dyDescent="0.25">
      <c r="A8" t="s">
        <v>258</v>
      </c>
    </row>
    <row r="10" spans="1:1" x14ac:dyDescent="0.25">
      <c r="A10" t="s">
        <v>2554</v>
      </c>
    </row>
    <row r="11" spans="1:1" x14ac:dyDescent="0.25">
      <c r="A11" t="s">
        <v>572</v>
      </c>
    </row>
    <row r="12" spans="1:1" x14ac:dyDescent="0.25">
      <c r="A12" t="s">
        <v>2555</v>
      </c>
    </row>
    <row r="13" spans="1:1" x14ac:dyDescent="0.25">
      <c r="A13" t="s">
        <v>2556</v>
      </c>
    </row>
    <row r="14" spans="1:1" x14ac:dyDescent="0.25">
      <c r="A14" t="s">
        <v>2557</v>
      </c>
    </row>
    <row r="15" spans="1:1" x14ac:dyDescent="0.25">
      <c r="A15" t="s">
        <v>895</v>
      </c>
    </row>
    <row r="16" spans="1:1" x14ac:dyDescent="0.25">
      <c r="A16" t="s">
        <v>2558</v>
      </c>
    </row>
    <row r="17" spans="1:3" x14ac:dyDescent="0.25">
      <c r="A17" t="s">
        <v>2559</v>
      </c>
    </row>
    <row r="18" spans="1:3" x14ac:dyDescent="0.25">
      <c r="A18" t="s">
        <v>2560</v>
      </c>
    </row>
    <row r="19" spans="1:3" x14ac:dyDescent="0.25">
      <c r="A19" t="s">
        <v>1101</v>
      </c>
    </row>
    <row r="20" spans="1:3" x14ac:dyDescent="0.25">
      <c r="B20" t="s">
        <v>2561</v>
      </c>
    </row>
    <row r="21" spans="1:3" x14ac:dyDescent="0.25">
      <c r="A21" t="s">
        <v>2562</v>
      </c>
    </row>
    <row r="22" spans="1:3" x14ac:dyDescent="0.25">
      <c r="B22" t="s">
        <v>2563</v>
      </c>
    </row>
    <row r="23" spans="1:3" x14ac:dyDescent="0.25">
      <c r="A23" t="s">
        <v>706</v>
      </c>
    </row>
    <row r="24" spans="1:3" x14ac:dyDescent="0.25">
      <c r="A24" t="s">
        <v>697</v>
      </c>
    </row>
    <row r="25" spans="1:3" x14ac:dyDescent="0.25">
      <c r="B25" t="s">
        <v>572</v>
      </c>
    </row>
    <row r="26" spans="1:3" x14ac:dyDescent="0.25">
      <c r="B26" t="s">
        <v>1523</v>
      </c>
    </row>
    <row r="27" spans="1:3" x14ac:dyDescent="0.25">
      <c r="B27" t="s">
        <v>2564</v>
      </c>
    </row>
    <row r="28" spans="1:3" x14ac:dyDescent="0.25">
      <c r="B28" t="s">
        <v>2565</v>
      </c>
    </row>
    <row r="29" spans="1:3" x14ac:dyDescent="0.25">
      <c r="B29" t="s">
        <v>2566</v>
      </c>
    </row>
    <row r="30" spans="1:3" x14ac:dyDescent="0.25">
      <c r="B30" t="s">
        <v>975</v>
      </c>
    </row>
    <row r="31" spans="1:3" x14ac:dyDescent="0.25">
      <c r="C31" t="s">
        <v>2567</v>
      </c>
    </row>
    <row r="32" spans="1:3" x14ac:dyDescent="0.25">
      <c r="B32" t="s">
        <v>2568</v>
      </c>
    </row>
    <row r="33" spans="1:2" x14ac:dyDescent="0.25">
      <c r="A33" t="s">
        <v>2569</v>
      </c>
    </row>
    <row r="34" spans="1:2" x14ac:dyDescent="0.25">
      <c r="B34" t="s">
        <v>2570</v>
      </c>
    </row>
    <row r="35" spans="1:2" x14ac:dyDescent="0.25">
      <c r="A35" t="s">
        <v>2571</v>
      </c>
    </row>
    <row r="36" spans="1:2" x14ac:dyDescent="0.25">
      <c r="B36" t="s">
        <v>2572</v>
      </c>
    </row>
    <row r="37" spans="1:2" x14ac:dyDescent="0.25">
      <c r="B37" t="s">
        <v>2573</v>
      </c>
    </row>
    <row r="38" spans="1:2" x14ac:dyDescent="0.25">
      <c r="A38" t="s">
        <v>2574</v>
      </c>
    </row>
    <row r="40" spans="1:2" x14ac:dyDescent="0.25">
      <c r="A40" t="s">
        <v>572</v>
      </c>
    </row>
    <row r="41" spans="1:2" x14ac:dyDescent="0.25">
      <c r="A41" t="s">
        <v>646</v>
      </c>
    </row>
    <row r="42" spans="1:2" x14ac:dyDescent="0.25">
      <c r="A42" t="s">
        <v>2575</v>
      </c>
    </row>
    <row r="43" spans="1:2" x14ac:dyDescent="0.25">
      <c r="A43" t="s">
        <v>2576</v>
      </c>
    </row>
    <row r="45" spans="1:2" x14ac:dyDescent="0.25">
      <c r="A45" t="s">
        <v>794</v>
      </c>
    </row>
    <row r="46" spans="1:2" x14ac:dyDescent="0.25">
      <c r="A46" t="s">
        <v>2577</v>
      </c>
    </row>
    <row r="47" spans="1:2" x14ac:dyDescent="0.25">
      <c r="A47" t="s">
        <v>2578</v>
      </c>
    </row>
    <row r="48" spans="1:2" x14ac:dyDescent="0.25">
      <c r="B48" t="s">
        <v>2579</v>
      </c>
    </row>
    <row r="49" spans="1:2" x14ac:dyDescent="0.25">
      <c r="A49" t="s">
        <v>2580</v>
      </c>
    </row>
    <row r="51" spans="1:2" x14ac:dyDescent="0.25">
      <c r="A51" t="s">
        <v>794</v>
      </c>
    </row>
    <row r="52" spans="1:2" x14ac:dyDescent="0.25">
      <c r="A52" t="s">
        <v>2577</v>
      </c>
    </row>
    <row r="53" spans="1:2" x14ac:dyDescent="0.25">
      <c r="A53" t="s">
        <v>2578</v>
      </c>
    </row>
    <row r="54" spans="1:2" x14ac:dyDescent="0.25">
      <c r="B54" t="s">
        <v>2581</v>
      </c>
    </row>
    <row r="55" spans="1:2" x14ac:dyDescent="0.25">
      <c r="A55" t="s">
        <v>2582</v>
      </c>
    </row>
    <row r="58" spans="1:2" x14ac:dyDescent="0.25">
      <c r="A58" t="s">
        <v>254</v>
      </c>
    </row>
    <row r="59" spans="1:2" x14ac:dyDescent="0.25">
      <c r="A59" t="s">
        <v>2583</v>
      </c>
    </row>
    <row r="60" spans="1:2" x14ac:dyDescent="0.25">
      <c r="A60" t="s">
        <v>258</v>
      </c>
    </row>
    <row r="61" spans="1:2" x14ac:dyDescent="0.25">
      <c r="A61" t="s">
        <v>2584</v>
      </c>
    </row>
    <row r="62" spans="1:2" x14ac:dyDescent="0.25">
      <c r="A62" t="s">
        <v>2585</v>
      </c>
    </row>
    <row r="63" spans="1:2" x14ac:dyDescent="0.25">
      <c r="A63" t="e">
        <f>--SELECT</f>
        <v>#NAME?</v>
      </c>
    </row>
    <row r="64" spans="1:2" x14ac:dyDescent="0.25">
      <c r="A64" t="e">
        <f>--p.PartyID</f>
        <v>#NAME?</v>
      </c>
    </row>
    <row r="65" spans="1:1" x14ac:dyDescent="0.25">
      <c r="A65" t="s">
        <v>2586</v>
      </c>
    </row>
    <row r="66" spans="1:1" x14ac:dyDescent="0.25">
      <c r="A66" t="s">
        <v>2587</v>
      </c>
    </row>
    <row r="67" spans="1:1" x14ac:dyDescent="0.25">
      <c r="A67" t="s">
        <v>2588</v>
      </c>
    </row>
    <row r="68" spans="1:1" x14ac:dyDescent="0.25">
      <c r="A68" t="s">
        <v>2589</v>
      </c>
    </row>
    <row r="69" spans="1:1" x14ac:dyDescent="0.25">
      <c r="A69" t="s">
        <v>2590</v>
      </c>
    </row>
    <row r="70" spans="1:1" x14ac:dyDescent="0.25">
      <c r="A70" t="s">
        <v>2591</v>
      </c>
    </row>
    <row r="71" spans="1:1" x14ac:dyDescent="0.25">
      <c r="A71" t="s">
        <v>2592</v>
      </c>
    </row>
    <row r="72" spans="1:1" x14ac:dyDescent="0.25">
      <c r="A72" t="s">
        <v>2593</v>
      </c>
    </row>
    <row r="73" spans="1:1" x14ac:dyDescent="0.25">
      <c r="A73" t="s">
        <v>2594</v>
      </c>
    </row>
    <row r="74" spans="1:1" x14ac:dyDescent="0.25">
      <c r="A74" t="s">
        <v>2595</v>
      </c>
    </row>
    <row r="75" spans="1:1" x14ac:dyDescent="0.25">
      <c r="A75" t="s">
        <v>2596</v>
      </c>
    </row>
    <row r="76" spans="1:1" x14ac:dyDescent="0.25">
      <c r="A76" t="s">
        <v>2597</v>
      </c>
    </row>
    <row r="77" spans="1:1" x14ac:dyDescent="0.25">
      <c r="A77" t="s">
        <v>2598</v>
      </c>
    </row>
    <row r="78" spans="1:1" x14ac:dyDescent="0.25">
      <c r="A78" t="s">
        <v>2599</v>
      </c>
    </row>
    <row r="79" spans="1:1" x14ac:dyDescent="0.25">
      <c r="A79" t="s">
        <v>2600</v>
      </c>
    </row>
    <row r="80" spans="1:1" x14ac:dyDescent="0.25">
      <c r="A80" t="s">
        <v>2601</v>
      </c>
    </row>
    <row r="81" spans="1:2" x14ac:dyDescent="0.25">
      <c r="A81" t="s">
        <v>2602</v>
      </c>
    </row>
    <row r="82" spans="1:2" x14ac:dyDescent="0.25">
      <c r="A82" t="s">
        <v>2603</v>
      </c>
    </row>
    <row r="83" spans="1:2" x14ac:dyDescent="0.25">
      <c r="A83" t="s">
        <v>2604</v>
      </c>
    </row>
    <row r="84" spans="1:2" x14ac:dyDescent="0.25">
      <c r="A84" t="e">
        <f>--INTO Bug1986_CreateSubmitRosters</f>
        <v>#NAME?</v>
      </c>
    </row>
    <row r="85" spans="1:2" x14ac:dyDescent="0.25">
      <c r="A85" t="e">
        <f>--FROM provider p</f>
        <v>#NAME?</v>
      </c>
    </row>
    <row r="86" spans="1:2" x14ac:dyDescent="0.25">
      <c r="A86" t="e">
        <f>--JOIN status s</f>
        <v>#NAME?</v>
      </c>
    </row>
    <row r="87" spans="1:2" x14ac:dyDescent="0.25">
      <c r="A87" t="s">
        <v>247</v>
      </c>
      <c r="B87" t="s">
        <v>2605</v>
      </c>
    </row>
    <row r="88" spans="1:2" x14ac:dyDescent="0.25">
      <c r="A88" t="e">
        <f>--WHERE p.PartyTypeID = 15 -- Person</f>
        <v>#NAME?</v>
      </c>
    </row>
    <row r="89" spans="1:2" x14ac:dyDescent="0.25">
      <c r="A89" t="s">
        <v>247</v>
      </c>
      <c r="B89" t="s">
        <v>2606</v>
      </c>
    </row>
    <row r="91" spans="1:2" x14ac:dyDescent="0.25">
      <c r="A91" t="e">
        <f>---- Add Return Roster Id</f>
        <v>#NAME?</v>
      </c>
    </row>
    <row r="92" spans="1:2" x14ac:dyDescent="0.25">
      <c r="A92" t="e">
        <f>--UPDATE Bug1986_CreateSubmitRosters</f>
        <v>#NAME?</v>
      </c>
    </row>
    <row r="93" spans="1:2" x14ac:dyDescent="0.25">
      <c r="A93" t="e">
        <f>--Set ReturnRosterId = rrf.RETURN_ROSTER_PK</f>
        <v>#NAME?</v>
      </c>
    </row>
    <row r="94" spans="1:2" x14ac:dyDescent="0.25">
      <c r="A94" t="e">
        <f>--FROM Bug1986_CreateSubmitRosters p</f>
        <v>#NAME?</v>
      </c>
    </row>
    <row r="95" spans="1:2" x14ac:dyDescent="0.25">
      <c r="A95" t="e">
        <f>--JOIN RETURN_ROSTER_FILE rrf</f>
        <v>#NAME?</v>
      </c>
    </row>
    <row r="96" spans="1:2" x14ac:dyDescent="0.25">
      <c r="A96" t="s">
        <v>247</v>
      </c>
      <c r="B96" t="s">
        <v>2607</v>
      </c>
    </row>
    <row r="98" spans="1:2" x14ac:dyDescent="0.25">
      <c r="A98" t="e">
        <f>---- SELECT * FROM Bug1986_CreateSubmitRosters WHERE ReturnRosterId is NULL</f>
        <v>#NAME?</v>
      </c>
    </row>
    <row r="100" spans="1:2" x14ac:dyDescent="0.25">
      <c r="A100" t="e">
        <f>--UPDATE Bug1986_CreateSubmitRosters</f>
        <v>#NAME?</v>
      </c>
    </row>
    <row r="101" spans="1:2" x14ac:dyDescent="0.25">
      <c r="A101" t="s">
        <v>2608</v>
      </c>
    </row>
    <row r="102" spans="1:2" x14ac:dyDescent="0.25">
      <c r="A102" t="s">
        <v>2609</v>
      </c>
    </row>
    <row r="103" spans="1:2" x14ac:dyDescent="0.25">
      <c r="A103" t="e">
        <f>--FROM Bug1986_CreateSubmitRosters p</f>
        <v>#NAME?</v>
      </c>
    </row>
    <row r="104" spans="1:2" x14ac:dyDescent="0.25">
      <c r="A104" t="e">
        <f>--JOIN SUBMIT_ROSTER_ONLINE_FORM srof</f>
        <v>#NAME?</v>
      </c>
    </row>
    <row r="105" spans="1:2" x14ac:dyDescent="0.25">
      <c r="A105" t="s">
        <v>247</v>
      </c>
      <c r="B105" t="s">
        <v>2610</v>
      </c>
    </row>
    <row r="106" spans="1:2" x14ac:dyDescent="0.25">
      <c r="A106" t="e">
        <f>--WHERE p.MatchStep is NULL</f>
        <v>#NAME?</v>
      </c>
    </row>
    <row r="108" spans="1:2" x14ac:dyDescent="0.25">
      <c r="A108" t="e">
        <f>--UPDATE Bug1986_CreateSubmitRosters</f>
        <v>#NAME?</v>
      </c>
    </row>
    <row r="109" spans="1:2" x14ac:dyDescent="0.25">
      <c r="A109" t="s">
        <v>2611</v>
      </c>
    </row>
    <row r="110" spans="1:2" x14ac:dyDescent="0.25">
      <c r="A110" t="s">
        <v>2609</v>
      </c>
    </row>
    <row r="111" spans="1:2" x14ac:dyDescent="0.25">
      <c r="A111" t="e">
        <f>--FROM Bug1986_CreateSubmitRosters p</f>
        <v>#NAME?</v>
      </c>
    </row>
    <row r="112" spans="1:2" x14ac:dyDescent="0.25">
      <c r="A112" t="e">
        <f>--JOIN SUBMIT_ROSTER_ONLINE_FORM srof</f>
        <v>#NAME?</v>
      </c>
    </row>
    <row r="113" spans="1:2" x14ac:dyDescent="0.25">
      <c r="A113" t="s">
        <v>247</v>
      </c>
      <c r="B113" t="s">
        <v>2612</v>
      </c>
    </row>
    <row r="114" spans="1:2" x14ac:dyDescent="0.25">
      <c r="A114" t="e">
        <f>--WHERE p.MatchStep is NULL</f>
        <v>#NAME?</v>
      </c>
    </row>
    <row r="116" spans="1:2" x14ac:dyDescent="0.25">
      <c r="A116" t="e">
        <f>--UPDATE Bug1986_CreateSubmitRosters</f>
        <v>#NAME?</v>
      </c>
    </row>
    <row r="117" spans="1:2" x14ac:dyDescent="0.25">
      <c r="A117" t="s">
        <v>2613</v>
      </c>
    </row>
    <row r="118" spans="1:2" x14ac:dyDescent="0.25">
      <c r="A118" t="s">
        <v>2609</v>
      </c>
    </row>
    <row r="119" spans="1:2" x14ac:dyDescent="0.25">
      <c r="A119" t="e">
        <f>--FROM Bug1986_CreateSubmitRosters p</f>
        <v>#NAME?</v>
      </c>
    </row>
    <row r="120" spans="1:2" x14ac:dyDescent="0.25">
      <c r="A120" t="e">
        <f>--JOIN SUBMIT_ROSTER_ONLINE_FORM srof</f>
        <v>#NAME?</v>
      </c>
    </row>
    <row r="121" spans="1:2" x14ac:dyDescent="0.25">
      <c r="A121" t="s">
        <v>247</v>
      </c>
      <c r="B121" t="s">
        <v>2614</v>
      </c>
    </row>
    <row r="122" spans="1:2" x14ac:dyDescent="0.25">
      <c r="A122" t="e">
        <f>--WHERE p.MatchStep is NULL</f>
        <v>#NAME?</v>
      </c>
    </row>
    <row r="124" spans="1:2" x14ac:dyDescent="0.25">
      <c r="A124" t="e">
        <f>--UPDATE Bug1986_CreateSubmitRosters</f>
        <v>#NAME?</v>
      </c>
    </row>
    <row r="125" spans="1:2" x14ac:dyDescent="0.25">
      <c r="A125" t="s">
        <v>2615</v>
      </c>
    </row>
    <row r="126" spans="1:2" x14ac:dyDescent="0.25">
      <c r="A126" t="s">
        <v>2609</v>
      </c>
    </row>
    <row r="127" spans="1:2" x14ac:dyDescent="0.25">
      <c r="A127" t="e">
        <f>--FROM Bug1986_CreateSubmitRosters p</f>
        <v>#NAME?</v>
      </c>
    </row>
    <row r="128" spans="1:2" x14ac:dyDescent="0.25">
      <c r="A128" t="e">
        <f>--JOIN SUBMIT_ROSTER_ONLINE_FORM srof</f>
        <v>#NAME?</v>
      </c>
    </row>
    <row r="129" spans="1:2" x14ac:dyDescent="0.25">
      <c r="A129" t="s">
        <v>247</v>
      </c>
      <c r="B129" t="s">
        <v>2616</v>
      </c>
    </row>
    <row r="130" spans="1:2" x14ac:dyDescent="0.25">
      <c r="A130" t="s">
        <v>247</v>
      </c>
      <c r="B130" t="s">
        <v>2617</v>
      </c>
    </row>
    <row r="131" spans="1:2" x14ac:dyDescent="0.25">
      <c r="A131" t="e">
        <f>--WHERE p.MatchStep is NULL</f>
        <v>#NAME?</v>
      </c>
    </row>
    <row r="133" spans="1:2" x14ac:dyDescent="0.25">
      <c r="A133" t="e">
        <f>--UPDATE Bug1986_CreateSubmitRosters</f>
        <v>#NAME?</v>
      </c>
    </row>
    <row r="134" spans="1:2" x14ac:dyDescent="0.25">
      <c r="A134" t="s">
        <v>2618</v>
      </c>
    </row>
    <row r="135" spans="1:2" x14ac:dyDescent="0.25">
      <c r="A135" t="s">
        <v>2609</v>
      </c>
    </row>
    <row r="136" spans="1:2" x14ac:dyDescent="0.25">
      <c r="A136" t="e">
        <f>--FROM SUBMIT_ROSTER_ONLINE_FORM srof</f>
        <v>#NAME?</v>
      </c>
    </row>
    <row r="137" spans="1:2" x14ac:dyDescent="0.25">
      <c r="A137" t="e">
        <f>--JOIN RETURN_ROSTER_FILE rrf</f>
        <v>#NAME?</v>
      </c>
    </row>
    <row r="138" spans="1:2" x14ac:dyDescent="0.25">
      <c r="A138" t="s">
        <v>247</v>
      </c>
      <c r="B138" t="s">
        <v>2619</v>
      </c>
    </row>
    <row r="139" spans="1:2" x14ac:dyDescent="0.25">
      <c r="A139" t="e">
        <f>--JOIN Bug1986_CreateSubmitRosters p</f>
        <v>#NAME?</v>
      </c>
    </row>
    <row r="140" spans="1:2" x14ac:dyDescent="0.25">
      <c r="A140" t="s">
        <v>247</v>
      </c>
      <c r="B140" t="s">
        <v>2620</v>
      </c>
    </row>
    <row r="141" spans="1:2" x14ac:dyDescent="0.25">
      <c r="A141" t="e">
        <f>--WHERE p.MatchStep is NULL</f>
        <v>#NAME?</v>
      </c>
    </row>
    <row r="142" spans="1:2" x14ac:dyDescent="0.25">
      <c r="A142" t="s">
        <v>247</v>
      </c>
      <c r="B142" t="s">
        <v>2621</v>
      </c>
    </row>
    <row r="144" spans="1:2" x14ac:dyDescent="0.25">
      <c r="A144" t="e">
        <f>-- create UPDATE SQL to UPDATE the status view for the following providers</f>
        <v>#NAME?</v>
      </c>
    </row>
    <row r="145" spans="1:2" x14ac:dyDescent="0.25">
      <c r="A145" t="s">
        <v>572</v>
      </c>
    </row>
    <row r="146" spans="1:2" x14ac:dyDescent="0.25">
      <c r="A146" t="s">
        <v>2622</v>
      </c>
    </row>
    <row r="147" spans="1:2" x14ac:dyDescent="0.25">
      <c r="A147" t="s">
        <v>2623</v>
      </c>
    </row>
    <row r="148" spans="1:2" x14ac:dyDescent="0.25">
      <c r="A148" t="s">
        <v>2624</v>
      </c>
    </row>
    <row r="149" spans="1:2" x14ac:dyDescent="0.25">
      <c r="A149" t="s">
        <v>2625</v>
      </c>
    </row>
    <row r="150" spans="1:2" x14ac:dyDescent="0.25">
      <c r="A150" t="s">
        <v>2626</v>
      </c>
    </row>
    <row r="151" spans="1:2" x14ac:dyDescent="0.25">
      <c r="A151" t="s">
        <v>2627</v>
      </c>
    </row>
    <row r="152" spans="1:2" x14ac:dyDescent="0.25">
      <c r="A152" t="s">
        <v>2628</v>
      </c>
    </row>
    <row r="153" spans="1:2" x14ac:dyDescent="0.25">
      <c r="A153" t="s">
        <v>2629</v>
      </c>
    </row>
    <row r="154" spans="1:2" x14ac:dyDescent="0.25">
      <c r="A154" t="s">
        <v>2630</v>
      </c>
    </row>
    <row r="155" spans="1:2" x14ac:dyDescent="0.25">
      <c r="A155" t="s">
        <v>2631</v>
      </c>
    </row>
    <row r="156" spans="1:2" x14ac:dyDescent="0.25">
      <c r="A156" t="s">
        <v>2632</v>
      </c>
    </row>
    <row r="157" spans="1:2" x14ac:dyDescent="0.25">
      <c r="A157" t="s">
        <v>2560</v>
      </c>
    </row>
    <row r="158" spans="1:2" x14ac:dyDescent="0.25">
      <c r="A158" t="s">
        <v>2633</v>
      </c>
    </row>
    <row r="159" spans="1:2" x14ac:dyDescent="0.25">
      <c r="B159" t="s">
        <v>2634</v>
      </c>
    </row>
    <row r="160" spans="1:2" x14ac:dyDescent="0.25">
      <c r="A160" t="s">
        <v>2635</v>
      </c>
    </row>
    <row r="161" spans="1:2" x14ac:dyDescent="0.25">
      <c r="B161" t="s">
        <v>2636</v>
      </c>
    </row>
    <row r="162" spans="1:2" x14ac:dyDescent="0.25">
      <c r="A162" t="s">
        <v>2637</v>
      </c>
    </row>
    <row r="163" spans="1:2" x14ac:dyDescent="0.25">
      <c r="B163" t="s">
        <v>2638</v>
      </c>
    </row>
    <row r="164" spans="1:2" x14ac:dyDescent="0.25">
      <c r="B164" t="s">
        <v>2639</v>
      </c>
    </row>
    <row r="166" spans="1:2" x14ac:dyDescent="0.25">
      <c r="A166" t="s">
        <v>254</v>
      </c>
    </row>
    <row r="167" spans="1:2" x14ac:dyDescent="0.25">
      <c r="A167" t="s">
        <v>2640</v>
      </c>
    </row>
    <row r="168" spans="1:2" x14ac:dyDescent="0.25">
      <c r="A168" t="s">
        <v>2641</v>
      </c>
    </row>
    <row r="169" spans="1:2" x14ac:dyDescent="0.25">
      <c r="A169" t="s">
        <v>2642</v>
      </c>
    </row>
    <row r="170" spans="1:2" x14ac:dyDescent="0.25">
      <c r="B170" t="s">
        <v>2643</v>
      </c>
    </row>
    <row r="171" spans="1:2" x14ac:dyDescent="0.25">
      <c r="B171" t="s">
        <v>2644</v>
      </c>
    </row>
    <row r="172" spans="1:2" x14ac:dyDescent="0.25">
      <c r="A172" t="s">
        <v>2645</v>
      </c>
    </row>
    <row r="173" spans="1:2" x14ac:dyDescent="0.25">
      <c r="B173" t="s">
        <v>2646</v>
      </c>
    </row>
    <row r="174" spans="1:2" x14ac:dyDescent="0.25">
      <c r="B174" t="s">
        <v>2647</v>
      </c>
    </row>
    <row r="175" spans="1:2" x14ac:dyDescent="0.25">
      <c r="A175" t="s">
        <v>2648</v>
      </c>
    </row>
    <row r="176" spans="1:2" x14ac:dyDescent="0.25">
      <c r="A176" t="s">
        <v>2649</v>
      </c>
    </row>
    <row r="177" spans="1:2" x14ac:dyDescent="0.25">
      <c r="A177" t="s">
        <v>258</v>
      </c>
    </row>
    <row r="179" spans="1:2" x14ac:dyDescent="0.25">
      <c r="A179" t="s">
        <v>254</v>
      </c>
    </row>
    <row r="180" spans="1:2" x14ac:dyDescent="0.25">
      <c r="B180" t="s">
        <v>2650</v>
      </c>
    </row>
    <row r="181" spans="1:2" x14ac:dyDescent="0.25">
      <c r="B181" t="e">
        <f ca="1" xml:space="preserve"> dbo.fn_GetOnlyAlphaNumericValues(CONVERT(varchar(10),srof.BIRTHDATE,10),1,1)</f>
        <v>#NAME?</v>
      </c>
    </row>
    <row r="182" spans="1:2" x14ac:dyDescent="0.25">
      <c r="A182" t="s">
        <v>258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C28" sqref="C28"/>
    </sheetView>
  </sheetViews>
  <sheetFormatPr defaultRowHeight="15" x14ac:dyDescent="0.25"/>
  <cols>
    <col min="1" max="1" width="16" bestFit="1" customWidth="1"/>
    <col min="2" max="2" width="46.28515625" bestFit="1" customWidth="1"/>
  </cols>
  <sheetData>
    <row r="1" spans="1:5" x14ac:dyDescent="0.25">
      <c r="A1" s="10" t="s">
        <v>180</v>
      </c>
      <c r="B1" s="10" t="s">
        <v>181</v>
      </c>
      <c r="C1" s="10"/>
      <c r="D1" s="10"/>
      <c r="E1" s="10"/>
    </row>
    <row r="2" spans="1:5" x14ac:dyDescent="0.25">
      <c r="A2" t="s">
        <v>182</v>
      </c>
      <c r="B2" t="s">
        <v>449</v>
      </c>
    </row>
    <row r="5" spans="1:5" x14ac:dyDescent="0.25">
      <c r="A5" s="10" t="s">
        <v>185</v>
      </c>
      <c r="B5" s="10" t="s">
        <v>186</v>
      </c>
      <c r="C5" s="10"/>
      <c r="D5" s="10"/>
      <c r="E5" s="10"/>
    </row>
    <row r="16" spans="1:5" x14ac:dyDescent="0.25">
      <c r="A16" t="s">
        <v>244</v>
      </c>
    </row>
    <row r="17" spans="1:1" x14ac:dyDescent="0.25">
      <c r="A17" t="s">
        <v>450</v>
      </c>
    </row>
    <row r="19" spans="1:1" x14ac:dyDescent="0.25">
      <c r="A19" s="23" t="s">
        <v>451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3"/>
  <sheetViews>
    <sheetView workbookViewId="0">
      <selection sqref="A1:C223"/>
    </sheetView>
  </sheetViews>
  <sheetFormatPr defaultRowHeight="15" x14ac:dyDescent="0.25"/>
  <sheetData>
    <row r="1" spans="1:1" x14ac:dyDescent="0.25">
      <c r="A1" t="s">
        <v>244</v>
      </c>
    </row>
    <row r="2" spans="1:1" x14ac:dyDescent="0.25">
      <c r="A2" t="s">
        <v>1006</v>
      </c>
    </row>
    <row r="4" spans="1:1" x14ac:dyDescent="0.25">
      <c r="A4" t="s">
        <v>1007</v>
      </c>
    </row>
    <row r="5" spans="1:1" x14ac:dyDescent="0.25">
      <c r="A5" t="s">
        <v>244</v>
      </c>
    </row>
    <row r="6" spans="1:1" x14ac:dyDescent="0.25">
      <c r="A6" t="s">
        <v>734</v>
      </c>
    </row>
    <row r="7" spans="1:1" x14ac:dyDescent="0.25">
      <c r="A7" t="s">
        <v>1008</v>
      </c>
    </row>
    <row r="9" spans="1:1" x14ac:dyDescent="0.25">
      <c r="A9" t="s">
        <v>572</v>
      </c>
    </row>
    <row r="10" spans="1:1" x14ac:dyDescent="0.25">
      <c r="A10" t="s">
        <v>573</v>
      </c>
    </row>
    <row r="11" spans="1:1" x14ac:dyDescent="0.25">
      <c r="A11" t="s">
        <v>1009</v>
      </c>
    </row>
    <row r="12" spans="1:1" x14ac:dyDescent="0.25">
      <c r="A12" t="s">
        <v>1010</v>
      </c>
    </row>
    <row r="13" spans="1:1" x14ac:dyDescent="0.25">
      <c r="A13" t="s">
        <v>1011</v>
      </c>
    </row>
    <row r="14" spans="1:1" x14ac:dyDescent="0.25">
      <c r="A14" t="s">
        <v>1012</v>
      </c>
    </row>
    <row r="15" spans="1:1" x14ac:dyDescent="0.25">
      <c r="A15" t="s">
        <v>1013</v>
      </c>
    </row>
    <row r="16" spans="1:1" x14ac:dyDescent="0.25">
      <c r="A16" t="s">
        <v>533</v>
      </c>
    </row>
    <row r="17" spans="1:2" x14ac:dyDescent="0.25">
      <c r="A17" t="s">
        <v>1014</v>
      </c>
    </row>
    <row r="19" spans="1:2" x14ac:dyDescent="0.25">
      <c r="A19" t="s">
        <v>572</v>
      </c>
    </row>
    <row r="20" spans="1:2" x14ac:dyDescent="0.25">
      <c r="A20" t="s">
        <v>426</v>
      </c>
    </row>
    <row r="21" spans="1:2" x14ac:dyDescent="0.25">
      <c r="A21" t="s">
        <v>1015</v>
      </c>
    </row>
    <row r="22" spans="1:2" x14ac:dyDescent="0.25">
      <c r="A22" t="s">
        <v>1016</v>
      </c>
    </row>
    <row r="23" spans="1:2" x14ac:dyDescent="0.25">
      <c r="A23" t="s">
        <v>1017</v>
      </c>
    </row>
    <row r="24" spans="1:2" x14ac:dyDescent="0.25">
      <c r="A24" t="s">
        <v>1018</v>
      </c>
    </row>
    <row r="25" spans="1:2" x14ac:dyDescent="0.25">
      <c r="A25" t="s">
        <v>1019</v>
      </c>
    </row>
    <row r="26" spans="1:2" x14ac:dyDescent="0.25">
      <c r="A26" t="s">
        <v>1020</v>
      </c>
    </row>
    <row r="27" spans="1:2" x14ac:dyDescent="0.25">
      <c r="A27" t="s">
        <v>1021</v>
      </c>
    </row>
    <row r="28" spans="1:2" x14ac:dyDescent="0.25">
      <c r="A28" t="s">
        <v>580</v>
      </c>
    </row>
    <row r="29" spans="1:2" x14ac:dyDescent="0.25">
      <c r="A29" t="s">
        <v>1022</v>
      </c>
      <c r="B29">
        <f>-- 1865</f>
        <v>1865</v>
      </c>
    </row>
    <row r="31" spans="1:2" x14ac:dyDescent="0.25">
      <c r="A31" t="s">
        <v>244</v>
      </c>
    </row>
    <row r="32" spans="1:2" x14ac:dyDescent="0.25">
      <c r="A32" t="s">
        <v>734</v>
      </c>
    </row>
    <row r="33" spans="1:2" x14ac:dyDescent="0.25">
      <c r="A33" t="s">
        <v>1023</v>
      </c>
    </row>
    <row r="35" spans="1:2" x14ac:dyDescent="0.25">
      <c r="A35" t="s">
        <v>244</v>
      </c>
    </row>
    <row r="36" spans="1:2" x14ac:dyDescent="0.25">
      <c r="A36" t="s">
        <v>669</v>
      </c>
    </row>
    <row r="37" spans="1:2" x14ac:dyDescent="0.25">
      <c r="A37" t="s">
        <v>1024</v>
      </c>
    </row>
    <row r="38" spans="1:2" x14ac:dyDescent="0.25">
      <c r="B38" t="s">
        <v>1025</v>
      </c>
    </row>
    <row r="39" spans="1:2" x14ac:dyDescent="0.25">
      <c r="B39" t="s">
        <v>1026</v>
      </c>
    </row>
    <row r="41" spans="1:2" x14ac:dyDescent="0.25">
      <c r="A41">
        <f>-- 91216</f>
        <v>91216</v>
      </c>
      <c r="B41">
        <v>35438</v>
      </c>
    </row>
    <row r="43" spans="1:2" x14ac:dyDescent="0.25">
      <c r="A43" t="s">
        <v>607</v>
      </c>
    </row>
    <row r="44" spans="1:2" x14ac:dyDescent="0.25">
      <c r="A44" t="s">
        <v>759</v>
      </c>
    </row>
    <row r="46" spans="1:2" x14ac:dyDescent="0.25">
      <c r="A46" t="s">
        <v>1027</v>
      </c>
    </row>
    <row r="47" spans="1:2" x14ac:dyDescent="0.25">
      <c r="A47" t="s">
        <v>1028</v>
      </c>
    </row>
    <row r="48" spans="1:2" x14ac:dyDescent="0.25">
      <c r="A48" t="s">
        <v>1029</v>
      </c>
    </row>
    <row r="49" spans="1:2" x14ac:dyDescent="0.25">
      <c r="A49" t="s">
        <v>1030</v>
      </c>
    </row>
    <row r="50" spans="1:2" x14ac:dyDescent="0.25">
      <c r="B50" t="s">
        <v>1031</v>
      </c>
    </row>
    <row r="51" spans="1:2" x14ac:dyDescent="0.25">
      <c r="B51" t="s">
        <v>1032</v>
      </c>
    </row>
    <row r="52" spans="1:2" x14ac:dyDescent="0.25">
      <c r="B52" t="s">
        <v>1033</v>
      </c>
    </row>
    <row r="53" spans="1:2" x14ac:dyDescent="0.25">
      <c r="B53" t="s">
        <v>1034</v>
      </c>
    </row>
    <row r="54" spans="1:2" x14ac:dyDescent="0.25">
      <c r="B54" t="s">
        <v>1035</v>
      </c>
    </row>
    <row r="55" spans="1:2" x14ac:dyDescent="0.25">
      <c r="B55" t="s">
        <v>1036</v>
      </c>
    </row>
    <row r="56" spans="1:2" x14ac:dyDescent="0.25">
      <c r="B56" t="s">
        <v>1037</v>
      </c>
    </row>
    <row r="57" spans="1:2" x14ac:dyDescent="0.25">
      <c r="A57" t="s">
        <v>1030</v>
      </c>
    </row>
    <row r="58" spans="1:2" x14ac:dyDescent="0.25">
      <c r="B58" t="s">
        <v>1031</v>
      </c>
    </row>
    <row r="59" spans="1:2" x14ac:dyDescent="0.25">
      <c r="B59" t="s">
        <v>1032</v>
      </c>
    </row>
    <row r="60" spans="1:2" x14ac:dyDescent="0.25">
      <c r="B60" t="s">
        <v>1038</v>
      </c>
    </row>
    <row r="61" spans="1:2" x14ac:dyDescent="0.25">
      <c r="B61" t="s">
        <v>1034</v>
      </c>
    </row>
    <row r="62" spans="1:2" x14ac:dyDescent="0.25">
      <c r="B62" t="s">
        <v>1039</v>
      </c>
    </row>
    <row r="63" spans="1:2" x14ac:dyDescent="0.25">
      <c r="B63" t="s">
        <v>1036</v>
      </c>
    </row>
    <row r="64" spans="1:2" x14ac:dyDescent="0.25">
      <c r="B64" t="s">
        <v>1037</v>
      </c>
    </row>
    <row r="66" spans="1:1" x14ac:dyDescent="0.25">
      <c r="A66" t="s">
        <v>244</v>
      </c>
    </row>
    <row r="67" spans="1:1" x14ac:dyDescent="0.25">
      <c r="A67" t="s">
        <v>734</v>
      </c>
    </row>
    <row r="68" spans="1:1" x14ac:dyDescent="0.25">
      <c r="A68" t="s">
        <v>1040</v>
      </c>
    </row>
    <row r="70" spans="1:1" x14ac:dyDescent="0.25">
      <c r="A70" t="s">
        <v>572</v>
      </c>
    </row>
    <row r="71" spans="1:1" x14ac:dyDescent="0.25">
      <c r="A71" t="s">
        <v>1041</v>
      </c>
    </row>
    <row r="72" spans="1:1" x14ac:dyDescent="0.25">
      <c r="A72" t="s">
        <v>533</v>
      </c>
    </row>
    <row r="73" spans="1:1" x14ac:dyDescent="0.25">
      <c r="A73" t="s">
        <v>1042</v>
      </c>
    </row>
    <row r="76" spans="1:1" x14ac:dyDescent="0.25">
      <c r="A76" t="s">
        <v>572</v>
      </c>
    </row>
    <row r="77" spans="1:1" x14ac:dyDescent="0.25">
      <c r="A77" t="s">
        <v>1043</v>
      </c>
    </row>
    <row r="78" spans="1:1" x14ac:dyDescent="0.25">
      <c r="A78" t="s">
        <v>842</v>
      </c>
    </row>
    <row r="79" spans="1:1" x14ac:dyDescent="0.25">
      <c r="A79" t="s">
        <v>897</v>
      </c>
    </row>
    <row r="80" spans="1:1" x14ac:dyDescent="0.25">
      <c r="A80" t="s">
        <v>898</v>
      </c>
    </row>
    <row r="81" spans="1:1" x14ac:dyDescent="0.25">
      <c r="A81" t="s">
        <v>899</v>
      </c>
    </row>
    <row r="82" spans="1:1" x14ac:dyDescent="0.25">
      <c r="A82" t="s">
        <v>1044</v>
      </c>
    </row>
    <row r="83" spans="1:1" x14ac:dyDescent="0.25">
      <c r="A83" t="s">
        <v>1045</v>
      </c>
    </row>
    <row r="84" spans="1:1" x14ac:dyDescent="0.25">
      <c r="A84" t="s">
        <v>1046</v>
      </c>
    </row>
    <row r="87" spans="1:1" x14ac:dyDescent="0.25">
      <c r="A87" t="s">
        <v>572</v>
      </c>
    </row>
    <row r="88" spans="1:1" x14ac:dyDescent="0.25">
      <c r="A88" t="s">
        <v>1047</v>
      </c>
    </row>
    <row r="89" spans="1:1" x14ac:dyDescent="0.25">
      <c r="A89" t="s">
        <v>898</v>
      </c>
    </row>
    <row r="90" spans="1:1" x14ac:dyDescent="0.25">
      <c r="A90" t="s">
        <v>897</v>
      </c>
    </row>
    <row r="91" spans="1:1" x14ac:dyDescent="0.25">
      <c r="A91" t="s">
        <v>899</v>
      </c>
    </row>
    <row r="92" spans="1:1" x14ac:dyDescent="0.25">
      <c r="A92" t="s">
        <v>1048</v>
      </c>
    </row>
    <row r="93" spans="1:1" x14ac:dyDescent="0.25">
      <c r="A93" t="s">
        <v>836</v>
      </c>
    </row>
    <row r="94" spans="1:1" x14ac:dyDescent="0.25">
      <c r="A94" t="s">
        <v>1044</v>
      </c>
    </row>
    <row r="95" spans="1:1" x14ac:dyDescent="0.25">
      <c r="A95" t="s">
        <v>696</v>
      </c>
    </row>
    <row r="96" spans="1:1" x14ac:dyDescent="0.25">
      <c r="A96" t="s">
        <v>697</v>
      </c>
    </row>
    <row r="97" spans="1:2" x14ac:dyDescent="0.25">
      <c r="B97" t="s">
        <v>538</v>
      </c>
    </row>
    <row r="98" spans="1:2" x14ac:dyDescent="0.25">
      <c r="B98" t="s">
        <v>390</v>
      </c>
    </row>
    <row r="99" spans="1:2" x14ac:dyDescent="0.25">
      <c r="B99" t="s">
        <v>1049</v>
      </c>
    </row>
    <row r="100" spans="1:2" x14ac:dyDescent="0.25">
      <c r="B100" t="s">
        <v>580</v>
      </c>
    </row>
    <row r="101" spans="1:2" x14ac:dyDescent="0.25">
      <c r="B101" t="s">
        <v>1050</v>
      </c>
    </row>
    <row r="102" spans="1:2" x14ac:dyDescent="0.25">
      <c r="A102" t="s">
        <v>1051</v>
      </c>
    </row>
    <row r="103" spans="1:2" x14ac:dyDescent="0.25">
      <c r="B103" t="s">
        <v>1052</v>
      </c>
    </row>
    <row r="104" spans="1:2" x14ac:dyDescent="0.25">
      <c r="A104" t="s">
        <v>696</v>
      </c>
    </row>
    <row r="105" spans="1:2" x14ac:dyDescent="0.25">
      <c r="A105" t="s">
        <v>697</v>
      </c>
    </row>
    <row r="106" spans="1:2" x14ac:dyDescent="0.25">
      <c r="B106" t="s">
        <v>538</v>
      </c>
    </row>
    <row r="107" spans="1:2" x14ac:dyDescent="0.25">
      <c r="B107" t="s">
        <v>429</v>
      </c>
    </row>
    <row r="108" spans="1:2" x14ac:dyDescent="0.25">
      <c r="B108" t="s">
        <v>1053</v>
      </c>
    </row>
    <row r="109" spans="1:2" x14ac:dyDescent="0.25">
      <c r="B109" t="s">
        <v>580</v>
      </c>
    </row>
    <row r="110" spans="1:2" x14ac:dyDescent="0.25">
      <c r="A110" t="s">
        <v>845</v>
      </c>
    </row>
    <row r="111" spans="1:2" x14ac:dyDescent="0.25">
      <c r="B111" t="s">
        <v>1054</v>
      </c>
    </row>
    <row r="112" spans="1:2" x14ac:dyDescent="0.25">
      <c r="A112" t="s">
        <v>696</v>
      </c>
    </row>
    <row r="113" spans="1:2" x14ac:dyDescent="0.25">
      <c r="A113" t="s">
        <v>697</v>
      </c>
    </row>
    <row r="114" spans="1:2" x14ac:dyDescent="0.25">
      <c r="B114" t="s">
        <v>572</v>
      </c>
    </row>
    <row r="115" spans="1:2" x14ac:dyDescent="0.25">
      <c r="B115" t="s">
        <v>390</v>
      </c>
    </row>
    <row r="116" spans="1:2" x14ac:dyDescent="0.25">
      <c r="B116" t="s">
        <v>1055</v>
      </c>
    </row>
    <row r="117" spans="1:2" x14ac:dyDescent="0.25">
      <c r="B117" t="s">
        <v>1056</v>
      </c>
    </row>
    <row r="118" spans="1:2" x14ac:dyDescent="0.25">
      <c r="A118" t="s">
        <v>1057</v>
      </c>
    </row>
    <row r="119" spans="1:2" x14ac:dyDescent="0.25">
      <c r="B119" t="s">
        <v>1058</v>
      </c>
    </row>
    <row r="120" spans="1:2" x14ac:dyDescent="0.25">
      <c r="A120" t="s">
        <v>1059</v>
      </c>
    </row>
    <row r="123" spans="1:2" x14ac:dyDescent="0.25">
      <c r="A123" t="s">
        <v>572</v>
      </c>
    </row>
    <row r="124" spans="1:2" x14ac:dyDescent="0.25">
      <c r="A124" t="s">
        <v>1060</v>
      </c>
    </row>
    <row r="125" spans="1:2" x14ac:dyDescent="0.25">
      <c r="A125" t="s">
        <v>1061</v>
      </c>
    </row>
    <row r="126" spans="1:2" x14ac:dyDescent="0.25">
      <c r="A126" t="s">
        <v>834</v>
      </c>
    </row>
    <row r="127" spans="1:2" x14ac:dyDescent="0.25">
      <c r="A127" t="s">
        <v>835</v>
      </c>
    </row>
    <row r="128" spans="1:2" x14ac:dyDescent="0.25">
      <c r="A128" t="s">
        <v>836</v>
      </c>
    </row>
    <row r="129" spans="1:2" x14ac:dyDescent="0.25">
      <c r="A129" t="s">
        <v>873</v>
      </c>
    </row>
    <row r="130" spans="1:2" x14ac:dyDescent="0.25">
      <c r="A130" t="s">
        <v>874</v>
      </c>
    </row>
    <row r="131" spans="1:2" x14ac:dyDescent="0.25">
      <c r="B131" t="s">
        <v>875</v>
      </c>
    </row>
    <row r="132" spans="1:2" x14ac:dyDescent="0.25">
      <c r="A132" t="s">
        <v>1062</v>
      </c>
    </row>
    <row r="134" spans="1:2" x14ac:dyDescent="0.25">
      <c r="A134" t="s">
        <v>1063</v>
      </c>
    </row>
    <row r="135" spans="1:2" x14ac:dyDescent="0.25">
      <c r="A135" t="s">
        <v>244</v>
      </c>
    </row>
    <row r="136" spans="1:2" x14ac:dyDescent="0.25">
      <c r="A136" t="s">
        <v>734</v>
      </c>
    </row>
    <row r="137" spans="1:2" x14ac:dyDescent="0.25">
      <c r="A137" t="s">
        <v>1064</v>
      </c>
    </row>
    <row r="138" spans="1:2" x14ac:dyDescent="0.25">
      <c r="B138" t="s">
        <v>1065</v>
      </c>
    </row>
    <row r="139" spans="1:2" x14ac:dyDescent="0.25">
      <c r="A139" t="s">
        <v>1066</v>
      </c>
    </row>
    <row r="141" spans="1:2" x14ac:dyDescent="0.25">
      <c r="A141" t="s">
        <v>572</v>
      </c>
    </row>
    <row r="142" spans="1:2" x14ac:dyDescent="0.25">
      <c r="A142" t="s">
        <v>1067</v>
      </c>
    </row>
    <row r="143" spans="1:2" x14ac:dyDescent="0.25">
      <c r="A143" t="s">
        <v>1015</v>
      </c>
    </row>
    <row r="144" spans="1:2" x14ac:dyDescent="0.25">
      <c r="A144" t="s">
        <v>1020</v>
      </c>
    </row>
    <row r="145" spans="1:2" x14ac:dyDescent="0.25">
      <c r="A145" t="s">
        <v>665</v>
      </c>
    </row>
    <row r="146" spans="1:2" x14ac:dyDescent="0.25">
      <c r="A146" t="s">
        <v>734</v>
      </c>
    </row>
    <row r="147" spans="1:2" x14ac:dyDescent="0.25">
      <c r="A147" t="s">
        <v>16</v>
      </c>
    </row>
    <row r="148" spans="1:2" x14ac:dyDescent="0.25">
      <c r="A148" t="e">
        <f>-- PARTY_ID = 108969</f>
        <v>#NAME?</v>
      </c>
    </row>
    <row r="149" spans="1:2" x14ac:dyDescent="0.25">
      <c r="A149" t="s">
        <v>247</v>
      </c>
      <c r="B149" t="s">
        <v>1065</v>
      </c>
    </row>
    <row r="150" spans="1:2" x14ac:dyDescent="0.25">
      <c r="B150" t="s">
        <v>1068</v>
      </c>
    </row>
    <row r="151" spans="1:2" x14ac:dyDescent="0.25">
      <c r="A151" t="s">
        <v>644</v>
      </c>
    </row>
    <row r="152" spans="1:2" x14ac:dyDescent="0.25">
      <c r="A152" t="s">
        <v>1067</v>
      </c>
    </row>
    <row r="153" spans="1:2" x14ac:dyDescent="0.25">
      <c r="A153" t="s">
        <v>1015</v>
      </c>
    </row>
    <row r="154" spans="1:2" x14ac:dyDescent="0.25">
      <c r="A154" t="s">
        <v>1020</v>
      </c>
    </row>
    <row r="155" spans="1:2" x14ac:dyDescent="0.25">
      <c r="A155" t="s">
        <v>447</v>
      </c>
    </row>
    <row r="160" spans="1:2" x14ac:dyDescent="0.25">
      <c r="A160" t="s">
        <v>572</v>
      </c>
    </row>
    <row r="161" spans="1:2" x14ac:dyDescent="0.25">
      <c r="A161" t="s">
        <v>1060</v>
      </c>
    </row>
    <row r="162" spans="1:2" x14ac:dyDescent="0.25">
      <c r="A162" t="s">
        <v>1069</v>
      </c>
    </row>
    <row r="163" spans="1:2" x14ac:dyDescent="0.25">
      <c r="A163" t="s">
        <v>1070</v>
      </c>
    </row>
    <row r="164" spans="1:2" x14ac:dyDescent="0.25">
      <c r="A164" t="s">
        <v>618</v>
      </c>
    </row>
    <row r="165" spans="1:2" x14ac:dyDescent="0.25">
      <c r="A165" t="s">
        <v>1061</v>
      </c>
    </row>
    <row r="166" spans="1:2" x14ac:dyDescent="0.25">
      <c r="A166" t="s">
        <v>834</v>
      </c>
    </row>
    <row r="167" spans="1:2" x14ac:dyDescent="0.25">
      <c r="A167" t="s">
        <v>835</v>
      </c>
    </row>
    <row r="168" spans="1:2" x14ac:dyDescent="0.25">
      <c r="A168" t="s">
        <v>836</v>
      </c>
    </row>
    <row r="169" spans="1:2" x14ac:dyDescent="0.25">
      <c r="A169" t="s">
        <v>873</v>
      </c>
    </row>
    <row r="170" spans="1:2" x14ac:dyDescent="0.25">
      <c r="A170" t="s">
        <v>874</v>
      </c>
    </row>
    <row r="171" spans="1:2" x14ac:dyDescent="0.25">
      <c r="B171" t="s">
        <v>875</v>
      </c>
    </row>
    <row r="173" spans="1:2" x14ac:dyDescent="0.25">
      <c r="A173" t="s">
        <v>244</v>
      </c>
    </row>
    <row r="174" spans="1:2" x14ac:dyDescent="0.25">
      <c r="A174" t="s">
        <v>873</v>
      </c>
    </row>
    <row r="175" spans="1:2" x14ac:dyDescent="0.25">
      <c r="A175" t="s">
        <v>1071</v>
      </c>
    </row>
    <row r="177" spans="1:1" x14ac:dyDescent="0.25">
      <c r="A177" t="s">
        <v>645</v>
      </c>
    </row>
    <row r="178" spans="1:1" x14ac:dyDescent="0.25">
      <c r="A178" t="s">
        <v>646</v>
      </c>
    </row>
    <row r="179" spans="1:1" x14ac:dyDescent="0.25">
      <c r="A179" t="s">
        <v>245</v>
      </c>
    </row>
    <row r="180" spans="1:1" x14ac:dyDescent="0.25">
      <c r="A180" t="s">
        <v>1072</v>
      </c>
    </row>
    <row r="181" spans="1:1" x14ac:dyDescent="0.25">
      <c r="A181" t="s">
        <v>1073</v>
      </c>
    </row>
    <row r="182" spans="1:1" x14ac:dyDescent="0.25">
      <c r="A182" t="s">
        <v>1074</v>
      </c>
    </row>
    <row r="184" spans="1:1" x14ac:dyDescent="0.25">
      <c r="A184" t="s">
        <v>244</v>
      </c>
    </row>
    <row r="185" spans="1:1" x14ac:dyDescent="0.25">
      <c r="A185" t="s">
        <v>1075</v>
      </c>
    </row>
    <row r="186" spans="1:1" x14ac:dyDescent="0.25">
      <c r="A186" t="s">
        <v>1076</v>
      </c>
    </row>
    <row r="188" spans="1:1" x14ac:dyDescent="0.25">
      <c r="A188" t="s">
        <v>244</v>
      </c>
    </row>
    <row r="189" spans="1:1" x14ac:dyDescent="0.25">
      <c r="A189" t="s">
        <v>734</v>
      </c>
    </row>
    <row r="190" spans="1:1" x14ac:dyDescent="0.25">
      <c r="A190" t="e">
        <f>-- WHERE TRANSACTION_QUEUE_ID &gt; 627</f>
        <v>#NAME?</v>
      </c>
    </row>
    <row r="191" spans="1:1" x14ac:dyDescent="0.25">
      <c r="A191" t="s">
        <v>1077</v>
      </c>
    </row>
    <row r="192" spans="1:1" x14ac:dyDescent="0.25">
      <c r="A192" t="s">
        <v>1066</v>
      </c>
    </row>
    <row r="194" spans="1:1" x14ac:dyDescent="0.25">
      <c r="A194" t="s">
        <v>244</v>
      </c>
    </row>
    <row r="195" spans="1:1" x14ac:dyDescent="0.25">
      <c r="A195" t="s">
        <v>734</v>
      </c>
    </row>
    <row r="196" spans="1:1" x14ac:dyDescent="0.25">
      <c r="A196" t="s">
        <v>1078</v>
      </c>
    </row>
    <row r="198" spans="1:1" x14ac:dyDescent="0.25">
      <c r="A198" t="s">
        <v>538</v>
      </c>
    </row>
    <row r="199" spans="1:1" x14ac:dyDescent="0.25">
      <c r="A199" t="s">
        <v>536</v>
      </c>
    </row>
    <row r="200" spans="1:1" x14ac:dyDescent="0.25">
      <c r="A200" t="s">
        <v>1079</v>
      </c>
    </row>
    <row r="201" spans="1:1" x14ac:dyDescent="0.25">
      <c r="A201" t="s">
        <v>1012</v>
      </c>
    </row>
    <row r="202" spans="1:1" x14ac:dyDescent="0.25">
      <c r="A202" t="s">
        <v>1010</v>
      </c>
    </row>
    <row r="203" spans="1:1" x14ac:dyDescent="0.25">
      <c r="A203" t="s">
        <v>533</v>
      </c>
    </row>
    <row r="204" spans="1:1" x14ac:dyDescent="0.25">
      <c r="A204" t="s">
        <v>1080</v>
      </c>
    </row>
    <row r="206" spans="1:1" x14ac:dyDescent="0.25">
      <c r="A206" t="s">
        <v>538</v>
      </c>
    </row>
    <row r="207" spans="1:1" x14ac:dyDescent="0.25">
      <c r="A207" t="s">
        <v>646</v>
      </c>
    </row>
    <row r="208" spans="1:1" x14ac:dyDescent="0.25">
      <c r="A208" t="s">
        <v>1081</v>
      </c>
    </row>
    <row r="209" spans="1:2" x14ac:dyDescent="0.25">
      <c r="A209" t="s">
        <v>1082</v>
      </c>
    </row>
    <row r="211" spans="1:2" x14ac:dyDescent="0.25">
      <c r="A211" t="s">
        <v>572</v>
      </c>
    </row>
    <row r="212" spans="1:2" x14ac:dyDescent="0.25">
      <c r="A212" t="s">
        <v>390</v>
      </c>
    </row>
    <row r="213" spans="1:2" x14ac:dyDescent="0.25">
      <c r="A213" t="s">
        <v>665</v>
      </c>
    </row>
    <row r="214" spans="1:2" x14ac:dyDescent="0.25">
      <c r="A214" t="s">
        <v>1083</v>
      </c>
    </row>
    <row r="215" spans="1:2" x14ac:dyDescent="0.25">
      <c r="A215" t="s">
        <v>1081</v>
      </c>
    </row>
    <row r="216" spans="1:2" x14ac:dyDescent="0.25">
      <c r="A216" t="s">
        <v>644</v>
      </c>
    </row>
    <row r="217" spans="1:2" x14ac:dyDescent="0.25">
      <c r="A217" t="s">
        <v>390</v>
      </c>
    </row>
    <row r="218" spans="1:2" x14ac:dyDescent="0.25">
      <c r="A218" t="s">
        <v>447</v>
      </c>
    </row>
    <row r="220" spans="1:2" x14ac:dyDescent="0.25">
      <c r="A220" t="s">
        <v>244</v>
      </c>
    </row>
    <row r="221" spans="1:2" x14ac:dyDescent="0.25">
      <c r="A221" t="s">
        <v>1044</v>
      </c>
    </row>
    <row r="222" spans="1:2" x14ac:dyDescent="0.25">
      <c r="A222" t="s">
        <v>1084</v>
      </c>
    </row>
    <row r="223" spans="1:2" x14ac:dyDescent="0.25">
      <c r="B223" t="s">
        <v>1085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sqref="A1:XFD7"/>
    </sheetView>
  </sheetViews>
  <sheetFormatPr defaultColWidth="9.28515625" defaultRowHeight="15" x14ac:dyDescent="0.25"/>
  <cols>
    <col min="1" max="1" width="16" bestFit="1" customWidth="1"/>
    <col min="2" max="2" width="44.28515625" customWidth="1"/>
    <col min="3" max="3" width="99.85546875" customWidth="1"/>
  </cols>
  <sheetData>
    <row r="1" spans="1:3" x14ac:dyDescent="0.25">
      <c r="A1" s="10" t="s">
        <v>180</v>
      </c>
      <c r="B1" s="10" t="s">
        <v>181</v>
      </c>
      <c r="C1" s="10" t="s">
        <v>497</v>
      </c>
    </row>
    <row r="2" spans="1:3" x14ac:dyDescent="0.25">
      <c r="A2" t="s">
        <v>496</v>
      </c>
      <c r="B2" t="s">
        <v>494</v>
      </c>
    </row>
    <row r="3" spans="1:3" x14ac:dyDescent="0.25">
      <c r="A3" t="s">
        <v>496</v>
      </c>
      <c r="B3" t="s">
        <v>500</v>
      </c>
    </row>
    <row r="5" spans="1:3" x14ac:dyDescent="0.25">
      <c r="A5" s="10" t="s">
        <v>185</v>
      </c>
      <c r="B5" s="10" t="s">
        <v>186</v>
      </c>
    </row>
    <row r="6" spans="1:3" x14ac:dyDescent="0.25">
      <c r="A6" t="s">
        <v>496</v>
      </c>
      <c r="B6" t="s">
        <v>495</v>
      </c>
      <c r="C6" t="s">
        <v>499</v>
      </c>
    </row>
    <row r="7" spans="1:3" x14ac:dyDescent="0.25">
      <c r="A7" t="s">
        <v>496</v>
      </c>
      <c r="B7" t="s">
        <v>498</v>
      </c>
      <c r="C7" t="s">
        <v>499</v>
      </c>
    </row>
  </sheetData>
  <pageMargins left="0.7" right="0.7" top="0.75" bottom="0.75" header="0.3" footer="0.3"/>
  <pageSetup orientation="portrait" horizontalDpi="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C57"/>
  <sheetViews>
    <sheetView workbookViewId="0">
      <selection activeCell="A30" sqref="A30:C57"/>
    </sheetView>
  </sheetViews>
  <sheetFormatPr defaultRowHeight="15" x14ac:dyDescent="0.25"/>
  <sheetData>
    <row r="7" spans="1:1" s="10" customFormat="1" x14ac:dyDescent="0.25">
      <c r="A7" s="10" t="s">
        <v>452</v>
      </c>
    </row>
    <row r="8" spans="1:1" x14ac:dyDescent="0.25">
      <c r="A8" t="s">
        <v>465</v>
      </c>
    </row>
    <row r="9" spans="1:1" x14ac:dyDescent="0.25">
      <c r="A9" t="s">
        <v>453</v>
      </c>
    </row>
    <row r="10" spans="1:1" x14ac:dyDescent="0.25">
      <c r="A10" t="s">
        <v>454</v>
      </c>
    </row>
    <row r="11" spans="1:1" x14ac:dyDescent="0.25">
      <c r="A11" t="s">
        <v>455</v>
      </c>
    </row>
    <row r="12" spans="1:1" x14ac:dyDescent="0.25">
      <c r="A12" t="s">
        <v>456</v>
      </c>
    </row>
    <row r="13" spans="1:1" x14ac:dyDescent="0.25">
      <c r="A13" t="s">
        <v>457</v>
      </c>
    </row>
    <row r="14" spans="1:1" x14ac:dyDescent="0.25">
      <c r="A14" t="s">
        <v>458</v>
      </c>
    </row>
    <row r="15" spans="1:1" x14ac:dyDescent="0.25">
      <c r="A15" t="s">
        <v>459</v>
      </c>
    </row>
    <row r="16" spans="1:1" x14ac:dyDescent="0.25">
      <c r="A16" t="s">
        <v>464</v>
      </c>
    </row>
    <row r="17" spans="1:1" x14ac:dyDescent="0.25">
      <c r="A17" t="s">
        <v>460</v>
      </c>
    </row>
    <row r="19" spans="1:1" x14ac:dyDescent="0.25">
      <c r="A19" t="s">
        <v>466</v>
      </c>
    </row>
    <row r="20" spans="1:1" x14ac:dyDescent="0.25">
      <c r="A20" t="s">
        <v>453</v>
      </c>
    </row>
    <row r="21" spans="1:1" x14ac:dyDescent="0.25">
      <c r="A21" t="s">
        <v>454</v>
      </c>
    </row>
    <row r="22" spans="1:1" x14ac:dyDescent="0.25">
      <c r="A22" t="s">
        <v>455</v>
      </c>
    </row>
    <row r="23" spans="1:1" x14ac:dyDescent="0.25">
      <c r="A23" t="s">
        <v>456</v>
      </c>
    </row>
    <row r="24" spans="1:1" x14ac:dyDescent="0.25">
      <c r="A24" t="s">
        <v>457</v>
      </c>
    </row>
    <row r="25" spans="1:1" x14ac:dyDescent="0.25">
      <c r="A25" t="s">
        <v>458</v>
      </c>
    </row>
    <row r="26" spans="1:1" x14ac:dyDescent="0.25">
      <c r="A26" t="s">
        <v>461</v>
      </c>
    </row>
    <row r="27" spans="1:1" x14ac:dyDescent="0.25">
      <c r="A27" t="s">
        <v>462</v>
      </c>
    </row>
    <row r="28" spans="1:1" x14ac:dyDescent="0.25">
      <c r="A28" t="s">
        <v>463</v>
      </c>
    </row>
    <row r="30" spans="1:1" x14ac:dyDescent="0.25">
      <c r="A30" t="s">
        <v>467</v>
      </c>
    </row>
    <row r="31" spans="1:1" x14ac:dyDescent="0.25">
      <c r="A31" t="s">
        <v>468</v>
      </c>
    </row>
    <row r="32" spans="1:1" x14ac:dyDescent="0.25">
      <c r="A32" t="s">
        <v>469</v>
      </c>
    </row>
    <row r="33" spans="1:3" x14ac:dyDescent="0.25">
      <c r="A33" t="s">
        <v>470</v>
      </c>
    </row>
    <row r="34" spans="1:3" x14ac:dyDescent="0.25">
      <c r="A34" t="s">
        <v>471</v>
      </c>
    </row>
    <row r="35" spans="1:3" x14ac:dyDescent="0.25">
      <c r="A35" t="s">
        <v>472</v>
      </c>
    </row>
    <row r="36" spans="1:3" x14ac:dyDescent="0.25">
      <c r="A36" t="s">
        <v>473</v>
      </c>
    </row>
    <row r="37" spans="1:3" x14ac:dyDescent="0.25">
      <c r="A37" t="s">
        <v>474</v>
      </c>
    </row>
    <row r="38" spans="1:3" x14ac:dyDescent="0.25">
      <c r="A38" t="s">
        <v>475</v>
      </c>
    </row>
    <row r="39" spans="1:3" x14ac:dyDescent="0.25">
      <c r="A39" t="s">
        <v>476</v>
      </c>
    </row>
    <row r="40" spans="1:3" x14ac:dyDescent="0.25">
      <c r="A40" t="s">
        <v>477</v>
      </c>
    </row>
    <row r="41" spans="1:3" x14ac:dyDescent="0.25">
      <c r="A41" t="s">
        <v>478</v>
      </c>
    </row>
    <row r="42" spans="1:3" x14ac:dyDescent="0.25">
      <c r="B42" t="s">
        <v>479</v>
      </c>
    </row>
    <row r="43" spans="1:3" x14ac:dyDescent="0.25">
      <c r="B43" t="s">
        <v>480</v>
      </c>
    </row>
    <row r="44" spans="1:3" x14ac:dyDescent="0.25">
      <c r="B44" t="s">
        <v>481</v>
      </c>
    </row>
    <row r="45" spans="1:3" x14ac:dyDescent="0.25">
      <c r="C45" t="s">
        <v>482</v>
      </c>
    </row>
    <row r="46" spans="1:3" x14ac:dyDescent="0.25">
      <c r="B46" t="s">
        <v>483</v>
      </c>
    </row>
    <row r="47" spans="1:3" x14ac:dyDescent="0.25">
      <c r="A47" t="s">
        <v>484</v>
      </c>
    </row>
    <row r="48" spans="1:3" x14ac:dyDescent="0.25">
      <c r="A48" t="s">
        <v>456</v>
      </c>
    </row>
    <row r="49" spans="1:2" x14ac:dyDescent="0.25">
      <c r="B49" t="s">
        <v>485</v>
      </c>
    </row>
    <row r="50" spans="1:2" x14ac:dyDescent="0.25">
      <c r="B50" t="s">
        <v>486</v>
      </c>
    </row>
    <row r="51" spans="1:2" x14ac:dyDescent="0.25">
      <c r="B51" t="s">
        <v>487</v>
      </c>
    </row>
    <row r="52" spans="1:2" x14ac:dyDescent="0.25">
      <c r="A52" t="s">
        <v>488</v>
      </c>
    </row>
    <row r="53" spans="1:2" x14ac:dyDescent="0.25">
      <c r="A53" t="s">
        <v>489</v>
      </c>
    </row>
    <row r="54" spans="1:2" x14ac:dyDescent="0.25">
      <c r="A54" t="s">
        <v>490</v>
      </c>
    </row>
    <row r="55" spans="1:2" x14ac:dyDescent="0.25">
      <c r="A55" t="s">
        <v>491</v>
      </c>
    </row>
    <row r="56" spans="1:2" x14ac:dyDescent="0.25">
      <c r="A56" t="s">
        <v>492</v>
      </c>
    </row>
    <row r="57" spans="1:2" x14ac:dyDescent="0.25">
      <c r="A57" t="s">
        <v>493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B2" sqref="B2"/>
    </sheetView>
  </sheetViews>
  <sheetFormatPr defaultRowHeight="15" x14ac:dyDescent="0.25"/>
  <cols>
    <col min="1" max="2" width="39.85546875" bestFit="1" customWidth="1"/>
    <col min="3" max="3" width="91" customWidth="1"/>
  </cols>
  <sheetData>
    <row r="1" spans="1:3" x14ac:dyDescent="0.25">
      <c r="A1" s="10" t="s">
        <v>180</v>
      </c>
      <c r="B1" s="10" t="s">
        <v>181</v>
      </c>
      <c r="C1" s="10" t="s">
        <v>497</v>
      </c>
    </row>
    <row r="2" spans="1:3" x14ac:dyDescent="0.25">
      <c r="A2" t="s">
        <v>182</v>
      </c>
      <c r="B2" t="s">
        <v>156</v>
      </c>
    </row>
    <row r="3" spans="1:3" x14ac:dyDescent="0.25">
      <c r="B3" t="s">
        <v>147</v>
      </c>
    </row>
    <row r="5" spans="1:3" x14ac:dyDescent="0.25">
      <c r="A5" s="10" t="s">
        <v>185</v>
      </c>
      <c r="B5" s="10" t="s">
        <v>186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workbookViewId="0">
      <selection activeCell="E14" sqref="E14"/>
    </sheetView>
  </sheetViews>
  <sheetFormatPr defaultRowHeight="15" x14ac:dyDescent="0.25"/>
  <sheetData>
    <row r="1" spans="1:6" x14ac:dyDescent="0.25">
      <c r="A1" t="s">
        <v>254</v>
      </c>
    </row>
    <row r="2" spans="1:6" x14ac:dyDescent="0.25">
      <c r="A2" t="s">
        <v>531</v>
      </c>
    </row>
    <row r="3" spans="1:6" x14ac:dyDescent="0.25">
      <c r="A3" t="s">
        <v>244</v>
      </c>
    </row>
    <row r="4" spans="1:6" x14ac:dyDescent="0.25">
      <c r="A4" t="s">
        <v>532</v>
      </c>
    </row>
    <row r="5" spans="1:6" x14ac:dyDescent="0.25">
      <c r="A5" t="s">
        <v>533</v>
      </c>
    </row>
    <row r="6" spans="1:6" x14ac:dyDescent="0.25">
      <c r="A6" t="s">
        <v>534</v>
      </c>
    </row>
    <row r="7" spans="1:6" x14ac:dyDescent="0.25">
      <c r="A7" t="s">
        <v>258</v>
      </c>
    </row>
    <row r="8" spans="1:6" x14ac:dyDescent="0.25">
      <c r="A8" t="s">
        <v>254</v>
      </c>
    </row>
    <row r="9" spans="1:6" x14ac:dyDescent="0.25">
      <c r="A9" t="s">
        <v>535</v>
      </c>
    </row>
    <row r="10" spans="1:6" x14ac:dyDescent="0.25">
      <c r="A10" t="s">
        <v>536</v>
      </c>
      <c r="B10" t="s">
        <v>537</v>
      </c>
    </row>
    <row r="11" spans="1:6" x14ac:dyDescent="0.25">
      <c r="A11">
        <v>25241</v>
      </c>
      <c r="E11">
        <v>81891</v>
      </c>
      <c r="F11">
        <v>12185461</v>
      </c>
    </row>
    <row r="12" spans="1:6" x14ac:dyDescent="0.25">
      <c r="A12" t="s">
        <v>258</v>
      </c>
    </row>
    <row r="13" spans="1:6" x14ac:dyDescent="0.25">
      <c r="A13" t="s">
        <v>538</v>
      </c>
    </row>
    <row r="14" spans="1:6" x14ac:dyDescent="0.25">
      <c r="A14" t="s">
        <v>539</v>
      </c>
    </row>
    <row r="15" spans="1:6" x14ac:dyDescent="0.25">
      <c r="A15" t="s">
        <v>540</v>
      </c>
    </row>
    <row r="16" spans="1:6" x14ac:dyDescent="0.25">
      <c r="A16" t="s">
        <v>541</v>
      </c>
    </row>
    <row r="17" spans="1:2" x14ac:dyDescent="0.25">
      <c r="A17" t="s">
        <v>542</v>
      </c>
    </row>
    <row r="18" spans="1:2" x14ac:dyDescent="0.25">
      <c r="A18" t="s">
        <v>543</v>
      </c>
    </row>
    <row r="19" spans="1:2" x14ac:dyDescent="0.25">
      <c r="A19" t="s">
        <v>544</v>
      </c>
    </row>
    <row r="20" spans="1:2" x14ac:dyDescent="0.25">
      <c r="A20" t="s">
        <v>545</v>
      </c>
    </row>
    <row r="21" spans="1:2" x14ac:dyDescent="0.25">
      <c r="A21" t="s">
        <v>546</v>
      </c>
    </row>
    <row r="22" spans="1:2" x14ac:dyDescent="0.25">
      <c r="A22" t="s">
        <v>547</v>
      </c>
    </row>
    <row r="23" spans="1:2" x14ac:dyDescent="0.25">
      <c r="A23" t="s">
        <v>548</v>
      </c>
    </row>
    <row r="24" spans="1:2" x14ac:dyDescent="0.25">
      <c r="A24" t="s">
        <v>549</v>
      </c>
    </row>
    <row r="25" spans="1:2" x14ac:dyDescent="0.25">
      <c r="A25" t="s">
        <v>550</v>
      </c>
    </row>
    <row r="26" spans="1:2" x14ac:dyDescent="0.25">
      <c r="A26" t="s">
        <v>228</v>
      </c>
    </row>
    <row r="27" spans="1:2" x14ac:dyDescent="0.25">
      <c r="A27" t="s">
        <v>244</v>
      </c>
    </row>
    <row r="28" spans="1:2" x14ac:dyDescent="0.25">
      <c r="A28" t="s">
        <v>533</v>
      </c>
    </row>
    <row r="29" spans="1:2" x14ac:dyDescent="0.25">
      <c r="A29" t="s">
        <v>551</v>
      </c>
      <c r="B29" t="s">
        <v>552</v>
      </c>
    </row>
    <row r="31" spans="1:2" x14ac:dyDescent="0.25">
      <c r="A31" t="s">
        <v>553</v>
      </c>
    </row>
    <row r="32" spans="1:2" x14ac:dyDescent="0.25">
      <c r="A32" t="s">
        <v>554</v>
      </c>
    </row>
    <row r="33" spans="1:2" x14ac:dyDescent="0.25">
      <c r="A33" t="s">
        <v>555</v>
      </c>
    </row>
    <row r="34" spans="1:2" x14ac:dyDescent="0.25">
      <c r="B34" t="s">
        <v>556</v>
      </c>
    </row>
    <row r="35" spans="1:2" x14ac:dyDescent="0.25">
      <c r="A35" t="s">
        <v>557</v>
      </c>
    </row>
    <row r="37" spans="1:2" x14ac:dyDescent="0.25">
      <c r="A37" t="s">
        <v>558</v>
      </c>
    </row>
    <row r="38" spans="1:2" x14ac:dyDescent="0.25">
      <c r="A38" t="s">
        <v>559</v>
      </c>
    </row>
    <row r="39" spans="1:2" x14ac:dyDescent="0.25">
      <c r="A39" t="s">
        <v>560</v>
      </c>
    </row>
    <row r="40" spans="1:2" x14ac:dyDescent="0.25">
      <c r="A40" t="e">
        <f>-- WHERE tpx.CAQH_PRACTICE_ID = 19588</f>
        <v>#NAME?</v>
      </c>
    </row>
    <row r="41" spans="1:2" x14ac:dyDescent="0.25">
      <c r="A41" t="s">
        <v>561</v>
      </c>
    </row>
    <row r="43" spans="1:2" x14ac:dyDescent="0.25">
      <c r="A43" t="s">
        <v>244</v>
      </c>
    </row>
    <row r="44" spans="1:2" x14ac:dyDescent="0.25">
      <c r="A44" t="s">
        <v>562</v>
      </c>
    </row>
    <row r="45" spans="1:2" x14ac:dyDescent="0.25">
      <c r="A45" t="s">
        <v>563</v>
      </c>
    </row>
    <row r="47" spans="1:2" x14ac:dyDescent="0.25">
      <c r="A47" t="s">
        <v>244</v>
      </c>
    </row>
    <row r="48" spans="1:2" x14ac:dyDescent="0.25">
      <c r="A48" t="s">
        <v>562</v>
      </c>
    </row>
    <row r="49" spans="1:1" x14ac:dyDescent="0.25">
      <c r="A49" t="s">
        <v>563</v>
      </c>
    </row>
    <row r="53" spans="1:1" x14ac:dyDescent="0.25">
      <c r="A53" t="s">
        <v>564</v>
      </c>
    </row>
    <row r="55" spans="1:1" x14ac:dyDescent="0.25">
      <c r="A55" t="s">
        <v>244</v>
      </c>
    </row>
    <row r="56" spans="1:1" x14ac:dyDescent="0.25">
      <c r="A56" t="s">
        <v>565</v>
      </c>
    </row>
    <row r="57" spans="1:1" x14ac:dyDescent="0.25">
      <c r="A57" t="s">
        <v>566</v>
      </c>
    </row>
    <row r="59" spans="1:1" x14ac:dyDescent="0.25">
      <c r="A59" t="s">
        <v>244</v>
      </c>
    </row>
    <row r="60" spans="1:1" x14ac:dyDescent="0.25">
      <c r="A60" t="s">
        <v>245</v>
      </c>
    </row>
    <row r="61" spans="1:1" x14ac:dyDescent="0.25">
      <c r="A61" t="s">
        <v>567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1"/>
  <sheetViews>
    <sheetView workbookViewId="0">
      <selection sqref="A1:D161"/>
    </sheetView>
  </sheetViews>
  <sheetFormatPr defaultRowHeight="15" x14ac:dyDescent="0.25"/>
  <sheetData>
    <row r="1" spans="1:1" x14ac:dyDescent="0.25">
      <c r="A1" t="s">
        <v>1086</v>
      </c>
    </row>
    <row r="2" spans="1:1" x14ac:dyDescent="0.25">
      <c r="A2" t="s">
        <v>538</v>
      </c>
    </row>
    <row r="3" spans="1:1" x14ac:dyDescent="0.25">
      <c r="A3" t="s">
        <v>1087</v>
      </c>
    </row>
    <row r="4" spans="1:1" x14ac:dyDescent="0.25">
      <c r="A4" t="s">
        <v>1088</v>
      </c>
    </row>
    <row r="5" spans="1:1" x14ac:dyDescent="0.25">
      <c r="A5" t="s">
        <v>1089</v>
      </c>
    </row>
    <row r="6" spans="1:1" x14ac:dyDescent="0.25">
      <c r="A6" t="s">
        <v>1090</v>
      </c>
    </row>
    <row r="7" spans="1:1" x14ac:dyDescent="0.25">
      <c r="A7" t="s">
        <v>1091</v>
      </c>
    </row>
    <row r="8" spans="1:1" x14ac:dyDescent="0.25">
      <c r="A8" t="s">
        <v>1092</v>
      </c>
    </row>
    <row r="9" spans="1:1" x14ac:dyDescent="0.25">
      <c r="A9" t="s">
        <v>1093</v>
      </c>
    </row>
    <row r="10" spans="1:1" x14ac:dyDescent="0.25">
      <c r="A10" t="s">
        <v>1094</v>
      </c>
    </row>
    <row r="11" spans="1:1" x14ac:dyDescent="0.25">
      <c r="A11" t="s">
        <v>1095</v>
      </c>
    </row>
    <row r="12" spans="1:1" x14ac:dyDescent="0.25">
      <c r="A12" t="s">
        <v>1096</v>
      </c>
    </row>
    <row r="13" spans="1:1" x14ac:dyDescent="0.25">
      <c r="A13" t="s">
        <v>1097</v>
      </c>
    </row>
    <row r="14" spans="1:1" x14ac:dyDescent="0.25">
      <c r="A14" t="s">
        <v>1098</v>
      </c>
    </row>
    <row r="15" spans="1:1" x14ac:dyDescent="0.25">
      <c r="A15" t="s">
        <v>1099</v>
      </c>
    </row>
    <row r="16" spans="1:1" x14ac:dyDescent="0.25">
      <c r="A16" t="s">
        <v>455</v>
      </c>
    </row>
    <row r="17" spans="1:3" x14ac:dyDescent="0.25">
      <c r="A17" t="s">
        <v>1100</v>
      </c>
    </row>
    <row r="18" spans="1:3" x14ac:dyDescent="0.25">
      <c r="A18" t="s">
        <v>1101</v>
      </c>
    </row>
    <row r="19" spans="1:3" x14ac:dyDescent="0.25">
      <c r="B19" t="s">
        <v>1102</v>
      </c>
    </row>
    <row r="20" spans="1:3" x14ac:dyDescent="0.25">
      <c r="A20" t="s">
        <v>818</v>
      </c>
    </row>
    <row r="21" spans="1:3" x14ac:dyDescent="0.25">
      <c r="B21" t="s">
        <v>599</v>
      </c>
    </row>
    <row r="22" spans="1:3" x14ac:dyDescent="0.25">
      <c r="A22" t="s">
        <v>1103</v>
      </c>
    </row>
    <row r="23" spans="1:3" x14ac:dyDescent="0.25">
      <c r="B23" t="s">
        <v>1104</v>
      </c>
    </row>
    <row r="24" spans="1:3" x14ac:dyDescent="0.25">
      <c r="C24" t="s">
        <v>1105</v>
      </c>
    </row>
    <row r="25" spans="1:3" x14ac:dyDescent="0.25">
      <c r="A25" t="s">
        <v>1106</v>
      </c>
    </row>
    <row r="26" spans="1:3" x14ac:dyDescent="0.25">
      <c r="A26" t="s">
        <v>697</v>
      </c>
    </row>
    <row r="27" spans="1:3" x14ac:dyDescent="0.25">
      <c r="B27" t="s">
        <v>538</v>
      </c>
    </row>
    <row r="28" spans="1:3" x14ac:dyDescent="0.25">
      <c r="B28" t="s">
        <v>1107</v>
      </c>
    </row>
    <row r="29" spans="1:3" x14ac:dyDescent="0.25">
      <c r="B29" t="s">
        <v>1108</v>
      </c>
    </row>
    <row r="30" spans="1:3" x14ac:dyDescent="0.25">
      <c r="B30" t="s">
        <v>762</v>
      </c>
    </row>
    <row r="31" spans="1:3" x14ac:dyDescent="0.25">
      <c r="B31" t="s">
        <v>1109</v>
      </c>
    </row>
    <row r="32" spans="1:3" x14ac:dyDescent="0.25">
      <c r="B32" t="s">
        <v>1110</v>
      </c>
    </row>
    <row r="33" spans="1:3" x14ac:dyDescent="0.25">
      <c r="B33" t="s">
        <v>841</v>
      </c>
    </row>
    <row r="34" spans="1:3" x14ac:dyDescent="0.25">
      <c r="B34" t="s">
        <v>763</v>
      </c>
    </row>
    <row r="35" spans="1:3" x14ac:dyDescent="0.25">
      <c r="B35" t="s">
        <v>1111</v>
      </c>
    </row>
    <row r="36" spans="1:3" x14ac:dyDescent="0.25">
      <c r="C36" t="s">
        <v>1112</v>
      </c>
    </row>
    <row r="37" spans="1:3" x14ac:dyDescent="0.25">
      <c r="B37" t="s">
        <v>765</v>
      </c>
    </row>
    <row r="38" spans="1:3" x14ac:dyDescent="0.25">
      <c r="C38" t="s">
        <v>1113</v>
      </c>
    </row>
    <row r="39" spans="1:3" x14ac:dyDescent="0.25">
      <c r="A39" t="s">
        <v>1114</v>
      </c>
    </row>
    <row r="40" spans="1:3" x14ac:dyDescent="0.25">
      <c r="B40" t="s">
        <v>1115</v>
      </c>
    </row>
    <row r="41" spans="1:3" x14ac:dyDescent="0.25">
      <c r="A41" t="s">
        <v>16</v>
      </c>
    </row>
    <row r="42" spans="1:3" x14ac:dyDescent="0.25">
      <c r="B42" t="s">
        <v>1116</v>
      </c>
    </row>
    <row r="43" spans="1:3" x14ac:dyDescent="0.25">
      <c r="A43" t="s">
        <v>247</v>
      </c>
      <c r="B43" t="s">
        <v>1117</v>
      </c>
    </row>
    <row r="44" spans="1:3" x14ac:dyDescent="0.25">
      <c r="A44" t="s">
        <v>247</v>
      </c>
      <c r="C44" t="s">
        <v>1118</v>
      </c>
    </row>
    <row r="45" spans="1:3" x14ac:dyDescent="0.25">
      <c r="B45" t="s">
        <v>1119</v>
      </c>
    </row>
    <row r="46" spans="1:3" x14ac:dyDescent="0.25">
      <c r="A46" t="s">
        <v>1120</v>
      </c>
    </row>
    <row r="49" spans="1:2" x14ac:dyDescent="0.25">
      <c r="A49" t="e">
        <f>-- get provider with individual provider which will</f>
        <v>#NAME?</v>
      </c>
    </row>
    <row r="50" spans="1:2" x14ac:dyDescent="0.25">
      <c r="A50" t="s">
        <v>247</v>
      </c>
      <c r="B50" t="s">
        <v>1121</v>
      </c>
    </row>
    <row r="51" spans="1:2" x14ac:dyDescent="0.25">
      <c r="A51" t="s">
        <v>467</v>
      </c>
    </row>
    <row r="52" spans="1:2" x14ac:dyDescent="0.25">
      <c r="A52" t="s">
        <v>584</v>
      </c>
    </row>
    <row r="53" spans="1:2" x14ac:dyDescent="0.25">
      <c r="A53" t="s">
        <v>585</v>
      </c>
    </row>
    <row r="54" spans="1:2" x14ac:dyDescent="0.25">
      <c r="A54" t="s">
        <v>587</v>
      </c>
    </row>
    <row r="55" spans="1:2" x14ac:dyDescent="0.25">
      <c r="A55" t="s">
        <v>586</v>
      </c>
    </row>
    <row r="56" spans="1:2" x14ac:dyDescent="0.25">
      <c r="A56" t="s">
        <v>1122</v>
      </c>
    </row>
    <row r="57" spans="1:2" x14ac:dyDescent="0.25">
      <c r="A57" t="s">
        <v>1123</v>
      </c>
    </row>
    <row r="58" spans="1:2" x14ac:dyDescent="0.25">
      <c r="A58" t="s">
        <v>593</v>
      </c>
    </row>
    <row r="59" spans="1:2" x14ac:dyDescent="0.25">
      <c r="A59" t="s">
        <v>815</v>
      </c>
    </row>
    <row r="60" spans="1:2" x14ac:dyDescent="0.25">
      <c r="A60" t="s">
        <v>1124</v>
      </c>
    </row>
    <row r="61" spans="1:2" x14ac:dyDescent="0.25">
      <c r="A61" t="s">
        <v>1125</v>
      </c>
    </row>
    <row r="62" spans="1:2" x14ac:dyDescent="0.25">
      <c r="A62" t="s">
        <v>1126</v>
      </c>
    </row>
    <row r="63" spans="1:2" x14ac:dyDescent="0.25">
      <c r="A63" t="s">
        <v>697</v>
      </c>
    </row>
    <row r="64" spans="1:2" x14ac:dyDescent="0.25">
      <c r="A64" t="s">
        <v>1127</v>
      </c>
    </row>
    <row r="65" spans="1:1" x14ac:dyDescent="0.25">
      <c r="A65" t="s">
        <v>1128</v>
      </c>
    </row>
    <row r="66" spans="1:1" x14ac:dyDescent="0.25">
      <c r="A66" t="s">
        <v>1129</v>
      </c>
    </row>
    <row r="67" spans="1:1" x14ac:dyDescent="0.25">
      <c r="A67" t="s">
        <v>1130</v>
      </c>
    </row>
    <row r="68" spans="1:1" x14ac:dyDescent="0.25">
      <c r="A68" t="s">
        <v>1131</v>
      </c>
    </row>
    <row r="69" spans="1:1" x14ac:dyDescent="0.25">
      <c r="A69" t="s">
        <v>1132</v>
      </c>
    </row>
    <row r="70" spans="1:1" x14ac:dyDescent="0.25">
      <c r="A70" t="s">
        <v>1133</v>
      </c>
    </row>
    <row r="71" spans="1:1" x14ac:dyDescent="0.25">
      <c r="A71" t="s">
        <v>698</v>
      </c>
    </row>
    <row r="72" spans="1:1" x14ac:dyDescent="0.25">
      <c r="A72" t="s">
        <v>1134</v>
      </c>
    </row>
    <row r="73" spans="1:1" x14ac:dyDescent="0.25">
      <c r="A73" t="s">
        <v>1135</v>
      </c>
    </row>
    <row r="74" spans="1:1" x14ac:dyDescent="0.25">
      <c r="A74" t="s">
        <v>634</v>
      </c>
    </row>
    <row r="75" spans="1:1" x14ac:dyDescent="0.25">
      <c r="A75" t="s">
        <v>584</v>
      </c>
    </row>
    <row r="77" spans="1:1" x14ac:dyDescent="0.25">
      <c r="A77" t="s">
        <v>1136</v>
      </c>
    </row>
    <row r="78" spans="1:1" x14ac:dyDescent="0.25">
      <c r="A78" t="e">
        <f>-- UPDATE: usp_InsertUniqueCAQHGroupPractices</f>
        <v>#NAME?</v>
      </c>
    </row>
    <row r="79" spans="1:1" x14ac:dyDescent="0.25">
      <c r="A79" t="s">
        <v>1136</v>
      </c>
    </row>
    <row r="80" spans="1:1" x14ac:dyDescent="0.25">
      <c r="A80" t="e">
        <f>-- Need to UPDATE above proc using below code as</f>
        <v>#NAME?</v>
      </c>
    </row>
    <row r="81" spans="1:3" x14ac:dyDescent="0.25">
      <c r="A81" t="s">
        <v>247</v>
      </c>
      <c r="C81" t="s">
        <v>1137</v>
      </c>
    </row>
    <row r="82" spans="1:3" x14ac:dyDescent="0.25">
      <c r="A82" t="s">
        <v>247</v>
      </c>
      <c r="C82" t="s">
        <v>1138</v>
      </c>
    </row>
    <row r="83" spans="1:3" x14ac:dyDescent="0.25">
      <c r="A83" t="s">
        <v>247</v>
      </c>
      <c r="C83" t="s">
        <v>1139</v>
      </c>
    </row>
    <row r="85" spans="1:3" x14ac:dyDescent="0.25">
      <c r="A85" t="s">
        <v>1140</v>
      </c>
    </row>
    <row r="87" spans="1:3" x14ac:dyDescent="0.25">
      <c r="A87" t="s">
        <v>538</v>
      </c>
    </row>
    <row r="88" spans="1:3" x14ac:dyDescent="0.25">
      <c r="A88" t="s">
        <v>1141</v>
      </c>
    </row>
    <row r="89" spans="1:3" x14ac:dyDescent="0.25">
      <c r="A89" t="s">
        <v>1142</v>
      </c>
    </row>
    <row r="90" spans="1:3" x14ac:dyDescent="0.25">
      <c r="A90" t="s">
        <v>1143</v>
      </c>
    </row>
    <row r="91" spans="1:3" x14ac:dyDescent="0.25">
      <c r="A91" t="s">
        <v>1144</v>
      </c>
    </row>
    <row r="92" spans="1:3" x14ac:dyDescent="0.25">
      <c r="B92" t="s">
        <v>1145</v>
      </c>
    </row>
    <row r="93" spans="1:3" x14ac:dyDescent="0.25">
      <c r="A93" t="s">
        <v>1146</v>
      </c>
    </row>
    <row r="94" spans="1:3" x14ac:dyDescent="0.25">
      <c r="B94" t="s">
        <v>1147</v>
      </c>
    </row>
    <row r="95" spans="1:3" x14ac:dyDescent="0.25">
      <c r="A95" t="s">
        <v>1148</v>
      </c>
    </row>
    <row r="96" spans="1:3" x14ac:dyDescent="0.25">
      <c r="B96" t="s">
        <v>1149</v>
      </c>
    </row>
    <row r="98" spans="1:4" x14ac:dyDescent="0.25">
      <c r="A98" t="s">
        <v>538</v>
      </c>
    </row>
    <row r="99" spans="1:4" x14ac:dyDescent="0.25">
      <c r="A99" t="s">
        <v>1150</v>
      </c>
    </row>
    <row r="100" spans="1:4" x14ac:dyDescent="0.25">
      <c r="A100" t="s">
        <v>665</v>
      </c>
    </row>
    <row r="101" spans="1:4" x14ac:dyDescent="0.25">
      <c r="A101" t="s">
        <v>578</v>
      </c>
    </row>
    <row r="102" spans="1:4" x14ac:dyDescent="0.25">
      <c r="A102" t="s">
        <v>671</v>
      </c>
    </row>
    <row r="103" spans="1:4" x14ac:dyDescent="0.25">
      <c r="A103" t="s">
        <v>1150</v>
      </c>
    </row>
    <row r="104" spans="1:4" x14ac:dyDescent="0.25">
      <c r="A104" t="s">
        <v>634</v>
      </c>
    </row>
    <row r="105" spans="1:4" x14ac:dyDescent="0.25">
      <c r="A105" t="s">
        <v>1151</v>
      </c>
    </row>
    <row r="107" spans="1:4" x14ac:dyDescent="0.25">
      <c r="A107" t="s">
        <v>1152</v>
      </c>
      <c r="D107" t="s">
        <v>1153</v>
      </c>
    </row>
    <row r="108" spans="1:4" x14ac:dyDescent="0.25">
      <c r="A108" t="s">
        <v>1154</v>
      </c>
      <c r="C108" t="s">
        <v>1155</v>
      </c>
    </row>
    <row r="109" spans="1:4" x14ac:dyDescent="0.25">
      <c r="A109" t="s">
        <v>1156</v>
      </c>
      <c r="C109">
        <v>621828139</v>
      </c>
    </row>
    <row r="110" spans="1:4" x14ac:dyDescent="0.25">
      <c r="A110" t="s">
        <v>1157</v>
      </c>
      <c r="D110">
        <v>1861478489</v>
      </c>
    </row>
    <row r="111" spans="1:4" x14ac:dyDescent="0.25">
      <c r="A111" t="s">
        <v>1158</v>
      </c>
      <c r="C111">
        <v>587</v>
      </c>
    </row>
    <row r="112" spans="1:4" x14ac:dyDescent="0.25">
      <c r="A112" t="s">
        <v>1159</v>
      </c>
      <c r="C112" t="s">
        <v>1160</v>
      </c>
    </row>
    <row r="113" spans="1:4" x14ac:dyDescent="0.25">
      <c r="A113" t="s">
        <v>1161</v>
      </c>
      <c r="B113">
        <v>3721492</v>
      </c>
    </row>
    <row r="114" spans="1:4" x14ac:dyDescent="0.25">
      <c r="A114" t="s">
        <v>1162</v>
      </c>
      <c r="B114">
        <v>109106</v>
      </c>
    </row>
    <row r="115" spans="1:4" x14ac:dyDescent="0.25">
      <c r="A115" t="s">
        <v>1163</v>
      </c>
      <c r="C115">
        <v>36304</v>
      </c>
    </row>
    <row r="116" spans="1:4" x14ac:dyDescent="0.25">
      <c r="A116" t="s">
        <v>247</v>
      </c>
      <c r="C116" t="s">
        <v>1164</v>
      </c>
    </row>
    <row r="117" spans="1:4" x14ac:dyDescent="0.25">
      <c r="A117" t="s">
        <v>247</v>
      </c>
      <c r="C117" t="s">
        <v>1165</v>
      </c>
    </row>
    <row r="118" spans="1:4" x14ac:dyDescent="0.25">
      <c r="A118" t="s">
        <v>247</v>
      </c>
      <c r="C118" t="s">
        <v>1166</v>
      </c>
    </row>
    <row r="119" spans="1:4" x14ac:dyDescent="0.25">
      <c r="A119" t="s">
        <v>247</v>
      </c>
      <c r="C119" t="s">
        <v>1167</v>
      </c>
    </row>
    <row r="121" spans="1:4" x14ac:dyDescent="0.25">
      <c r="A121" t="s">
        <v>1152</v>
      </c>
      <c r="D121" t="s">
        <v>1153</v>
      </c>
    </row>
    <row r="122" spans="1:4" x14ac:dyDescent="0.25">
      <c r="A122" t="s">
        <v>1154</v>
      </c>
      <c r="C122" t="s">
        <v>1168</v>
      </c>
    </row>
    <row r="123" spans="1:4" x14ac:dyDescent="0.25">
      <c r="A123" t="s">
        <v>1156</v>
      </c>
      <c r="C123">
        <v>621630463</v>
      </c>
    </row>
    <row r="124" spans="1:4" x14ac:dyDescent="0.25">
      <c r="A124" t="s">
        <v>1157</v>
      </c>
      <c r="D124">
        <v>1558499483</v>
      </c>
    </row>
    <row r="125" spans="1:4" x14ac:dyDescent="0.25">
      <c r="A125" t="s">
        <v>1158</v>
      </c>
      <c r="C125">
        <v>994</v>
      </c>
    </row>
    <row r="126" spans="1:4" x14ac:dyDescent="0.25">
      <c r="A126" t="s">
        <v>1159</v>
      </c>
      <c r="C126" t="s">
        <v>1169</v>
      </c>
    </row>
    <row r="127" spans="1:4" x14ac:dyDescent="0.25">
      <c r="A127" t="s">
        <v>1161</v>
      </c>
      <c r="B127">
        <v>3267707</v>
      </c>
    </row>
    <row r="128" spans="1:4" x14ac:dyDescent="0.25">
      <c r="A128" t="s">
        <v>1162</v>
      </c>
    </row>
    <row r="129" spans="1:4" x14ac:dyDescent="0.25">
      <c r="A129" t="s">
        <v>1163</v>
      </c>
    </row>
    <row r="130" spans="1:4" x14ac:dyDescent="0.25">
      <c r="A130" t="s">
        <v>1170</v>
      </c>
    </row>
    <row r="131" spans="1:4" x14ac:dyDescent="0.25">
      <c r="A131" t="s">
        <v>1171</v>
      </c>
    </row>
    <row r="132" spans="1:4" x14ac:dyDescent="0.25">
      <c r="A132" t="s">
        <v>1172</v>
      </c>
    </row>
    <row r="133" spans="1:4" x14ac:dyDescent="0.25">
      <c r="A133" t="s">
        <v>1173</v>
      </c>
    </row>
    <row r="135" spans="1:4" x14ac:dyDescent="0.25">
      <c r="A135" t="s">
        <v>1152</v>
      </c>
      <c r="D135" t="s">
        <v>1153</v>
      </c>
    </row>
    <row r="136" spans="1:4" x14ac:dyDescent="0.25">
      <c r="A136" t="s">
        <v>1154</v>
      </c>
      <c r="C136" t="s">
        <v>1174</v>
      </c>
    </row>
    <row r="137" spans="1:4" x14ac:dyDescent="0.25">
      <c r="A137" t="s">
        <v>1156</v>
      </c>
      <c r="C137">
        <v>421557536</v>
      </c>
    </row>
    <row r="138" spans="1:4" x14ac:dyDescent="0.25">
      <c r="A138" t="s">
        <v>1157</v>
      </c>
      <c r="D138">
        <v>1427079052</v>
      </c>
    </row>
    <row r="139" spans="1:4" x14ac:dyDescent="0.25">
      <c r="A139" t="s">
        <v>1158</v>
      </c>
      <c r="C139">
        <v>999</v>
      </c>
    </row>
    <row r="140" spans="1:4" x14ac:dyDescent="0.25">
      <c r="A140" t="s">
        <v>1159</v>
      </c>
      <c r="C140" t="s">
        <v>1175</v>
      </c>
    </row>
    <row r="141" spans="1:4" x14ac:dyDescent="0.25">
      <c r="A141" t="s">
        <v>1161</v>
      </c>
      <c r="B141">
        <v>3250207</v>
      </c>
    </row>
    <row r="142" spans="1:4" x14ac:dyDescent="0.25">
      <c r="A142" t="s">
        <v>1162</v>
      </c>
    </row>
    <row r="143" spans="1:4" x14ac:dyDescent="0.25">
      <c r="A143" t="s">
        <v>1163</v>
      </c>
    </row>
    <row r="144" spans="1:4" x14ac:dyDescent="0.25">
      <c r="A144" t="s">
        <v>1176</v>
      </c>
    </row>
    <row r="145" spans="1:2" x14ac:dyDescent="0.25">
      <c r="A145" t="s">
        <v>1177</v>
      </c>
    </row>
    <row r="146" spans="1:2" x14ac:dyDescent="0.25">
      <c r="A146" t="s">
        <v>1178</v>
      </c>
    </row>
    <row r="148" spans="1:2" x14ac:dyDescent="0.25">
      <c r="A148" t="e">
        <f>-- REG TESTING</f>
        <v>#NAME?</v>
      </c>
    </row>
    <row r="149" spans="1:2" x14ac:dyDescent="0.25">
      <c r="A149" t="s">
        <v>1179</v>
      </c>
    </row>
    <row r="151" spans="1:2" x14ac:dyDescent="0.25">
      <c r="A151" t="s">
        <v>254</v>
      </c>
    </row>
    <row r="152" spans="1:2" x14ac:dyDescent="0.25">
      <c r="A152" t="s">
        <v>82</v>
      </c>
    </row>
    <row r="153" spans="1:2" x14ac:dyDescent="0.25">
      <c r="A153" t="s">
        <v>83</v>
      </c>
    </row>
    <row r="154" spans="1:2" x14ac:dyDescent="0.25">
      <c r="A154" t="s">
        <v>1180</v>
      </c>
    </row>
    <row r="155" spans="1:2" x14ac:dyDescent="0.25">
      <c r="B155" t="s">
        <v>1181</v>
      </c>
    </row>
    <row r="156" spans="1:2" x14ac:dyDescent="0.25">
      <c r="A156" t="s">
        <v>258</v>
      </c>
    </row>
    <row r="158" spans="1:2" x14ac:dyDescent="0.25">
      <c r="A158" t="s">
        <v>645</v>
      </c>
    </row>
    <row r="159" spans="1:2" x14ac:dyDescent="0.25">
      <c r="A159" t="s">
        <v>646</v>
      </c>
    </row>
    <row r="160" spans="1:2" x14ac:dyDescent="0.25">
      <c r="A160" t="s">
        <v>245</v>
      </c>
    </row>
    <row r="161" spans="1:1" x14ac:dyDescent="0.25">
      <c r="A161" t="s">
        <v>251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A5" sqref="A5:B5"/>
    </sheetView>
  </sheetViews>
  <sheetFormatPr defaultRowHeight="15" x14ac:dyDescent="0.25"/>
  <cols>
    <col min="1" max="1" width="16" bestFit="1" customWidth="1"/>
    <col min="2" max="2" width="29" bestFit="1" customWidth="1"/>
    <col min="3" max="3" width="102.85546875" bestFit="1" customWidth="1"/>
  </cols>
  <sheetData>
    <row r="1" spans="1:3" x14ac:dyDescent="0.25">
      <c r="A1" s="10" t="s">
        <v>180</v>
      </c>
      <c r="B1" s="10" t="s">
        <v>181</v>
      </c>
      <c r="C1" s="10" t="s">
        <v>497</v>
      </c>
    </row>
    <row r="2" spans="1:3" x14ac:dyDescent="0.25">
      <c r="A2" t="s">
        <v>496</v>
      </c>
      <c r="B2" t="s">
        <v>494</v>
      </c>
    </row>
    <row r="3" spans="1:3" x14ac:dyDescent="0.25">
      <c r="A3" t="s">
        <v>496</v>
      </c>
      <c r="B3" t="s">
        <v>500</v>
      </c>
    </row>
    <row r="5" spans="1:3" x14ac:dyDescent="0.25">
      <c r="A5" s="10" t="s">
        <v>185</v>
      </c>
      <c r="B5" s="10" t="s">
        <v>186</v>
      </c>
    </row>
    <row r="6" spans="1:3" x14ac:dyDescent="0.25">
      <c r="A6" t="s">
        <v>496</v>
      </c>
      <c r="B6" t="s">
        <v>495</v>
      </c>
      <c r="C6" t="s">
        <v>499</v>
      </c>
    </row>
    <row r="7" spans="1:3" x14ac:dyDescent="0.25">
      <c r="A7" t="s">
        <v>496</v>
      </c>
      <c r="B7" t="s">
        <v>498</v>
      </c>
      <c r="C7" t="s">
        <v>499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A12" sqref="A12"/>
    </sheetView>
  </sheetViews>
  <sheetFormatPr defaultRowHeight="15" x14ac:dyDescent="0.25"/>
  <sheetData>
    <row r="1" spans="1:3" x14ac:dyDescent="0.25">
      <c r="A1" s="10" t="s">
        <v>180</v>
      </c>
      <c r="B1" s="10" t="s">
        <v>181</v>
      </c>
      <c r="C1" s="10" t="s">
        <v>497</v>
      </c>
    </row>
    <row r="2" spans="1:3" x14ac:dyDescent="0.25">
      <c r="A2" t="s">
        <v>496</v>
      </c>
      <c r="B2" t="s">
        <v>569</v>
      </c>
    </row>
    <row r="3" spans="1:3" x14ac:dyDescent="0.25">
      <c r="A3" t="s">
        <v>496</v>
      </c>
      <c r="B3" t="s">
        <v>568</v>
      </c>
    </row>
    <row r="5" spans="1:3" x14ac:dyDescent="0.25">
      <c r="A5" s="10" t="s">
        <v>185</v>
      </c>
      <c r="B5" s="10" t="s">
        <v>186</v>
      </c>
    </row>
    <row r="6" spans="1:3" x14ac:dyDescent="0.25">
      <c r="A6" t="s">
        <v>496</v>
      </c>
      <c r="B6" t="s">
        <v>495</v>
      </c>
      <c r="C6" t="s">
        <v>499</v>
      </c>
    </row>
    <row r="7" spans="1:3" x14ac:dyDescent="0.25">
      <c r="A7" t="s">
        <v>496</v>
      </c>
      <c r="B7" t="s">
        <v>498</v>
      </c>
      <c r="C7" t="s">
        <v>499</v>
      </c>
    </row>
    <row r="9" spans="1:3" s="10" customFormat="1" x14ac:dyDescent="0.25">
      <c r="A9" s="10" t="s">
        <v>570</v>
      </c>
    </row>
    <row r="10" spans="1:3" x14ac:dyDescent="0.25">
      <c r="A10" t="s">
        <v>571</v>
      </c>
    </row>
  </sheetData>
  <pageMargins left="0.7" right="0.7" top="0.75" bottom="0.75" header="0.3" footer="0.3"/>
  <pageSetup orientation="portrait" horizontalDpi="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workbookViewId="0"/>
  </sheetViews>
  <sheetFormatPr defaultRowHeight="15" x14ac:dyDescent="0.25"/>
  <sheetData>
    <row r="1" spans="1:2" x14ac:dyDescent="0.25">
      <c r="A1" t="s">
        <v>572</v>
      </c>
    </row>
    <row r="2" spans="1:2" x14ac:dyDescent="0.25">
      <c r="A2" t="s">
        <v>646</v>
      </c>
    </row>
    <row r="3" spans="1:2" x14ac:dyDescent="0.25">
      <c r="A3" t="s">
        <v>1512</v>
      </c>
    </row>
    <row r="4" spans="1:2" x14ac:dyDescent="0.25">
      <c r="A4" t="s">
        <v>1513</v>
      </c>
    </row>
    <row r="5" spans="1:2" x14ac:dyDescent="0.25">
      <c r="B5" t="s">
        <v>1514</v>
      </c>
    </row>
    <row r="6" spans="1:2" x14ac:dyDescent="0.25">
      <c r="A6" t="s">
        <v>1515</v>
      </c>
    </row>
    <row r="8" spans="1:2" x14ac:dyDescent="0.25">
      <c r="A8" t="s">
        <v>572</v>
      </c>
    </row>
    <row r="9" spans="1:2" x14ac:dyDescent="0.25">
      <c r="A9" t="s">
        <v>1516</v>
      </c>
    </row>
    <row r="10" spans="1:2" x14ac:dyDescent="0.25">
      <c r="A10" t="s">
        <v>642</v>
      </c>
    </row>
    <row r="11" spans="1:2" x14ac:dyDescent="0.25">
      <c r="A11" t="s">
        <v>1517</v>
      </c>
    </row>
    <row r="12" spans="1:2" x14ac:dyDescent="0.25">
      <c r="A12" t="s">
        <v>671</v>
      </c>
    </row>
    <row r="13" spans="1:2" x14ac:dyDescent="0.25">
      <c r="A13" t="s">
        <v>1516</v>
      </c>
    </row>
    <row r="14" spans="1:2" x14ac:dyDescent="0.25">
      <c r="A14" t="s">
        <v>634</v>
      </c>
    </row>
    <row r="15" spans="1:2" x14ac:dyDescent="0.25">
      <c r="A15" t="s">
        <v>1518</v>
      </c>
    </row>
    <row r="16" spans="1:2" x14ac:dyDescent="0.25">
      <c r="A16" t="s">
        <v>1519</v>
      </c>
    </row>
    <row r="18" spans="1:2" x14ac:dyDescent="0.25">
      <c r="A18" t="s">
        <v>572</v>
      </c>
    </row>
    <row r="19" spans="1:2" x14ac:dyDescent="0.25">
      <c r="A19" t="s">
        <v>1520</v>
      </c>
    </row>
    <row r="20" spans="1:2" x14ac:dyDescent="0.25">
      <c r="A20" t="s">
        <v>576</v>
      </c>
    </row>
    <row r="21" spans="1:2" x14ac:dyDescent="0.25">
      <c r="A21" t="s">
        <v>619</v>
      </c>
    </row>
    <row r="22" spans="1:2" x14ac:dyDescent="0.25">
      <c r="B22" t="s">
        <v>900</v>
      </c>
    </row>
    <row r="23" spans="1:2" x14ac:dyDescent="0.25">
      <c r="A23" t="s">
        <v>1521</v>
      </c>
    </row>
    <row r="25" spans="1:2" x14ac:dyDescent="0.25">
      <c r="A25" t="s">
        <v>1522</v>
      </c>
    </row>
    <row r="26" spans="1:2" x14ac:dyDescent="0.25">
      <c r="A26" t="s">
        <v>538</v>
      </c>
    </row>
    <row r="27" spans="1:2" x14ac:dyDescent="0.25">
      <c r="A27" t="s">
        <v>1523</v>
      </c>
    </row>
    <row r="28" spans="1:2" x14ac:dyDescent="0.25">
      <c r="A28" t="s">
        <v>1524</v>
      </c>
    </row>
    <row r="29" spans="1:2" x14ac:dyDescent="0.25">
      <c r="A29" t="s">
        <v>1525</v>
      </c>
    </row>
    <row r="30" spans="1:2" x14ac:dyDescent="0.25">
      <c r="A30" t="s">
        <v>474</v>
      </c>
    </row>
    <row r="31" spans="1:2" x14ac:dyDescent="0.25">
      <c r="A31" t="s">
        <v>1526</v>
      </c>
    </row>
    <row r="32" spans="1:2" x14ac:dyDescent="0.25">
      <c r="B32" t="s">
        <v>976</v>
      </c>
    </row>
    <row r="33" spans="1:2" x14ac:dyDescent="0.25">
      <c r="A33" t="s">
        <v>1527</v>
      </c>
    </row>
    <row r="34" spans="1:2" x14ac:dyDescent="0.25">
      <c r="B34" t="s">
        <v>978</v>
      </c>
    </row>
    <row r="35" spans="1:2" x14ac:dyDescent="0.25">
      <c r="A35" t="s">
        <v>1528</v>
      </c>
    </row>
    <row r="36" spans="1:2" x14ac:dyDescent="0.25">
      <c r="B36" t="s">
        <v>980</v>
      </c>
    </row>
    <row r="37" spans="1:2" x14ac:dyDescent="0.25">
      <c r="A37" t="s">
        <v>706</v>
      </c>
    </row>
    <row r="38" spans="1:2" x14ac:dyDescent="0.25">
      <c r="A38" t="s">
        <v>697</v>
      </c>
    </row>
    <row r="39" spans="1:2" x14ac:dyDescent="0.25">
      <c r="B39" t="s">
        <v>538</v>
      </c>
    </row>
    <row r="40" spans="1:2" x14ac:dyDescent="0.25">
      <c r="B40" t="s">
        <v>1529</v>
      </c>
    </row>
    <row r="41" spans="1:2" x14ac:dyDescent="0.25">
      <c r="B41" t="s">
        <v>1530</v>
      </c>
    </row>
    <row r="42" spans="1:2" x14ac:dyDescent="0.25">
      <c r="A42" t="s">
        <v>1531</v>
      </c>
    </row>
    <row r="43" spans="1:2" x14ac:dyDescent="0.25">
      <c r="A43" t="s">
        <v>1532</v>
      </c>
    </row>
    <row r="44" spans="1:2" x14ac:dyDescent="0.25">
      <c r="B44" t="s">
        <v>1533</v>
      </c>
    </row>
    <row r="45" spans="1:2" x14ac:dyDescent="0.25">
      <c r="B45" t="s">
        <v>1534</v>
      </c>
    </row>
    <row r="46" spans="1:2" x14ac:dyDescent="0.25">
      <c r="B46" t="s">
        <v>1535</v>
      </c>
    </row>
    <row r="47" spans="1:2" x14ac:dyDescent="0.25">
      <c r="A47" t="s">
        <v>671</v>
      </c>
    </row>
    <row r="48" spans="1:2" x14ac:dyDescent="0.25">
      <c r="A48" t="s">
        <v>1523</v>
      </c>
    </row>
    <row r="50" spans="1:3" x14ac:dyDescent="0.25">
      <c r="A50" t="s">
        <v>1536</v>
      </c>
    </row>
    <row r="51" spans="1:3" x14ac:dyDescent="0.25">
      <c r="A51" t="s">
        <v>538</v>
      </c>
    </row>
    <row r="52" spans="1:3" x14ac:dyDescent="0.25">
      <c r="A52" t="s">
        <v>1537</v>
      </c>
    </row>
    <row r="53" spans="1:3" x14ac:dyDescent="0.25">
      <c r="A53" t="s">
        <v>1499</v>
      </c>
    </row>
    <row r="54" spans="1:3" x14ac:dyDescent="0.25">
      <c r="A54" t="s">
        <v>1538</v>
      </c>
    </row>
    <row r="55" spans="1:3" x14ac:dyDescent="0.25">
      <c r="A55" t="s">
        <v>1539</v>
      </c>
    </row>
    <row r="56" spans="1:3" x14ac:dyDescent="0.25">
      <c r="A56" t="s">
        <v>1540</v>
      </c>
    </row>
    <row r="57" spans="1:3" x14ac:dyDescent="0.25">
      <c r="A57" t="s">
        <v>939</v>
      </c>
    </row>
    <row r="58" spans="1:3" x14ac:dyDescent="0.25">
      <c r="A58" t="s">
        <v>697</v>
      </c>
    </row>
    <row r="59" spans="1:3" x14ac:dyDescent="0.25">
      <c r="B59" t="s">
        <v>538</v>
      </c>
    </row>
    <row r="60" spans="1:3" x14ac:dyDescent="0.25">
      <c r="B60" t="s">
        <v>1043</v>
      </c>
    </row>
    <row r="61" spans="1:3" x14ac:dyDescent="0.25">
      <c r="B61" t="s">
        <v>1541</v>
      </c>
    </row>
    <row r="62" spans="1:3" x14ac:dyDescent="0.25">
      <c r="B62" t="s">
        <v>1044</v>
      </c>
    </row>
    <row r="63" spans="1:3" x14ac:dyDescent="0.25">
      <c r="B63" t="s">
        <v>1542</v>
      </c>
    </row>
    <row r="64" spans="1:3" x14ac:dyDescent="0.25">
      <c r="C64" t="s">
        <v>1543</v>
      </c>
    </row>
    <row r="65" spans="1:3" x14ac:dyDescent="0.25">
      <c r="B65" t="s">
        <v>1544</v>
      </c>
    </row>
    <row r="66" spans="1:3" x14ac:dyDescent="0.25">
      <c r="C66" t="s">
        <v>1545</v>
      </c>
    </row>
    <row r="67" spans="1:3" x14ac:dyDescent="0.25">
      <c r="B67" t="s">
        <v>1546</v>
      </c>
    </row>
    <row r="68" spans="1:3" x14ac:dyDescent="0.25">
      <c r="C68" t="s">
        <v>1547</v>
      </c>
    </row>
    <row r="69" spans="1:3" x14ac:dyDescent="0.25">
      <c r="B69" t="s">
        <v>1548</v>
      </c>
      <c r="C69" t="e">
        <f>-- individual SL</f>
        <v>#NAME?</v>
      </c>
    </row>
    <row r="70" spans="1:3" x14ac:dyDescent="0.25">
      <c r="C70" t="s">
        <v>1549</v>
      </c>
    </row>
    <row r="71" spans="1:3" x14ac:dyDescent="0.25">
      <c r="B71" t="s">
        <v>671</v>
      </c>
    </row>
    <row r="72" spans="1:3" x14ac:dyDescent="0.25">
      <c r="B72" t="s">
        <v>1043</v>
      </c>
    </row>
    <row r="73" spans="1:3" x14ac:dyDescent="0.25">
      <c r="A73" t="s">
        <v>1550</v>
      </c>
    </row>
    <row r="74" spans="1:3" x14ac:dyDescent="0.25">
      <c r="B74" t="s">
        <v>1551</v>
      </c>
    </row>
    <row r="75" spans="1:3" x14ac:dyDescent="0.25">
      <c r="A75" t="s">
        <v>1552</v>
      </c>
    </row>
    <row r="77" spans="1:3" x14ac:dyDescent="0.25">
      <c r="A77" t="s">
        <v>538</v>
      </c>
    </row>
    <row r="78" spans="1:3" x14ac:dyDescent="0.25">
      <c r="A78" t="s">
        <v>1553</v>
      </c>
    </row>
    <row r="79" spans="1:3" x14ac:dyDescent="0.25">
      <c r="A79" t="s">
        <v>1554</v>
      </c>
    </row>
    <row r="80" spans="1:3" x14ac:dyDescent="0.25">
      <c r="A80" t="s">
        <v>1555</v>
      </c>
    </row>
    <row r="81" spans="1:2" x14ac:dyDescent="0.25">
      <c r="A81" t="s">
        <v>1556</v>
      </c>
    </row>
    <row r="82" spans="1:2" x14ac:dyDescent="0.25">
      <c r="A82" t="s">
        <v>1557</v>
      </c>
    </row>
    <row r="83" spans="1:2" x14ac:dyDescent="0.25">
      <c r="A83" t="s">
        <v>1558</v>
      </c>
    </row>
    <row r="84" spans="1:2" x14ac:dyDescent="0.25">
      <c r="A84" t="s">
        <v>1559</v>
      </c>
    </row>
    <row r="85" spans="1:2" x14ac:dyDescent="0.25">
      <c r="B85" t="s">
        <v>1560</v>
      </c>
    </row>
    <row r="86" spans="1:2" x14ac:dyDescent="0.25">
      <c r="A86" t="s">
        <v>1561</v>
      </c>
    </row>
    <row r="87" spans="1:2" x14ac:dyDescent="0.25">
      <c r="B87" t="s">
        <v>1562</v>
      </c>
    </row>
    <row r="88" spans="1:2" x14ac:dyDescent="0.25">
      <c r="A88" t="s">
        <v>1563</v>
      </c>
    </row>
    <row r="89" spans="1:2" x14ac:dyDescent="0.25">
      <c r="A89" t="s">
        <v>634</v>
      </c>
    </row>
    <row r="90" spans="1:2" x14ac:dyDescent="0.25">
      <c r="A90" t="s">
        <v>1564</v>
      </c>
    </row>
    <row r="93" spans="1:2" x14ac:dyDescent="0.25">
      <c r="A93" t="s">
        <v>538</v>
      </c>
    </row>
    <row r="94" spans="1:2" x14ac:dyDescent="0.25">
      <c r="A94" t="s">
        <v>646</v>
      </c>
    </row>
    <row r="95" spans="1:2" x14ac:dyDescent="0.25">
      <c r="A95" t="s">
        <v>1565</v>
      </c>
    </row>
    <row r="96" spans="1:2" x14ac:dyDescent="0.25">
      <c r="A96" t="s">
        <v>1566</v>
      </c>
    </row>
    <row r="99" spans="1:1" x14ac:dyDescent="0.25">
      <c r="A99" t="s">
        <v>467</v>
      </c>
    </row>
    <row r="100" spans="1:1" x14ac:dyDescent="0.25">
      <c r="A100" t="s">
        <v>641</v>
      </c>
    </row>
    <row r="101" spans="1:1" x14ac:dyDescent="0.25">
      <c r="A101" t="s">
        <v>643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8"/>
  <sheetViews>
    <sheetView workbookViewId="0"/>
  </sheetViews>
  <sheetFormatPr defaultRowHeight="15" x14ac:dyDescent="0.25"/>
  <sheetData>
    <row r="1" spans="1:3" x14ac:dyDescent="0.25">
      <c r="A1" t="s">
        <v>1567</v>
      </c>
    </row>
    <row r="2" spans="1:3" x14ac:dyDescent="0.25">
      <c r="A2" t="s">
        <v>538</v>
      </c>
    </row>
    <row r="3" spans="1:3" x14ac:dyDescent="0.25">
      <c r="A3" t="s">
        <v>1568</v>
      </c>
    </row>
    <row r="4" spans="1:3" x14ac:dyDescent="0.25">
      <c r="A4" t="s">
        <v>1569</v>
      </c>
    </row>
    <row r="5" spans="1:3" x14ac:dyDescent="0.25">
      <c r="A5" t="s">
        <v>1570</v>
      </c>
    </row>
    <row r="6" spans="1:3" x14ac:dyDescent="0.25">
      <c r="A6" t="s">
        <v>1571</v>
      </c>
    </row>
    <row r="7" spans="1:3" x14ac:dyDescent="0.25">
      <c r="A7" t="s">
        <v>697</v>
      </c>
    </row>
    <row r="8" spans="1:3" x14ac:dyDescent="0.25">
      <c r="B8" t="s">
        <v>467</v>
      </c>
    </row>
    <row r="9" spans="1:3" x14ac:dyDescent="0.25">
      <c r="B9" t="s">
        <v>1572</v>
      </c>
    </row>
    <row r="10" spans="1:3" x14ac:dyDescent="0.25">
      <c r="B10" t="s">
        <v>1420</v>
      </c>
    </row>
    <row r="11" spans="1:3" x14ac:dyDescent="0.25">
      <c r="B11" t="s">
        <v>1375</v>
      </c>
    </row>
    <row r="12" spans="1:3" x14ac:dyDescent="0.25">
      <c r="B12" t="s">
        <v>594</v>
      </c>
    </row>
    <row r="13" spans="1:3" x14ac:dyDescent="0.25">
      <c r="C13" t="s">
        <v>1573</v>
      </c>
    </row>
    <row r="14" spans="1:3" x14ac:dyDescent="0.25">
      <c r="B14" t="s">
        <v>813</v>
      </c>
    </row>
    <row r="15" spans="1:3" x14ac:dyDescent="0.25">
      <c r="C15" t="s">
        <v>1574</v>
      </c>
    </row>
    <row r="16" spans="1:3" x14ac:dyDescent="0.25">
      <c r="B16" t="s">
        <v>1575</v>
      </c>
    </row>
    <row r="17" spans="1:3" x14ac:dyDescent="0.25">
      <c r="C17" t="s">
        <v>1576</v>
      </c>
    </row>
    <row r="18" spans="1:3" x14ac:dyDescent="0.25">
      <c r="A18" t="s">
        <v>1577</v>
      </c>
    </row>
    <row r="19" spans="1:3" x14ac:dyDescent="0.25">
      <c r="A19" t="s">
        <v>671</v>
      </c>
    </row>
    <row r="20" spans="1:3" x14ac:dyDescent="0.25">
      <c r="A20" t="s">
        <v>1568</v>
      </c>
    </row>
    <row r="21" spans="1:3" x14ac:dyDescent="0.25">
      <c r="A21" t="s">
        <v>447</v>
      </c>
    </row>
    <row r="23" spans="1:3" x14ac:dyDescent="0.25">
      <c r="A23" t="s">
        <v>1578</v>
      </c>
    </row>
    <row r="24" spans="1:3" x14ac:dyDescent="0.25">
      <c r="A24" t="s">
        <v>572</v>
      </c>
    </row>
    <row r="25" spans="1:3" x14ac:dyDescent="0.25">
      <c r="A25" t="s">
        <v>1572</v>
      </c>
    </row>
    <row r="26" spans="1:3" x14ac:dyDescent="0.25">
      <c r="A26" t="s">
        <v>1579</v>
      </c>
    </row>
    <row r="27" spans="1:3" x14ac:dyDescent="0.25">
      <c r="A27" t="s">
        <v>1420</v>
      </c>
    </row>
    <row r="28" spans="1:3" x14ac:dyDescent="0.25">
      <c r="A28" t="s">
        <v>1580</v>
      </c>
    </row>
    <row r="29" spans="1:3" x14ac:dyDescent="0.25">
      <c r="A29" t="s">
        <v>1581</v>
      </c>
    </row>
    <row r="30" spans="1:3" x14ac:dyDescent="0.25">
      <c r="A30" t="s">
        <v>1375</v>
      </c>
    </row>
    <row r="31" spans="1:3" x14ac:dyDescent="0.25">
      <c r="A31" t="s">
        <v>594</v>
      </c>
    </row>
    <row r="32" spans="1:3" x14ac:dyDescent="0.25">
      <c r="B32" t="s">
        <v>1573</v>
      </c>
    </row>
    <row r="33" spans="1:2" x14ac:dyDescent="0.25">
      <c r="A33" t="s">
        <v>813</v>
      </c>
    </row>
    <row r="34" spans="1:2" x14ac:dyDescent="0.25">
      <c r="B34" t="s">
        <v>1574</v>
      </c>
    </row>
    <row r="35" spans="1:2" x14ac:dyDescent="0.25">
      <c r="A35" t="s">
        <v>1582</v>
      </c>
    </row>
    <row r="36" spans="1:2" x14ac:dyDescent="0.25">
      <c r="A36" t="s">
        <v>1583</v>
      </c>
    </row>
    <row r="38" spans="1:2" x14ac:dyDescent="0.25">
      <c r="A38" t="s">
        <v>1584</v>
      </c>
    </row>
    <row r="39" spans="1:2" x14ac:dyDescent="0.25">
      <c r="A39" t="s">
        <v>1585</v>
      </c>
    </row>
    <row r="42" spans="1:2" x14ac:dyDescent="0.25">
      <c r="A42" t="s">
        <v>572</v>
      </c>
    </row>
    <row r="43" spans="1:2" x14ac:dyDescent="0.25">
      <c r="A43" t="s">
        <v>1586</v>
      </c>
    </row>
    <row r="44" spans="1:2" x14ac:dyDescent="0.25">
      <c r="A44" t="s">
        <v>1587</v>
      </c>
    </row>
    <row r="45" spans="1:2" x14ac:dyDescent="0.25">
      <c r="A45" t="s">
        <v>919</v>
      </c>
    </row>
    <row r="46" spans="1:2" x14ac:dyDescent="0.25">
      <c r="A46" t="s">
        <v>590</v>
      </c>
    </row>
    <row r="47" spans="1:2" x14ac:dyDescent="0.25">
      <c r="A47" t="s">
        <v>1588</v>
      </c>
    </row>
    <row r="48" spans="1:2" x14ac:dyDescent="0.25">
      <c r="A48" t="s">
        <v>1589</v>
      </c>
    </row>
    <row r="49" spans="1:2" x14ac:dyDescent="0.25">
      <c r="A49" t="s">
        <v>1479</v>
      </c>
    </row>
    <row r="50" spans="1:2" x14ac:dyDescent="0.25">
      <c r="A50" t="s">
        <v>1480</v>
      </c>
    </row>
    <row r="51" spans="1:2" x14ac:dyDescent="0.25">
      <c r="A51" t="s">
        <v>1590</v>
      </c>
    </row>
    <row r="52" spans="1:2" x14ac:dyDescent="0.25">
      <c r="A52" t="s">
        <v>1591</v>
      </c>
    </row>
    <row r="53" spans="1:2" x14ac:dyDescent="0.25">
      <c r="A53" t="s">
        <v>1477</v>
      </c>
    </row>
    <row r="54" spans="1:2" x14ac:dyDescent="0.25">
      <c r="A54" t="s">
        <v>1592</v>
      </c>
    </row>
    <row r="55" spans="1:2" x14ac:dyDescent="0.25">
      <c r="A55" t="s">
        <v>1482</v>
      </c>
    </row>
    <row r="56" spans="1:2" x14ac:dyDescent="0.25">
      <c r="A56" t="s">
        <v>818</v>
      </c>
    </row>
    <row r="57" spans="1:2" x14ac:dyDescent="0.25">
      <c r="B57" t="s">
        <v>599</v>
      </c>
    </row>
    <row r="58" spans="1:2" x14ac:dyDescent="0.25">
      <c r="A58" t="s">
        <v>1593</v>
      </c>
    </row>
    <row r="59" spans="1:2" x14ac:dyDescent="0.25">
      <c r="A59" t="s">
        <v>1393</v>
      </c>
    </row>
    <row r="60" spans="1:2" x14ac:dyDescent="0.25">
      <c r="B60" t="s">
        <v>1594</v>
      </c>
    </row>
    <row r="62" spans="1:2" x14ac:dyDescent="0.25">
      <c r="A62" t="s">
        <v>254</v>
      </c>
    </row>
    <row r="63" spans="1:2" x14ac:dyDescent="0.25">
      <c r="A63" t="s">
        <v>1595</v>
      </c>
    </row>
    <row r="64" spans="1:2" x14ac:dyDescent="0.25">
      <c r="A64" t="s">
        <v>1596</v>
      </c>
    </row>
    <row r="66" spans="1:1" x14ac:dyDescent="0.25">
      <c r="A66" t="s">
        <v>1597</v>
      </c>
    </row>
    <row r="67" spans="1:1" x14ac:dyDescent="0.25">
      <c r="A67" t="s">
        <v>1598</v>
      </c>
    </row>
    <row r="68" spans="1:1" x14ac:dyDescent="0.25">
      <c r="A68" t="s">
        <v>1599</v>
      </c>
    </row>
    <row r="69" spans="1:1" x14ac:dyDescent="0.25">
      <c r="A69" t="s">
        <v>1600</v>
      </c>
    </row>
    <row r="70" spans="1:1" x14ac:dyDescent="0.25">
      <c r="A70" t="s">
        <v>1601</v>
      </c>
    </row>
    <row r="71" spans="1:1" x14ac:dyDescent="0.25">
      <c r="A71" t="s">
        <v>1602</v>
      </c>
    </row>
    <row r="72" spans="1:1" x14ac:dyDescent="0.25">
      <c r="A72" t="s">
        <v>258</v>
      </c>
    </row>
    <row r="74" spans="1:1" x14ac:dyDescent="0.25">
      <c r="A74" t="e">
        <f>-- all registrations associated with indicated party ids</f>
        <v>#NAME?</v>
      </c>
    </row>
    <row r="75" spans="1:1" x14ac:dyDescent="0.25">
      <c r="A75" t="s">
        <v>244</v>
      </c>
    </row>
    <row r="76" spans="1:1" x14ac:dyDescent="0.25">
      <c r="A76" t="s">
        <v>924</v>
      </c>
    </row>
    <row r="77" spans="1:1" x14ac:dyDescent="0.25">
      <c r="A77" t="s">
        <v>1603</v>
      </c>
    </row>
    <row r="78" spans="1:1" x14ac:dyDescent="0.25">
      <c r="A78" t="s">
        <v>1604</v>
      </c>
    </row>
    <row r="80" spans="1:1" x14ac:dyDescent="0.25">
      <c r="A80" t="s">
        <v>572</v>
      </c>
    </row>
    <row r="81" spans="1:2" x14ac:dyDescent="0.25">
      <c r="A81" t="s">
        <v>761</v>
      </c>
    </row>
    <row r="82" spans="1:2" x14ac:dyDescent="0.25">
      <c r="A82" t="s">
        <v>1605</v>
      </c>
    </row>
    <row r="83" spans="1:2" x14ac:dyDescent="0.25">
      <c r="A83" t="s">
        <v>1606</v>
      </c>
    </row>
    <row r="84" spans="1:2" x14ac:dyDescent="0.25">
      <c r="A84" t="s">
        <v>886</v>
      </c>
    </row>
    <row r="85" spans="1:2" x14ac:dyDescent="0.25">
      <c r="A85" t="s">
        <v>763</v>
      </c>
    </row>
    <row r="86" spans="1:2" x14ac:dyDescent="0.25">
      <c r="A86" t="s">
        <v>1607</v>
      </c>
    </row>
    <row r="87" spans="1:2" x14ac:dyDescent="0.25">
      <c r="B87" t="s">
        <v>1608</v>
      </c>
    </row>
    <row r="88" spans="1:2" x14ac:dyDescent="0.25">
      <c r="A88" t="s">
        <v>1609</v>
      </c>
    </row>
    <row r="89" spans="1:2" x14ac:dyDescent="0.25">
      <c r="B89" t="s">
        <v>1242</v>
      </c>
    </row>
    <row r="90" spans="1:2" x14ac:dyDescent="0.25">
      <c r="A90" t="s">
        <v>1610</v>
      </c>
    </row>
    <row r="91" spans="1:2" x14ac:dyDescent="0.25">
      <c r="A91" t="s">
        <v>1611</v>
      </c>
    </row>
    <row r="93" spans="1:2" x14ac:dyDescent="0.25">
      <c r="A93" t="s">
        <v>244</v>
      </c>
    </row>
    <row r="94" spans="1:2" x14ac:dyDescent="0.25">
      <c r="A94" t="s">
        <v>792</v>
      </c>
    </row>
    <row r="95" spans="1:2" x14ac:dyDescent="0.25">
      <c r="A95" t="s">
        <v>1612</v>
      </c>
    </row>
    <row r="96" spans="1:2" x14ac:dyDescent="0.25">
      <c r="A96" t="s">
        <v>1613</v>
      </c>
    </row>
    <row r="99" spans="1:2" x14ac:dyDescent="0.25">
      <c r="A99" t="s">
        <v>607</v>
      </c>
    </row>
    <row r="100" spans="1:2" x14ac:dyDescent="0.25">
      <c r="A100" t="s">
        <v>1226</v>
      </c>
    </row>
    <row r="102" spans="1:2" x14ac:dyDescent="0.25">
      <c r="A102" t="s">
        <v>244</v>
      </c>
    </row>
    <row r="103" spans="1:2" x14ac:dyDescent="0.25">
      <c r="A103" t="s">
        <v>1614</v>
      </c>
    </row>
    <row r="104" spans="1:2" x14ac:dyDescent="0.25">
      <c r="A104" t="s">
        <v>16</v>
      </c>
      <c r="B104" t="s">
        <v>1615</v>
      </c>
    </row>
    <row r="105" spans="1:2" x14ac:dyDescent="0.25">
      <c r="B105" t="s">
        <v>1616</v>
      </c>
    </row>
    <row r="107" spans="1:2" x14ac:dyDescent="0.25">
      <c r="A107" t="s">
        <v>800</v>
      </c>
    </row>
    <row r="108" spans="1:2" x14ac:dyDescent="0.25">
      <c r="A108" t="s">
        <v>1617</v>
      </c>
    </row>
    <row r="109" spans="1:2" x14ac:dyDescent="0.25">
      <c r="A109" t="s">
        <v>1618</v>
      </c>
    </row>
    <row r="110" spans="1:2" x14ac:dyDescent="0.25">
      <c r="B110" t="s">
        <v>1619</v>
      </c>
    </row>
    <row r="111" spans="1:2" x14ac:dyDescent="0.25">
      <c r="A111" t="s">
        <v>1620</v>
      </c>
    </row>
    <row r="114" spans="1:1" x14ac:dyDescent="0.25">
      <c r="A114" t="s">
        <v>572</v>
      </c>
    </row>
    <row r="115" spans="1:1" x14ac:dyDescent="0.25">
      <c r="A115" t="s">
        <v>646</v>
      </c>
    </row>
    <row r="116" spans="1:1" x14ac:dyDescent="0.25">
      <c r="A116" t="s">
        <v>1621</v>
      </c>
    </row>
    <row r="117" spans="1:1" x14ac:dyDescent="0.25">
      <c r="A117" t="s">
        <v>1622</v>
      </c>
    </row>
    <row r="118" spans="1:1" x14ac:dyDescent="0.25">
      <c r="A118" t="s">
        <v>1623</v>
      </c>
    </row>
    <row r="119" spans="1:1" x14ac:dyDescent="0.25">
      <c r="A119" t="s">
        <v>1624</v>
      </c>
    </row>
    <row r="121" spans="1:1" x14ac:dyDescent="0.25">
      <c r="A121" t="e">
        <f>-- compare affiliations</f>
        <v>#NAME?</v>
      </c>
    </row>
    <row r="122" spans="1:1" x14ac:dyDescent="0.25">
      <c r="A122" t="s">
        <v>572</v>
      </c>
    </row>
    <row r="123" spans="1:1" x14ac:dyDescent="0.25">
      <c r="A123" t="s">
        <v>807</v>
      </c>
    </row>
    <row r="124" spans="1:1" x14ac:dyDescent="0.25">
      <c r="A124" t="s">
        <v>585</v>
      </c>
    </row>
    <row r="125" spans="1:1" x14ac:dyDescent="0.25">
      <c r="A125" t="s">
        <v>1625</v>
      </c>
    </row>
    <row r="126" spans="1:1" x14ac:dyDescent="0.25">
      <c r="A126" t="s">
        <v>1626</v>
      </c>
    </row>
    <row r="127" spans="1:1" x14ac:dyDescent="0.25">
      <c r="A127" t="s">
        <v>1627</v>
      </c>
    </row>
    <row r="128" spans="1:1" x14ac:dyDescent="0.25">
      <c r="A128" t="s">
        <v>1628</v>
      </c>
    </row>
    <row r="129" spans="1:2" x14ac:dyDescent="0.25">
      <c r="A129" t="s">
        <v>1629</v>
      </c>
    </row>
    <row r="130" spans="1:2" x14ac:dyDescent="0.25">
      <c r="A130" t="s">
        <v>1630</v>
      </c>
    </row>
    <row r="131" spans="1:2" x14ac:dyDescent="0.25">
      <c r="A131" t="s">
        <v>1631</v>
      </c>
    </row>
    <row r="132" spans="1:2" x14ac:dyDescent="0.25">
      <c r="A132" t="s">
        <v>1632</v>
      </c>
    </row>
    <row r="133" spans="1:2" x14ac:dyDescent="0.25">
      <c r="A133" t="s">
        <v>1633</v>
      </c>
    </row>
    <row r="134" spans="1:2" x14ac:dyDescent="0.25">
      <c r="A134" t="s">
        <v>1634</v>
      </c>
    </row>
    <row r="135" spans="1:2" x14ac:dyDescent="0.25">
      <c r="A135" t="s">
        <v>593</v>
      </c>
    </row>
    <row r="136" spans="1:2" x14ac:dyDescent="0.25">
      <c r="A136" t="s">
        <v>1635</v>
      </c>
    </row>
    <row r="137" spans="1:2" x14ac:dyDescent="0.25">
      <c r="B137" t="s">
        <v>1636</v>
      </c>
    </row>
    <row r="138" spans="1:2" x14ac:dyDescent="0.25">
      <c r="A138" t="s">
        <v>706</v>
      </c>
    </row>
    <row r="139" spans="1:2" x14ac:dyDescent="0.25">
      <c r="A139" t="s">
        <v>697</v>
      </c>
    </row>
    <row r="140" spans="1:2" x14ac:dyDescent="0.25">
      <c r="A140" t="s">
        <v>572</v>
      </c>
    </row>
    <row r="141" spans="1:2" x14ac:dyDescent="0.25">
      <c r="A141" t="s">
        <v>646</v>
      </c>
    </row>
    <row r="142" spans="1:2" x14ac:dyDescent="0.25">
      <c r="A142" t="s">
        <v>455</v>
      </c>
    </row>
    <row r="143" spans="1:2" x14ac:dyDescent="0.25">
      <c r="A143" t="s">
        <v>1637</v>
      </c>
    </row>
    <row r="144" spans="1:2" x14ac:dyDescent="0.25">
      <c r="A144" t="s">
        <v>1638</v>
      </c>
    </row>
    <row r="145" spans="1:2" x14ac:dyDescent="0.25">
      <c r="B145" t="s">
        <v>1639</v>
      </c>
    </row>
    <row r="146" spans="1:2" x14ac:dyDescent="0.25">
      <c r="A146" t="s">
        <v>706</v>
      </c>
    </row>
    <row r="147" spans="1:2" x14ac:dyDescent="0.25">
      <c r="A147" t="s">
        <v>697</v>
      </c>
    </row>
    <row r="148" spans="1:2" x14ac:dyDescent="0.25">
      <c r="A148" t="s">
        <v>572</v>
      </c>
    </row>
    <row r="149" spans="1:2" x14ac:dyDescent="0.25">
      <c r="A149" t="s">
        <v>646</v>
      </c>
    </row>
    <row r="150" spans="1:2" x14ac:dyDescent="0.25">
      <c r="A150" t="s">
        <v>455</v>
      </c>
    </row>
    <row r="151" spans="1:2" x14ac:dyDescent="0.25">
      <c r="A151" t="s">
        <v>1640</v>
      </c>
    </row>
    <row r="152" spans="1:2" x14ac:dyDescent="0.25">
      <c r="A152" t="s">
        <v>1641</v>
      </c>
    </row>
    <row r="153" spans="1:2" x14ac:dyDescent="0.25">
      <c r="B153" t="s">
        <v>1642</v>
      </c>
    </row>
    <row r="154" spans="1:2" x14ac:dyDescent="0.25">
      <c r="A154" t="s">
        <v>1643</v>
      </c>
    </row>
    <row r="156" spans="1:2" x14ac:dyDescent="0.25">
      <c r="A156" t="s">
        <v>572</v>
      </c>
    </row>
    <row r="157" spans="1:2" x14ac:dyDescent="0.25">
      <c r="A157" t="s">
        <v>1369</v>
      </c>
    </row>
    <row r="158" spans="1:2" x14ac:dyDescent="0.25">
      <c r="A158" t="s">
        <v>1370</v>
      </c>
    </row>
    <row r="159" spans="1:2" x14ac:dyDescent="0.25">
      <c r="A159" t="s">
        <v>1371</v>
      </c>
    </row>
    <row r="160" spans="1:2" x14ac:dyDescent="0.25">
      <c r="A160" t="s">
        <v>930</v>
      </c>
    </row>
    <row r="161" spans="1:2" x14ac:dyDescent="0.25">
      <c r="A161" t="s">
        <v>1375</v>
      </c>
    </row>
    <row r="162" spans="1:2" x14ac:dyDescent="0.25">
      <c r="A162" t="s">
        <v>1376</v>
      </c>
    </row>
    <row r="163" spans="1:2" x14ac:dyDescent="0.25">
      <c r="B163" t="s">
        <v>1377</v>
      </c>
    </row>
    <row r="164" spans="1:2" x14ac:dyDescent="0.25">
      <c r="A164" t="s">
        <v>1378</v>
      </c>
    </row>
    <row r="165" spans="1:2" x14ac:dyDescent="0.25">
      <c r="B165" t="s">
        <v>1379</v>
      </c>
    </row>
    <row r="166" spans="1:2" x14ac:dyDescent="0.25">
      <c r="A166" t="s">
        <v>1644</v>
      </c>
    </row>
    <row r="168" spans="1:2" x14ac:dyDescent="0.25">
      <c r="A168" t="s">
        <v>1645</v>
      </c>
    </row>
    <row r="169" spans="1:2" x14ac:dyDescent="0.25">
      <c r="A169" t="s">
        <v>1646</v>
      </c>
    </row>
    <row r="171" spans="1:2" x14ac:dyDescent="0.25">
      <c r="A171" t="s">
        <v>1647</v>
      </c>
    </row>
    <row r="172" spans="1:2" x14ac:dyDescent="0.25">
      <c r="A172" t="s">
        <v>924</v>
      </c>
    </row>
    <row r="173" spans="1:2" x14ac:dyDescent="0.25">
      <c r="A173" t="s">
        <v>1648</v>
      </c>
    </row>
    <row r="176" spans="1:2" x14ac:dyDescent="0.25">
      <c r="A176" t="s">
        <v>572</v>
      </c>
    </row>
    <row r="177" spans="1:2" x14ac:dyDescent="0.25">
      <c r="A177" t="s">
        <v>807</v>
      </c>
    </row>
    <row r="178" spans="1:2" x14ac:dyDescent="0.25">
      <c r="A178" t="s">
        <v>585</v>
      </c>
    </row>
    <row r="179" spans="1:2" x14ac:dyDescent="0.25">
      <c r="A179" t="s">
        <v>636</v>
      </c>
    </row>
    <row r="180" spans="1:2" x14ac:dyDescent="0.25">
      <c r="A180" t="s">
        <v>637</v>
      </c>
    </row>
    <row r="181" spans="1:2" x14ac:dyDescent="0.25">
      <c r="A181" t="s">
        <v>1649</v>
      </c>
    </row>
    <row r="182" spans="1:2" x14ac:dyDescent="0.25">
      <c r="A182" t="s">
        <v>1650</v>
      </c>
    </row>
    <row r="183" spans="1:2" x14ac:dyDescent="0.25">
      <c r="A183" t="s">
        <v>455</v>
      </c>
    </row>
    <row r="184" spans="1:2" x14ac:dyDescent="0.25">
      <c r="A184" t="s">
        <v>818</v>
      </c>
    </row>
    <row r="185" spans="1:2" x14ac:dyDescent="0.25">
      <c r="B185" t="s">
        <v>599</v>
      </c>
    </row>
    <row r="186" spans="1:2" x14ac:dyDescent="0.25">
      <c r="A186" t="s">
        <v>813</v>
      </c>
    </row>
    <row r="187" spans="1:2" x14ac:dyDescent="0.25">
      <c r="B187" t="s">
        <v>1651</v>
      </c>
    </row>
    <row r="188" spans="1:2" x14ac:dyDescent="0.25">
      <c r="A188" t="s">
        <v>1652</v>
      </c>
    </row>
    <row r="189" spans="1:2" x14ac:dyDescent="0.25">
      <c r="A189" t="s">
        <v>1653</v>
      </c>
    </row>
    <row r="190" spans="1:2" x14ac:dyDescent="0.25">
      <c r="A190" t="s">
        <v>1654</v>
      </c>
    </row>
    <row r="192" spans="1:2" x14ac:dyDescent="0.25">
      <c r="A192" t="s">
        <v>572</v>
      </c>
    </row>
    <row r="193" spans="1:1" x14ac:dyDescent="0.25">
      <c r="A193" t="s">
        <v>1655</v>
      </c>
    </row>
    <row r="194" spans="1:1" x14ac:dyDescent="0.25">
      <c r="A194" t="s">
        <v>1656</v>
      </c>
    </row>
    <row r="195" spans="1:1" x14ac:dyDescent="0.25">
      <c r="A195" t="s">
        <v>1657</v>
      </c>
    </row>
    <row r="196" spans="1:1" x14ac:dyDescent="0.25">
      <c r="A196" t="s">
        <v>1015</v>
      </c>
    </row>
    <row r="197" spans="1:1" x14ac:dyDescent="0.25">
      <c r="A197" t="s">
        <v>1658</v>
      </c>
    </row>
    <row r="198" spans="1:1" x14ac:dyDescent="0.25">
      <c r="A198" t="s">
        <v>1659</v>
      </c>
    </row>
    <row r="199" spans="1:1" x14ac:dyDescent="0.25">
      <c r="A199" t="s">
        <v>1660</v>
      </c>
    </row>
    <row r="201" spans="1:1" x14ac:dyDescent="0.25">
      <c r="A201" t="e">
        <f>-- related service locations FROM ownership change</f>
        <v>#NAME?</v>
      </c>
    </row>
    <row r="202" spans="1:1" x14ac:dyDescent="0.25">
      <c r="A202" t="s">
        <v>572</v>
      </c>
    </row>
    <row r="203" spans="1:1" x14ac:dyDescent="0.25">
      <c r="A203" t="s">
        <v>1661</v>
      </c>
    </row>
    <row r="204" spans="1:1" x14ac:dyDescent="0.25">
      <c r="A204" t="s">
        <v>1625</v>
      </c>
    </row>
    <row r="205" spans="1:1" x14ac:dyDescent="0.25">
      <c r="A205" t="s">
        <v>1628</v>
      </c>
    </row>
    <row r="206" spans="1:1" x14ac:dyDescent="0.25">
      <c r="A206" t="s">
        <v>1371</v>
      </c>
    </row>
    <row r="207" spans="1:1" x14ac:dyDescent="0.25">
      <c r="A207" t="s">
        <v>1662</v>
      </c>
    </row>
    <row r="208" spans="1:1" x14ac:dyDescent="0.25">
      <c r="A208" t="s">
        <v>1663</v>
      </c>
    </row>
    <row r="209" spans="1:2" x14ac:dyDescent="0.25">
      <c r="B209" t="s">
        <v>1664</v>
      </c>
    </row>
    <row r="210" spans="1:2" x14ac:dyDescent="0.25">
      <c r="A210" t="s">
        <v>1376</v>
      </c>
    </row>
    <row r="211" spans="1:2" x14ac:dyDescent="0.25">
      <c r="B211" t="s">
        <v>1377</v>
      </c>
    </row>
    <row r="212" spans="1:2" x14ac:dyDescent="0.25">
      <c r="A212" t="s">
        <v>1665</v>
      </c>
    </row>
    <row r="214" spans="1:2" x14ac:dyDescent="0.25">
      <c r="A214" t="s">
        <v>1303</v>
      </c>
    </row>
    <row r="215" spans="1:2" x14ac:dyDescent="0.25">
      <c r="A215" t="s">
        <v>744</v>
      </c>
    </row>
    <row r="216" spans="1:2" x14ac:dyDescent="0.25">
      <c r="A216" t="s">
        <v>745</v>
      </c>
    </row>
    <row r="217" spans="1:2" x14ac:dyDescent="0.25">
      <c r="A217" t="s">
        <v>880</v>
      </c>
    </row>
    <row r="218" spans="1:2" x14ac:dyDescent="0.25">
      <c r="A218" t="s">
        <v>1605</v>
      </c>
    </row>
    <row r="219" spans="1:2" x14ac:dyDescent="0.25">
      <c r="A219" t="s">
        <v>1666</v>
      </c>
    </row>
    <row r="220" spans="1:2" x14ac:dyDescent="0.25">
      <c r="A220" t="s">
        <v>1667</v>
      </c>
    </row>
    <row r="221" spans="1:2" x14ac:dyDescent="0.25">
      <c r="A221" t="s">
        <v>886</v>
      </c>
    </row>
    <row r="222" spans="1:2" x14ac:dyDescent="0.25">
      <c r="A222" t="s">
        <v>763</v>
      </c>
    </row>
    <row r="223" spans="1:2" x14ac:dyDescent="0.25">
      <c r="A223" t="s">
        <v>1240</v>
      </c>
    </row>
    <row r="224" spans="1:2" x14ac:dyDescent="0.25">
      <c r="B224" t="s">
        <v>1241</v>
      </c>
    </row>
    <row r="225" spans="1:2" x14ac:dyDescent="0.25">
      <c r="A225" t="s">
        <v>765</v>
      </c>
    </row>
    <row r="226" spans="1:2" x14ac:dyDescent="0.25">
      <c r="B226" t="s">
        <v>1242</v>
      </c>
    </row>
    <row r="227" spans="1:2" x14ac:dyDescent="0.25">
      <c r="A227" t="s">
        <v>1668</v>
      </c>
    </row>
    <row r="228" spans="1:2" x14ac:dyDescent="0.25">
      <c r="A228" t="s">
        <v>1669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8"/>
  <sheetViews>
    <sheetView topLeftCell="A93" workbookViewId="0">
      <selection activeCell="A67" sqref="A67:C108"/>
    </sheetView>
  </sheetViews>
  <sheetFormatPr defaultRowHeight="15" x14ac:dyDescent="0.25"/>
  <sheetData>
    <row r="1" spans="1:1" x14ac:dyDescent="0.25">
      <c r="A1" t="s">
        <v>572</v>
      </c>
    </row>
    <row r="2" spans="1:1" x14ac:dyDescent="0.25">
      <c r="A2" t="s">
        <v>573</v>
      </c>
    </row>
    <row r="3" spans="1:1" x14ac:dyDescent="0.25">
      <c r="A3" t="s">
        <v>574</v>
      </c>
    </row>
    <row r="4" spans="1:1" x14ac:dyDescent="0.25">
      <c r="A4" t="s">
        <v>575</v>
      </c>
    </row>
    <row r="5" spans="1:1" x14ac:dyDescent="0.25">
      <c r="A5" t="s">
        <v>576</v>
      </c>
    </row>
    <row r="6" spans="1:1" x14ac:dyDescent="0.25">
      <c r="A6" t="s">
        <v>577</v>
      </c>
    </row>
    <row r="8" spans="1:1" x14ac:dyDescent="0.25">
      <c r="A8" t="s">
        <v>244</v>
      </c>
    </row>
    <row r="9" spans="1:1" x14ac:dyDescent="0.25">
      <c r="A9" t="s">
        <v>578</v>
      </c>
    </row>
    <row r="10" spans="1:1" x14ac:dyDescent="0.25">
      <c r="A10" t="s">
        <v>579</v>
      </c>
    </row>
    <row r="12" spans="1:1" x14ac:dyDescent="0.25">
      <c r="A12" t="s">
        <v>244</v>
      </c>
    </row>
    <row r="13" spans="1:1" x14ac:dyDescent="0.25">
      <c r="A13" t="s">
        <v>580</v>
      </c>
    </row>
    <row r="14" spans="1:1" x14ac:dyDescent="0.25">
      <c r="A14" t="s">
        <v>581</v>
      </c>
    </row>
    <row r="16" spans="1:1" x14ac:dyDescent="0.25">
      <c r="A16" t="s">
        <v>244</v>
      </c>
    </row>
    <row r="17" spans="1:2" x14ac:dyDescent="0.25">
      <c r="A17" t="s">
        <v>582</v>
      </c>
    </row>
    <row r="18" spans="1:2" x14ac:dyDescent="0.25">
      <c r="A18" t="s">
        <v>583</v>
      </c>
    </row>
    <row r="20" spans="1:2" x14ac:dyDescent="0.25">
      <c r="A20" t="s">
        <v>572</v>
      </c>
    </row>
    <row r="21" spans="1:2" x14ac:dyDescent="0.25">
      <c r="A21" t="s">
        <v>584</v>
      </c>
    </row>
    <row r="22" spans="1:2" x14ac:dyDescent="0.25">
      <c r="A22" t="s">
        <v>585</v>
      </c>
    </row>
    <row r="23" spans="1:2" x14ac:dyDescent="0.25">
      <c r="A23" t="s">
        <v>586</v>
      </c>
    </row>
    <row r="24" spans="1:2" x14ac:dyDescent="0.25">
      <c r="A24" t="s">
        <v>587</v>
      </c>
    </row>
    <row r="25" spans="1:2" x14ac:dyDescent="0.25">
      <c r="A25" t="s">
        <v>588</v>
      </c>
    </row>
    <row r="26" spans="1:2" x14ac:dyDescent="0.25">
      <c r="A26" t="s">
        <v>589</v>
      </c>
    </row>
    <row r="27" spans="1:2" x14ac:dyDescent="0.25">
      <c r="A27" t="s">
        <v>590</v>
      </c>
    </row>
    <row r="28" spans="1:2" x14ac:dyDescent="0.25">
      <c r="A28" t="s">
        <v>591</v>
      </c>
    </row>
    <row r="29" spans="1:2" x14ac:dyDescent="0.25">
      <c r="A29" t="s">
        <v>592</v>
      </c>
    </row>
    <row r="30" spans="1:2" x14ac:dyDescent="0.25">
      <c r="A30" t="s">
        <v>593</v>
      </c>
    </row>
    <row r="31" spans="1:2" x14ac:dyDescent="0.25">
      <c r="A31" t="s">
        <v>594</v>
      </c>
    </row>
    <row r="32" spans="1:2" x14ac:dyDescent="0.25">
      <c r="B32" t="s">
        <v>595</v>
      </c>
    </row>
    <row r="33" spans="1:2" x14ac:dyDescent="0.25">
      <c r="A33" t="s">
        <v>596</v>
      </c>
    </row>
    <row r="34" spans="1:2" x14ac:dyDescent="0.25">
      <c r="B34" t="s">
        <v>597</v>
      </c>
    </row>
    <row r="35" spans="1:2" x14ac:dyDescent="0.25">
      <c r="A35" t="s">
        <v>598</v>
      </c>
    </row>
    <row r="36" spans="1:2" x14ac:dyDescent="0.25">
      <c r="B36" t="s">
        <v>599</v>
      </c>
    </row>
    <row r="37" spans="1:2" x14ac:dyDescent="0.25">
      <c r="A37" t="s">
        <v>600</v>
      </c>
    </row>
    <row r="38" spans="1:2" x14ac:dyDescent="0.25">
      <c r="B38" t="s">
        <v>601</v>
      </c>
    </row>
    <row r="39" spans="1:2" x14ac:dyDescent="0.25">
      <c r="A39" t="s">
        <v>602</v>
      </c>
    </row>
    <row r="41" spans="1:2" x14ac:dyDescent="0.25">
      <c r="B41" t="s">
        <v>603</v>
      </c>
    </row>
    <row r="43" spans="1:2" x14ac:dyDescent="0.25">
      <c r="A43" t="s">
        <v>244</v>
      </c>
    </row>
    <row r="44" spans="1:2" x14ac:dyDescent="0.25">
      <c r="A44" t="s">
        <v>604</v>
      </c>
    </row>
    <row r="45" spans="1:2" x14ac:dyDescent="0.25">
      <c r="A45" t="s">
        <v>605</v>
      </c>
    </row>
    <row r="47" spans="1:2" x14ac:dyDescent="0.25">
      <c r="A47" t="s">
        <v>244</v>
      </c>
    </row>
    <row r="48" spans="1:2" x14ac:dyDescent="0.25">
      <c r="A48" t="s">
        <v>533</v>
      </c>
    </row>
    <row r="49" spans="1:2" x14ac:dyDescent="0.25">
      <c r="A49" t="s">
        <v>606</v>
      </c>
    </row>
    <row r="52" spans="1:2" x14ac:dyDescent="0.25">
      <c r="A52" t="s">
        <v>607</v>
      </c>
    </row>
    <row r="53" spans="1:2" x14ac:dyDescent="0.25">
      <c r="A53" t="s">
        <v>608</v>
      </c>
    </row>
    <row r="54" spans="1:2" x14ac:dyDescent="0.25">
      <c r="B54" t="s">
        <v>609</v>
      </c>
    </row>
    <row r="56" spans="1:2" x14ac:dyDescent="0.25">
      <c r="A56" t="s">
        <v>244</v>
      </c>
    </row>
    <row r="57" spans="1:2" x14ac:dyDescent="0.25">
      <c r="A57" t="s">
        <v>610</v>
      </c>
    </row>
    <row r="59" spans="1:2" x14ac:dyDescent="0.25">
      <c r="A59" t="s">
        <v>244</v>
      </c>
    </row>
    <row r="60" spans="1:2" x14ac:dyDescent="0.25">
      <c r="A60" t="s">
        <v>611</v>
      </c>
    </row>
    <row r="61" spans="1:2" x14ac:dyDescent="0.25">
      <c r="A61" t="s">
        <v>612</v>
      </c>
    </row>
    <row r="63" spans="1:2" x14ac:dyDescent="0.25">
      <c r="A63" t="s">
        <v>244</v>
      </c>
    </row>
    <row r="64" spans="1:2" x14ac:dyDescent="0.25">
      <c r="A64" t="s">
        <v>533</v>
      </c>
    </row>
    <row r="65" spans="1:1" x14ac:dyDescent="0.25">
      <c r="A65" t="s">
        <v>613</v>
      </c>
    </row>
    <row r="67" spans="1:1" x14ac:dyDescent="0.25">
      <c r="A67" t="s">
        <v>572</v>
      </c>
    </row>
    <row r="68" spans="1:1" x14ac:dyDescent="0.25">
      <c r="A68" t="s">
        <v>584</v>
      </c>
    </row>
    <row r="69" spans="1:1" x14ac:dyDescent="0.25">
      <c r="A69" t="s">
        <v>585</v>
      </c>
    </row>
    <row r="70" spans="1:1" x14ac:dyDescent="0.25">
      <c r="A70" t="s">
        <v>586</v>
      </c>
    </row>
    <row r="71" spans="1:1" x14ac:dyDescent="0.25">
      <c r="A71" t="s">
        <v>587</v>
      </c>
    </row>
    <row r="72" spans="1:1" x14ac:dyDescent="0.25">
      <c r="A72" t="s">
        <v>588</v>
      </c>
    </row>
    <row r="73" spans="1:1" x14ac:dyDescent="0.25">
      <c r="A73" t="s">
        <v>614</v>
      </c>
    </row>
    <row r="74" spans="1:1" x14ac:dyDescent="0.25">
      <c r="A74" t="s">
        <v>615</v>
      </c>
    </row>
    <row r="75" spans="1:1" x14ac:dyDescent="0.25">
      <c r="A75" t="s">
        <v>632</v>
      </c>
    </row>
    <row r="76" spans="1:1" x14ac:dyDescent="0.25">
      <c r="A76" t="s">
        <v>590</v>
      </c>
    </row>
    <row r="77" spans="1:1" x14ac:dyDescent="0.25">
      <c r="A77" t="s">
        <v>591</v>
      </c>
    </row>
    <row r="78" spans="1:1" x14ac:dyDescent="0.25">
      <c r="A78" t="s">
        <v>616</v>
      </c>
    </row>
    <row r="79" spans="1:1" x14ac:dyDescent="0.25">
      <c r="A79" t="s">
        <v>617</v>
      </c>
    </row>
    <row r="80" spans="1:1" x14ac:dyDescent="0.25">
      <c r="A80" t="s">
        <v>618</v>
      </c>
    </row>
    <row r="81" spans="1:2" x14ac:dyDescent="0.25">
      <c r="A81" t="s">
        <v>593</v>
      </c>
    </row>
    <row r="82" spans="1:2" x14ac:dyDescent="0.25">
      <c r="A82" t="s">
        <v>594</v>
      </c>
    </row>
    <row r="83" spans="1:2" x14ac:dyDescent="0.25">
      <c r="B83" t="s">
        <v>595</v>
      </c>
    </row>
    <row r="84" spans="1:2" x14ac:dyDescent="0.25">
      <c r="A84" t="s">
        <v>596</v>
      </c>
    </row>
    <row r="85" spans="1:2" x14ac:dyDescent="0.25">
      <c r="B85" t="s">
        <v>597</v>
      </c>
    </row>
    <row r="86" spans="1:2" x14ac:dyDescent="0.25">
      <c r="A86" t="s">
        <v>598</v>
      </c>
    </row>
    <row r="87" spans="1:2" x14ac:dyDescent="0.25">
      <c r="B87" t="s">
        <v>599</v>
      </c>
    </row>
    <row r="88" spans="1:2" x14ac:dyDescent="0.25">
      <c r="A88" t="s">
        <v>600</v>
      </c>
    </row>
    <row r="89" spans="1:2" x14ac:dyDescent="0.25">
      <c r="B89" t="s">
        <v>601</v>
      </c>
    </row>
    <row r="90" spans="1:2" x14ac:dyDescent="0.25">
      <c r="A90" t="s">
        <v>619</v>
      </c>
    </row>
    <row r="91" spans="1:2" x14ac:dyDescent="0.25">
      <c r="B91" t="s">
        <v>620</v>
      </c>
    </row>
    <row r="92" spans="1:2" x14ac:dyDescent="0.25">
      <c r="A92" t="s">
        <v>621</v>
      </c>
    </row>
    <row r="93" spans="1:2" x14ac:dyDescent="0.25">
      <c r="B93" t="s">
        <v>622</v>
      </c>
    </row>
    <row r="94" spans="1:2" x14ac:dyDescent="0.25">
      <c r="B94" t="s">
        <v>623</v>
      </c>
    </row>
    <row r="95" spans="1:2" x14ac:dyDescent="0.25">
      <c r="A95" t="s">
        <v>624</v>
      </c>
    </row>
    <row r="96" spans="1:2" x14ac:dyDescent="0.25">
      <c r="B96" t="s">
        <v>633</v>
      </c>
    </row>
    <row r="97" spans="1:3" x14ac:dyDescent="0.25">
      <c r="A97" t="s">
        <v>625</v>
      </c>
    </row>
    <row r="98" spans="1:3" x14ac:dyDescent="0.25">
      <c r="B98" t="s">
        <v>626</v>
      </c>
    </row>
    <row r="99" spans="1:3" x14ac:dyDescent="0.25">
      <c r="B99" t="s">
        <v>627</v>
      </c>
    </row>
    <row r="100" spans="1:3" x14ac:dyDescent="0.25">
      <c r="A100" t="s">
        <v>628</v>
      </c>
    </row>
    <row r="101" spans="1:3" x14ac:dyDescent="0.25">
      <c r="B101" t="s">
        <v>629</v>
      </c>
    </row>
    <row r="102" spans="1:3" x14ac:dyDescent="0.25">
      <c r="B102" t="s">
        <v>630</v>
      </c>
      <c r="C102" t="e">
        <f>-- Approved</f>
        <v>#NAME?</v>
      </c>
    </row>
    <row r="103" spans="1:3" x14ac:dyDescent="0.25">
      <c r="B103" t="s">
        <v>631</v>
      </c>
    </row>
    <row r="104" spans="1:3" x14ac:dyDescent="0.25">
      <c r="A104" t="s">
        <v>634</v>
      </c>
    </row>
    <row r="105" spans="1:3" x14ac:dyDescent="0.25">
      <c r="A105" t="s">
        <v>635</v>
      </c>
    </row>
    <row r="106" spans="1:3" x14ac:dyDescent="0.25">
      <c r="A106" t="s">
        <v>636</v>
      </c>
    </row>
    <row r="107" spans="1:3" x14ac:dyDescent="0.25">
      <c r="A107" t="s">
        <v>637</v>
      </c>
    </row>
    <row r="108" spans="1:3" x14ac:dyDescent="0.25">
      <c r="A108" t="s">
        <v>590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Views>
    <sheetView topLeftCell="A82" workbookViewId="0">
      <selection activeCell="A97" sqref="A97:A98"/>
    </sheetView>
  </sheetViews>
  <sheetFormatPr defaultRowHeight="15" x14ac:dyDescent="0.25"/>
  <sheetData>
    <row r="1" spans="1:1" x14ac:dyDescent="0.25">
      <c r="A1" t="s">
        <v>638</v>
      </c>
    </row>
    <row r="2" spans="1:1" x14ac:dyDescent="0.25">
      <c r="A2" t="s">
        <v>639</v>
      </c>
    </row>
    <row r="4" spans="1:1" x14ac:dyDescent="0.25">
      <c r="A4" t="s">
        <v>244</v>
      </c>
    </row>
    <row r="5" spans="1:1" x14ac:dyDescent="0.25">
      <c r="A5" t="s">
        <v>640</v>
      </c>
    </row>
    <row r="7" spans="1:1" x14ac:dyDescent="0.25">
      <c r="A7" t="e">
        <f>-- DELETE FROM RETURN_ROSTER_FILE</f>
        <v>#NAME?</v>
      </c>
    </row>
    <row r="9" spans="1:1" x14ac:dyDescent="0.25">
      <c r="A9" t="s">
        <v>538</v>
      </c>
    </row>
    <row r="10" spans="1:1" x14ac:dyDescent="0.25">
      <c r="A10" t="s">
        <v>641</v>
      </c>
    </row>
    <row r="11" spans="1:1" x14ac:dyDescent="0.25">
      <c r="A11" t="s">
        <v>642</v>
      </c>
    </row>
    <row r="12" spans="1:1" x14ac:dyDescent="0.25">
      <c r="A12" t="s">
        <v>643</v>
      </c>
    </row>
    <row r="13" spans="1:1" x14ac:dyDescent="0.25">
      <c r="A13" t="s">
        <v>644</v>
      </c>
    </row>
    <row r="14" spans="1:1" x14ac:dyDescent="0.25">
      <c r="A14" t="s">
        <v>641</v>
      </c>
    </row>
    <row r="16" spans="1:1" x14ac:dyDescent="0.25">
      <c r="A16" t="s">
        <v>645</v>
      </c>
    </row>
    <row r="17" spans="1:2" x14ac:dyDescent="0.25">
      <c r="A17" t="s">
        <v>646</v>
      </c>
    </row>
    <row r="18" spans="1:2" x14ac:dyDescent="0.25">
      <c r="A18" t="s">
        <v>647</v>
      </c>
    </row>
    <row r="19" spans="1:2" x14ac:dyDescent="0.25">
      <c r="A19" t="s">
        <v>648</v>
      </c>
    </row>
    <row r="20" spans="1:2" x14ac:dyDescent="0.25">
      <c r="A20" t="s">
        <v>247</v>
      </c>
      <c r="B20" t="s">
        <v>649</v>
      </c>
    </row>
    <row r="21" spans="1:2" x14ac:dyDescent="0.25">
      <c r="A21" t="e">
        <f>-- ORDER BY e.ErrorDate DESC</f>
        <v>#NAME?</v>
      </c>
    </row>
    <row r="22" spans="1:2" x14ac:dyDescent="0.25">
      <c r="A22" t="s">
        <v>650</v>
      </c>
    </row>
    <row r="24" spans="1:2" x14ac:dyDescent="0.25">
      <c r="A24" t="s">
        <v>244</v>
      </c>
    </row>
    <row r="25" spans="1:2" x14ac:dyDescent="0.25">
      <c r="A25" t="s">
        <v>651</v>
      </c>
    </row>
    <row r="26" spans="1:2" x14ac:dyDescent="0.25">
      <c r="A26" t="s">
        <v>652</v>
      </c>
    </row>
    <row r="27" spans="1:2" x14ac:dyDescent="0.25">
      <c r="A27" t="s">
        <v>653</v>
      </c>
    </row>
    <row r="29" spans="1:2" x14ac:dyDescent="0.25">
      <c r="A29" t="s">
        <v>538</v>
      </c>
    </row>
    <row r="30" spans="1:2" x14ac:dyDescent="0.25">
      <c r="A30" t="s">
        <v>654</v>
      </c>
    </row>
    <row r="31" spans="1:2" x14ac:dyDescent="0.25">
      <c r="A31" t="s">
        <v>655</v>
      </c>
    </row>
    <row r="32" spans="1:2" x14ac:dyDescent="0.25">
      <c r="A32" t="s">
        <v>656</v>
      </c>
    </row>
    <row r="33" spans="1:2" x14ac:dyDescent="0.25">
      <c r="B33" t="s">
        <v>657</v>
      </c>
    </row>
    <row r="34" spans="1:2" x14ac:dyDescent="0.25">
      <c r="A34" t="s">
        <v>658</v>
      </c>
    </row>
    <row r="36" spans="1:2" x14ac:dyDescent="0.25">
      <c r="A36" t="s">
        <v>645</v>
      </c>
    </row>
    <row r="37" spans="1:2" x14ac:dyDescent="0.25">
      <c r="A37" t="s">
        <v>646</v>
      </c>
    </row>
    <row r="38" spans="1:2" x14ac:dyDescent="0.25">
      <c r="A38" t="s">
        <v>245</v>
      </c>
    </row>
    <row r="39" spans="1:2" x14ac:dyDescent="0.25">
      <c r="A39" t="s">
        <v>251</v>
      </c>
    </row>
    <row r="41" spans="1:2" x14ac:dyDescent="0.25">
      <c r="A41" t="s">
        <v>572</v>
      </c>
    </row>
    <row r="42" spans="1:2" x14ac:dyDescent="0.25">
      <c r="A42" t="s">
        <v>646</v>
      </c>
    </row>
    <row r="43" spans="1:2" x14ac:dyDescent="0.25">
      <c r="A43" t="s">
        <v>659</v>
      </c>
    </row>
    <row r="44" spans="1:2" x14ac:dyDescent="0.25">
      <c r="A44" t="s">
        <v>660</v>
      </c>
    </row>
    <row r="45" spans="1:2" x14ac:dyDescent="0.25">
      <c r="B45" t="s">
        <v>661</v>
      </c>
    </row>
    <row r="47" spans="1:2" x14ac:dyDescent="0.25">
      <c r="A47" t="s">
        <v>662</v>
      </c>
    </row>
    <row r="48" spans="1:2" x14ac:dyDescent="0.25">
      <c r="A48" t="s">
        <v>663</v>
      </c>
    </row>
    <row r="52" spans="1:2" x14ac:dyDescent="0.25">
      <c r="A52" t="s">
        <v>254</v>
      </c>
    </row>
    <row r="53" spans="1:2" x14ac:dyDescent="0.25">
      <c r="A53" t="s">
        <v>538</v>
      </c>
    </row>
    <row r="54" spans="1:2" x14ac:dyDescent="0.25">
      <c r="A54" t="s">
        <v>664</v>
      </c>
    </row>
    <row r="55" spans="1:2" x14ac:dyDescent="0.25">
      <c r="A55" t="s">
        <v>665</v>
      </c>
    </row>
    <row r="56" spans="1:2" x14ac:dyDescent="0.25">
      <c r="A56" t="s">
        <v>655</v>
      </c>
    </row>
    <row r="57" spans="1:2" x14ac:dyDescent="0.25">
      <c r="A57" t="s">
        <v>656</v>
      </c>
    </row>
    <row r="58" spans="1:2" x14ac:dyDescent="0.25">
      <c r="B58" t="s">
        <v>657</v>
      </c>
    </row>
    <row r="59" spans="1:2" x14ac:dyDescent="0.25">
      <c r="A59" t="s">
        <v>644</v>
      </c>
    </row>
    <row r="60" spans="1:2" x14ac:dyDescent="0.25">
      <c r="A60" t="s">
        <v>664</v>
      </c>
    </row>
    <row r="61" spans="1:2" x14ac:dyDescent="0.25">
      <c r="A61" t="s">
        <v>634</v>
      </c>
    </row>
    <row r="62" spans="1:2" x14ac:dyDescent="0.25">
      <c r="A62" t="s">
        <v>664</v>
      </c>
    </row>
    <row r="64" spans="1:2" x14ac:dyDescent="0.25">
      <c r="A64" t="s">
        <v>572</v>
      </c>
    </row>
    <row r="65" spans="1:1" x14ac:dyDescent="0.25">
      <c r="A65" t="s">
        <v>666</v>
      </c>
    </row>
    <row r="66" spans="1:1" x14ac:dyDescent="0.25">
      <c r="A66" t="s">
        <v>667</v>
      </c>
    </row>
    <row r="67" spans="1:1" x14ac:dyDescent="0.25">
      <c r="A67" t="s">
        <v>668</v>
      </c>
    </row>
    <row r="68" spans="1:1" x14ac:dyDescent="0.25">
      <c r="A68" t="s">
        <v>669</v>
      </c>
    </row>
    <row r="69" spans="1:1" x14ac:dyDescent="0.25">
      <c r="A69" t="s">
        <v>670</v>
      </c>
    </row>
    <row r="70" spans="1:1" x14ac:dyDescent="0.25">
      <c r="A70" t="s">
        <v>671</v>
      </c>
    </row>
    <row r="71" spans="1:1" x14ac:dyDescent="0.25">
      <c r="A71" t="s">
        <v>666</v>
      </c>
    </row>
    <row r="72" spans="1:1" x14ac:dyDescent="0.25">
      <c r="A72" t="s">
        <v>667</v>
      </c>
    </row>
    <row r="73" spans="1:1" x14ac:dyDescent="0.25">
      <c r="A73" t="s">
        <v>672</v>
      </c>
    </row>
    <row r="74" spans="1:1" x14ac:dyDescent="0.25">
      <c r="A74" t="s">
        <v>666</v>
      </c>
    </row>
    <row r="75" spans="1:1" x14ac:dyDescent="0.25">
      <c r="A75" t="s">
        <v>667</v>
      </c>
    </row>
    <row r="79" spans="1:1" x14ac:dyDescent="0.25">
      <c r="A79" t="s">
        <v>572</v>
      </c>
    </row>
    <row r="80" spans="1:1" x14ac:dyDescent="0.25">
      <c r="A80" t="s">
        <v>673</v>
      </c>
    </row>
    <row r="81" spans="1:2" x14ac:dyDescent="0.25">
      <c r="A81" t="s">
        <v>674</v>
      </c>
    </row>
    <row r="82" spans="1:2" x14ac:dyDescent="0.25">
      <c r="A82" t="s">
        <v>675</v>
      </c>
    </row>
    <row r="83" spans="1:2" x14ac:dyDescent="0.25">
      <c r="A83" t="s">
        <v>655</v>
      </c>
    </row>
    <row r="84" spans="1:2" x14ac:dyDescent="0.25">
      <c r="A84" t="s">
        <v>656</v>
      </c>
    </row>
    <row r="85" spans="1:2" x14ac:dyDescent="0.25">
      <c r="B85" t="s">
        <v>657</v>
      </c>
    </row>
    <row r="86" spans="1:2" x14ac:dyDescent="0.25">
      <c r="A86" t="s">
        <v>676</v>
      </c>
    </row>
    <row r="87" spans="1:2" x14ac:dyDescent="0.25">
      <c r="B87" t="s">
        <v>677</v>
      </c>
    </row>
    <row r="88" spans="1:2" x14ac:dyDescent="0.25">
      <c r="A88" t="s">
        <v>678</v>
      </c>
    </row>
    <row r="89" spans="1:2" x14ac:dyDescent="0.25">
      <c r="B89" t="s">
        <v>679</v>
      </c>
    </row>
    <row r="90" spans="1:2" x14ac:dyDescent="0.25">
      <c r="A90" t="s">
        <v>658</v>
      </c>
    </row>
    <row r="92" spans="1:2" x14ac:dyDescent="0.25">
      <c r="A92" t="s">
        <v>258</v>
      </c>
    </row>
    <row r="94" spans="1:2" x14ac:dyDescent="0.25">
      <c r="A94" t="s">
        <v>680</v>
      </c>
    </row>
    <row r="95" spans="1:2" x14ac:dyDescent="0.25">
      <c r="A95" t="s">
        <v>681</v>
      </c>
    </row>
    <row r="96" spans="1:2" x14ac:dyDescent="0.25">
      <c r="A96" t="s">
        <v>682</v>
      </c>
    </row>
    <row r="97" spans="1:2" x14ac:dyDescent="0.25">
      <c r="A97" t="s">
        <v>683</v>
      </c>
    </row>
    <row r="98" spans="1:2" x14ac:dyDescent="0.25">
      <c r="A98" t="s">
        <v>684</v>
      </c>
    </row>
    <row r="100" spans="1:2" x14ac:dyDescent="0.25">
      <c r="A100" t="s">
        <v>685</v>
      </c>
    </row>
    <row r="101" spans="1:2" x14ac:dyDescent="0.25">
      <c r="A101" t="s">
        <v>686</v>
      </c>
    </row>
    <row r="102" spans="1:2" x14ac:dyDescent="0.25">
      <c r="B102" t="s">
        <v>687</v>
      </c>
    </row>
    <row r="103" spans="1:2" x14ac:dyDescent="0.25">
      <c r="A103" t="s">
        <v>572</v>
      </c>
    </row>
    <row r="104" spans="1:2" x14ac:dyDescent="0.25">
      <c r="A104" t="s">
        <v>673</v>
      </c>
    </row>
    <row r="105" spans="1:2" x14ac:dyDescent="0.25">
      <c r="A105" t="s">
        <v>688</v>
      </c>
    </row>
    <row r="106" spans="1:2" x14ac:dyDescent="0.25">
      <c r="A106" t="s">
        <v>675</v>
      </c>
    </row>
    <row r="107" spans="1:2" x14ac:dyDescent="0.25">
      <c r="A107" t="s">
        <v>689</v>
      </c>
    </row>
    <row r="108" spans="1:2" x14ac:dyDescent="0.25">
      <c r="A108" t="s">
        <v>690</v>
      </c>
    </row>
    <row r="109" spans="1:2" x14ac:dyDescent="0.25">
      <c r="A109" t="s">
        <v>542</v>
      </c>
    </row>
    <row r="110" spans="1:2" x14ac:dyDescent="0.25">
      <c r="A110" t="s">
        <v>691</v>
      </c>
    </row>
    <row r="111" spans="1:2" x14ac:dyDescent="0.25">
      <c r="A111" t="s">
        <v>692</v>
      </c>
    </row>
    <row r="112" spans="1:2" x14ac:dyDescent="0.25">
      <c r="A112" t="s">
        <v>693</v>
      </c>
    </row>
    <row r="113" spans="1:2" x14ac:dyDescent="0.25">
      <c r="B113" t="s">
        <v>694</v>
      </c>
    </row>
    <row r="114" spans="1:2" x14ac:dyDescent="0.25">
      <c r="A114" t="s">
        <v>656</v>
      </c>
    </row>
    <row r="115" spans="1:2" x14ac:dyDescent="0.25">
      <c r="B115" t="s">
        <v>657</v>
      </c>
    </row>
    <row r="116" spans="1:2" x14ac:dyDescent="0.25">
      <c r="A116" t="s">
        <v>624</v>
      </c>
    </row>
    <row r="117" spans="1:2" x14ac:dyDescent="0.25">
      <c r="B117" t="s">
        <v>695</v>
      </c>
    </row>
    <row r="118" spans="1:2" x14ac:dyDescent="0.25">
      <c r="A118" t="s">
        <v>696</v>
      </c>
    </row>
    <row r="119" spans="1:2" x14ac:dyDescent="0.25">
      <c r="A119" t="s">
        <v>697</v>
      </c>
    </row>
    <row r="120" spans="1:2" x14ac:dyDescent="0.25">
      <c r="A120" t="s">
        <v>698</v>
      </c>
    </row>
    <row r="121" spans="1:2" x14ac:dyDescent="0.25">
      <c r="A121" t="s">
        <v>678</v>
      </c>
    </row>
    <row r="122" spans="1:2" x14ac:dyDescent="0.25">
      <c r="B122" t="s">
        <v>699</v>
      </c>
    </row>
    <row r="123" spans="1:2" x14ac:dyDescent="0.25">
      <c r="B123" t="s">
        <v>700</v>
      </c>
    </row>
    <row r="124" spans="1:2" x14ac:dyDescent="0.25">
      <c r="B124" t="s">
        <v>701</v>
      </c>
    </row>
    <row r="126" spans="1:2" x14ac:dyDescent="0.25">
      <c r="A126" t="s">
        <v>244</v>
      </c>
    </row>
    <row r="127" spans="1:2" x14ac:dyDescent="0.25">
      <c r="A127" t="s">
        <v>702</v>
      </c>
    </row>
    <row r="130" spans="1:3" x14ac:dyDescent="0.25">
      <c r="A130" t="s">
        <v>538</v>
      </c>
    </row>
    <row r="131" spans="1:3" x14ac:dyDescent="0.25">
      <c r="A131" t="s">
        <v>703</v>
      </c>
    </row>
    <row r="132" spans="1:3" x14ac:dyDescent="0.25">
      <c r="A132" t="s">
        <v>704</v>
      </c>
    </row>
    <row r="133" spans="1:3" x14ac:dyDescent="0.25">
      <c r="A133" t="s">
        <v>705</v>
      </c>
    </row>
    <row r="134" spans="1:3" x14ac:dyDescent="0.25">
      <c r="A134" t="s">
        <v>647</v>
      </c>
    </row>
    <row r="135" spans="1:3" x14ac:dyDescent="0.25">
      <c r="A135" t="s">
        <v>706</v>
      </c>
    </row>
    <row r="136" spans="1:3" x14ac:dyDescent="0.25">
      <c r="A136" t="s">
        <v>697</v>
      </c>
    </row>
    <row r="137" spans="1:3" x14ac:dyDescent="0.25">
      <c r="B137" t="s">
        <v>572</v>
      </c>
    </row>
    <row r="138" spans="1:3" x14ac:dyDescent="0.25">
      <c r="B138" t="s">
        <v>673</v>
      </c>
    </row>
    <row r="139" spans="1:3" x14ac:dyDescent="0.25">
      <c r="B139" t="s">
        <v>707</v>
      </c>
    </row>
    <row r="140" spans="1:3" x14ac:dyDescent="0.25">
      <c r="B140" t="s">
        <v>689</v>
      </c>
    </row>
    <row r="141" spans="1:3" x14ac:dyDescent="0.25">
      <c r="B141" t="s">
        <v>690</v>
      </c>
    </row>
    <row r="142" spans="1:3" x14ac:dyDescent="0.25">
      <c r="B142" t="s">
        <v>692</v>
      </c>
    </row>
    <row r="143" spans="1:3" x14ac:dyDescent="0.25">
      <c r="B143" t="s">
        <v>693</v>
      </c>
    </row>
    <row r="144" spans="1:3" x14ac:dyDescent="0.25">
      <c r="C144" t="s">
        <v>694</v>
      </c>
    </row>
    <row r="145" spans="1:3" x14ac:dyDescent="0.25">
      <c r="B145" t="s">
        <v>656</v>
      </c>
    </row>
    <row r="146" spans="1:3" x14ac:dyDescent="0.25">
      <c r="C146" t="s">
        <v>657</v>
      </c>
    </row>
    <row r="147" spans="1:3" x14ac:dyDescent="0.25">
      <c r="A147" t="s">
        <v>708</v>
      </c>
    </row>
    <row r="148" spans="1:3" x14ac:dyDescent="0.25">
      <c r="B148" t="s">
        <v>709</v>
      </c>
    </row>
    <row r="149" spans="1:3" x14ac:dyDescent="0.25">
      <c r="B149" t="s">
        <v>710</v>
      </c>
    </row>
    <row r="150" spans="1:3" x14ac:dyDescent="0.25">
      <c r="A150" t="s">
        <v>711</v>
      </c>
    </row>
    <row r="151" spans="1:3" x14ac:dyDescent="0.25">
      <c r="B151" t="s">
        <v>712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8"/>
  <sheetViews>
    <sheetView topLeftCell="A64" workbookViewId="0">
      <selection activeCell="A70" sqref="A70:B83"/>
    </sheetView>
  </sheetViews>
  <sheetFormatPr defaultRowHeight="15" x14ac:dyDescent="0.25"/>
  <sheetData>
    <row r="1" spans="1:1" x14ac:dyDescent="0.25">
      <c r="A1" t="s">
        <v>254</v>
      </c>
    </row>
    <row r="2" spans="1:1" x14ac:dyDescent="0.25">
      <c r="A2" t="s">
        <v>713</v>
      </c>
    </row>
    <row r="3" spans="1:1" x14ac:dyDescent="0.25">
      <c r="A3" t="s">
        <v>714</v>
      </c>
    </row>
    <row r="4" spans="1:1" x14ac:dyDescent="0.25">
      <c r="A4" t="s">
        <v>715</v>
      </c>
    </row>
    <row r="5" spans="1:1" x14ac:dyDescent="0.25">
      <c r="A5" t="s">
        <v>716</v>
      </c>
    </row>
    <row r="6" spans="1:1" x14ac:dyDescent="0.25">
      <c r="A6" t="s">
        <v>717</v>
      </c>
    </row>
    <row r="7" spans="1:1" x14ac:dyDescent="0.25">
      <c r="A7" t="s">
        <v>718</v>
      </c>
    </row>
    <row r="9" spans="1:1" x14ac:dyDescent="0.25">
      <c r="A9" t="s">
        <v>719</v>
      </c>
    </row>
    <row r="10" spans="1:1" x14ac:dyDescent="0.25">
      <c r="A10" t="s">
        <v>720</v>
      </c>
    </row>
    <row r="11" spans="1:1" x14ac:dyDescent="0.25">
      <c r="A11" t="s">
        <v>721</v>
      </c>
    </row>
    <row r="12" spans="1:1" x14ac:dyDescent="0.25">
      <c r="A12" t="s">
        <v>722</v>
      </c>
    </row>
    <row r="13" spans="1:1" x14ac:dyDescent="0.25">
      <c r="A13" t="s">
        <v>723</v>
      </c>
    </row>
    <row r="14" spans="1:1" x14ac:dyDescent="0.25">
      <c r="A14" t="s">
        <v>724</v>
      </c>
    </row>
    <row r="15" spans="1:1" x14ac:dyDescent="0.25">
      <c r="A15" t="s">
        <v>725</v>
      </c>
    </row>
    <row r="16" spans="1:1" x14ac:dyDescent="0.25">
      <c r="A16" t="s">
        <v>724</v>
      </c>
    </row>
    <row r="17" spans="1:2" x14ac:dyDescent="0.25">
      <c r="A17" t="s">
        <v>726</v>
      </c>
    </row>
    <row r="18" spans="1:2" x14ac:dyDescent="0.25">
      <c r="A18" t="s">
        <v>727</v>
      </c>
    </row>
    <row r="19" spans="1:2" x14ac:dyDescent="0.25">
      <c r="A19" t="s">
        <v>728</v>
      </c>
    </row>
    <row r="20" spans="1:2" x14ac:dyDescent="0.25">
      <c r="A20" t="s">
        <v>729</v>
      </c>
    </row>
    <row r="22" spans="1:2" x14ac:dyDescent="0.25">
      <c r="A22" t="s">
        <v>258</v>
      </c>
    </row>
    <row r="23" spans="1:2" x14ac:dyDescent="0.25">
      <c r="A23">
        <f>-- 96</f>
        <v>96</v>
      </c>
    </row>
    <row r="24" spans="1:2" x14ac:dyDescent="0.25">
      <c r="A24" t="s">
        <v>730</v>
      </c>
    </row>
    <row r="25" spans="1:2" x14ac:dyDescent="0.25">
      <c r="A25" t="s">
        <v>731</v>
      </c>
    </row>
    <row r="26" spans="1:2" x14ac:dyDescent="0.25">
      <c r="B26" t="s">
        <v>732</v>
      </c>
    </row>
    <row r="27" spans="1:2" x14ac:dyDescent="0.25">
      <c r="A27" t="s">
        <v>538</v>
      </c>
    </row>
    <row r="28" spans="1:2" x14ac:dyDescent="0.25">
      <c r="A28" t="s">
        <v>646</v>
      </c>
    </row>
    <row r="29" spans="1:2" x14ac:dyDescent="0.25">
      <c r="A29" t="s">
        <v>733</v>
      </c>
    </row>
    <row r="30" spans="1:2" x14ac:dyDescent="0.25">
      <c r="A30" t="s">
        <v>734</v>
      </c>
    </row>
    <row r="31" spans="1:2" x14ac:dyDescent="0.25">
      <c r="A31" t="s">
        <v>735</v>
      </c>
    </row>
    <row r="32" spans="1:2" x14ac:dyDescent="0.25">
      <c r="B32" t="s">
        <v>736</v>
      </c>
    </row>
    <row r="34" spans="1:2" x14ac:dyDescent="0.25">
      <c r="A34" t="s">
        <v>737</v>
      </c>
    </row>
    <row r="35" spans="1:2" x14ac:dyDescent="0.25">
      <c r="A35" t="s">
        <v>738</v>
      </c>
    </row>
    <row r="36" spans="1:2" x14ac:dyDescent="0.25">
      <c r="B36" t="s">
        <v>739</v>
      </c>
    </row>
    <row r="37" spans="1:2" x14ac:dyDescent="0.25">
      <c r="A37" t="s">
        <v>538</v>
      </c>
    </row>
    <row r="38" spans="1:2" x14ac:dyDescent="0.25">
      <c r="A38" t="s">
        <v>646</v>
      </c>
    </row>
    <row r="39" spans="1:2" x14ac:dyDescent="0.25">
      <c r="A39" t="s">
        <v>740</v>
      </c>
    </row>
    <row r="40" spans="1:2" x14ac:dyDescent="0.25">
      <c r="A40" t="s">
        <v>741</v>
      </c>
    </row>
    <row r="41" spans="1:2" x14ac:dyDescent="0.25">
      <c r="A41" t="s">
        <v>742</v>
      </c>
    </row>
    <row r="42" spans="1:2" x14ac:dyDescent="0.25">
      <c r="B42" t="s">
        <v>743</v>
      </c>
    </row>
    <row r="45" spans="1:2" x14ac:dyDescent="0.25">
      <c r="A45" t="s">
        <v>572</v>
      </c>
    </row>
    <row r="46" spans="1:2" x14ac:dyDescent="0.25">
      <c r="A46" t="s">
        <v>744</v>
      </c>
    </row>
    <row r="47" spans="1:2" x14ac:dyDescent="0.25">
      <c r="A47" t="s">
        <v>745</v>
      </c>
    </row>
    <row r="48" spans="1:2" x14ac:dyDescent="0.25">
      <c r="A48" t="s">
        <v>746</v>
      </c>
    </row>
    <row r="49" spans="1:2" x14ac:dyDescent="0.25">
      <c r="A49" t="s">
        <v>747</v>
      </c>
    </row>
    <row r="50" spans="1:2" x14ac:dyDescent="0.25">
      <c r="A50" t="s">
        <v>748</v>
      </c>
    </row>
    <row r="51" spans="1:2" x14ac:dyDescent="0.25">
      <c r="A51" t="s">
        <v>749</v>
      </c>
    </row>
    <row r="52" spans="1:2" x14ac:dyDescent="0.25">
      <c r="A52" t="s">
        <v>750</v>
      </c>
    </row>
    <row r="53" spans="1:2" x14ac:dyDescent="0.25">
      <c r="A53" t="s">
        <v>751</v>
      </c>
    </row>
    <row r="54" spans="1:2" x14ac:dyDescent="0.25">
      <c r="B54" t="s">
        <v>752</v>
      </c>
    </row>
    <row r="55" spans="1:2" x14ac:dyDescent="0.25">
      <c r="A55" t="s">
        <v>753</v>
      </c>
    </row>
    <row r="56" spans="1:2" x14ac:dyDescent="0.25">
      <c r="B56" t="s">
        <v>754</v>
      </c>
    </row>
    <row r="57" spans="1:2" x14ac:dyDescent="0.25">
      <c r="A57" t="s">
        <v>755</v>
      </c>
    </row>
    <row r="59" spans="1:2" x14ac:dyDescent="0.25">
      <c r="A59" t="s">
        <v>727</v>
      </c>
    </row>
    <row r="60" spans="1:2" x14ac:dyDescent="0.25">
      <c r="A60" t="s">
        <v>728</v>
      </c>
    </row>
    <row r="61" spans="1:2" x14ac:dyDescent="0.25">
      <c r="A61" t="s">
        <v>729</v>
      </c>
    </row>
    <row r="62" spans="1:2" x14ac:dyDescent="0.25">
      <c r="A62" t="s">
        <v>756</v>
      </c>
    </row>
    <row r="63" spans="1:2" x14ac:dyDescent="0.25">
      <c r="B63" t="s">
        <v>757</v>
      </c>
    </row>
    <row r="64" spans="1:2" x14ac:dyDescent="0.25">
      <c r="A64" t="s">
        <v>758</v>
      </c>
    </row>
    <row r="66" spans="1:2" x14ac:dyDescent="0.25">
      <c r="A66" t="s">
        <v>607</v>
      </c>
    </row>
    <row r="67" spans="1:2" x14ac:dyDescent="0.25">
      <c r="A67" t="s">
        <v>759</v>
      </c>
    </row>
    <row r="68" spans="1:2" x14ac:dyDescent="0.25">
      <c r="A68" t="s">
        <v>760</v>
      </c>
    </row>
    <row r="70" spans="1:2" x14ac:dyDescent="0.25">
      <c r="A70" t="s">
        <v>572</v>
      </c>
    </row>
    <row r="71" spans="1:2" x14ac:dyDescent="0.25">
      <c r="A71" t="s">
        <v>761</v>
      </c>
    </row>
    <row r="72" spans="1:2" x14ac:dyDescent="0.25">
      <c r="A72" t="s">
        <v>762</v>
      </c>
    </row>
    <row r="73" spans="1:2" x14ac:dyDescent="0.25">
      <c r="A73" t="s">
        <v>665</v>
      </c>
    </row>
    <row r="74" spans="1:2" x14ac:dyDescent="0.25">
      <c r="A74" t="s">
        <v>763</v>
      </c>
    </row>
    <row r="75" spans="1:2" x14ac:dyDescent="0.25">
      <c r="A75" t="s">
        <v>751</v>
      </c>
    </row>
    <row r="76" spans="1:2" x14ac:dyDescent="0.25">
      <c r="B76" t="s">
        <v>764</v>
      </c>
    </row>
    <row r="77" spans="1:2" x14ac:dyDescent="0.25">
      <c r="A77" t="s">
        <v>765</v>
      </c>
    </row>
    <row r="78" spans="1:2" x14ac:dyDescent="0.25">
      <c r="B78" t="s">
        <v>766</v>
      </c>
    </row>
    <row r="79" spans="1:2" x14ac:dyDescent="0.25">
      <c r="A79" t="s">
        <v>767</v>
      </c>
    </row>
    <row r="80" spans="1:2" x14ac:dyDescent="0.25">
      <c r="A80" t="s">
        <v>768</v>
      </c>
    </row>
    <row r="81" spans="1:2" x14ac:dyDescent="0.25">
      <c r="A81" t="s">
        <v>644</v>
      </c>
    </row>
    <row r="82" spans="1:2" x14ac:dyDescent="0.25">
      <c r="A82" t="s">
        <v>761</v>
      </c>
    </row>
    <row r="83" spans="1:2" x14ac:dyDescent="0.25">
      <c r="A83" t="s">
        <v>762</v>
      </c>
    </row>
    <row r="85" spans="1:2" x14ac:dyDescent="0.25">
      <c r="A85" t="s">
        <v>244</v>
      </c>
    </row>
    <row r="86" spans="1:2" x14ac:dyDescent="0.25">
      <c r="A86" t="s">
        <v>741</v>
      </c>
    </row>
    <row r="87" spans="1:2" x14ac:dyDescent="0.25">
      <c r="A87" t="s">
        <v>769</v>
      </c>
    </row>
    <row r="88" spans="1:2" x14ac:dyDescent="0.25">
      <c r="B88" t="s">
        <v>770</v>
      </c>
    </row>
    <row r="90" spans="1:2" x14ac:dyDescent="0.25">
      <c r="A90" t="s">
        <v>244</v>
      </c>
    </row>
    <row r="91" spans="1:2" x14ac:dyDescent="0.25">
      <c r="A91" t="s">
        <v>734</v>
      </c>
    </row>
    <row r="92" spans="1:2" x14ac:dyDescent="0.25">
      <c r="A92" t="s">
        <v>771</v>
      </c>
    </row>
    <row r="94" spans="1:2" x14ac:dyDescent="0.25">
      <c r="A94" t="s">
        <v>254</v>
      </c>
    </row>
    <row r="95" spans="1:2" x14ac:dyDescent="0.25">
      <c r="A95" t="s">
        <v>772</v>
      </c>
    </row>
    <row r="96" spans="1:2" x14ac:dyDescent="0.25">
      <c r="A96" t="s">
        <v>773</v>
      </c>
    </row>
    <row r="97" spans="1:2" x14ac:dyDescent="0.25">
      <c r="A97" t="s">
        <v>774</v>
      </c>
    </row>
    <row r="98" spans="1:2" x14ac:dyDescent="0.25">
      <c r="A98" t="s">
        <v>775</v>
      </c>
    </row>
    <row r="99" spans="1:2" x14ac:dyDescent="0.25">
      <c r="A99" t="s">
        <v>727</v>
      </c>
    </row>
    <row r="100" spans="1:2" x14ac:dyDescent="0.25">
      <c r="A100" t="s">
        <v>728</v>
      </c>
    </row>
    <row r="101" spans="1:2" x14ac:dyDescent="0.25">
      <c r="A101" t="s">
        <v>729</v>
      </c>
    </row>
    <row r="102" spans="1:2" x14ac:dyDescent="0.25">
      <c r="A102" t="s">
        <v>771</v>
      </c>
    </row>
    <row r="104" spans="1:2" x14ac:dyDescent="0.25">
      <c r="A104" t="s">
        <v>776</v>
      </c>
    </row>
    <row r="105" spans="1:2" x14ac:dyDescent="0.25">
      <c r="A105" t="s">
        <v>777</v>
      </c>
    </row>
    <row r="106" spans="1:2" x14ac:dyDescent="0.25">
      <c r="A106" t="s">
        <v>778</v>
      </c>
    </row>
    <row r="107" spans="1:2" x14ac:dyDescent="0.25">
      <c r="B107" t="s">
        <v>779</v>
      </c>
    </row>
    <row r="109" spans="1:2" x14ac:dyDescent="0.25">
      <c r="A109" t="s">
        <v>780</v>
      </c>
    </row>
    <row r="110" spans="1:2" x14ac:dyDescent="0.25">
      <c r="A110" t="s">
        <v>777</v>
      </c>
    </row>
    <row r="111" spans="1:2" x14ac:dyDescent="0.25">
      <c r="A111" t="s">
        <v>769</v>
      </c>
    </row>
    <row r="112" spans="1:2" x14ac:dyDescent="0.25">
      <c r="B112" t="s">
        <v>779</v>
      </c>
    </row>
    <row r="113" spans="1:2" x14ac:dyDescent="0.25">
      <c r="A113" t="s">
        <v>258</v>
      </c>
    </row>
    <row r="115" spans="1:2" x14ac:dyDescent="0.25">
      <c r="A115" t="s">
        <v>572</v>
      </c>
    </row>
    <row r="116" spans="1:2" x14ac:dyDescent="0.25">
      <c r="A116" t="s">
        <v>744</v>
      </c>
    </row>
    <row r="117" spans="1:2" x14ac:dyDescent="0.25">
      <c r="A117" t="s">
        <v>745</v>
      </c>
    </row>
    <row r="118" spans="1:2" x14ac:dyDescent="0.25">
      <c r="A118" t="s">
        <v>746</v>
      </c>
    </row>
    <row r="119" spans="1:2" x14ac:dyDescent="0.25">
      <c r="A119" t="s">
        <v>747</v>
      </c>
    </row>
    <row r="120" spans="1:2" x14ac:dyDescent="0.25">
      <c r="A120" t="s">
        <v>748</v>
      </c>
    </row>
    <row r="121" spans="1:2" x14ac:dyDescent="0.25">
      <c r="A121" t="s">
        <v>749</v>
      </c>
    </row>
    <row r="122" spans="1:2" x14ac:dyDescent="0.25">
      <c r="A122" t="s">
        <v>781</v>
      </c>
    </row>
    <row r="123" spans="1:2" x14ac:dyDescent="0.25">
      <c r="A123" t="s">
        <v>751</v>
      </c>
    </row>
    <row r="124" spans="1:2" x14ac:dyDescent="0.25">
      <c r="B124" t="s">
        <v>752</v>
      </c>
    </row>
    <row r="125" spans="1:2" x14ac:dyDescent="0.25">
      <c r="A125" t="s">
        <v>753</v>
      </c>
    </row>
    <row r="126" spans="1:2" x14ac:dyDescent="0.25">
      <c r="B126" t="s">
        <v>754</v>
      </c>
    </row>
    <row r="127" spans="1:2" x14ac:dyDescent="0.25">
      <c r="A127" t="s">
        <v>782</v>
      </c>
    </row>
    <row r="128" spans="1:2" x14ac:dyDescent="0.25">
      <c r="A128" t="s">
        <v>755</v>
      </c>
    </row>
    <row r="130" spans="1:10" x14ac:dyDescent="0.25">
      <c r="A130" t="s">
        <v>254</v>
      </c>
    </row>
    <row r="131" spans="1:10" x14ac:dyDescent="0.25">
      <c r="A131" t="s">
        <v>783</v>
      </c>
    </row>
    <row r="132" spans="1:10" x14ac:dyDescent="0.25">
      <c r="A132" t="s">
        <v>784</v>
      </c>
    </row>
    <row r="133" spans="1:10" x14ac:dyDescent="0.25">
      <c r="A133" t="s">
        <v>785</v>
      </c>
    </row>
    <row r="134" spans="1:10" x14ac:dyDescent="0.25">
      <c r="A134" t="s">
        <v>258</v>
      </c>
    </row>
    <row r="137" spans="1:10" x14ac:dyDescent="0.25">
      <c r="A137" t="s">
        <v>786</v>
      </c>
    </row>
    <row r="138" spans="1:10" x14ac:dyDescent="0.25">
      <c r="A138" t="s">
        <v>787</v>
      </c>
      <c r="I138">
        <f>-- 627</f>
        <v>627</v>
      </c>
      <c r="J138">
        <f>-- 650</f>
        <v>650</v>
      </c>
    </row>
    <row r="139" spans="1:10" x14ac:dyDescent="0.25">
      <c r="A139" t="s">
        <v>788</v>
      </c>
      <c r="E139">
        <f>-- 2158</f>
        <v>2158</v>
      </c>
      <c r="F139">
        <f>-- 2295</f>
        <v>2295</v>
      </c>
    </row>
    <row r="140" spans="1:10" x14ac:dyDescent="0.25">
      <c r="A140" t="s">
        <v>789</v>
      </c>
      <c r="H140">
        <f>-- 2011</f>
        <v>2011</v>
      </c>
      <c r="I140">
        <f>-- 2154</f>
        <v>2154</v>
      </c>
    </row>
    <row r="141" spans="1:10" x14ac:dyDescent="0.25">
      <c r="A141" t="s">
        <v>790</v>
      </c>
      <c r="D141">
        <f>-- 627</f>
        <v>627</v>
      </c>
      <c r="E141">
        <f>-- 777</f>
        <v>777</v>
      </c>
    </row>
    <row r="142" spans="1:10" x14ac:dyDescent="0.25">
      <c r="A142" t="s">
        <v>791</v>
      </c>
      <c r="B142">
        <f>-- 2011</f>
        <v>2011</v>
      </c>
      <c r="C142">
        <f>-- 2587</f>
        <v>2587</v>
      </c>
    </row>
    <row r="144" spans="1:10" x14ac:dyDescent="0.25">
      <c r="A144" t="s">
        <v>244</v>
      </c>
    </row>
    <row r="145" spans="1:6" x14ac:dyDescent="0.25">
      <c r="A145" t="s">
        <v>792</v>
      </c>
    </row>
    <row r="146" spans="1:6" x14ac:dyDescent="0.25">
      <c r="A146" t="s">
        <v>793</v>
      </c>
    </row>
    <row r="148" spans="1:6" x14ac:dyDescent="0.25">
      <c r="A148" t="s">
        <v>794</v>
      </c>
    </row>
    <row r="149" spans="1:6" x14ac:dyDescent="0.25">
      <c r="A149" t="s">
        <v>795</v>
      </c>
      <c r="E149">
        <f>-- 2158</f>
        <v>2158</v>
      </c>
      <c r="F149">
        <f>-- 2295</f>
        <v>2295</v>
      </c>
    </row>
    <row r="150" spans="1:6" x14ac:dyDescent="0.25">
      <c r="A150" t="s">
        <v>793</v>
      </c>
    </row>
    <row r="152" spans="1:6" x14ac:dyDescent="0.25">
      <c r="A152" t="s">
        <v>244</v>
      </c>
    </row>
    <row r="153" spans="1:6" x14ac:dyDescent="0.25">
      <c r="A153" t="s">
        <v>741</v>
      </c>
    </row>
    <row r="154" spans="1:6" x14ac:dyDescent="0.25">
      <c r="A154" t="s">
        <v>769</v>
      </c>
    </row>
    <row r="156" spans="1:6" x14ac:dyDescent="0.25">
      <c r="A156" t="s">
        <v>244</v>
      </c>
    </row>
    <row r="157" spans="1:6" x14ac:dyDescent="0.25">
      <c r="A157" t="s">
        <v>741</v>
      </c>
    </row>
    <row r="158" spans="1:6" x14ac:dyDescent="0.25">
      <c r="A158" t="s">
        <v>796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1"/>
  <sheetViews>
    <sheetView topLeftCell="A250" workbookViewId="0">
      <selection sqref="A1:B32"/>
    </sheetView>
  </sheetViews>
  <sheetFormatPr defaultRowHeight="15" x14ac:dyDescent="0.25"/>
  <sheetData>
    <row r="1" spans="1:1" x14ac:dyDescent="0.25">
      <c r="A1" t="s">
        <v>254</v>
      </c>
    </row>
    <row r="2" spans="1:1" x14ac:dyDescent="0.25">
      <c r="A2" t="s">
        <v>713</v>
      </c>
    </row>
    <row r="3" spans="1:1" x14ac:dyDescent="0.25">
      <c r="A3" t="s">
        <v>714</v>
      </c>
    </row>
    <row r="4" spans="1:1" x14ac:dyDescent="0.25">
      <c r="A4" t="s">
        <v>715</v>
      </c>
    </row>
    <row r="5" spans="1:1" x14ac:dyDescent="0.25">
      <c r="A5" t="s">
        <v>716</v>
      </c>
    </row>
    <row r="6" spans="1:1" x14ac:dyDescent="0.25">
      <c r="A6" t="s">
        <v>717</v>
      </c>
    </row>
    <row r="7" spans="1:1" x14ac:dyDescent="0.25">
      <c r="A7" t="s">
        <v>718</v>
      </c>
    </row>
    <row r="9" spans="1:1" x14ac:dyDescent="0.25">
      <c r="A9" t="s">
        <v>719</v>
      </c>
    </row>
    <row r="10" spans="1:1" x14ac:dyDescent="0.25">
      <c r="A10" t="s">
        <v>720</v>
      </c>
    </row>
    <row r="11" spans="1:1" x14ac:dyDescent="0.25">
      <c r="A11" t="s">
        <v>721</v>
      </c>
    </row>
    <row r="12" spans="1:1" x14ac:dyDescent="0.25">
      <c r="A12" t="s">
        <v>722</v>
      </c>
    </row>
    <row r="13" spans="1:1" x14ac:dyDescent="0.25">
      <c r="A13" t="s">
        <v>723</v>
      </c>
    </row>
    <row r="15" spans="1:1" x14ac:dyDescent="0.25">
      <c r="A15" t="s">
        <v>797</v>
      </c>
    </row>
    <row r="16" spans="1:1" x14ac:dyDescent="0.25">
      <c r="A16" t="s">
        <v>798</v>
      </c>
    </row>
    <row r="18" spans="1:1" x14ac:dyDescent="0.25">
      <c r="A18" t="s">
        <v>255</v>
      </c>
    </row>
    <row r="19" spans="1:1" x14ac:dyDescent="0.25">
      <c r="A19" t="s">
        <v>257</v>
      </c>
    </row>
    <row r="21" spans="1:1" x14ac:dyDescent="0.25">
      <c r="A21" t="s">
        <v>724</v>
      </c>
    </row>
    <row r="22" spans="1:1" x14ac:dyDescent="0.25">
      <c r="A22" t="s">
        <v>725</v>
      </c>
    </row>
    <row r="23" spans="1:1" x14ac:dyDescent="0.25">
      <c r="A23" t="s">
        <v>724</v>
      </c>
    </row>
    <row r="24" spans="1:1" x14ac:dyDescent="0.25">
      <c r="A24" t="s">
        <v>726</v>
      </c>
    </row>
    <row r="25" spans="1:1" x14ac:dyDescent="0.25">
      <c r="A25" t="s">
        <v>727</v>
      </c>
    </row>
    <row r="26" spans="1:1" x14ac:dyDescent="0.25">
      <c r="A26" t="s">
        <v>728</v>
      </c>
    </row>
    <row r="27" spans="1:1" x14ac:dyDescent="0.25">
      <c r="A27" t="s">
        <v>729</v>
      </c>
    </row>
    <row r="29" spans="1:1" x14ac:dyDescent="0.25">
      <c r="A29" t="s">
        <v>724</v>
      </c>
    </row>
    <row r="30" spans="1:1" x14ac:dyDescent="0.25">
      <c r="A30" t="s">
        <v>799</v>
      </c>
    </row>
    <row r="32" spans="1:1" x14ac:dyDescent="0.25">
      <c r="A32" t="s">
        <v>258</v>
      </c>
    </row>
    <row r="34" spans="1:2" x14ac:dyDescent="0.25">
      <c r="A34" t="s">
        <v>800</v>
      </c>
    </row>
    <row r="35" spans="1:2" x14ac:dyDescent="0.25">
      <c r="A35" t="s">
        <v>801</v>
      </c>
    </row>
    <row r="36" spans="1:2" x14ac:dyDescent="0.25">
      <c r="A36" t="s">
        <v>802</v>
      </c>
    </row>
    <row r="39" spans="1:2" x14ac:dyDescent="0.25">
      <c r="A39" t="e">
        <f>-- get metrics</f>
        <v>#NAME?</v>
      </c>
    </row>
    <row r="40" spans="1:2" x14ac:dyDescent="0.25">
      <c r="A40" t="s">
        <v>538</v>
      </c>
    </row>
    <row r="41" spans="1:2" x14ac:dyDescent="0.25">
      <c r="A41" t="s">
        <v>803</v>
      </c>
    </row>
    <row r="42" spans="1:2" x14ac:dyDescent="0.25">
      <c r="A42" t="s">
        <v>665</v>
      </c>
    </row>
    <row r="43" spans="1:2" x14ac:dyDescent="0.25">
      <c r="A43" t="s">
        <v>604</v>
      </c>
    </row>
    <row r="44" spans="1:2" x14ac:dyDescent="0.25">
      <c r="A44" t="s">
        <v>804</v>
      </c>
    </row>
    <row r="45" spans="1:2" x14ac:dyDescent="0.25">
      <c r="B45" t="s">
        <v>805</v>
      </c>
    </row>
    <row r="46" spans="1:2" x14ac:dyDescent="0.25">
      <c r="A46" t="s">
        <v>806</v>
      </c>
    </row>
    <row r="47" spans="1:2" x14ac:dyDescent="0.25">
      <c r="A47" t="s">
        <v>644</v>
      </c>
    </row>
    <row r="48" spans="1:2" x14ac:dyDescent="0.25">
      <c r="A48" t="s">
        <v>803</v>
      </c>
    </row>
    <row r="52" spans="1:2" x14ac:dyDescent="0.25">
      <c r="A52">
        <f>-- 709</f>
        <v>709</v>
      </c>
    </row>
    <row r="53" spans="1:2" x14ac:dyDescent="0.25">
      <c r="A53" t="e">
        <f>-- get current Approved registration status</f>
        <v>#NAME?</v>
      </c>
    </row>
    <row r="54" spans="1:2" x14ac:dyDescent="0.25">
      <c r="A54" t="s">
        <v>572</v>
      </c>
    </row>
    <row r="55" spans="1:2" x14ac:dyDescent="0.25">
      <c r="A55" t="s">
        <v>807</v>
      </c>
    </row>
    <row r="56" spans="1:2" x14ac:dyDescent="0.25">
      <c r="A56" t="s">
        <v>632</v>
      </c>
    </row>
    <row r="57" spans="1:2" x14ac:dyDescent="0.25">
      <c r="A57" t="s">
        <v>540</v>
      </c>
    </row>
    <row r="58" spans="1:2" x14ac:dyDescent="0.25">
      <c r="A58" t="s">
        <v>808</v>
      </c>
    </row>
    <row r="59" spans="1:2" x14ac:dyDescent="0.25">
      <c r="A59" t="s">
        <v>542</v>
      </c>
    </row>
    <row r="60" spans="1:2" x14ac:dyDescent="0.25">
      <c r="A60" t="s">
        <v>809</v>
      </c>
    </row>
    <row r="61" spans="1:2" x14ac:dyDescent="0.25">
      <c r="A61" t="s">
        <v>810</v>
      </c>
    </row>
    <row r="62" spans="1:2" x14ac:dyDescent="0.25">
      <c r="A62" t="s">
        <v>604</v>
      </c>
    </row>
    <row r="63" spans="1:2" x14ac:dyDescent="0.25">
      <c r="A63" t="s">
        <v>619</v>
      </c>
    </row>
    <row r="64" spans="1:2" x14ac:dyDescent="0.25">
      <c r="B64" t="s">
        <v>811</v>
      </c>
    </row>
    <row r="65" spans="1:4" x14ac:dyDescent="0.25">
      <c r="A65" t="s">
        <v>624</v>
      </c>
    </row>
    <row r="66" spans="1:4" x14ac:dyDescent="0.25">
      <c r="B66" t="s">
        <v>812</v>
      </c>
    </row>
    <row r="67" spans="1:4" x14ac:dyDescent="0.25">
      <c r="A67" t="s">
        <v>813</v>
      </c>
    </row>
    <row r="68" spans="1:4" x14ac:dyDescent="0.25">
      <c r="B68" t="s">
        <v>814</v>
      </c>
    </row>
    <row r="69" spans="1:4" x14ac:dyDescent="0.25">
      <c r="A69" t="s">
        <v>815</v>
      </c>
    </row>
    <row r="70" spans="1:4" x14ac:dyDescent="0.25">
      <c r="B70" t="s">
        <v>816</v>
      </c>
    </row>
    <row r="71" spans="1:4" x14ac:dyDescent="0.25">
      <c r="B71" t="s">
        <v>817</v>
      </c>
    </row>
    <row r="72" spans="1:4" x14ac:dyDescent="0.25">
      <c r="A72" t="s">
        <v>818</v>
      </c>
    </row>
    <row r="73" spans="1:4" x14ac:dyDescent="0.25">
      <c r="B73" t="s">
        <v>599</v>
      </c>
    </row>
    <row r="74" spans="1:4" x14ac:dyDescent="0.25">
      <c r="A74" t="s">
        <v>706</v>
      </c>
    </row>
    <row r="75" spans="1:4" x14ac:dyDescent="0.25">
      <c r="A75" t="s">
        <v>697</v>
      </c>
    </row>
    <row r="76" spans="1:4" x14ac:dyDescent="0.25">
      <c r="B76" t="e">
        <f>-- get the most recent Approved registration</f>
        <v>#NAME?</v>
      </c>
    </row>
    <row r="77" spans="1:4" x14ac:dyDescent="0.25">
      <c r="B77" t="s">
        <v>247</v>
      </c>
      <c r="D77" t="s">
        <v>819</v>
      </c>
    </row>
    <row r="78" spans="1:4" x14ac:dyDescent="0.25">
      <c r="B78" t="s">
        <v>572</v>
      </c>
    </row>
    <row r="79" spans="1:4" x14ac:dyDescent="0.25">
      <c r="B79" t="s">
        <v>820</v>
      </c>
    </row>
    <row r="80" spans="1:4" x14ac:dyDescent="0.25">
      <c r="B80" t="s">
        <v>821</v>
      </c>
    </row>
    <row r="81" spans="1:3" x14ac:dyDescent="0.25">
      <c r="B81" t="s">
        <v>822</v>
      </c>
    </row>
    <row r="82" spans="1:3" x14ac:dyDescent="0.25">
      <c r="B82" t="s">
        <v>823</v>
      </c>
    </row>
    <row r="83" spans="1:3" x14ac:dyDescent="0.25">
      <c r="C83" t="s">
        <v>824</v>
      </c>
    </row>
    <row r="84" spans="1:3" x14ac:dyDescent="0.25">
      <c r="B84" t="s">
        <v>825</v>
      </c>
      <c r="C84" t="e">
        <f>-- Approved</f>
        <v>#NAME?</v>
      </c>
    </row>
    <row r="85" spans="1:3" x14ac:dyDescent="0.25">
      <c r="B85" t="s">
        <v>826</v>
      </c>
    </row>
    <row r="86" spans="1:3" x14ac:dyDescent="0.25">
      <c r="A86" t="s">
        <v>827</v>
      </c>
    </row>
    <row r="87" spans="1:3" x14ac:dyDescent="0.25">
      <c r="B87" t="s">
        <v>828</v>
      </c>
    </row>
    <row r="88" spans="1:3" x14ac:dyDescent="0.25">
      <c r="A88" t="s">
        <v>806</v>
      </c>
    </row>
    <row r="89" spans="1:3" x14ac:dyDescent="0.25">
      <c r="B89" t="s">
        <v>829</v>
      </c>
    </row>
    <row r="90" spans="1:3" x14ac:dyDescent="0.25">
      <c r="A90" t="s">
        <v>672</v>
      </c>
    </row>
    <row r="91" spans="1:3" x14ac:dyDescent="0.25">
      <c r="A91" t="s">
        <v>807</v>
      </c>
    </row>
    <row r="92" spans="1:3" x14ac:dyDescent="0.25">
      <c r="A92" t="s">
        <v>632</v>
      </c>
    </row>
    <row r="94" spans="1:3" x14ac:dyDescent="0.25">
      <c r="A94" t="s">
        <v>572</v>
      </c>
    </row>
    <row r="95" spans="1:3" x14ac:dyDescent="0.25">
      <c r="A95" t="s">
        <v>830</v>
      </c>
    </row>
    <row r="96" spans="1:3" x14ac:dyDescent="0.25">
      <c r="A96" t="s">
        <v>831</v>
      </c>
    </row>
    <row r="97" spans="1:2" x14ac:dyDescent="0.25">
      <c r="A97" t="s">
        <v>832</v>
      </c>
    </row>
    <row r="98" spans="1:2" x14ac:dyDescent="0.25">
      <c r="A98" t="s">
        <v>833</v>
      </c>
    </row>
    <row r="99" spans="1:2" x14ac:dyDescent="0.25">
      <c r="A99" t="s">
        <v>834</v>
      </c>
    </row>
    <row r="100" spans="1:2" x14ac:dyDescent="0.25">
      <c r="A100" t="s">
        <v>835</v>
      </c>
    </row>
    <row r="101" spans="1:2" x14ac:dyDescent="0.25">
      <c r="A101" t="s">
        <v>836</v>
      </c>
    </row>
    <row r="102" spans="1:2" x14ac:dyDescent="0.25">
      <c r="A102" t="s">
        <v>837</v>
      </c>
    </row>
    <row r="103" spans="1:2" x14ac:dyDescent="0.25">
      <c r="A103" t="s">
        <v>838</v>
      </c>
    </row>
    <row r="104" spans="1:2" x14ac:dyDescent="0.25">
      <c r="A104" t="s">
        <v>604</v>
      </c>
    </row>
    <row r="105" spans="1:2" x14ac:dyDescent="0.25">
      <c r="A105" t="s">
        <v>696</v>
      </c>
    </row>
    <row r="106" spans="1:2" x14ac:dyDescent="0.25">
      <c r="A106" t="s">
        <v>697</v>
      </c>
    </row>
    <row r="107" spans="1:2" x14ac:dyDescent="0.25">
      <c r="B107" t="s">
        <v>538</v>
      </c>
    </row>
    <row r="108" spans="1:2" x14ac:dyDescent="0.25">
      <c r="B108" t="s">
        <v>839</v>
      </c>
    </row>
    <row r="109" spans="1:2" x14ac:dyDescent="0.25">
      <c r="B109" t="s">
        <v>762</v>
      </c>
    </row>
    <row r="110" spans="1:2" x14ac:dyDescent="0.25">
      <c r="B110" t="s">
        <v>840</v>
      </c>
    </row>
    <row r="111" spans="1:2" x14ac:dyDescent="0.25">
      <c r="B111" t="s">
        <v>841</v>
      </c>
    </row>
    <row r="112" spans="1:2" x14ac:dyDescent="0.25">
      <c r="B112" t="s">
        <v>842</v>
      </c>
    </row>
    <row r="113" spans="1:3" x14ac:dyDescent="0.25">
      <c r="B113" t="s">
        <v>582</v>
      </c>
    </row>
    <row r="114" spans="1:3" x14ac:dyDescent="0.25">
      <c r="B114" t="s">
        <v>751</v>
      </c>
    </row>
    <row r="115" spans="1:3" x14ac:dyDescent="0.25">
      <c r="C115" t="s">
        <v>843</v>
      </c>
    </row>
    <row r="116" spans="1:3" x14ac:dyDescent="0.25">
      <c r="B116" t="s">
        <v>753</v>
      </c>
    </row>
    <row r="117" spans="1:3" x14ac:dyDescent="0.25">
      <c r="C117" t="s">
        <v>754</v>
      </c>
    </row>
    <row r="118" spans="1:3" x14ac:dyDescent="0.25">
      <c r="B118" t="s">
        <v>619</v>
      </c>
    </row>
    <row r="119" spans="1:3" x14ac:dyDescent="0.25">
      <c r="C119" t="s">
        <v>844</v>
      </c>
    </row>
    <row r="120" spans="1:3" x14ac:dyDescent="0.25">
      <c r="A120" t="s">
        <v>845</v>
      </c>
    </row>
    <row r="121" spans="1:3" x14ac:dyDescent="0.25">
      <c r="B121" t="s">
        <v>846</v>
      </c>
    </row>
    <row r="122" spans="1:3" x14ac:dyDescent="0.25">
      <c r="B122" t="s">
        <v>847</v>
      </c>
    </row>
    <row r="123" spans="1:3" x14ac:dyDescent="0.25">
      <c r="A123" t="s">
        <v>848</v>
      </c>
    </row>
    <row r="124" spans="1:3" x14ac:dyDescent="0.25">
      <c r="B124" t="s">
        <v>829</v>
      </c>
    </row>
    <row r="127" spans="1:3" x14ac:dyDescent="0.25">
      <c r="A127" t="e">
        <f>-- get Approved registration counts BY affiliation status</f>
        <v>#NAME?</v>
      </c>
    </row>
    <row r="128" spans="1:3" x14ac:dyDescent="0.25">
      <c r="A128" t="s">
        <v>572</v>
      </c>
    </row>
    <row r="129" spans="1:2" x14ac:dyDescent="0.25">
      <c r="A129" t="s">
        <v>849</v>
      </c>
    </row>
    <row r="130" spans="1:2" x14ac:dyDescent="0.25">
      <c r="A130" t="s">
        <v>850</v>
      </c>
    </row>
    <row r="131" spans="1:2" x14ac:dyDescent="0.25">
      <c r="A131" t="s">
        <v>604</v>
      </c>
    </row>
    <row r="132" spans="1:2" x14ac:dyDescent="0.25">
      <c r="A132" t="s">
        <v>619</v>
      </c>
    </row>
    <row r="133" spans="1:2" x14ac:dyDescent="0.25">
      <c r="B133" t="s">
        <v>811</v>
      </c>
    </row>
    <row r="134" spans="1:2" x14ac:dyDescent="0.25">
      <c r="A134" t="s">
        <v>624</v>
      </c>
    </row>
    <row r="135" spans="1:2" x14ac:dyDescent="0.25">
      <c r="B135" t="s">
        <v>812</v>
      </c>
    </row>
    <row r="136" spans="1:2" x14ac:dyDescent="0.25">
      <c r="A136" t="s">
        <v>813</v>
      </c>
    </row>
    <row r="137" spans="1:2" x14ac:dyDescent="0.25">
      <c r="B137" t="s">
        <v>814</v>
      </c>
    </row>
    <row r="138" spans="1:2" x14ac:dyDescent="0.25">
      <c r="A138" t="s">
        <v>815</v>
      </c>
    </row>
    <row r="139" spans="1:2" x14ac:dyDescent="0.25">
      <c r="B139" t="s">
        <v>816</v>
      </c>
    </row>
    <row r="140" spans="1:2" x14ac:dyDescent="0.25">
      <c r="B140" t="s">
        <v>817</v>
      </c>
    </row>
    <row r="141" spans="1:2" x14ac:dyDescent="0.25">
      <c r="A141" t="s">
        <v>818</v>
      </c>
    </row>
    <row r="142" spans="1:2" x14ac:dyDescent="0.25">
      <c r="B142" t="s">
        <v>599</v>
      </c>
    </row>
    <row r="143" spans="1:2" x14ac:dyDescent="0.25">
      <c r="A143" t="s">
        <v>706</v>
      </c>
    </row>
    <row r="144" spans="1:2" x14ac:dyDescent="0.25">
      <c r="A144" t="s">
        <v>697</v>
      </c>
    </row>
    <row r="145" spans="1:4" x14ac:dyDescent="0.25">
      <c r="B145" t="e">
        <f>-- get the most recent Approved registration</f>
        <v>#NAME?</v>
      </c>
    </row>
    <row r="146" spans="1:4" x14ac:dyDescent="0.25">
      <c r="B146" t="s">
        <v>247</v>
      </c>
      <c r="D146" t="s">
        <v>819</v>
      </c>
    </row>
    <row r="147" spans="1:4" x14ac:dyDescent="0.25">
      <c r="B147" t="s">
        <v>572</v>
      </c>
    </row>
    <row r="148" spans="1:4" x14ac:dyDescent="0.25">
      <c r="B148" t="s">
        <v>820</v>
      </c>
    </row>
    <row r="149" spans="1:4" x14ac:dyDescent="0.25">
      <c r="B149" t="s">
        <v>821</v>
      </c>
    </row>
    <row r="150" spans="1:4" x14ac:dyDescent="0.25">
      <c r="B150" t="s">
        <v>822</v>
      </c>
    </row>
    <row r="151" spans="1:4" x14ac:dyDescent="0.25">
      <c r="B151" t="s">
        <v>823</v>
      </c>
    </row>
    <row r="152" spans="1:4" x14ac:dyDescent="0.25">
      <c r="C152" t="s">
        <v>824</v>
      </c>
    </row>
    <row r="153" spans="1:4" x14ac:dyDescent="0.25">
      <c r="B153" t="s">
        <v>825</v>
      </c>
      <c r="C153" t="e">
        <f>-- Approved</f>
        <v>#NAME?</v>
      </c>
    </row>
    <row r="154" spans="1:4" x14ac:dyDescent="0.25">
      <c r="B154" t="s">
        <v>826</v>
      </c>
    </row>
    <row r="155" spans="1:4" x14ac:dyDescent="0.25">
      <c r="A155" t="s">
        <v>827</v>
      </c>
    </row>
    <row r="156" spans="1:4" x14ac:dyDescent="0.25">
      <c r="B156" t="s">
        <v>828</v>
      </c>
    </row>
    <row r="157" spans="1:4" x14ac:dyDescent="0.25">
      <c r="A157" t="s">
        <v>806</v>
      </c>
    </row>
    <row r="158" spans="1:4" x14ac:dyDescent="0.25">
      <c r="B158" t="s">
        <v>829</v>
      </c>
    </row>
    <row r="159" spans="1:4" x14ac:dyDescent="0.25">
      <c r="A159" t="s">
        <v>671</v>
      </c>
    </row>
    <row r="160" spans="1:4" x14ac:dyDescent="0.25">
      <c r="A160" t="s">
        <v>851</v>
      </c>
    </row>
    <row r="161" spans="1:2" x14ac:dyDescent="0.25">
      <c r="A161" t="s">
        <v>672</v>
      </c>
    </row>
    <row r="162" spans="1:2" x14ac:dyDescent="0.25">
      <c r="A162" t="s">
        <v>851</v>
      </c>
    </row>
    <row r="164" spans="1:2" x14ac:dyDescent="0.25">
      <c r="A164" t="s">
        <v>244</v>
      </c>
    </row>
    <row r="165" spans="1:2" x14ac:dyDescent="0.25">
      <c r="A165" t="s">
        <v>852</v>
      </c>
    </row>
    <row r="166" spans="1:2" x14ac:dyDescent="0.25">
      <c r="A166" t="s">
        <v>853</v>
      </c>
    </row>
    <row r="167" spans="1:2" x14ac:dyDescent="0.25">
      <c r="B167" t="s">
        <v>854</v>
      </c>
    </row>
    <row r="168" spans="1:2" x14ac:dyDescent="0.25">
      <c r="A168" t="s">
        <v>855</v>
      </c>
    </row>
    <row r="170" spans="1:2" x14ac:dyDescent="0.25">
      <c r="A170" t="s">
        <v>572</v>
      </c>
    </row>
    <row r="171" spans="1:2" x14ac:dyDescent="0.25">
      <c r="A171" t="s">
        <v>856</v>
      </c>
    </row>
    <row r="172" spans="1:2" x14ac:dyDescent="0.25">
      <c r="A172" t="s">
        <v>857</v>
      </c>
    </row>
    <row r="173" spans="1:2" x14ac:dyDescent="0.25">
      <c r="A173" t="s">
        <v>858</v>
      </c>
    </row>
    <row r="174" spans="1:2" x14ac:dyDescent="0.25">
      <c r="B174" t="s">
        <v>859</v>
      </c>
    </row>
    <row r="175" spans="1:2" x14ac:dyDescent="0.25">
      <c r="B175" t="s">
        <v>860</v>
      </c>
    </row>
    <row r="177" spans="1:3" x14ac:dyDescent="0.25">
      <c r="A177" t="s">
        <v>861</v>
      </c>
    </row>
    <row r="178" spans="1:3" x14ac:dyDescent="0.25">
      <c r="A178" t="s">
        <v>862</v>
      </c>
    </row>
    <row r="179" spans="1:3" x14ac:dyDescent="0.25">
      <c r="A179" t="s">
        <v>863</v>
      </c>
    </row>
    <row r="180" spans="1:3" x14ac:dyDescent="0.25">
      <c r="B180" t="s">
        <v>864</v>
      </c>
    </row>
    <row r="182" spans="1:3" x14ac:dyDescent="0.25">
      <c r="A182" t="s">
        <v>244</v>
      </c>
    </row>
    <row r="183" spans="1:3" x14ac:dyDescent="0.25">
      <c r="A183" t="s">
        <v>865</v>
      </c>
    </row>
    <row r="184" spans="1:3" x14ac:dyDescent="0.25">
      <c r="A184" t="s">
        <v>866</v>
      </c>
    </row>
    <row r="185" spans="1:3" x14ac:dyDescent="0.25">
      <c r="B185" t="s">
        <v>867</v>
      </c>
      <c r="C185">
        <v>110710</v>
      </c>
    </row>
    <row r="187" spans="1:3" x14ac:dyDescent="0.25">
      <c r="A187" t="e">
        <f>--UPDATE affiliation</f>
        <v>#NAME?</v>
      </c>
    </row>
    <row r="188" spans="1:3" x14ac:dyDescent="0.25">
      <c r="A188" t="s">
        <v>868</v>
      </c>
    </row>
    <row r="189" spans="1:3" x14ac:dyDescent="0.25">
      <c r="A189" t="e">
        <f>--WHERE ParentPartyID = 110504</f>
        <v>#NAME?</v>
      </c>
    </row>
    <row r="190" spans="1:3" x14ac:dyDescent="0.25">
      <c r="A190" t="s">
        <v>247</v>
      </c>
      <c r="B190" t="s">
        <v>869</v>
      </c>
    </row>
    <row r="192" spans="1:3" x14ac:dyDescent="0.25">
      <c r="A192" t="s">
        <v>254</v>
      </c>
    </row>
    <row r="193" spans="1:2" x14ac:dyDescent="0.25">
      <c r="A193" t="s">
        <v>870</v>
      </c>
    </row>
    <row r="194" spans="1:2" x14ac:dyDescent="0.25">
      <c r="A194" t="s">
        <v>871</v>
      </c>
    </row>
    <row r="195" spans="1:2" x14ac:dyDescent="0.25">
      <c r="A195" t="s">
        <v>872</v>
      </c>
    </row>
    <row r="196" spans="1:2" x14ac:dyDescent="0.25">
      <c r="A196" t="s">
        <v>258</v>
      </c>
    </row>
    <row r="197" spans="1:2" x14ac:dyDescent="0.25">
      <c r="A197" t="s">
        <v>244</v>
      </c>
    </row>
    <row r="198" spans="1:2" x14ac:dyDescent="0.25">
      <c r="A198" t="s">
        <v>873</v>
      </c>
    </row>
    <row r="199" spans="1:2" x14ac:dyDescent="0.25">
      <c r="A199" t="s">
        <v>874</v>
      </c>
    </row>
    <row r="200" spans="1:2" x14ac:dyDescent="0.25">
      <c r="B200" t="s">
        <v>875</v>
      </c>
    </row>
    <row r="201" spans="1:2" x14ac:dyDescent="0.25">
      <c r="A201" t="s">
        <v>806</v>
      </c>
    </row>
    <row r="202" spans="1:2" x14ac:dyDescent="0.25">
      <c r="B202" t="s">
        <v>876</v>
      </c>
    </row>
    <row r="206" spans="1:2" x14ac:dyDescent="0.25">
      <c r="A206" t="e">
        <f>-- get number of base medicaid transactions</f>
        <v>#NAME?</v>
      </c>
    </row>
    <row r="208" spans="1:2" x14ac:dyDescent="0.25">
      <c r="A208" t="s">
        <v>254</v>
      </c>
    </row>
    <row r="209" spans="1:2" x14ac:dyDescent="0.25">
      <c r="A209" t="s">
        <v>870</v>
      </c>
    </row>
    <row r="210" spans="1:2" x14ac:dyDescent="0.25">
      <c r="A210" t="s">
        <v>871</v>
      </c>
    </row>
    <row r="211" spans="1:2" x14ac:dyDescent="0.25">
      <c r="A211" t="s">
        <v>877</v>
      </c>
    </row>
    <row r="212" spans="1:2" x14ac:dyDescent="0.25">
      <c r="A212" t="s">
        <v>258</v>
      </c>
    </row>
    <row r="213" spans="1:2" x14ac:dyDescent="0.25">
      <c r="A213" t="s">
        <v>878</v>
      </c>
    </row>
    <row r="214" spans="1:2" x14ac:dyDescent="0.25">
      <c r="A214" t="s">
        <v>879</v>
      </c>
    </row>
    <row r="215" spans="1:2" x14ac:dyDescent="0.25">
      <c r="A215" t="s">
        <v>572</v>
      </c>
    </row>
    <row r="216" spans="1:2" x14ac:dyDescent="0.25">
      <c r="A216" t="s">
        <v>839</v>
      </c>
    </row>
    <row r="217" spans="1:2" x14ac:dyDescent="0.25">
      <c r="A217" t="s">
        <v>880</v>
      </c>
    </row>
    <row r="218" spans="1:2" x14ac:dyDescent="0.25">
      <c r="A218" t="s">
        <v>881</v>
      </c>
    </row>
    <row r="219" spans="1:2" x14ac:dyDescent="0.25">
      <c r="A219" t="s">
        <v>763</v>
      </c>
    </row>
    <row r="220" spans="1:2" x14ac:dyDescent="0.25">
      <c r="A220" t="s">
        <v>751</v>
      </c>
    </row>
    <row r="221" spans="1:2" x14ac:dyDescent="0.25">
      <c r="B221" t="s">
        <v>764</v>
      </c>
    </row>
    <row r="222" spans="1:2" x14ac:dyDescent="0.25">
      <c r="A222" t="s">
        <v>765</v>
      </c>
    </row>
    <row r="223" spans="1:2" x14ac:dyDescent="0.25">
      <c r="B223" t="s">
        <v>766</v>
      </c>
    </row>
    <row r="224" spans="1:2" x14ac:dyDescent="0.25">
      <c r="A224" t="s">
        <v>619</v>
      </c>
    </row>
    <row r="225" spans="1:2" x14ac:dyDescent="0.25">
      <c r="B225" t="s">
        <v>844</v>
      </c>
    </row>
    <row r="226" spans="1:2" x14ac:dyDescent="0.25">
      <c r="A226" t="s">
        <v>874</v>
      </c>
    </row>
    <row r="227" spans="1:2" x14ac:dyDescent="0.25">
      <c r="B227" t="s">
        <v>882</v>
      </c>
    </row>
    <row r="228" spans="1:2" x14ac:dyDescent="0.25">
      <c r="B228" t="s">
        <v>627</v>
      </c>
    </row>
    <row r="229" spans="1:2" x14ac:dyDescent="0.25">
      <c r="A229" t="s">
        <v>806</v>
      </c>
    </row>
    <row r="230" spans="1:2" x14ac:dyDescent="0.25">
      <c r="A230" t="s">
        <v>644</v>
      </c>
    </row>
    <row r="231" spans="1:2" x14ac:dyDescent="0.25">
      <c r="A231" t="s">
        <v>761</v>
      </c>
    </row>
    <row r="232" spans="1:2" x14ac:dyDescent="0.25">
      <c r="A232" t="s">
        <v>880</v>
      </c>
    </row>
    <row r="233" spans="1:2" x14ac:dyDescent="0.25">
      <c r="A233" t="s">
        <v>883</v>
      </c>
    </row>
    <row r="235" spans="1:2" x14ac:dyDescent="0.25">
      <c r="A235" t="s">
        <v>884</v>
      </c>
    </row>
    <row r="236" spans="1:2" x14ac:dyDescent="0.25">
      <c r="A236" t="s">
        <v>572</v>
      </c>
    </row>
    <row r="237" spans="1:2" x14ac:dyDescent="0.25">
      <c r="A237" t="s">
        <v>885</v>
      </c>
    </row>
    <row r="238" spans="1:2" x14ac:dyDescent="0.25">
      <c r="A238" t="s">
        <v>745</v>
      </c>
    </row>
    <row r="239" spans="1:2" x14ac:dyDescent="0.25">
      <c r="A239" t="s">
        <v>886</v>
      </c>
    </row>
    <row r="240" spans="1:2" x14ac:dyDescent="0.25">
      <c r="A240" t="s">
        <v>763</v>
      </c>
    </row>
    <row r="241" spans="1:2" x14ac:dyDescent="0.25">
      <c r="A241" t="s">
        <v>751</v>
      </c>
    </row>
    <row r="242" spans="1:2" x14ac:dyDescent="0.25">
      <c r="B242" t="s">
        <v>764</v>
      </c>
    </row>
    <row r="243" spans="1:2" x14ac:dyDescent="0.25">
      <c r="A243" t="s">
        <v>765</v>
      </c>
    </row>
    <row r="244" spans="1:2" x14ac:dyDescent="0.25">
      <c r="B244" t="s">
        <v>766</v>
      </c>
    </row>
    <row r="245" spans="1:2" x14ac:dyDescent="0.25">
      <c r="A245" t="s">
        <v>619</v>
      </c>
    </row>
    <row r="246" spans="1:2" x14ac:dyDescent="0.25">
      <c r="B246" t="s">
        <v>844</v>
      </c>
    </row>
    <row r="247" spans="1:2" x14ac:dyDescent="0.25">
      <c r="A247" t="s">
        <v>874</v>
      </c>
    </row>
    <row r="248" spans="1:2" x14ac:dyDescent="0.25">
      <c r="B248" t="s">
        <v>882</v>
      </c>
    </row>
    <row r="249" spans="1:2" x14ac:dyDescent="0.25">
      <c r="B249" t="s">
        <v>627</v>
      </c>
    </row>
    <row r="250" spans="1:2" x14ac:dyDescent="0.25">
      <c r="A250" t="s">
        <v>806</v>
      </c>
    </row>
    <row r="251" spans="1:2" x14ac:dyDescent="0.25">
      <c r="A251" t="s">
        <v>887</v>
      </c>
    </row>
    <row r="253" spans="1:2" x14ac:dyDescent="0.25">
      <c r="A253" t="s">
        <v>800</v>
      </c>
    </row>
    <row r="254" spans="1:2" x14ac:dyDescent="0.25">
      <c r="A254" t="s">
        <v>888</v>
      </c>
    </row>
    <row r="257" spans="1:2" x14ac:dyDescent="0.25">
      <c r="A257" t="s">
        <v>467</v>
      </c>
    </row>
    <row r="258" spans="1:2" x14ac:dyDescent="0.25">
      <c r="A258" t="s">
        <v>539</v>
      </c>
    </row>
    <row r="259" spans="1:2" x14ac:dyDescent="0.25">
      <c r="A259" t="s">
        <v>889</v>
      </c>
    </row>
    <row r="260" spans="1:2" x14ac:dyDescent="0.25">
      <c r="A260" t="s">
        <v>890</v>
      </c>
    </row>
    <row r="261" spans="1:2" x14ac:dyDescent="0.25">
      <c r="B261" t="s">
        <v>891</v>
      </c>
    </row>
    <row r="262" spans="1:2" x14ac:dyDescent="0.25">
      <c r="A262" t="s">
        <v>624</v>
      </c>
    </row>
    <row r="263" spans="1:2" x14ac:dyDescent="0.25">
      <c r="B263" t="s">
        <v>892</v>
      </c>
    </row>
    <row r="264" spans="1:2" x14ac:dyDescent="0.25">
      <c r="A264" t="s">
        <v>893</v>
      </c>
    </row>
    <row r="265" spans="1:2" x14ac:dyDescent="0.25">
      <c r="B265" t="s">
        <v>712</v>
      </c>
    </row>
    <row r="266" spans="1:2" x14ac:dyDescent="0.25">
      <c r="B266" t="s">
        <v>894</v>
      </c>
    </row>
    <row r="269" spans="1:2" x14ac:dyDescent="0.25">
      <c r="A269" t="s">
        <v>244</v>
      </c>
    </row>
    <row r="270" spans="1:2" x14ac:dyDescent="0.25">
      <c r="A270" t="s">
        <v>734</v>
      </c>
    </row>
    <row r="271" spans="1:2" x14ac:dyDescent="0.25">
      <c r="A271" t="s">
        <v>799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3"/>
  <sheetViews>
    <sheetView workbookViewId="0"/>
  </sheetViews>
  <sheetFormatPr defaultRowHeight="15" x14ac:dyDescent="0.25"/>
  <sheetData>
    <row r="1" spans="1:2" x14ac:dyDescent="0.25">
      <c r="A1" t="s">
        <v>572</v>
      </c>
    </row>
    <row r="2" spans="1:2" x14ac:dyDescent="0.25">
      <c r="A2" t="s">
        <v>539</v>
      </c>
    </row>
    <row r="3" spans="1:2" x14ac:dyDescent="0.25">
      <c r="A3" t="s">
        <v>540</v>
      </c>
    </row>
    <row r="4" spans="1:2" x14ac:dyDescent="0.25">
      <c r="A4" t="s">
        <v>541</v>
      </c>
    </row>
    <row r="5" spans="1:2" x14ac:dyDescent="0.25">
      <c r="A5" t="s">
        <v>542</v>
      </c>
    </row>
    <row r="6" spans="1:2" x14ac:dyDescent="0.25">
      <c r="A6" t="s">
        <v>895</v>
      </c>
    </row>
    <row r="7" spans="1:2" x14ac:dyDescent="0.25">
      <c r="A7" t="s">
        <v>896</v>
      </c>
    </row>
    <row r="8" spans="1:2" x14ac:dyDescent="0.25">
      <c r="A8" t="s">
        <v>842</v>
      </c>
    </row>
    <row r="9" spans="1:2" x14ac:dyDescent="0.25">
      <c r="A9" t="s">
        <v>897</v>
      </c>
    </row>
    <row r="10" spans="1:2" x14ac:dyDescent="0.25">
      <c r="A10" t="s">
        <v>898</v>
      </c>
    </row>
    <row r="11" spans="1:2" x14ac:dyDescent="0.25">
      <c r="A11" t="s">
        <v>899</v>
      </c>
    </row>
    <row r="12" spans="1:2" x14ac:dyDescent="0.25">
      <c r="A12" t="s">
        <v>576</v>
      </c>
    </row>
    <row r="13" spans="1:2" x14ac:dyDescent="0.25">
      <c r="A13" t="s">
        <v>619</v>
      </c>
    </row>
    <row r="14" spans="1:2" x14ac:dyDescent="0.25">
      <c r="B14" t="s">
        <v>900</v>
      </c>
    </row>
    <row r="15" spans="1:2" x14ac:dyDescent="0.25">
      <c r="A15" t="s">
        <v>901</v>
      </c>
    </row>
    <row r="16" spans="1:2" x14ac:dyDescent="0.25">
      <c r="A16" t="s">
        <v>634</v>
      </c>
    </row>
    <row r="17" spans="1:1" x14ac:dyDescent="0.25">
      <c r="A17" t="s">
        <v>902</v>
      </c>
    </row>
    <row r="18" spans="1:1" x14ac:dyDescent="0.25">
      <c r="A18" t="s">
        <v>842</v>
      </c>
    </row>
    <row r="19" spans="1:1" x14ac:dyDescent="0.25">
      <c r="A19" t="e">
        <f>-- WHERE p.PartyID = 13837</f>
        <v>#NAME?</v>
      </c>
    </row>
    <row r="20" spans="1:1" x14ac:dyDescent="0.25">
      <c r="A20" t="s">
        <v>903</v>
      </c>
    </row>
    <row r="22" spans="1:1" x14ac:dyDescent="0.25">
      <c r="A22" t="s">
        <v>244</v>
      </c>
    </row>
    <row r="23" spans="1:1" x14ac:dyDescent="0.25">
      <c r="A23" t="s">
        <v>904</v>
      </c>
    </row>
    <row r="24" spans="1:1" x14ac:dyDescent="0.25">
      <c r="A24" t="s">
        <v>905</v>
      </c>
    </row>
    <row r="27" spans="1:1" x14ac:dyDescent="0.25">
      <c r="A27" t="s">
        <v>244</v>
      </c>
    </row>
    <row r="28" spans="1:1" x14ac:dyDescent="0.25">
      <c r="A28" t="s">
        <v>578</v>
      </c>
    </row>
    <row r="29" spans="1:1" x14ac:dyDescent="0.25">
      <c r="A29" t="s">
        <v>906</v>
      </c>
    </row>
    <row r="31" spans="1:1" x14ac:dyDescent="0.25">
      <c r="A31" t="s">
        <v>244</v>
      </c>
    </row>
    <row r="32" spans="1:1" x14ac:dyDescent="0.25">
      <c r="A32" t="s">
        <v>669</v>
      </c>
    </row>
    <row r="33" spans="1:1" x14ac:dyDescent="0.25">
      <c r="A33" t="s">
        <v>907</v>
      </c>
    </row>
    <row r="35" spans="1:1" x14ac:dyDescent="0.25">
      <c r="A35" t="s">
        <v>244</v>
      </c>
    </row>
    <row r="36" spans="1:1" x14ac:dyDescent="0.25">
      <c r="A36" t="s">
        <v>908</v>
      </c>
    </row>
    <row r="37" spans="1:1" x14ac:dyDescent="0.25">
      <c r="A37" t="s">
        <v>909</v>
      </c>
    </row>
    <row r="39" spans="1:1" x14ac:dyDescent="0.25">
      <c r="A39" t="s">
        <v>244</v>
      </c>
    </row>
    <row r="40" spans="1:1" x14ac:dyDescent="0.25">
      <c r="A40" t="s">
        <v>611</v>
      </c>
    </row>
    <row r="41" spans="1:1" x14ac:dyDescent="0.25">
      <c r="A41" t="s">
        <v>910</v>
      </c>
    </row>
    <row r="43" spans="1:1" x14ac:dyDescent="0.25">
      <c r="A43" t="s">
        <v>244</v>
      </c>
    </row>
    <row r="44" spans="1:1" x14ac:dyDescent="0.25">
      <c r="A44" t="s">
        <v>792</v>
      </c>
    </row>
    <row r="45" spans="1:1" x14ac:dyDescent="0.25">
      <c r="A45" t="s">
        <v>911</v>
      </c>
    </row>
    <row r="47" spans="1:1" x14ac:dyDescent="0.25">
      <c r="A47" t="s">
        <v>244</v>
      </c>
    </row>
    <row r="48" spans="1:1" x14ac:dyDescent="0.25">
      <c r="A48" t="s">
        <v>533</v>
      </c>
    </row>
    <row r="49" spans="1:1" x14ac:dyDescent="0.25">
      <c r="A49" t="s">
        <v>912</v>
      </c>
    </row>
    <row r="51" spans="1:1" x14ac:dyDescent="0.25">
      <c r="A51" t="s">
        <v>244</v>
      </c>
    </row>
    <row r="52" spans="1:1" x14ac:dyDescent="0.25">
      <c r="A52" t="s">
        <v>734</v>
      </c>
    </row>
    <row r="53" spans="1:1" x14ac:dyDescent="0.25">
      <c r="A53" t="s">
        <v>913</v>
      </c>
    </row>
    <row r="55" spans="1:1" x14ac:dyDescent="0.25">
      <c r="A55" t="s">
        <v>572</v>
      </c>
    </row>
    <row r="56" spans="1:1" x14ac:dyDescent="0.25">
      <c r="A56" t="s">
        <v>539</v>
      </c>
    </row>
    <row r="57" spans="1:1" x14ac:dyDescent="0.25">
      <c r="A57" t="s">
        <v>896</v>
      </c>
    </row>
    <row r="58" spans="1:1" x14ac:dyDescent="0.25">
      <c r="A58" t="s">
        <v>809</v>
      </c>
    </row>
    <row r="59" spans="1:1" x14ac:dyDescent="0.25">
      <c r="A59" t="s">
        <v>542</v>
      </c>
    </row>
    <row r="60" spans="1:1" x14ac:dyDescent="0.25">
      <c r="A60" t="s">
        <v>576</v>
      </c>
    </row>
    <row r="61" spans="1:1" x14ac:dyDescent="0.25">
      <c r="A61" t="s">
        <v>914</v>
      </c>
    </row>
    <row r="62" spans="1:1" x14ac:dyDescent="0.25">
      <c r="A62" t="s">
        <v>915</v>
      </c>
    </row>
    <row r="64" spans="1:1" x14ac:dyDescent="0.25">
      <c r="A64" t="s">
        <v>572</v>
      </c>
    </row>
    <row r="65" spans="1:1" x14ac:dyDescent="0.25">
      <c r="A65" t="s">
        <v>646</v>
      </c>
    </row>
    <row r="66" spans="1:1" x14ac:dyDescent="0.25">
      <c r="A66" t="s">
        <v>578</v>
      </c>
    </row>
    <row r="67" spans="1:1" x14ac:dyDescent="0.25">
      <c r="A67" t="s">
        <v>916</v>
      </c>
    </row>
    <row r="68" spans="1:1" x14ac:dyDescent="0.25">
      <c r="A68" t="s">
        <v>917</v>
      </c>
    </row>
    <row r="70" spans="1:1" x14ac:dyDescent="0.25">
      <c r="A70" t="s">
        <v>572</v>
      </c>
    </row>
    <row r="71" spans="1:1" x14ac:dyDescent="0.25">
      <c r="A71" t="s">
        <v>918</v>
      </c>
    </row>
    <row r="72" spans="1:1" x14ac:dyDescent="0.25">
      <c r="A72" t="s">
        <v>589</v>
      </c>
    </row>
    <row r="73" spans="1:1" x14ac:dyDescent="0.25">
      <c r="A73" t="s">
        <v>637</v>
      </c>
    </row>
    <row r="74" spans="1:1" x14ac:dyDescent="0.25">
      <c r="A74" t="s">
        <v>636</v>
      </c>
    </row>
    <row r="75" spans="1:1" x14ac:dyDescent="0.25">
      <c r="A75" t="s">
        <v>919</v>
      </c>
    </row>
    <row r="76" spans="1:1" x14ac:dyDescent="0.25">
      <c r="A76" t="s">
        <v>590</v>
      </c>
    </row>
    <row r="77" spans="1:1" x14ac:dyDescent="0.25">
      <c r="A77" t="s">
        <v>591</v>
      </c>
    </row>
    <row r="78" spans="1:1" x14ac:dyDescent="0.25">
      <c r="A78" t="s">
        <v>920</v>
      </c>
    </row>
    <row r="79" spans="1:1" x14ac:dyDescent="0.25">
      <c r="A79" t="s">
        <v>921</v>
      </c>
    </row>
    <row r="80" spans="1:1" x14ac:dyDescent="0.25">
      <c r="A80" t="s">
        <v>600</v>
      </c>
    </row>
    <row r="81" spans="1:2" x14ac:dyDescent="0.25">
      <c r="B81" t="s">
        <v>601</v>
      </c>
    </row>
    <row r="82" spans="1:2" x14ac:dyDescent="0.25">
      <c r="A82" t="s">
        <v>813</v>
      </c>
    </row>
    <row r="83" spans="1:2" x14ac:dyDescent="0.25">
      <c r="B83" t="s">
        <v>595</v>
      </c>
    </row>
    <row r="84" spans="1:2" x14ac:dyDescent="0.25">
      <c r="A84" t="s">
        <v>815</v>
      </c>
    </row>
    <row r="85" spans="1:2" x14ac:dyDescent="0.25">
      <c r="B85" t="s">
        <v>922</v>
      </c>
    </row>
    <row r="86" spans="1:2" x14ac:dyDescent="0.25">
      <c r="A86" t="s">
        <v>818</v>
      </c>
    </row>
    <row r="87" spans="1:2" x14ac:dyDescent="0.25">
      <c r="B87" t="s">
        <v>599</v>
      </c>
    </row>
    <row r="88" spans="1:2" x14ac:dyDescent="0.25">
      <c r="A88" t="s">
        <v>923</v>
      </c>
    </row>
    <row r="90" spans="1:2" x14ac:dyDescent="0.25">
      <c r="A90" t="s">
        <v>244</v>
      </c>
    </row>
    <row r="91" spans="1:2" x14ac:dyDescent="0.25">
      <c r="A91" t="s">
        <v>924</v>
      </c>
    </row>
    <row r="92" spans="1:2" x14ac:dyDescent="0.25">
      <c r="A92" t="s">
        <v>925</v>
      </c>
    </row>
    <row r="94" spans="1:2" x14ac:dyDescent="0.25">
      <c r="A94" t="s">
        <v>244</v>
      </c>
    </row>
    <row r="95" spans="1:2" x14ac:dyDescent="0.25">
      <c r="A95" t="s">
        <v>792</v>
      </c>
    </row>
    <row r="96" spans="1:2" x14ac:dyDescent="0.25">
      <c r="A96" t="s">
        <v>911</v>
      </c>
    </row>
    <row r="98" spans="1:2" x14ac:dyDescent="0.25">
      <c r="A98" t="s">
        <v>244</v>
      </c>
    </row>
    <row r="99" spans="1:2" x14ac:dyDescent="0.25">
      <c r="A99" t="s">
        <v>792</v>
      </c>
    </row>
    <row r="100" spans="1:2" x14ac:dyDescent="0.25">
      <c r="A100" t="s">
        <v>16</v>
      </c>
    </row>
    <row r="102" spans="1:2" x14ac:dyDescent="0.25">
      <c r="A102" t="s">
        <v>244</v>
      </c>
    </row>
    <row r="103" spans="1:2" x14ac:dyDescent="0.25">
      <c r="A103" t="s">
        <v>734</v>
      </c>
    </row>
    <row r="104" spans="1:2" x14ac:dyDescent="0.25">
      <c r="A104" t="s">
        <v>926</v>
      </c>
    </row>
    <row r="105" spans="1:2" x14ac:dyDescent="0.25">
      <c r="A105" t="s">
        <v>927</v>
      </c>
    </row>
    <row r="108" spans="1:2" x14ac:dyDescent="0.25">
      <c r="B108" t="s">
        <v>928</v>
      </c>
    </row>
    <row r="109" spans="1:2" x14ac:dyDescent="0.25">
      <c r="B109" t="s">
        <v>929</v>
      </c>
    </row>
    <row r="110" spans="1:2" x14ac:dyDescent="0.25">
      <c r="B110" t="s">
        <v>930</v>
      </c>
    </row>
    <row r="111" spans="1:2" x14ac:dyDescent="0.25">
      <c r="B111" t="s">
        <v>931</v>
      </c>
    </row>
    <row r="112" spans="1:2" x14ac:dyDescent="0.25">
      <c r="B112" t="s">
        <v>932</v>
      </c>
    </row>
    <row r="113" spans="2:4" x14ac:dyDescent="0.25">
      <c r="B113" t="s">
        <v>933</v>
      </c>
    </row>
    <row r="114" spans="2:4" x14ac:dyDescent="0.25">
      <c r="B114" t="s">
        <v>934</v>
      </c>
    </row>
    <row r="115" spans="2:4" x14ac:dyDescent="0.25">
      <c r="B115" t="s">
        <v>935</v>
      </c>
    </row>
    <row r="116" spans="2:4" x14ac:dyDescent="0.25">
      <c r="B116" t="s">
        <v>936</v>
      </c>
    </row>
    <row r="117" spans="2:4" x14ac:dyDescent="0.25">
      <c r="B117" t="s">
        <v>937</v>
      </c>
    </row>
    <row r="118" spans="2:4" x14ac:dyDescent="0.25">
      <c r="B118" t="s">
        <v>938</v>
      </c>
    </row>
    <row r="119" spans="2:4" x14ac:dyDescent="0.25">
      <c r="B119" t="s">
        <v>939</v>
      </c>
    </row>
    <row r="120" spans="2:4" x14ac:dyDescent="0.25">
      <c r="B120" t="s">
        <v>697</v>
      </c>
    </row>
    <row r="121" spans="2:4" x14ac:dyDescent="0.25">
      <c r="C121" t="s">
        <v>538</v>
      </c>
    </row>
    <row r="122" spans="2:4" x14ac:dyDescent="0.25">
      <c r="C122" t="s">
        <v>807</v>
      </c>
    </row>
    <row r="123" spans="2:4" x14ac:dyDescent="0.25">
      <c r="C123" t="s">
        <v>940</v>
      </c>
    </row>
    <row r="124" spans="2:4" x14ac:dyDescent="0.25">
      <c r="C124" t="s">
        <v>593</v>
      </c>
    </row>
    <row r="125" spans="2:4" x14ac:dyDescent="0.25">
      <c r="C125" t="s">
        <v>594</v>
      </c>
    </row>
    <row r="126" spans="2:4" x14ac:dyDescent="0.25">
      <c r="D126" t="s">
        <v>595</v>
      </c>
    </row>
    <row r="127" spans="2:4" x14ac:dyDescent="0.25">
      <c r="C127" t="s">
        <v>941</v>
      </c>
    </row>
    <row r="128" spans="2:4" x14ac:dyDescent="0.25">
      <c r="D128" t="s">
        <v>942</v>
      </c>
    </row>
    <row r="129" spans="1:3" x14ac:dyDescent="0.25">
      <c r="C129" t="s">
        <v>671</v>
      </c>
    </row>
    <row r="130" spans="1:3" x14ac:dyDescent="0.25">
      <c r="C130" t="s">
        <v>807</v>
      </c>
    </row>
    <row r="131" spans="1:3" x14ac:dyDescent="0.25">
      <c r="B131" t="s">
        <v>943</v>
      </c>
    </row>
    <row r="132" spans="1:3" x14ac:dyDescent="0.25">
      <c r="C132" t="s">
        <v>944</v>
      </c>
    </row>
    <row r="133" spans="1:3" x14ac:dyDescent="0.25">
      <c r="B133" t="s">
        <v>945</v>
      </c>
    </row>
    <row r="134" spans="1:3" x14ac:dyDescent="0.25">
      <c r="B134" t="s">
        <v>946</v>
      </c>
    </row>
    <row r="135" spans="1:3" x14ac:dyDescent="0.25">
      <c r="B135" t="s">
        <v>947</v>
      </c>
    </row>
    <row r="136" spans="1:3" x14ac:dyDescent="0.25">
      <c r="B136" t="s">
        <v>948</v>
      </c>
    </row>
    <row r="139" spans="1:3" x14ac:dyDescent="0.25">
      <c r="A139" t="s">
        <v>572</v>
      </c>
    </row>
    <row r="140" spans="1:3" x14ac:dyDescent="0.25">
      <c r="A140" t="s">
        <v>918</v>
      </c>
    </row>
    <row r="141" spans="1:3" x14ac:dyDescent="0.25">
      <c r="A141" t="s">
        <v>589</v>
      </c>
    </row>
    <row r="142" spans="1:3" x14ac:dyDescent="0.25">
      <c r="A142" t="s">
        <v>949</v>
      </c>
    </row>
    <row r="143" spans="1:3" x14ac:dyDescent="0.25">
      <c r="A143" t="s">
        <v>950</v>
      </c>
    </row>
    <row r="144" spans="1:3" x14ac:dyDescent="0.25">
      <c r="A144" t="s">
        <v>600</v>
      </c>
    </row>
    <row r="145" spans="1:2" x14ac:dyDescent="0.25">
      <c r="B145" t="s">
        <v>601</v>
      </c>
    </row>
    <row r="146" spans="1:2" x14ac:dyDescent="0.25">
      <c r="A146" t="s">
        <v>951</v>
      </c>
    </row>
    <row r="147" spans="1:2" x14ac:dyDescent="0.25">
      <c r="A147" t="s">
        <v>952</v>
      </c>
    </row>
    <row r="149" spans="1:2" x14ac:dyDescent="0.25">
      <c r="A149" t="s">
        <v>244</v>
      </c>
    </row>
    <row r="150" spans="1:2" x14ac:dyDescent="0.25">
      <c r="A150" t="s">
        <v>862</v>
      </c>
    </row>
    <row r="151" spans="1:2" x14ac:dyDescent="0.25">
      <c r="A151" t="s">
        <v>925</v>
      </c>
    </row>
    <row r="154" spans="1:2" x14ac:dyDescent="0.25">
      <c r="A154" t="s">
        <v>244</v>
      </c>
    </row>
    <row r="155" spans="1:2" x14ac:dyDescent="0.25">
      <c r="A155" t="s">
        <v>924</v>
      </c>
    </row>
    <row r="156" spans="1:2" x14ac:dyDescent="0.25">
      <c r="A156" t="s">
        <v>925</v>
      </c>
      <c r="B156" t="s">
        <v>953</v>
      </c>
    </row>
    <row r="158" spans="1:2" x14ac:dyDescent="0.25">
      <c r="A158" t="s">
        <v>538</v>
      </c>
    </row>
    <row r="159" spans="1:2" x14ac:dyDescent="0.25">
      <c r="A159" t="s">
        <v>807</v>
      </c>
    </row>
    <row r="160" spans="1:2" x14ac:dyDescent="0.25">
      <c r="A160" t="s">
        <v>940</v>
      </c>
    </row>
    <row r="161" spans="1:2" x14ac:dyDescent="0.25">
      <c r="A161" t="s">
        <v>593</v>
      </c>
    </row>
    <row r="162" spans="1:2" x14ac:dyDescent="0.25">
      <c r="A162" t="s">
        <v>954</v>
      </c>
    </row>
    <row r="163" spans="1:2" x14ac:dyDescent="0.25">
      <c r="B163" t="s">
        <v>595</v>
      </c>
    </row>
    <row r="164" spans="1:2" x14ac:dyDescent="0.25">
      <c r="A164" t="s">
        <v>753</v>
      </c>
    </row>
    <row r="165" spans="1:2" x14ac:dyDescent="0.25">
      <c r="B165" t="s">
        <v>955</v>
      </c>
    </row>
    <row r="166" spans="1:2" x14ac:dyDescent="0.25">
      <c r="A166" t="s">
        <v>941</v>
      </c>
    </row>
    <row r="167" spans="1:2" x14ac:dyDescent="0.25">
      <c r="B167" t="s">
        <v>942</v>
      </c>
    </row>
    <row r="168" spans="1:2" x14ac:dyDescent="0.25">
      <c r="B168" t="s">
        <v>956</v>
      </c>
    </row>
    <row r="169" spans="1:2" x14ac:dyDescent="0.25">
      <c r="A169" t="s">
        <v>671</v>
      </c>
    </row>
    <row r="170" spans="1:2" x14ac:dyDescent="0.25">
      <c r="A170" t="s">
        <v>807</v>
      </c>
    </row>
    <row r="172" spans="1:2" x14ac:dyDescent="0.25">
      <c r="A172" t="s">
        <v>254</v>
      </c>
    </row>
    <row r="173" spans="1:2" x14ac:dyDescent="0.25">
      <c r="A173" t="s">
        <v>258</v>
      </c>
    </row>
    <row r="175" spans="1:2" x14ac:dyDescent="0.25">
      <c r="A175" t="s">
        <v>538</v>
      </c>
    </row>
    <row r="176" spans="1:2" x14ac:dyDescent="0.25">
      <c r="A176" t="s">
        <v>807</v>
      </c>
    </row>
    <row r="177" spans="1:3" x14ac:dyDescent="0.25">
      <c r="A177" t="s">
        <v>940</v>
      </c>
    </row>
    <row r="178" spans="1:3" x14ac:dyDescent="0.25">
      <c r="A178" t="s">
        <v>593</v>
      </c>
    </row>
    <row r="179" spans="1:3" x14ac:dyDescent="0.25">
      <c r="A179" t="s">
        <v>954</v>
      </c>
    </row>
    <row r="180" spans="1:3" x14ac:dyDescent="0.25">
      <c r="B180" t="s">
        <v>595</v>
      </c>
    </row>
    <row r="181" spans="1:3" x14ac:dyDescent="0.25">
      <c r="A181" t="s">
        <v>753</v>
      </c>
    </row>
    <row r="182" spans="1:3" x14ac:dyDescent="0.25">
      <c r="B182" t="s">
        <v>955</v>
      </c>
    </row>
    <row r="183" spans="1:3" x14ac:dyDescent="0.25">
      <c r="A183" t="s">
        <v>941</v>
      </c>
    </row>
    <row r="184" spans="1:3" x14ac:dyDescent="0.25">
      <c r="B184" t="s">
        <v>957</v>
      </c>
    </row>
    <row r="185" spans="1:3" x14ac:dyDescent="0.25">
      <c r="C185" t="s">
        <v>958</v>
      </c>
    </row>
    <row r="186" spans="1:3" x14ac:dyDescent="0.25">
      <c r="A186" t="s">
        <v>671</v>
      </c>
    </row>
    <row r="187" spans="1:3" x14ac:dyDescent="0.25">
      <c r="A187" t="s">
        <v>807</v>
      </c>
    </row>
    <row r="189" spans="1:3" x14ac:dyDescent="0.25">
      <c r="A189" t="s">
        <v>800</v>
      </c>
    </row>
    <row r="190" spans="1:3" x14ac:dyDescent="0.25">
      <c r="A190" t="s">
        <v>888</v>
      </c>
    </row>
    <row r="191" spans="1:3" x14ac:dyDescent="0.25">
      <c r="A191" t="s">
        <v>959</v>
      </c>
    </row>
    <row r="193" spans="1:2" x14ac:dyDescent="0.25">
      <c r="A193" t="s">
        <v>572</v>
      </c>
    </row>
    <row r="194" spans="1:2" x14ac:dyDescent="0.25">
      <c r="A194" t="s">
        <v>539</v>
      </c>
    </row>
    <row r="195" spans="1:2" x14ac:dyDescent="0.25">
      <c r="A195" t="s">
        <v>542</v>
      </c>
    </row>
    <row r="196" spans="1:2" x14ac:dyDescent="0.25">
      <c r="A196" t="s">
        <v>895</v>
      </c>
    </row>
    <row r="197" spans="1:2" x14ac:dyDescent="0.25">
      <c r="A197" t="s">
        <v>842</v>
      </c>
    </row>
    <row r="198" spans="1:2" x14ac:dyDescent="0.25">
      <c r="A198" t="s">
        <v>960</v>
      </c>
    </row>
    <row r="199" spans="1:2" x14ac:dyDescent="0.25">
      <c r="A199" t="s">
        <v>961</v>
      </c>
    </row>
    <row r="200" spans="1:2" x14ac:dyDescent="0.25">
      <c r="A200" t="s">
        <v>576</v>
      </c>
    </row>
    <row r="201" spans="1:2" x14ac:dyDescent="0.25">
      <c r="A201" t="s">
        <v>962</v>
      </c>
    </row>
    <row r="202" spans="1:2" x14ac:dyDescent="0.25">
      <c r="B202" t="s">
        <v>900</v>
      </c>
    </row>
    <row r="203" spans="1:2" x14ac:dyDescent="0.25">
      <c r="A203" t="s">
        <v>963</v>
      </c>
    </row>
    <row r="204" spans="1:2" x14ac:dyDescent="0.25">
      <c r="B204" t="s">
        <v>964</v>
      </c>
    </row>
    <row r="205" spans="1:2" x14ac:dyDescent="0.25">
      <c r="A205" t="s">
        <v>965</v>
      </c>
    </row>
    <row r="207" spans="1:2" x14ac:dyDescent="0.25">
      <c r="A207" t="s">
        <v>244</v>
      </c>
    </row>
    <row r="208" spans="1:2" x14ac:dyDescent="0.25">
      <c r="A208" t="s">
        <v>966</v>
      </c>
    </row>
    <row r="209" spans="1:2" x14ac:dyDescent="0.25">
      <c r="A209" t="s">
        <v>967</v>
      </c>
    </row>
    <row r="211" spans="1:2" x14ac:dyDescent="0.25">
      <c r="A211" t="s">
        <v>572</v>
      </c>
    </row>
    <row r="212" spans="1:2" x14ac:dyDescent="0.25">
      <c r="A212" t="s">
        <v>468</v>
      </c>
    </row>
    <row r="213" spans="1:2" x14ac:dyDescent="0.25">
      <c r="A213" t="s">
        <v>968</v>
      </c>
    </row>
    <row r="214" spans="1:2" x14ac:dyDescent="0.25">
      <c r="A214" t="s">
        <v>969</v>
      </c>
    </row>
    <row r="215" spans="1:2" x14ac:dyDescent="0.25">
      <c r="A215" t="s">
        <v>970</v>
      </c>
    </row>
    <row r="216" spans="1:2" x14ac:dyDescent="0.25">
      <c r="A216" t="s">
        <v>971</v>
      </c>
    </row>
    <row r="217" spans="1:2" x14ac:dyDescent="0.25">
      <c r="A217" t="s">
        <v>972</v>
      </c>
    </row>
    <row r="218" spans="1:2" x14ac:dyDescent="0.25">
      <c r="A218" t="s">
        <v>973</v>
      </c>
    </row>
    <row r="219" spans="1:2" x14ac:dyDescent="0.25">
      <c r="A219" t="s">
        <v>974</v>
      </c>
    </row>
    <row r="220" spans="1:2" x14ac:dyDescent="0.25">
      <c r="A220" t="s">
        <v>474</v>
      </c>
    </row>
    <row r="221" spans="1:2" x14ac:dyDescent="0.25">
      <c r="A221" t="s">
        <v>975</v>
      </c>
    </row>
    <row r="222" spans="1:2" x14ac:dyDescent="0.25">
      <c r="B222" t="s">
        <v>976</v>
      </c>
    </row>
    <row r="223" spans="1:2" x14ac:dyDescent="0.25">
      <c r="A223" t="s">
        <v>977</v>
      </c>
    </row>
    <row r="224" spans="1:2" x14ac:dyDescent="0.25">
      <c r="B224" t="s">
        <v>978</v>
      </c>
    </row>
    <row r="225" spans="1:2" x14ac:dyDescent="0.25">
      <c r="A225" t="s">
        <v>979</v>
      </c>
    </row>
    <row r="226" spans="1:2" x14ac:dyDescent="0.25">
      <c r="B226" t="s">
        <v>980</v>
      </c>
    </row>
    <row r="227" spans="1:2" x14ac:dyDescent="0.25">
      <c r="A227" t="e">
        <f>--JOIN</f>
        <v>#NAME?</v>
      </c>
    </row>
    <row r="228" spans="1:2" x14ac:dyDescent="0.25">
      <c r="A228" t="s">
        <v>981</v>
      </c>
    </row>
    <row r="229" spans="1:2" x14ac:dyDescent="0.25">
      <c r="A229" t="s">
        <v>247</v>
      </c>
      <c r="B229" t="s">
        <v>982</v>
      </c>
    </row>
    <row r="230" spans="1:2" x14ac:dyDescent="0.25">
      <c r="A230" t="s">
        <v>247</v>
      </c>
      <c r="B230" t="s">
        <v>480</v>
      </c>
    </row>
    <row r="231" spans="1:2" x14ac:dyDescent="0.25">
      <c r="A231" t="s">
        <v>247</v>
      </c>
      <c r="B231" t="s">
        <v>483</v>
      </c>
    </row>
    <row r="232" spans="1:2" x14ac:dyDescent="0.25">
      <c r="A232" t="s">
        <v>983</v>
      </c>
    </row>
    <row r="233" spans="1:2" x14ac:dyDescent="0.25">
      <c r="A233" t="s">
        <v>247</v>
      </c>
      <c r="B233" t="s">
        <v>984</v>
      </c>
    </row>
    <row r="234" spans="1:2" x14ac:dyDescent="0.25">
      <c r="A234" t="e">
        <f>--JOIN</f>
        <v>#NAME?</v>
      </c>
    </row>
    <row r="235" spans="1:2" x14ac:dyDescent="0.25">
      <c r="A235" t="s">
        <v>981</v>
      </c>
    </row>
    <row r="236" spans="1:2" x14ac:dyDescent="0.25">
      <c r="A236" t="s">
        <v>247</v>
      </c>
      <c r="B236" t="s">
        <v>538</v>
      </c>
    </row>
    <row r="237" spans="1:2" x14ac:dyDescent="0.25">
      <c r="A237" t="s">
        <v>247</v>
      </c>
      <c r="B237" t="s">
        <v>985</v>
      </c>
    </row>
    <row r="238" spans="1:2" x14ac:dyDescent="0.25">
      <c r="A238" t="s">
        <v>247</v>
      </c>
      <c r="B238" t="s">
        <v>972</v>
      </c>
    </row>
    <row r="239" spans="1:2" x14ac:dyDescent="0.25">
      <c r="A239" t="s">
        <v>247</v>
      </c>
      <c r="B239" t="s">
        <v>986</v>
      </c>
    </row>
    <row r="240" spans="1:2" x14ac:dyDescent="0.25">
      <c r="A240" t="s">
        <v>247</v>
      </c>
      <c r="B240" t="s">
        <v>987</v>
      </c>
    </row>
    <row r="241" spans="1:3" x14ac:dyDescent="0.25">
      <c r="A241" t="s">
        <v>247</v>
      </c>
      <c r="B241" t="s">
        <v>988</v>
      </c>
    </row>
    <row r="242" spans="1:3" x14ac:dyDescent="0.25">
      <c r="A242" t="s">
        <v>247</v>
      </c>
      <c r="B242" t="s">
        <v>989</v>
      </c>
    </row>
    <row r="243" spans="1:3" x14ac:dyDescent="0.25">
      <c r="A243" t="s">
        <v>247</v>
      </c>
      <c r="C243" t="s">
        <v>990</v>
      </c>
    </row>
    <row r="244" spans="1:3" x14ac:dyDescent="0.25">
      <c r="A244" t="s">
        <v>247</v>
      </c>
      <c r="B244" t="s">
        <v>975</v>
      </c>
    </row>
    <row r="245" spans="1:3" x14ac:dyDescent="0.25">
      <c r="A245" t="s">
        <v>247</v>
      </c>
      <c r="C245" t="s">
        <v>978</v>
      </c>
    </row>
    <row r="246" spans="1:3" x14ac:dyDescent="0.25">
      <c r="A246" t="s">
        <v>247</v>
      </c>
      <c r="B246" t="s">
        <v>991</v>
      </c>
    </row>
    <row r="247" spans="1:3" x14ac:dyDescent="0.25">
      <c r="A247" t="s">
        <v>247</v>
      </c>
      <c r="C247" t="s">
        <v>992</v>
      </c>
    </row>
    <row r="248" spans="1:3" x14ac:dyDescent="0.25">
      <c r="A248" t="s">
        <v>247</v>
      </c>
      <c r="B248" t="s">
        <v>993</v>
      </c>
    </row>
    <row r="249" spans="1:3" x14ac:dyDescent="0.25">
      <c r="A249" t="s">
        <v>994</v>
      </c>
    </row>
    <row r="250" spans="1:3" x14ac:dyDescent="0.25">
      <c r="A250" t="s">
        <v>247</v>
      </c>
      <c r="B250" t="s">
        <v>995</v>
      </c>
    </row>
    <row r="251" spans="1:3" x14ac:dyDescent="0.25">
      <c r="A251" t="s">
        <v>247</v>
      </c>
      <c r="B251" t="s">
        <v>996</v>
      </c>
    </row>
    <row r="252" spans="1:3" x14ac:dyDescent="0.25">
      <c r="A252" t="s">
        <v>247</v>
      </c>
      <c r="B252" t="s">
        <v>997</v>
      </c>
    </row>
    <row r="253" spans="1:3" x14ac:dyDescent="0.25">
      <c r="A253" t="s">
        <v>998</v>
      </c>
    </row>
    <row r="254" spans="1:3" x14ac:dyDescent="0.25">
      <c r="A254" t="s">
        <v>999</v>
      </c>
    </row>
    <row r="257" spans="1:2" x14ac:dyDescent="0.25">
      <c r="A257" t="s">
        <v>572</v>
      </c>
    </row>
    <row r="258" spans="1:2" x14ac:dyDescent="0.25">
      <c r="A258" t="s">
        <v>539</v>
      </c>
    </row>
    <row r="259" spans="1:2" x14ac:dyDescent="0.25">
      <c r="A259" t="s">
        <v>540</v>
      </c>
    </row>
    <row r="260" spans="1:2" x14ac:dyDescent="0.25">
      <c r="A260" t="s">
        <v>541</v>
      </c>
    </row>
    <row r="261" spans="1:2" x14ac:dyDescent="0.25">
      <c r="A261" t="s">
        <v>542</v>
      </c>
    </row>
    <row r="262" spans="1:2" x14ac:dyDescent="0.25">
      <c r="A262" t="s">
        <v>895</v>
      </c>
    </row>
    <row r="263" spans="1:2" x14ac:dyDescent="0.25">
      <c r="A263" t="s">
        <v>896</v>
      </c>
    </row>
    <row r="264" spans="1:2" x14ac:dyDescent="0.25">
      <c r="A264" t="s">
        <v>1000</v>
      </c>
    </row>
    <row r="265" spans="1:2" x14ac:dyDescent="0.25">
      <c r="A265" t="s">
        <v>576</v>
      </c>
    </row>
    <row r="266" spans="1:2" x14ac:dyDescent="0.25">
      <c r="A266" t="s">
        <v>962</v>
      </c>
    </row>
    <row r="267" spans="1:2" x14ac:dyDescent="0.25">
      <c r="B267" t="s">
        <v>900</v>
      </c>
    </row>
    <row r="268" spans="1:2" x14ac:dyDescent="0.25">
      <c r="A268" t="s">
        <v>1001</v>
      </c>
    </row>
    <row r="269" spans="1:2" x14ac:dyDescent="0.25">
      <c r="B269" t="s">
        <v>1002</v>
      </c>
    </row>
    <row r="270" spans="1:2" x14ac:dyDescent="0.25">
      <c r="A270" t="s">
        <v>634</v>
      </c>
    </row>
    <row r="271" spans="1:2" x14ac:dyDescent="0.25">
      <c r="A271" t="s">
        <v>902</v>
      </c>
    </row>
    <row r="272" spans="1:2" x14ac:dyDescent="0.25">
      <c r="A272" t="s">
        <v>842</v>
      </c>
    </row>
    <row r="275" spans="1:2" x14ac:dyDescent="0.25">
      <c r="A275" t="s">
        <v>1003</v>
      </c>
    </row>
    <row r="276" spans="1:2" x14ac:dyDescent="0.25">
      <c r="B276" t="s">
        <v>1004</v>
      </c>
    </row>
    <row r="277" spans="1:2" x14ac:dyDescent="0.25">
      <c r="A277" t="s">
        <v>634</v>
      </c>
    </row>
    <row r="278" spans="1:2" x14ac:dyDescent="0.25">
      <c r="A278" t="s">
        <v>902</v>
      </c>
    </row>
    <row r="279" spans="1:2" x14ac:dyDescent="0.25">
      <c r="A279" t="s">
        <v>842</v>
      </c>
    </row>
    <row r="281" spans="1:2" x14ac:dyDescent="0.25">
      <c r="A281" t="s">
        <v>244</v>
      </c>
    </row>
    <row r="282" spans="1:2" x14ac:dyDescent="0.25">
      <c r="A282" t="s">
        <v>611</v>
      </c>
    </row>
    <row r="283" spans="1:2" x14ac:dyDescent="0.25">
      <c r="A283" t="s">
        <v>1005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5"/>
  <sheetViews>
    <sheetView workbookViewId="0">
      <selection activeCell="C6" sqref="C6"/>
    </sheetView>
  </sheetViews>
  <sheetFormatPr defaultRowHeight="15" x14ac:dyDescent="0.25"/>
  <sheetData>
    <row r="1" spans="1:1" x14ac:dyDescent="0.25">
      <c r="A1" t="s">
        <v>1202</v>
      </c>
    </row>
    <row r="2" spans="1:1" x14ac:dyDescent="0.25">
      <c r="A2" t="s">
        <v>244</v>
      </c>
    </row>
    <row r="3" spans="1:1" x14ac:dyDescent="0.25">
      <c r="A3" t="s">
        <v>908</v>
      </c>
    </row>
    <row r="4" spans="1:1" x14ac:dyDescent="0.25">
      <c r="A4" t="s">
        <v>1182</v>
      </c>
    </row>
    <row r="6" spans="1:1" x14ac:dyDescent="0.25">
      <c r="A6" t="s">
        <v>244</v>
      </c>
    </row>
    <row r="7" spans="1:1" x14ac:dyDescent="0.25">
      <c r="A7" t="s">
        <v>1183</v>
      </c>
    </row>
    <row r="8" spans="1:1" x14ac:dyDescent="0.25">
      <c r="A8" t="s">
        <v>1184</v>
      </c>
    </row>
    <row r="10" spans="1:1" x14ac:dyDescent="0.25">
      <c r="A10" t="s">
        <v>244</v>
      </c>
    </row>
    <row r="11" spans="1:1" x14ac:dyDescent="0.25">
      <c r="A11" t="s">
        <v>533</v>
      </c>
    </row>
    <row r="12" spans="1:1" x14ac:dyDescent="0.25">
      <c r="A12" t="s">
        <v>1185</v>
      </c>
    </row>
    <row r="14" spans="1:1" x14ac:dyDescent="0.25">
      <c r="A14" t="s">
        <v>244</v>
      </c>
    </row>
    <row r="15" spans="1:1" x14ac:dyDescent="0.25">
      <c r="A15" t="s">
        <v>1186</v>
      </c>
    </row>
    <row r="16" spans="1:1" x14ac:dyDescent="0.25">
      <c r="A16" t="s">
        <v>1187</v>
      </c>
    </row>
    <row r="18" spans="1:2" x14ac:dyDescent="0.25">
      <c r="A18" t="s">
        <v>244</v>
      </c>
    </row>
    <row r="19" spans="1:2" x14ac:dyDescent="0.25">
      <c r="A19" t="s">
        <v>1188</v>
      </c>
    </row>
    <row r="20" spans="1:2" x14ac:dyDescent="0.25">
      <c r="A20" t="s">
        <v>1187</v>
      </c>
    </row>
    <row r="22" spans="1:2" x14ac:dyDescent="0.25">
      <c r="A22" t="s">
        <v>244</v>
      </c>
    </row>
    <row r="23" spans="1:2" x14ac:dyDescent="0.25">
      <c r="A23" t="s">
        <v>792</v>
      </c>
    </row>
    <row r="24" spans="1:2" x14ac:dyDescent="0.25">
      <c r="A24" t="s">
        <v>1187</v>
      </c>
    </row>
    <row r="25" spans="1:2" x14ac:dyDescent="0.25">
      <c r="A25" t="s">
        <v>1189</v>
      </c>
    </row>
    <row r="27" spans="1:2" x14ac:dyDescent="0.25">
      <c r="A27" t="s">
        <v>1190</v>
      </c>
    </row>
    <row r="28" spans="1:2" x14ac:dyDescent="0.25">
      <c r="A28" t="s">
        <v>1191</v>
      </c>
    </row>
    <row r="30" spans="1:2" x14ac:dyDescent="0.25">
      <c r="A30" t="s">
        <v>1192</v>
      </c>
    </row>
    <row r="31" spans="1:2" x14ac:dyDescent="0.25">
      <c r="A31" t="s">
        <v>1193</v>
      </c>
    </row>
    <row r="32" spans="1:2" x14ac:dyDescent="0.25">
      <c r="B32" t="s">
        <v>1194</v>
      </c>
    </row>
    <row r="34" spans="1:1" x14ac:dyDescent="0.25">
      <c r="A34" t="s">
        <v>1203</v>
      </c>
    </row>
    <row r="35" spans="1:1" x14ac:dyDescent="0.25">
      <c r="A35" t="s">
        <v>244</v>
      </c>
    </row>
    <row r="36" spans="1:1" x14ac:dyDescent="0.25">
      <c r="A36" t="s">
        <v>908</v>
      </c>
    </row>
    <row r="37" spans="1:1" x14ac:dyDescent="0.25">
      <c r="A37" t="s">
        <v>1195</v>
      </c>
    </row>
    <row r="39" spans="1:1" x14ac:dyDescent="0.25">
      <c r="A39" t="s">
        <v>244</v>
      </c>
    </row>
    <row r="40" spans="1:1" x14ac:dyDescent="0.25">
      <c r="A40" t="s">
        <v>1183</v>
      </c>
    </row>
    <row r="41" spans="1:1" x14ac:dyDescent="0.25">
      <c r="A41" t="s">
        <v>1196</v>
      </c>
    </row>
    <row r="43" spans="1:1" x14ac:dyDescent="0.25">
      <c r="A43" t="s">
        <v>244</v>
      </c>
    </row>
    <row r="44" spans="1:1" x14ac:dyDescent="0.25">
      <c r="A44" t="s">
        <v>533</v>
      </c>
    </row>
    <row r="45" spans="1:1" x14ac:dyDescent="0.25">
      <c r="A45" t="s">
        <v>1197</v>
      </c>
    </row>
    <row r="47" spans="1:1" x14ac:dyDescent="0.25">
      <c r="A47" t="s">
        <v>244</v>
      </c>
    </row>
    <row r="48" spans="1:1" x14ac:dyDescent="0.25">
      <c r="A48" t="s">
        <v>1186</v>
      </c>
    </row>
    <row r="49" spans="1:1" x14ac:dyDescent="0.25">
      <c r="A49" t="s">
        <v>1198</v>
      </c>
    </row>
    <row r="51" spans="1:1" x14ac:dyDescent="0.25">
      <c r="A51" t="s">
        <v>244</v>
      </c>
    </row>
    <row r="52" spans="1:1" x14ac:dyDescent="0.25">
      <c r="A52" t="s">
        <v>1188</v>
      </c>
    </row>
    <row r="53" spans="1:1" x14ac:dyDescent="0.25">
      <c r="A53" t="s">
        <v>1198</v>
      </c>
    </row>
    <row r="55" spans="1:1" x14ac:dyDescent="0.25">
      <c r="A55" t="s">
        <v>244</v>
      </c>
    </row>
    <row r="56" spans="1:1" x14ac:dyDescent="0.25">
      <c r="A56" t="s">
        <v>792</v>
      </c>
    </row>
    <row r="57" spans="1:1" x14ac:dyDescent="0.25">
      <c r="A57" t="s">
        <v>1198</v>
      </c>
    </row>
    <row r="58" spans="1:1" x14ac:dyDescent="0.25">
      <c r="A58" t="s">
        <v>1189</v>
      </c>
    </row>
    <row r="60" spans="1:1" x14ac:dyDescent="0.25">
      <c r="A60" t="s">
        <v>1190</v>
      </c>
    </row>
    <row r="61" spans="1:1" x14ac:dyDescent="0.25">
      <c r="A61" t="s">
        <v>1199</v>
      </c>
    </row>
    <row r="63" spans="1:1" x14ac:dyDescent="0.25">
      <c r="A63" t="s">
        <v>1192</v>
      </c>
    </row>
    <row r="64" spans="1:1" x14ac:dyDescent="0.25">
      <c r="A64" t="s">
        <v>1200</v>
      </c>
    </row>
    <row r="65" spans="2:2" x14ac:dyDescent="0.25">
      <c r="B65" t="s">
        <v>1201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3"/>
  <sheetViews>
    <sheetView workbookViewId="0"/>
  </sheetViews>
  <sheetFormatPr defaultRowHeight="15" x14ac:dyDescent="0.25"/>
  <sheetData>
    <row r="1" spans="1:1" x14ac:dyDescent="0.25">
      <c r="A1" t="s">
        <v>572</v>
      </c>
    </row>
    <row r="2" spans="1:1" x14ac:dyDescent="0.25">
      <c r="A2" t="s">
        <v>1265</v>
      </c>
    </row>
    <row r="3" spans="1:1" x14ac:dyDescent="0.25">
      <c r="A3" t="s">
        <v>1009</v>
      </c>
    </row>
    <row r="4" spans="1:1" x14ac:dyDescent="0.25">
      <c r="A4" t="s">
        <v>1670</v>
      </c>
    </row>
    <row r="5" spans="1:1" x14ac:dyDescent="0.25">
      <c r="A5" t="s">
        <v>1671</v>
      </c>
    </row>
    <row r="6" spans="1:1" x14ac:dyDescent="0.25">
      <c r="A6" t="s">
        <v>1672</v>
      </c>
    </row>
    <row r="7" spans="1:1" x14ac:dyDescent="0.25">
      <c r="A7" t="s">
        <v>1673</v>
      </c>
    </row>
    <row r="8" spans="1:1" x14ac:dyDescent="0.25">
      <c r="A8" t="s">
        <v>1674</v>
      </c>
    </row>
    <row r="9" spans="1:1" x14ac:dyDescent="0.25">
      <c r="A9" t="s">
        <v>1675</v>
      </c>
    </row>
    <row r="10" spans="1:1" x14ac:dyDescent="0.25">
      <c r="A10" t="s">
        <v>1044</v>
      </c>
    </row>
    <row r="11" spans="1:1" x14ac:dyDescent="0.25">
      <c r="A11" t="s">
        <v>131</v>
      </c>
    </row>
    <row r="12" spans="1:1" x14ac:dyDescent="0.25">
      <c r="A12" t="s">
        <v>697</v>
      </c>
    </row>
    <row r="13" spans="1:1" x14ac:dyDescent="0.25">
      <c r="A13" t="s">
        <v>1676</v>
      </c>
    </row>
    <row r="14" spans="1:1" x14ac:dyDescent="0.25">
      <c r="A14" t="s">
        <v>1677</v>
      </c>
    </row>
    <row r="15" spans="1:1" x14ac:dyDescent="0.25">
      <c r="A15" t="s">
        <v>1678</v>
      </c>
    </row>
    <row r="16" spans="1:1" x14ac:dyDescent="0.25">
      <c r="A16" t="s">
        <v>133</v>
      </c>
    </row>
    <row r="17" spans="1:1" x14ac:dyDescent="0.25">
      <c r="A17" t="s">
        <v>1679</v>
      </c>
    </row>
    <row r="18" spans="1:1" x14ac:dyDescent="0.25">
      <c r="A18" t="s">
        <v>1677</v>
      </c>
    </row>
    <row r="19" spans="1:1" x14ac:dyDescent="0.25">
      <c r="A19" t="s">
        <v>1680</v>
      </c>
    </row>
    <row r="20" spans="1:1" x14ac:dyDescent="0.25">
      <c r="A20" t="s">
        <v>133</v>
      </c>
    </row>
    <row r="21" spans="1:1" x14ac:dyDescent="0.25">
      <c r="A21" t="s">
        <v>1681</v>
      </c>
    </row>
    <row r="22" spans="1:1" x14ac:dyDescent="0.25">
      <c r="A22" t="s">
        <v>1677</v>
      </c>
    </row>
    <row r="23" spans="1:1" x14ac:dyDescent="0.25">
      <c r="A23" t="s">
        <v>1682</v>
      </c>
    </row>
    <row r="24" spans="1:1" x14ac:dyDescent="0.25">
      <c r="A24" t="s">
        <v>698</v>
      </c>
    </row>
    <row r="26" spans="1:1" x14ac:dyDescent="0.25">
      <c r="A26" t="s">
        <v>538</v>
      </c>
    </row>
    <row r="27" spans="1:1" x14ac:dyDescent="0.25">
      <c r="A27" t="s">
        <v>646</v>
      </c>
    </row>
    <row r="28" spans="1:1" x14ac:dyDescent="0.25">
      <c r="A28" t="s">
        <v>576</v>
      </c>
    </row>
    <row r="29" spans="1:1" x14ac:dyDescent="0.25">
      <c r="A29" t="s">
        <v>131</v>
      </c>
    </row>
    <row r="30" spans="1:1" x14ac:dyDescent="0.25">
      <c r="A30" t="s">
        <v>697</v>
      </c>
    </row>
    <row r="31" spans="1:1" x14ac:dyDescent="0.25">
      <c r="A31" t="s">
        <v>1683</v>
      </c>
    </row>
    <row r="32" spans="1:1" x14ac:dyDescent="0.25">
      <c r="A32" t="s">
        <v>1677</v>
      </c>
    </row>
    <row r="33" spans="1:1" x14ac:dyDescent="0.25">
      <c r="A33" t="s">
        <v>1684</v>
      </c>
    </row>
    <row r="34" spans="1:1" x14ac:dyDescent="0.25">
      <c r="A34" t="s">
        <v>698</v>
      </c>
    </row>
    <row r="36" spans="1:1" x14ac:dyDescent="0.25">
      <c r="A36" t="s">
        <v>572</v>
      </c>
    </row>
    <row r="37" spans="1:1" x14ac:dyDescent="0.25">
      <c r="A37" t="s">
        <v>536</v>
      </c>
    </row>
    <row r="38" spans="1:1" x14ac:dyDescent="0.25">
      <c r="A38" t="s">
        <v>1685</v>
      </c>
    </row>
    <row r="39" spans="1:1" x14ac:dyDescent="0.25">
      <c r="A39" t="s">
        <v>1686</v>
      </c>
    </row>
    <row r="40" spans="1:1" x14ac:dyDescent="0.25">
      <c r="A40" t="s">
        <v>1687</v>
      </c>
    </row>
    <row r="41" spans="1:1" x14ac:dyDescent="0.25">
      <c r="A41" t="s">
        <v>1688</v>
      </c>
    </row>
    <row r="42" spans="1:1" x14ac:dyDescent="0.25">
      <c r="A42" t="s">
        <v>1689</v>
      </c>
    </row>
    <row r="43" spans="1:1" x14ac:dyDescent="0.25">
      <c r="A43" t="s">
        <v>1690</v>
      </c>
    </row>
    <row r="44" spans="1:1" x14ac:dyDescent="0.25">
      <c r="A44" t="s">
        <v>1044</v>
      </c>
    </row>
    <row r="45" spans="1:1" x14ac:dyDescent="0.25">
      <c r="A45" t="s">
        <v>131</v>
      </c>
    </row>
    <row r="46" spans="1:1" x14ac:dyDescent="0.25">
      <c r="A46" t="s">
        <v>697</v>
      </c>
    </row>
    <row r="47" spans="1:1" x14ac:dyDescent="0.25">
      <c r="A47" t="s">
        <v>1691</v>
      </c>
    </row>
    <row r="48" spans="1:1" x14ac:dyDescent="0.25">
      <c r="A48" t="s">
        <v>1677</v>
      </c>
    </row>
    <row r="49" spans="1:1" x14ac:dyDescent="0.25">
      <c r="A49" t="s">
        <v>1692</v>
      </c>
    </row>
    <row r="50" spans="1:1" x14ac:dyDescent="0.25">
      <c r="A50" t="s">
        <v>133</v>
      </c>
    </row>
    <row r="51" spans="1:1" x14ac:dyDescent="0.25">
      <c r="A51" t="s">
        <v>1693</v>
      </c>
    </row>
    <row r="52" spans="1:1" x14ac:dyDescent="0.25">
      <c r="A52" t="s">
        <v>1677</v>
      </c>
    </row>
    <row r="53" spans="1:1" x14ac:dyDescent="0.25">
      <c r="A53" t="s">
        <v>1694</v>
      </c>
    </row>
    <row r="54" spans="1:1" x14ac:dyDescent="0.25">
      <c r="A54" t="s">
        <v>133</v>
      </c>
    </row>
    <row r="55" spans="1:1" x14ac:dyDescent="0.25">
      <c r="A55" t="s">
        <v>1695</v>
      </c>
    </row>
    <row r="56" spans="1:1" x14ac:dyDescent="0.25">
      <c r="A56" t="s">
        <v>1677</v>
      </c>
    </row>
    <row r="57" spans="1:1" x14ac:dyDescent="0.25">
      <c r="A57" t="s">
        <v>1696</v>
      </c>
    </row>
    <row r="58" spans="1:1" x14ac:dyDescent="0.25">
      <c r="A58" t="s">
        <v>698</v>
      </c>
    </row>
    <row r="60" spans="1:1" x14ac:dyDescent="0.25">
      <c r="A60" t="s">
        <v>538</v>
      </c>
    </row>
    <row r="61" spans="1:1" x14ac:dyDescent="0.25">
      <c r="A61" t="s">
        <v>646</v>
      </c>
    </row>
    <row r="62" spans="1:1" x14ac:dyDescent="0.25">
      <c r="A62" t="s">
        <v>576</v>
      </c>
    </row>
    <row r="63" spans="1:1" x14ac:dyDescent="0.25">
      <c r="A63" t="s">
        <v>131</v>
      </c>
    </row>
    <row r="64" spans="1:1" x14ac:dyDescent="0.25">
      <c r="A64" t="s">
        <v>697</v>
      </c>
    </row>
    <row r="65" spans="1:1" x14ac:dyDescent="0.25">
      <c r="A65" t="s">
        <v>1697</v>
      </c>
    </row>
    <row r="66" spans="1:1" x14ac:dyDescent="0.25">
      <c r="A66" t="s">
        <v>1677</v>
      </c>
    </row>
    <row r="67" spans="1:1" x14ac:dyDescent="0.25">
      <c r="A67" t="s">
        <v>1698</v>
      </c>
    </row>
    <row r="68" spans="1:1" x14ac:dyDescent="0.25">
      <c r="A68" t="s">
        <v>698</v>
      </c>
    </row>
    <row r="70" spans="1:1" x14ac:dyDescent="0.25">
      <c r="A70" t="s">
        <v>572</v>
      </c>
    </row>
    <row r="71" spans="1:1" x14ac:dyDescent="0.25">
      <c r="A71" t="s">
        <v>539</v>
      </c>
    </row>
    <row r="72" spans="1:1" x14ac:dyDescent="0.25">
      <c r="A72" t="s">
        <v>1699</v>
      </c>
    </row>
    <row r="73" spans="1:1" x14ac:dyDescent="0.25">
      <c r="A73" t="s">
        <v>576</v>
      </c>
    </row>
    <row r="74" spans="1:1" x14ac:dyDescent="0.25">
      <c r="A74" t="s">
        <v>1700</v>
      </c>
    </row>
    <row r="76" spans="1:1" x14ac:dyDescent="0.25">
      <c r="A76" t="s">
        <v>572</v>
      </c>
    </row>
    <row r="77" spans="1:1" x14ac:dyDescent="0.25">
      <c r="A77" t="s">
        <v>536</v>
      </c>
    </row>
    <row r="78" spans="1:1" x14ac:dyDescent="0.25">
      <c r="A78" t="s">
        <v>1701</v>
      </c>
    </row>
    <row r="79" spans="1:1" x14ac:dyDescent="0.25">
      <c r="A79" t="s">
        <v>1702</v>
      </c>
    </row>
    <row r="80" spans="1:1" x14ac:dyDescent="0.25">
      <c r="A80" t="s">
        <v>1703</v>
      </c>
    </row>
    <row r="81" spans="1:1" x14ac:dyDescent="0.25">
      <c r="A81" t="s">
        <v>1044</v>
      </c>
    </row>
    <row r="82" spans="1:1" x14ac:dyDescent="0.25">
      <c r="A82" t="s">
        <v>131</v>
      </c>
    </row>
    <row r="83" spans="1:1" x14ac:dyDescent="0.25">
      <c r="A83" t="s">
        <v>697</v>
      </c>
    </row>
    <row r="84" spans="1:1" x14ac:dyDescent="0.25">
      <c r="A84" t="s">
        <v>1704</v>
      </c>
    </row>
    <row r="85" spans="1:1" x14ac:dyDescent="0.25">
      <c r="A85" t="s">
        <v>133</v>
      </c>
    </row>
    <row r="86" spans="1:1" x14ac:dyDescent="0.25">
      <c r="A86" t="s">
        <v>1705</v>
      </c>
    </row>
    <row r="87" spans="1:1" x14ac:dyDescent="0.25">
      <c r="A87" t="s">
        <v>1677</v>
      </c>
    </row>
    <row r="88" spans="1:1" x14ac:dyDescent="0.25">
      <c r="A88" t="s">
        <v>1706</v>
      </c>
    </row>
    <row r="89" spans="1:1" x14ac:dyDescent="0.25">
      <c r="A89" t="s">
        <v>698</v>
      </c>
    </row>
    <row r="91" spans="1:1" x14ac:dyDescent="0.25">
      <c r="A91" t="e">
        <f>--SELECT</f>
        <v>#NAME?</v>
      </c>
    </row>
    <row r="92" spans="1:1" x14ac:dyDescent="0.25">
      <c r="A92" t="e">
        <f>--et.ERROR_TYPE_ID</f>
        <v>#NAME?</v>
      </c>
    </row>
    <row r="93" spans="1:1" x14ac:dyDescent="0.25">
      <c r="A93" t="s">
        <v>1707</v>
      </c>
    </row>
    <row r="94" spans="1:1" x14ac:dyDescent="0.25">
      <c r="A94" t="s">
        <v>1708</v>
      </c>
    </row>
    <row r="95" spans="1:1" x14ac:dyDescent="0.25">
      <c r="A95" t="s">
        <v>1709</v>
      </c>
    </row>
    <row r="96" spans="1:1" x14ac:dyDescent="0.25">
      <c r="A96" t="s">
        <v>1710</v>
      </c>
    </row>
    <row r="97" spans="1:2" x14ac:dyDescent="0.25">
      <c r="A97" t="s">
        <v>1711</v>
      </c>
    </row>
    <row r="98" spans="1:2" x14ac:dyDescent="0.25">
      <c r="A98" t="e">
        <f>--FROM ERROR_TYPE et</f>
        <v>#NAME?</v>
      </c>
    </row>
    <row r="99" spans="1:2" x14ac:dyDescent="0.25">
      <c r="A99" t="e">
        <f>--JOIN RESOLVING_REASON_TYPE rrt</f>
        <v>#NAME?</v>
      </c>
    </row>
    <row r="100" spans="1:2" x14ac:dyDescent="0.25">
      <c r="A100" t="s">
        <v>247</v>
      </c>
      <c r="B100" t="s">
        <v>1712</v>
      </c>
    </row>
    <row r="101" spans="1:2" x14ac:dyDescent="0.25">
      <c r="A101" t="e">
        <f>--JOIN RESOLVING_ACTION_TYPE rat</f>
        <v>#NAME?</v>
      </c>
    </row>
    <row r="102" spans="1:2" x14ac:dyDescent="0.25">
      <c r="A102" t="s">
        <v>247</v>
      </c>
      <c r="B102" t="s">
        <v>1713</v>
      </c>
    </row>
    <row r="103" spans="1:2" x14ac:dyDescent="0.25">
      <c r="A103" t="e">
        <f>--WHERE et.ERROR_TYPE_ID = 143</f>
        <v>#NAME?</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workbookViewId="0"/>
  </sheetViews>
  <sheetFormatPr defaultRowHeight="15" x14ac:dyDescent="0.25"/>
  <sheetData>
    <row r="1" spans="1:1" x14ac:dyDescent="0.25">
      <c r="A1" t="s">
        <v>538</v>
      </c>
    </row>
    <row r="2" spans="1:1" x14ac:dyDescent="0.25">
      <c r="A2" t="s">
        <v>573</v>
      </c>
    </row>
    <row r="3" spans="1:1" x14ac:dyDescent="0.25">
      <c r="A3" t="s">
        <v>1204</v>
      </c>
    </row>
    <row r="4" spans="1:1" x14ac:dyDescent="0.25">
      <c r="A4" t="s">
        <v>1205</v>
      </c>
    </row>
    <row r="5" spans="1:1" x14ac:dyDescent="0.25">
      <c r="A5" t="s">
        <v>1206</v>
      </c>
    </row>
    <row r="6" spans="1:1" x14ac:dyDescent="0.25">
      <c r="A6" t="s">
        <v>1207</v>
      </c>
    </row>
    <row r="7" spans="1:1" x14ac:dyDescent="0.25">
      <c r="A7" t="s">
        <v>611</v>
      </c>
    </row>
    <row r="8" spans="1:1" x14ac:dyDescent="0.25">
      <c r="A8" t="s">
        <v>1208</v>
      </c>
    </row>
    <row r="10" spans="1:1" x14ac:dyDescent="0.25">
      <c r="A10" t="s">
        <v>244</v>
      </c>
    </row>
    <row r="11" spans="1:1" x14ac:dyDescent="0.25">
      <c r="A11" t="s">
        <v>1209</v>
      </c>
    </row>
    <row r="13" spans="1:1" x14ac:dyDescent="0.25">
      <c r="A13" t="s">
        <v>800</v>
      </c>
    </row>
    <row r="14" spans="1:1" x14ac:dyDescent="0.25">
      <c r="A14" t="s">
        <v>1210</v>
      </c>
    </row>
    <row r="15" spans="1:1" x14ac:dyDescent="0.25">
      <c r="A15" t="s">
        <v>1211</v>
      </c>
    </row>
    <row r="16" spans="1:1" x14ac:dyDescent="0.25">
      <c r="A16" t="s">
        <v>1212</v>
      </c>
    </row>
    <row r="18" spans="1:2" x14ac:dyDescent="0.25">
      <c r="A18" t="s">
        <v>244</v>
      </c>
    </row>
    <row r="19" spans="1:2" x14ac:dyDescent="0.25">
      <c r="A19" t="s">
        <v>533</v>
      </c>
    </row>
    <row r="20" spans="1:2" x14ac:dyDescent="0.25">
      <c r="A20" t="s">
        <v>1208</v>
      </c>
    </row>
    <row r="22" spans="1:2" x14ac:dyDescent="0.25">
      <c r="B22" t="s">
        <v>1213</v>
      </c>
    </row>
    <row r="23" spans="1:2" x14ac:dyDescent="0.25">
      <c r="B23" t="s">
        <v>1214</v>
      </c>
    </row>
    <row r="24" spans="1:2" x14ac:dyDescent="0.25">
      <c r="B24" t="s">
        <v>1215</v>
      </c>
    </row>
    <row r="25" spans="1:2" x14ac:dyDescent="0.25">
      <c r="B25" t="s">
        <v>1216</v>
      </c>
    </row>
    <row r="26" spans="1:2" x14ac:dyDescent="0.25">
      <c r="B26" t="s">
        <v>1217</v>
      </c>
    </row>
    <row r="27" spans="1:2" x14ac:dyDescent="0.25">
      <c r="B27" t="s">
        <v>1218</v>
      </c>
    </row>
    <row r="28" spans="1:2" x14ac:dyDescent="0.25">
      <c r="B28" t="s">
        <v>1219</v>
      </c>
    </row>
    <row r="29" spans="1:2" x14ac:dyDescent="0.25">
      <c r="B29" t="s">
        <v>1220</v>
      </c>
    </row>
    <row r="30" spans="1:2" x14ac:dyDescent="0.25">
      <c r="B30" t="s">
        <v>1221</v>
      </c>
    </row>
    <row r="31" spans="1:2" x14ac:dyDescent="0.25">
      <c r="B31" t="s">
        <v>1222</v>
      </c>
    </row>
    <row r="32" spans="1:2" x14ac:dyDescent="0.25">
      <c r="B32" t="s">
        <v>1223</v>
      </c>
    </row>
    <row r="33" spans="1:2" x14ac:dyDescent="0.25">
      <c r="B33" t="s">
        <v>1224</v>
      </c>
    </row>
    <row r="35" spans="1:2" x14ac:dyDescent="0.25">
      <c r="A35" t="s">
        <v>244</v>
      </c>
    </row>
    <row r="36" spans="1:2" x14ac:dyDescent="0.25">
      <c r="A36" t="s">
        <v>669</v>
      </c>
    </row>
    <row r="37" spans="1:2" x14ac:dyDescent="0.25">
      <c r="A37" t="s">
        <v>1225</v>
      </c>
    </row>
    <row r="39" spans="1:2" x14ac:dyDescent="0.25">
      <c r="A39" t="e">
        <f>-- DELETE FROM ERROR WHERE ErrorID = 122692</f>
        <v>#NAME?</v>
      </c>
    </row>
    <row r="41" spans="1:2" x14ac:dyDescent="0.25">
      <c r="A41" t="s">
        <v>607</v>
      </c>
    </row>
    <row r="42" spans="1:2" x14ac:dyDescent="0.25">
      <c r="A42" t="s">
        <v>1226</v>
      </c>
    </row>
    <row r="43" spans="1:2" x14ac:dyDescent="0.25">
      <c r="A43" t="s">
        <v>1227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L32" sqref="L32"/>
    </sheetView>
  </sheetViews>
  <sheetFormatPr defaultRowHeight="15" x14ac:dyDescent="0.25"/>
  <sheetData>
    <row r="1" spans="1:2" x14ac:dyDescent="0.25">
      <c r="A1" t="s">
        <v>244</v>
      </c>
    </row>
    <row r="2" spans="1:2" x14ac:dyDescent="0.25">
      <c r="A2" t="s">
        <v>763</v>
      </c>
    </row>
    <row r="3" spans="1:2" x14ac:dyDescent="0.25">
      <c r="A3" t="s">
        <v>1436</v>
      </c>
    </row>
    <row r="4" spans="1:2" x14ac:dyDescent="0.25">
      <c r="B4" t="s">
        <v>1305</v>
      </c>
    </row>
    <row r="6" spans="1:2" x14ac:dyDescent="0.25">
      <c r="A6" t="s">
        <v>244</v>
      </c>
    </row>
    <row r="7" spans="1:2" x14ac:dyDescent="0.25">
      <c r="A7" t="s">
        <v>1437</v>
      </c>
    </row>
    <row r="8" spans="1:2" x14ac:dyDescent="0.25">
      <c r="A8" t="s">
        <v>1438</v>
      </c>
    </row>
    <row r="9" spans="1:2" x14ac:dyDescent="0.25">
      <c r="B9" t="s">
        <v>1305</v>
      </c>
    </row>
    <row r="11" spans="1:2" x14ac:dyDescent="0.25">
      <c r="A11" t="s">
        <v>572</v>
      </c>
    </row>
    <row r="12" spans="1:2" x14ac:dyDescent="0.25">
      <c r="A12" t="s">
        <v>1439</v>
      </c>
    </row>
    <row r="13" spans="1:2" x14ac:dyDescent="0.25">
      <c r="A13" t="s">
        <v>593</v>
      </c>
    </row>
    <row r="14" spans="1:2" x14ac:dyDescent="0.25">
      <c r="A14" t="s">
        <v>1440</v>
      </c>
    </row>
    <row r="15" spans="1:2" x14ac:dyDescent="0.25">
      <c r="B15" t="s">
        <v>1441</v>
      </c>
    </row>
    <row r="16" spans="1:2" x14ac:dyDescent="0.25">
      <c r="A16" t="s">
        <v>1442</v>
      </c>
    </row>
    <row r="17" spans="1:2" x14ac:dyDescent="0.25">
      <c r="B17" t="s">
        <v>1443</v>
      </c>
    </row>
    <row r="18" spans="1:2" x14ac:dyDescent="0.25">
      <c r="B18" t="s">
        <v>1444</v>
      </c>
    </row>
    <row r="20" spans="1:2" x14ac:dyDescent="0.25">
      <c r="A20" t="s">
        <v>244</v>
      </c>
    </row>
    <row r="21" spans="1:2" x14ac:dyDescent="0.25">
      <c r="A21" t="s">
        <v>734</v>
      </c>
    </row>
    <row r="22" spans="1:2" x14ac:dyDescent="0.25">
      <c r="A22" t="s">
        <v>1445</v>
      </c>
    </row>
    <row r="24" spans="1:2" x14ac:dyDescent="0.25">
      <c r="A24" t="s">
        <v>1446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sqref="A1:E32"/>
    </sheetView>
  </sheetViews>
  <sheetFormatPr defaultRowHeight="15" x14ac:dyDescent="0.25"/>
  <sheetData>
    <row r="1" spans="1:3" x14ac:dyDescent="0.25">
      <c r="A1" t="e">
        <f>-- show all affiliations specific</f>
        <v>#NAME?</v>
      </c>
    </row>
    <row r="2" spans="1:3" x14ac:dyDescent="0.25">
      <c r="A2" t="s">
        <v>247</v>
      </c>
      <c r="B2" t="s">
        <v>1410</v>
      </c>
    </row>
    <row r="3" spans="1:3" x14ac:dyDescent="0.25">
      <c r="A3" t="s">
        <v>572</v>
      </c>
    </row>
    <row r="4" spans="1:3" x14ac:dyDescent="0.25">
      <c r="A4" t="s">
        <v>646</v>
      </c>
    </row>
    <row r="5" spans="1:3" x14ac:dyDescent="0.25">
      <c r="A5" t="s">
        <v>1289</v>
      </c>
    </row>
    <row r="6" spans="1:3" x14ac:dyDescent="0.25">
      <c r="A6" t="s">
        <v>1411</v>
      </c>
    </row>
    <row r="7" spans="1:3" x14ac:dyDescent="0.25">
      <c r="B7" t="s">
        <v>1412</v>
      </c>
    </row>
    <row r="8" spans="1:3" x14ac:dyDescent="0.25">
      <c r="B8" t="s">
        <v>1413</v>
      </c>
    </row>
    <row r="9" spans="1:3" x14ac:dyDescent="0.25">
      <c r="A9" t="s">
        <v>1414</v>
      </c>
    </row>
    <row r="10" spans="1:3" x14ac:dyDescent="0.25">
      <c r="B10" t="s">
        <v>1415</v>
      </c>
    </row>
    <row r="11" spans="1:3" x14ac:dyDescent="0.25">
      <c r="A11" t="s">
        <v>1416</v>
      </c>
    </row>
    <row r="12" spans="1:3" x14ac:dyDescent="0.25">
      <c r="B12" t="s">
        <v>1417</v>
      </c>
      <c r="C12" t="e">
        <f>-- provider Practice Group</f>
        <v>#NAME?</v>
      </c>
    </row>
    <row r="15" spans="1:3" x14ac:dyDescent="0.25">
      <c r="A15" t="e">
        <f>-- to confirm above affiliations are not correct</f>
        <v>#NAME?</v>
      </c>
    </row>
    <row r="16" spans="1:3" x14ac:dyDescent="0.25">
      <c r="A16" t="s">
        <v>247</v>
      </c>
      <c r="B16" t="s">
        <v>1418</v>
      </c>
    </row>
    <row r="17" spans="1:5" x14ac:dyDescent="0.25">
      <c r="A17" t="s">
        <v>247</v>
      </c>
      <c r="B17" t="s">
        <v>1419</v>
      </c>
    </row>
    <row r="18" spans="1:5" x14ac:dyDescent="0.25">
      <c r="A18" t="s">
        <v>572</v>
      </c>
    </row>
    <row r="19" spans="1:5" x14ac:dyDescent="0.25">
      <c r="A19" t="s">
        <v>584</v>
      </c>
    </row>
    <row r="20" spans="1:5" x14ac:dyDescent="0.25">
      <c r="A20" t="s">
        <v>1420</v>
      </c>
    </row>
    <row r="21" spans="1:5" x14ac:dyDescent="0.25">
      <c r="A21" t="s">
        <v>591</v>
      </c>
    </row>
    <row r="22" spans="1:5" x14ac:dyDescent="0.25">
      <c r="A22" t="s">
        <v>632</v>
      </c>
    </row>
    <row r="23" spans="1:5" x14ac:dyDescent="0.25">
      <c r="A23" t="s">
        <v>593</v>
      </c>
    </row>
    <row r="24" spans="1:5" x14ac:dyDescent="0.25">
      <c r="A24" t="s">
        <v>815</v>
      </c>
    </row>
    <row r="25" spans="1:5" x14ac:dyDescent="0.25">
      <c r="B25" t="s">
        <v>597</v>
      </c>
    </row>
    <row r="26" spans="1:5" x14ac:dyDescent="0.25">
      <c r="A26" t="s">
        <v>624</v>
      </c>
    </row>
    <row r="27" spans="1:5" x14ac:dyDescent="0.25">
      <c r="B27" t="s">
        <v>1102</v>
      </c>
    </row>
    <row r="28" spans="1:5" x14ac:dyDescent="0.25">
      <c r="A28" t="s">
        <v>1421</v>
      </c>
      <c r="C28" t="e">
        <f>-- ParentPartyID</f>
        <v>#NAME?</v>
      </c>
    </row>
    <row r="29" spans="1:5" x14ac:dyDescent="0.25">
      <c r="B29" t="s">
        <v>1422</v>
      </c>
      <c r="E29" t="e">
        <f>-- ChildPartyID</f>
        <v>#NAME?</v>
      </c>
    </row>
    <row r="30" spans="1:5" x14ac:dyDescent="0.25">
      <c r="A30" t="s">
        <v>634</v>
      </c>
    </row>
    <row r="31" spans="1:5" x14ac:dyDescent="0.25">
      <c r="A31" t="s">
        <v>584</v>
      </c>
    </row>
    <row r="32" spans="1:5" x14ac:dyDescent="0.25">
      <c r="A32" t="s">
        <v>632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workbookViewId="0">
      <selection sqref="A1:B32"/>
    </sheetView>
  </sheetViews>
  <sheetFormatPr defaultRowHeight="15" x14ac:dyDescent="0.25"/>
  <sheetData>
    <row r="1" spans="1:1" x14ac:dyDescent="0.25">
      <c r="A1" t="s">
        <v>244</v>
      </c>
    </row>
    <row r="2" spans="1:1" x14ac:dyDescent="0.25">
      <c r="A2" t="s">
        <v>611</v>
      </c>
    </row>
    <row r="3" spans="1:1" x14ac:dyDescent="0.25">
      <c r="A3" t="s">
        <v>1423</v>
      </c>
    </row>
    <row r="5" spans="1:1" x14ac:dyDescent="0.25">
      <c r="A5" t="s">
        <v>244</v>
      </c>
    </row>
    <row r="6" spans="1:1" x14ac:dyDescent="0.25">
      <c r="A6" t="s">
        <v>1424</v>
      </c>
    </row>
    <row r="7" spans="1:1" x14ac:dyDescent="0.25">
      <c r="A7" t="s">
        <v>1425</v>
      </c>
    </row>
    <row r="8" spans="1:1" x14ac:dyDescent="0.25">
      <c r="A8" t="s">
        <v>1426</v>
      </c>
    </row>
    <row r="10" spans="1:1" x14ac:dyDescent="0.25">
      <c r="A10" t="s">
        <v>244</v>
      </c>
    </row>
    <row r="11" spans="1:1" x14ac:dyDescent="0.25">
      <c r="A11" t="s">
        <v>1297</v>
      </c>
    </row>
    <row r="12" spans="1:1" x14ac:dyDescent="0.25">
      <c r="A12" t="s">
        <v>1427</v>
      </c>
    </row>
    <row r="13" spans="1:1" x14ac:dyDescent="0.25">
      <c r="A13" t="s">
        <v>1393</v>
      </c>
    </row>
    <row r="14" spans="1:1" x14ac:dyDescent="0.25">
      <c r="A14" t="e">
        <f>-- WHERE TRANSACTION_QUEUE_ID = 23858</f>
        <v>#NAME?</v>
      </c>
    </row>
    <row r="16" spans="1:1" x14ac:dyDescent="0.25">
      <c r="A16" t="s">
        <v>244</v>
      </c>
    </row>
    <row r="17" spans="1:2" x14ac:dyDescent="0.25">
      <c r="A17" t="s">
        <v>734</v>
      </c>
    </row>
    <row r="18" spans="1:2" x14ac:dyDescent="0.25">
      <c r="A18" t="s">
        <v>1427</v>
      </c>
    </row>
    <row r="19" spans="1:2" x14ac:dyDescent="0.25">
      <c r="A19" t="s">
        <v>1428</v>
      </c>
    </row>
    <row r="21" spans="1:2" x14ac:dyDescent="0.25">
      <c r="A21" t="s">
        <v>244</v>
      </c>
    </row>
    <row r="22" spans="1:2" x14ac:dyDescent="0.25">
      <c r="A22" t="s">
        <v>580</v>
      </c>
    </row>
    <row r="23" spans="1:2" x14ac:dyDescent="0.25">
      <c r="A23" t="s">
        <v>1429</v>
      </c>
    </row>
    <row r="25" spans="1:2" x14ac:dyDescent="0.25">
      <c r="A25" t="s">
        <v>572</v>
      </c>
    </row>
    <row r="26" spans="1:2" x14ac:dyDescent="0.25">
      <c r="A26" t="s">
        <v>1430</v>
      </c>
    </row>
    <row r="27" spans="1:2" x14ac:dyDescent="0.25">
      <c r="A27" t="s">
        <v>1431</v>
      </c>
    </row>
    <row r="28" spans="1:2" x14ac:dyDescent="0.25">
      <c r="A28" t="s">
        <v>1432</v>
      </c>
    </row>
    <row r="29" spans="1:2" x14ac:dyDescent="0.25">
      <c r="A29" t="s">
        <v>1433</v>
      </c>
    </row>
    <row r="30" spans="1:2" x14ac:dyDescent="0.25">
      <c r="B30" t="s">
        <v>1434</v>
      </c>
    </row>
    <row r="31" spans="1:2" x14ac:dyDescent="0.25">
      <c r="A31" t="s">
        <v>1435</v>
      </c>
    </row>
    <row r="32" spans="1:2" x14ac:dyDescent="0.25">
      <c r="A32" t="s">
        <v>1393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9"/>
  <sheetViews>
    <sheetView workbookViewId="0">
      <selection activeCell="A3" sqref="A3"/>
    </sheetView>
  </sheetViews>
  <sheetFormatPr defaultRowHeight="15" x14ac:dyDescent="0.25"/>
  <sheetData>
    <row r="1" spans="1:2" x14ac:dyDescent="0.25">
      <c r="A1" t="s">
        <v>1228</v>
      </c>
    </row>
    <row r="2" spans="1:2" x14ac:dyDescent="0.25">
      <c r="B2" t="s">
        <v>1229</v>
      </c>
    </row>
    <row r="3" spans="1:2" x14ac:dyDescent="0.25">
      <c r="A3" t="s">
        <v>1230</v>
      </c>
    </row>
    <row r="4" spans="1:2" x14ac:dyDescent="0.25">
      <c r="A4" t="s">
        <v>254</v>
      </c>
    </row>
    <row r="5" spans="1:2" x14ac:dyDescent="0.25">
      <c r="A5" t="s">
        <v>1231</v>
      </c>
    </row>
    <row r="6" spans="1:2" x14ac:dyDescent="0.25">
      <c r="B6" t="s">
        <v>1232</v>
      </c>
    </row>
    <row r="7" spans="1:2" x14ac:dyDescent="0.25">
      <c r="A7" t="s">
        <v>258</v>
      </c>
    </row>
    <row r="8" spans="1:2" x14ac:dyDescent="0.25">
      <c r="A8" t="s">
        <v>572</v>
      </c>
    </row>
    <row r="9" spans="1:2" x14ac:dyDescent="0.25">
      <c r="A9" t="s">
        <v>744</v>
      </c>
    </row>
    <row r="10" spans="1:2" x14ac:dyDescent="0.25">
      <c r="A10" t="s">
        <v>1233</v>
      </c>
    </row>
    <row r="11" spans="1:2" x14ac:dyDescent="0.25">
      <c r="A11" t="s">
        <v>1234</v>
      </c>
    </row>
    <row r="12" spans="1:2" x14ac:dyDescent="0.25">
      <c r="A12" t="s">
        <v>1235</v>
      </c>
    </row>
    <row r="13" spans="1:2" x14ac:dyDescent="0.25">
      <c r="A13" t="s">
        <v>1236</v>
      </c>
    </row>
    <row r="14" spans="1:2" x14ac:dyDescent="0.25">
      <c r="A14" t="s">
        <v>1237</v>
      </c>
    </row>
    <row r="15" spans="1:2" x14ac:dyDescent="0.25">
      <c r="A15" t="s">
        <v>1238</v>
      </c>
    </row>
    <row r="16" spans="1:2" x14ac:dyDescent="0.25">
      <c r="A16" t="s">
        <v>746</v>
      </c>
    </row>
    <row r="17" spans="1:2" x14ac:dyDescent="0.25">
      <c r="A17" t="s">
        <v>1239</v>
      </c>
    </row>
    <row r="18" spans="1:2" x14ac:dyDescent="0.25">
      <c r="A18" t="s">
        <v>763</v>
      </c>
    </row>
    <row r="19" spans="1:2" x14ac:dyDescent="0.25">
      <c r="A19" t="s">
        <v>1240</v>
      </c>
    </row>
    <row r="20" spans="1:2" x14ac:dyDescent="0.25">
      <c r="B20" t="s">
        <v>1241</v>
      </c>
    </row>
    <row r="21" spans="1:2" x14ac:dyDescent="0.25">
      <c r="A21" t="s">
        <v>765</v>
      </c>
    </row>
    <row r="22" spans="1:2" x14ac:dyDescent="0.25">
      <c r="B22" t="s">
        <v>1242</v>
      </c>
    </row>
    <row r="23" spans="1:2" x14ac:dyDescent="0.25">
      <c r="A23" t="s">
        <v>619</v>
      </c>
    </row>
    <row r="24" spans="1:2" x14ac:dyDescent="0.25">
      <c r="B24" t="s">
        <v>844</v>
      </c>
    </row>
    <row r="25" spans="1:2" x14ac:dyDescent="0.25">
      <c r="A25" t="s">
        <v>1243</v>
      </c>
    </row>
    <row r="26" spans="1:2" x14ac:dyDescent="0.25">
      <c r="B26" t="s">
        <v>1244</v>
      </c>
    </row>
    <row r="27" spans="1:2" x14ac:dyDescent="0.25">
      <c r="B27" t="s">
        <v>1245</v>
      </c>
    </row>
    <row r="28" spans="1:2" x14ac:dyDescent="0.25">
      <c r="B28" t="s">
        <v>1246</v>
      </c>
    </row>
    <row r="29" spans="1:2" x14ac:dyDescent="0.25">
      <c r="A29" t="s">
        <v>1247</v>
      </c>
    </row>
    <row r="31" spans="1:2" x14ac:dyDescent="0.25">
      <c r="A31" t="s">
        <v>1248</v>
      </c>
    </row>
    <row r="32" spans="1:2" x14ac:dyDescent="0.25">
      <c r="B32" t="s">
        <v>1249</v>
      </c>
    </row>
    <row r="33" spans="1:1" x14ac:dyDescent="0.25">
      <c r="A33" t="s">
        <v>254</v>
      </c>
    </row>
    <row r="34" spans="1:1" x14ac:dyDescent="0.25">
      <c r="A34" t="s">
        <v>1250</v>
      </c>
    </row>
    <row r="35" spans="1:1" x14ac:dyDescent="0.25">
      <c r="A35" t="s">
        <v>258</v>
      </c>
    </row>
    <row r="36" spans="1:1" x14ac:dyDescent="0.25">
      <c r="A36" t="s">
        <v>1251</v>
      </c>
    </row>
    <row r="37" spans="1:1" x14ac:dyDescent="0.25">
      <c r="A37" t="s">
        <v>572</v>
      </c>
    </row>
    <row r="38" spans="1:1" x14ac:dyDescent="0.25">
      <c r="A38" t="s">
        <v>744</v>
      </c>
    </row>
    <row r="39" spans="1:1" x14ac:dyDescent="0.25">
      <c r="A39" t="s">
        <v>1233</v>
      </c>
    </row>
    <row r="40" spans="1:1" x14ac:dyDescent="0.25">
      <c r="A40" t="s">
        <v>1234</v>
      </c>
    </row>
    <row r="41" spans="1:1" x14ac:dyDescent="0.25">
      <c r="A41" t="s">
        <v>1235</v>
      </c>
    </row>
    <row r="42" spans="1:1" x14ac:dyDescent="0.25">
      <c r="A42" t="s">
        <v>1236</v>
      </c>
    </row>
    <row r="43" spans="1:1" x14ac:dyDescent="0.25">
      <c r="A43" t="s">
        <v>1237</v>
      </c>
    </row>
    <row r="44" spans="1:1" x14ac:dyDescent="0.25">
      <c r="A44" t="s">
        <v>1238</v>
      </c>
    </row>
    <row r="45" spans="1:1" x14ac:dyDescent="0.25">
      <c r="A45" t="s">
        <v>746</v>
      </c>
    </row>
    <row r="46" spans="1:1" x14ac:dyDescent="0.25">
      <c r="A46" t="s">
        <v>1252</v>
      </c>
    </row>
    <row r="47" spans="1:1" x14ac:dyDescent="0.25">
      <c r="A47" t="s">
        <v>763</v>
      </c>
    </row>
    <row r="48" spans="1:1" x14ac:dyDescent="0.25">
      <c r="A48" t="s">
        <v>1240</v>
      </c>
    </row>
    <row r="49" spans="1:3" x14ac:dyDescent="0.25">
      <c r="B49" t="s">
        <v>1241</v>
      </c>
    </row>
    <row r="50" spans="1:3" x14ac:dyDescent="0.25">
      <c r="A50" t="s">
        <v>765</v>
      </c>
    </row>
    <row r="51" spans="1:3" x14ac:dyDescent="0.25">
      <c r="B51" t="s">
        <v>1242</v>
      </c>
    </row>
    <row r="52" spans="1:3" x14ac:dyDescent="0.25">
      <c r="A52" t="s">
        <v>619</v>
      </c>
    </row>
    <row r="53" spans="1:3" x14ac:dyDescent="0.25">
      <c r="B53" t="s">
        <v>844</v>
      </c>
    </row>
    <row r="54" spans="1:3" x14ac:dyDescent="0.25">
      <c r="A54" t="s">
        <v>1253</v>
      </c>
    </row>
    <row r="55" spans="1:3" x14ac:dyDescent="0.25">
      <c r="B55" t="s">
        <v>1254</v>
      </c>
    </row>
    <row r="56" spans="1:3" x14ac:dyDescent="0.25">
      <c r="B56" t="s">
        <v>1255</v>
      </c>
    </row>
    <row r="57" spans="1:3" x14ac:dyDescent="0.25">
      <c r="C57" t="s">
        <v>1256</v>
      </c>
    </row>
    <row r="58" spans="1:3" x14ac:dyDescent="0.25">
      <c r="A58" t="s">
        <v>1247</v>
      </c>
    </row>
    <row r="60" spans="1:3" x14ac:dyDescent="0.25">
      <c r="A60" t="s">
        <v>254</v>
      </c>
    </row>
    <row r="61" spans="1:3" x14ac:dyDescent="0.25">
      <c r="A61" t="s">
        <v>1257</v>
      </c>
    </row>
    <row r="62" spans="1:3" x14ac:dyDescent="0.25">
      <c r="A62" t="s">
        <v>1258</v>
      </c>
    </row>
    <row r="63" spans="1:3" x14ac:dyDescent="0.25">
      <c r="A63" t="s">
        <v>258</v>
      </c>
    </row>
    <row r="65" spans="1:1" x14ac:dyDescent="0.25">
      <c r="A65" t="e">
        <f>-- make sure transactions close out</f>
        <v>#NAME?</v>
      </c>
    </row>
    <row r="66" spans="1:1" x14ac:dyDescent="0.25">
      <c r="A66" t="e">
        <f>-- create new transactions</f>
        <v>#NAME?</v>
      </c>
    </row>
    <row r="67" spans="1:1" x14ac:dyDescent="0.25">
      <c r="A67" t="s">
        <v>254</v>
      </c>
    </row>
    <row r="68" spans="1:1" x14ac:dyDescent="0.25">
      <c r="A68" t="s">
        <v>1259</v>
      </c>
    </row>
    <row r="69" spans="1:1" x14ac:dyDescent="0.25">
      <c r="A69" t="s">
        <v>1260</v>
      </c>
    </row>
    <row r="70" spans="1:1" x14ac:dyDescent="0.25">
      <c r="A70" t="s">
        <v>258</v>
      </c>
    </row>
    <row r="72" spans="1:1" x14ac:dyDescent="0.25">
      <c r="A72" t="s">
        <v>645</v>
      </c>
    </row>
    <row r="73" spans="1:1" x14ac:dyDescent="0.25">
      <c r="A73" t="s">
        <v>646</v>
      </c>
    </row>
    <row r="74" spans="1:1" x14ac:dyDescent="0.25">
      <c r="A74" t="s">
        <v>245</v>
      </c>
    </row>
    <row r="75" spans="1:1" x14ac:dyDescent="0.25">
      <c r="A75" t="s">
        <v>251</v>
      </c>
    </row>
    <row r="77" spans="1:1" x14ac:dyDescent="0.25">
      <c r="A77" t="s">
        <v>244</v>
      </c>
    </row>
    <row r="78" spans="1:1" x14ac:dyDescent="0.25">
      <c r="A78" t="s">
        <v>734</v>
      </c>
    </row>
    <row r="79" spans="1:1" x14ac:dyDescent="0.25">
      <c r="A79" t="s">
        <v>1261</v>
      </c>
    </row>
    <row r="81" spans="1:2" x14ac:dyDescent="0.25">
      <c r="A81" t="s">
        <v>244</v>
      </c>
    </row>
    <row r="82" spans="1:2" x14ac:dyDescent="0.25">
      <c r="A82" t="s">
        <v>669</v>
      </c>
    </row>
    <row r="83" spans="1:2" x14ac:dyDescent="0.25">
      <c r="A83" t="s">
        <v>1262</v>
      </c>
    </row>
    <row r="85" spans="1:2" x14ac:dyDescent="0.25">
      <c r="A85" t="s">
        <v>244</v>
      </c>
    </row>
    <row r="86" spans="1:2" x14ac:dyDescent="0.25">
      <c r="A86" t="s">
        <v>647</v>
      </c>
    </row>
    <row r="87" spans="1:2" x14ac:dyDescent="0.25">
      <c r="A87" t="s">
        <v>619</v>
      </c>
    </row>
    <row r="88" spans="1:2" x14ac:dyDescent="0.25">
      <c r="B88" t="s">
        <v>1263</v>
      </c>
    </row>
    <row r="89" spans="1:2" x14ac:dyDescent="0.25">
      <c r="A89" t="s">
        <v>1264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heetViews>
  <sheetFormatPr defaultRowHeight="15" x14ac:dyDescent="0.25"/>
  <sheetData>
    <row r="1" spans="1:3" x14ac:dyDescent="0.25">
      <c r="A1" t="s">
        <v>244</v>
      </c>
    </row>
    <row r="2" spans="1:3" x14ac:dyDescent="0.25">
      <c r="A2" t="s">
        <v>576</v>
      </c>
    </row>
    <row r="3" spans="1:3" x14ac:dyDescent="0.25">
      <c r="A3" t="s">
        <v>939</v>
      </c>
    </row>
    <row r="4" spans="1:3" x14ac:dyDescent="0.25">
      <c r="A4" t="s">
        <v>697</v>
      </c>
    </row>
    <row r="5" spans="1:3" x14ac:dyDescent="0.25">
      <c r="B5" t="s">
        <v>572</v>
      </c>
    </row>
    <row r="6" spans="1:3" x14ac:dyDescent="0.25">
      <c r="B6" t="s">
        <v>1265</v>
      </c>
    </row>
    <row r="7" spans="1:3" x14ac:dyDescent="0.25">
      <c r="B7" t="s">
        <v>1266</v>
      </c>
    </row>
    <row r="8" spans="1:3" x14ac:dyDescent="0.25">
      <c r="B8" t="s">
        <v>1267</v>
      </c>
    </row>
    <row r="9" spans="1:3" x14ac:dyDescent="0.25">
      <c r="B9" t="s">
        <v>1268</v>
      </c>
    </row>
    <row r="10" spans="1:3" x14ac:dyDescent="0.25">
      <c r="C10" t="s">
        <v>1026</v>
      </c>
    </row>
    <row r="11" spans="1:3" x14ac:dyDescent="0.25">
      <c r="B11" t="s">
        <v>644</v>
      </c>
    </row>
    <row r="12" spans="1:3" x14ac:dyDescent="0.25">
      <c r="B12" t="s">
        <v>1265</v>
      </c>
    </row>
    <row r="13" spans="1:3" x14ac:dyDescent="0.25">
      <c r="A13" t="s">
        <v>1269</v>
      </c>
    </row>
    <row r="14" spans="1:3" x14ac:dyDescent="0.25">
      <c r="B14" t="s">
        <v>1270</v>
      </c>
    </row>
    <row r="15" spans="1:3" x14ac:dyDescent="0.25">
      <c r="A15" t="s">
        <v>1271</v>
      </c>
    </row>
    <row r="16" spans="1:3" x14ac:dyDescent="0.25">
      <c r="B16" t="s">
        <v>1272</v>
      </c>
    </row>
    <row r="17" spans="2:6" x14ac:dyDescent="0.25">
      <c r="B17" t="s">
        <v>1273</v>
      </c>
    </row>
    <row r="19" spans="2:6" x14ac:dyDescent="0.25">
      <c r="D19" t="s">
        <v>1274</v>
      </c>
    </row>
    <row r="20" spans="2:6" x14ac:dyDescent="0.25">
      <c r="D20" t="s">
        <v>1275</v>
      </c>
    </row>
    <row r="21" spans="2:6" x14ac:dyDescent="0.25">
      <c r="D21" t="s">
        <v>538</v>
      </c>
    </row>
    <row r="22" spans="2:6" x14ac:dyDescent="0.25">
      <c r="D22" t="s">
        <v>1276</v>
      </c>
    </row>
    <row r="23" spans="2:6" x14ac:dyDescent="0.25">
      <c r="D23" t="s">
        <v>1044</v>
      </c>
    </row>
    <row r="24" spans="2:6" x14ac:dyDescent="0.25">
      <c r="D24" t="s">
        <v>1277</v>
      </c>
    </row>
    <row r="25" spans="2:6" x14ac:dyDescent="0.25">
      <c r="E25" t="s">
        <v>1278</v>
      </c>
    </row>
    <row r="27" spans="2:6" x14ac:dyDescent="0.25">
      <c r="D27" t="s">
        <v>1279</v>
      </c>
    </row>
    <row r="29" spans="2:6" x14ac:dyDescent="0.25">
      <c r="E29">
        <v>59176</v>
      </c>
      <c r="F29">
        <v>0</v>
      </c>
    </row>
    <row r="30" spans="2:6" x14ac:dyDescent="0.25">
      <c r="E30">
        <v>59362</v>
      </c>
      <c r="F30">
        <v>1</v>
      </c>
    </row>
    <row r="34" spans="1:1" x14ac:dyDescent="0.25">
      <c r="A34" t="s">
        <v>244</v>
      </c>
    </row>
    <row r="35" spans="1:1" x14ac:dyDescent="0.25">
      <c r="A35" t="s">
        <v>1280</v>
      </c>
    </row>
    <row r="36" spans="1:1" x14ac:dyDescent="0.25">
      <c r="A36" t="s">
        <v>1281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1"/>
  <sheetViews>
    <sheetView workbookViewId="0"/>
  </sheetViews>
  <sheetFormatPr defaultRowHeight="15" x14ac:dyDescent="0.25"/>
  <sheetData>
    <row r="1" spans="1:3" x14ac:dyDescent="0.25">
      <c r="A1" t="s">
        <v>3042</v>
      </c>
    </row>
    <row r="2" spans="1:3" x14ac:dyDescent="0.25">
      <c r="A2" t="e">
        <f>-- get all affiliations which have been imported FROM caqh</f>
        <v>#NAME?</v>
      </c>
    </row>
    <row r="3" spans="1:3" x14ac:dyDescent="0.25">
      <c r="A3" t="s">
        <v>247</v>
      </c>
      <c r="C3" t="s">
        <v>3043</v>
      </c>
    </row>
    <row r="4" spans="1:3" x14ac:dyDescent="0.25">
      <c r="A4" t="s">
        <v>3044</v>
      </c>
    </row>
    <row r="5" spans="1:3" x14ac:dyDescent="0.25">
      <c r="A5" t="s">
        <v>572</v>
      </c>
    </row>
    <row r="6" spans="1:3" x14ac:dyDescent="0.25">
      <c r="A6" t="s">
        <v>3045</v>
      </c>
    </row>
    <row r="7" spans="1:3" x14ac:dyDescent="0.25">
      <c r="A7" t="s">
        <v>3046</v>
      </c>
    </row>
    <row r="8" spans="1:3" x14ac:dyDescent="0.25">
      <c r="A8" t="s">
        <v>895</v>
      </c>
    </row>
    <row r="9" spans="1:3" x14ac:dyDescent="0.25">
      <c r="A9" t="s">
        <v>3047</v>
      </c>
    </row>
    <row r="10" spans="1:3" x14ac:dyDescent="0.25">
      <c r="A10" t="s">
        <v>2849</v>
      </c>
    </row>
    <row r="11" spans="1:3" x14ac:dyDescent="0.25">
      <c r="A11" t="s">
        <v>961</v>
      </c>
    </row>
    <row r="12" spans="1:3" x14ac:dyDescent="0.25">
      <c r="A12" t="s">
        <v>3048</v>
      </c>
    </row>
    <row r="13" spans="1:3" x14ac:dyDescent="0.25">
      <c r="A13" t="s">
        <v>1289</v>
      </c>
    </row>
    <row r="14" spans="1:3" x14ac:dyDescent="0.25">
      <c r="A14" t="s">
        <v>696</v>
      </c>
    </row>
    <row r="15" spans="1:3" x14ac:dyDescent="0.25">
      <c r="A15" t="s">
        <v>697</v>
      </c>
    </row>
    <row r="16" spans="1:3" x14ac:dyDescent="0.25">
      <c r="B16" t="s">
        <v>572</v>
      </c>
    </row>
    <row r="17" spans="1:3" x14ac:dyDescent="0.25">
      <c r="B17" t="s">
        <v>3049</v>
      </c>
    </row>
    <row r="18" spans="1:3" x14ac:dyDescent="0.25">
      <c r="B18" t="s">
        <v>3050</v>
      </c>
    </row>
    <row r="19" spans="1:3" x14ac:dyDescent="0.25">
      <c r="B19" t="s">
        <v>3051</v>
      </c>
    </row>
    <row r="20" spans="1:3" x14ac:dyDescent="0.25">
      <c r="B20" t="s">
        <v>3052</v>
      </c>
    </row>
    <row r="21" spans="1:3" x14ac:dyDescent="0.25">
      <c r="C21" t="s">
        <v>3053</v>
      </c>
    </row>
    <row r="22" spans="1:3" x14ac:dyDescent="0.25">
      <c r="B22" t="s">
        <v>3054</v>
      </c>
    </row>
    <row r="23" spans="1:3" x14ac:dyDescent="0.25">
      <c r="A23" t="s">
        <v>3055</v>
      </c>
    </row>
    <row r="24" spans="1:3" x14ac:dyDescent="0.25">
      <c r="B24" t="s">
        <v>3056</v>
      </c>
    </row>
    <row r="25" spans="1:3" x14ac:dyDescent="0.25">
      <c r="A25" t="s">
        <v>624</v>
      </c>
    </row>
    <row r="26" spans="1:3" x14ac:dyDescent="0.25">
      <c r="B26" t="s">
        <v>3057</v>
      </c>
    </row>
    <row r="27" spans="1:3" x14ac:dyDescent="0.25">
      <c r="A27" t="s">
        <v>939</v>
      </c>
    </row>
    <row r="28" spans="1:3" x14ac:dyDescent="0.25">
      <c r="A28" t="s">
        <v>697</v>
      </c>
    </row>
    <row r="29" spans="1:3" x14ac:dyDescent="0.25">
      <c r="B29" t="s">
        <v>572</v>
      </c>
    </row>
    <row r="30" spans="1:3" x14ac:dyDescent="0.25">
      <c r="B30" t="s">
        <v>39</v>
      </c>
    </row>
    <row r="31" spans="1:3" x14ac:dyDescent="0.25">
      <c r="B31" t="s">
        <v>3058</v>
      </c>
    </row>
    <row r="32" spans="1:3" x14ac:dyDescent="0.25">
      <c r="B32" t="s">
        <v>578</v>
      </c>
    </row>
    <row r="33" spans="1:3" x14ac:dyDescent="0.25">
      <c r="B33" t="s">
        <v>3059</v>
      </c>
    </row>
    <row r="34" spans="1:3" x14ac:dyDescent="0.25">
      <c r="C34" t="s">
        <v>3060</v>
      </c>
    </row>
    <row r="35" spans="1:3" x14ac:dyDescent="0.25">
      <c r="A35" t="s">
        <v>3061</v>
      </c>
    </row>
    <row r="36" spans="1:3" x14ac:dyDescent="0.25">
      <c r="B36" t="s">
        <v>964</v>
      </c>
    </row>
    <row r="37" spans="1:3" x14ac:dyDescent="0.25">
      <c r="B37" t="s">
        <v>3062</v>
      </c>
    </row>
    <row r="38" spans="1:3" x14ac:dyDescent="0.25">
      <c r="A38" t="s">
        <v>3063</v>
      </c>
      <c r="B38" t="e">
        <f>-- provider not Found</f>
        <v>#NAME?</v>
      </c>
    </row>
    <row r="39" spans="1:3" x14ac:dyDescent="0.25">
      <c r="B39" t="s">
        <v>3064</v>
      </c>
    </row>
    <row r="40" spans="1:3" x14ac:dyDescent="0.25">
      <c r="B40" t="s">
        <v>3065</v>
      </c>
    </row>
    <row r="41" spans="1:3" x14ac:dyDescent="0.25">
      <c r="A41" t="s">
        <v>3066</v>
      </c>
    </row>
    <row r="42" spans="1:3" x14ac:dyDescent="0.25">
      <c r="A42" t="s">
        <v>3067</v>
      </c>
    </row>
    <row r="44" spans="1:3" x14ac:dyDescent="0.25">
      <c r="A44" t="s">
        <v>538</v>
      </c>
    </row>
    <row r="45" spans="1:3" x14ac:dyDescent="0.25">
      <c r="A45" t="s">
        <v>807</v>
      </c>
    </row>
    <row r="46" spans="1:3" x14ac:dyDescent="0.25">
      <c r="A46" t="s">
        <v>940</v>
      </c>
    </row>
    <row r="47" spans="1:3" x14ac:dyDescent="0.25">
      <c r="A47" t="s">
        <v>593</v>
      </c>
    </row>
    <row r="48" spans="1:3" x14ac:dyDescent="0.25">
      <c r="A48" t="s">
        <v>3068</v>
      </c>
    </row>
    <row r="49" spans="1:2" x14ac:dyDescent="0.25">
      <c r="A49" t="s">
        <v>671</v>
      </c>
    </row>
    <row r="50" spans="1:2" x14ac:dyDescent="0.25">
      <c r="A50" t="s">
        <v>807</v>
      </c>
    </row>
    <row r="53" spans="1:2" x14ac:dyDescent="0.25">
      <c r="A53" t="s">
        <v>3069</v>
      </c>
    </row>
    <row r="56" spans="1:2" x14ac:dyDescent="0.25">
      <c r="A56" t="s">
        <v>244</v>
      </c>
    </row>
    <row r="57" spans="1:2" x14ac:dyDescent="0.25">
      <c r="A57" t="s">
        <v>1390</v>
      </c>
    </row>
    <row r="58" spans="1:2" x14ac:dyDescent="0.25">
      <c r="A58" t="s">
        <v>3070</v>
      </c>
    </row>
    <row r="59" spans="1:2" x14ac:dyDescent="0.25">
      <c r="B59" t="s">
        <v>3071</v>
      </c>
    </row>
    <row r="61" spans="1:2" x14ac:dyDescent="0.25">
      <c r="A61" t="s">
        <v>244</v>
      </c>
    </row>
    <row r="62" spans="1:2" x14ac:dyDescent="0.25">
      <c r="A62" t="s">
        <v>865</v>
      </c>
    </row>
    <row r="63" spans="1:2" x14ac:dyDescent="0.25">
      <c r="A63" t="s">
        <v>3072</v>
      </c>
    </row>
    <row r="64" spans="1:2" x14ac:dyDescent="0.25">
      <c r="B64" t="s">
        <v>3073</v>
      </c>
    </row>
    <row r="68" spans="1:1" x14ac:dyDescent="0.25">
      <c r="A68" t="s">
        <v>3074</v>
      </c>
    </row>
    <row r="69" spans="1:1" x14ac:dyDescent="0.25">
      <c r="A69" t="s">
        <v>607</v>
      </c>
    </row>
    <row r="70" spans="1:1" x14ac:dyDescent="0.25">
      <c r="A70" t="s">
        <v>1912</v>
      </c>
    </row>
    <row r="71" spans="1:1" x14ac:dyDescent="0.25">
      <c r="A71" t="s">
        <v>3075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3"/>
  <sheetViews>
    <sheetView workbookViewId="0"/>
  </sheetViews>
  <sheetFormatPr defaultRowHeight="15" x14ac:dyDescent="0.25"/>
  <sheetData>
    <row r="1" spans="1:2" x14ac:dyDescent="0.25">
      <c r="A1" t="s">
        <v>645</v>
      </c>
    </row>
    <row r="2" spans="1:2" x14ac:dyDescent="0.25">
      <c r="A2" t="s">
        <v>646</v>
      </c>
    </row>
    <row r="3" spans="1:2" x14ac:dyDescent="0.25">
      <c r="A3" t="s">
        <v>245</v>
      </c>
    </row>
    <row r="4" spans="1:2" x14ac:dyDescent="0.25">
      <c r="A4" t="s">
        <v>1282</v>
      </c>
    </row>
    <row r="5" spans="1:2" x14ac:dyDescent="0.25">
      <c r="A5" t="s">
        <v>251</v>
      </c>
    </row>
    <row r="7" spans="1:2" x14ac:dyDescent="0.25">
      <c r="A7" t="s">
        <v>244</v>
      </c>
    </row>
    <row r="8" spans="1:2" x14ac:dyDescent="0.25">
      <c r="A8" t="s">
        <v>734</v>
      </c>
    </row>
    <row r="9" spans="1:2" x14ac:dyDescent="0.25">
      <c r="A9" t="s">
        <v>1077</v>
      </c>
    </row>
    <row r="10" spans="1:2" x14ac:dyDescent="0.25">
      <c r="B10" t="s">
        <v>1283</v>
      </c>
    </row>
    <row r="12" spans="1:2" x14ac:dyDescent="0.25">
      <c r="A12" t="s">
        <v>538</v>
      </c>
    </row>
    <row r="13" spans="1:2" x14ac:dyDescent="0.25">
      <c r="A13" t="s">
        <v>646</v>
      </c>
    </row>
    <row r="14" spans="1:2" x14ac:dyDescent="0.25">
      <c r="A14" t="s">
        <v>1284</v>
      </c>
    </row>
    <row r="15" spans="1:2" x14ac:dyDescent="0.25">
      <c r="A15" t="s">
        <v>1285</v>
      </c>
    </row>
    <row r="16" spans="1:2" x14ac:dyDescent="0.25">
      <c r="A16" t="s">
        <v>1286</v>
      </c>
      <c r="B16" t="s">
        <v>1287</v>
      </c>
    </row>
    <row r="18" spans="1:2" x14ac:dyDescent="0.25">
      <c r="A18" t="s">
        <v>467</v>
      </c>
    </row>
    <row r="19" spans="1:2" x14ac:dyDescent="0.25">
      <c r="A19" t="s">
        <v>1288</v>
      </c>
    </row>
    <row r="20" spans="1:2" x14ac:dyDescent="0.25">
      <c r="A20" t="s">
        <v>842</v>
      </c>
    </row>
    <row r="21" spans="1:2" x14ac:dyDescent="0.25">
      <c r="A21" t="s">
        <v>1289</v>
      </c>
    </row>
    <row r="22" spans="1:2" x14ac:dyDescent="0.25">
      <c r="A22" t="s">
        <v>619</v>
      </c>
    </row>
    <row r="23" spans="1:2" x14ac:dyDescent="0.25">
      <c r="B23" t="s">
        <v>1290</v>
      </c>
    </row>
    <row r="24" spans="1:2" x14ac:dyDescent="0.25">
      <c r="A24" t="s">
        <v>1291</v>
      </c>
    </row>
    <row r="25" spans="1:2" x14ac:dyDescent="0.25">
      <c r="B25" t="s">
        <v>1292</v>
      </c>
    </row>
    <row r="26" spans="1:2" x14ac:dyDescent="0.25">
      <c r="B26" t="s">
        <v>1293</v>
      </c>
    </row>
    <row r="27" spans="1:2" x14ac:dyDescent="0.25">
      <c r="A27" t="s">
        <v>1294</v>
      </c>
    </row>
    <row r="30" spans="1:2" x14ac:dyDescent="0.25">
      <c r="A30" t="s">
        <v>244</v>
      </c>
    </row>
    <row r="31" spans="1:2" x14ac:dyDescent="0.25">
      <c r="A31" t="s">
        <v>1295</v>
      </c>
    </row>
    <row r="32" spans="1:2" x14ac:dyDescent="0.25">
      <c r="A32" t="s">
        <v>1296</v>
      </c>
    </row>
    <row r="34" spans="1:2" x14ac:dyDescent="0.25">
      <c r="A34" t="s">
        <v>538</v>
      </c>
    </row>
    <row r="35" spans="1:2" x14ac:dyDescent="0.25">
      <c r="A35" t="s">
        <v>646</v>
      </c>
    </row>
    <row r="36" spans="1:2" x14ac:dyDescent="0.25">
      <c r="A36" t="s">
        <v>1297</v>
      </c>
    </row>
    <row r="37" spans="1:2" x14ac:dyDescent="0.25">
      <c r="A37" t="s">
        <v>1298</v>
      </c>
    </row>
    <row r="38" spans="1:2" x14ac:dyDescent="0.25">
      <c r="B38" t="s">
        <v>1299</v>
      </c>
    </row>
    <row r="39" spans="1:2" x14ac:dyDescent="0.25">
      <c r="B39" t="s">
        <v>1300</v>
      </c>
    </row>
    <row r="40" spans="1:2" x14ac:dyDescent="0.25">
      <c r="B40" t="s">
        <v>1301</v>
      </c>
    </row>
    <row r="41" spans="1:2" x14ac:dyDescent="0.25">
      <c r="B41" t="s">
        <v>698</v>
      </c>
    </row>
    <row r="42" spans="1:2" x14ac:dyDescent="0.25">
      <c r="A42" t="s">
        <v>1302</v>
      </c>
    </row>
    <row r="45" spans="1:2" x14ac:dyDescent="0.25">
      <c r="A45" t="s">
        <v>1303</v>
      </c>
    </row>
    <row r="46" spans="1:2" x14ac:dyDescent="0.25">
      <c r="A46" t="s">
        <v>646</v>
      </c>
    </row>
    <row r="47" spans="1:2" x14ac:dyDescent="0.25">
      <c r="A47" t="s">
        <v>792</v>
      </c>
    </row>
    <row r="48" spans="1:2" x14ac:dyDescent="0.25">
      <c r="A48" t="s">
        <v>1304</v>
      </c>
    </row>
    <row r="49" spans="1:2" x14ac:dyDescent="0.25">
      <c r="B49" t="s">
        <v>1305</v>
      </c>
    </row>
    <row r="51" spans="1:2" x14ac:dyDescent="0.25">
      <c r="A51" t="s">
        <v>572</v>
      </c>
    </row>
    <row r="52" spans="1:2" x14ac:dyDescent="0.25">
      <c r="A52" t="s">
        <v>646</v>
      </c>
    </row>
    <row r="53" spans="1:2" x14ac:dyDescent="0.25">
      <c r="A53" t="s">
        <v>1297</v>
      </c>
    </row>
    <row r="54" spans="1:2" x14ac:dyDescent="0.25">
      <c r="A54" t="s">
        <v>1306</v>
      </c>
    </row>
    <row r="55" spans="1:2" x14ac:dyDescent="0.25">
      <c r="B55" t="s">
        <v>1307</v>
      </c>
    </row>
    <row r="56" spans="1:2" x14ac:dyDescent="0.25">
      <c r="B56" t="s">
        <v>1308</v>
      </c>
    </row>
    <row r="57" spans="1:2" x14ac:dyDescent="0.25">
      <c r="B57" t="s">
        <v>698</v>
      </c>
    </row>
    <row r="60" spans="1:2" x14ac:dyDescent="0.25">
      <c r="A60" t="s">
        <v>572</v>
      </c>
    </row>
    <row r="61" spans="1:2" x14ac:dyDescent="0.25">
      <c r="A61" t="s">
        <v>646</v>
      </c>
    </row>
    <row r="62" spans="1:2" x14ac:dyDescent="0.25">
      <c r="A62" t="s">
        <v>924</v>
      </c>
    </row>
    <row r="63" spans="1:2" x14ac:dyDescent="0.25">
      <c r="A63" t="s">
        <v>1309</v>
      </c>
    </row>
    <row r="65" spans="1:1" x14ac:dyDescent="0.25">
      <c r="A65" t="s">
        <v>572</v>
      </c>
    </row>
    <row r="66" spans="1:1" x14ac:dyDescent="0.25">
      <c r="A66" t="s">
        <v>646</v>
      </c>
    </row>
    <row r="67" spans="1:1" x14ac:dyDescent="0.25">
      <c r="A67" t="s">
        <v>1310</v>
      </c>
    </row>
    <row r="68" spans="1:1" x14ac:dyDescent="0.25">
      <c r="A68" t="s">
        <v>1311</v>
      </c>
    </row>
    <row r="70" spans="1:1" x14ac:dyDescent="0.25">
      <c r="A70" t="s">
        <v>572</v>
      </c>
    </row>
    <row r="71" spans="1:1" x14ac:dyDescent="0.25">
      <c r="A71" t="s">
        <v>646</v>
      </c>
    </row>
    <row r="72" spans="1:1" x14ac:dyDescent="0.25">
      <c r="A72" t="s">
        <v>1312</v>
      </c>
    </row>
    <row r="73" spans="1:1" x14ac:dyDescent="0.25">
      <c r="A73" t="s">
        <v>1313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3"/>
  <sheetViews>
    <sheetView workbookViewId="0">
      <selection sqref="A1:C143"/>
    </sheetView>
  </sheetViews>
  <sheetFormatPr defaultRowHeight="15" x14ac:dyDescent="0.25"/>
  <sheetData>
    <row r="1" spans="1:2" x14ac:dyDescent="0.25">
      <c r="A1" t="s">
        <v>1303</v>
      </c>
    </row>
    <row r="2" spans="1:2" x14ac:dyDescent="0.25">
      <c r="A2" t="s">
        <v>646</v>
      </c>
    </row>
    <row r="3" spans="1:2" x14ac:dyDescent="0.25">
      <c r="A3" t="s">
        <v>580</v>
      </c>
    </row>
    <row r="4" spans="1:2" x14ac:dyDescent="0.25">
      <c r="A4" t="s">
        <v>3580</v>
      </c>
    </row>
    <row r="5" spans="1:2" x14ac:dyDescent="0.25">
      <c r="A5" t="s">
        <v>3581</v>
      </c>
    </row>
    <row r="6" spans="1:2" x14ac:dyDescent="0.25">
      <c r="B6" t="s">
        <v>3582</v>
      </c>
    </row>
    <row r="7" spans="1:2" x14ac:dyDescent="0.25">
      <c r="B7" t="s">
        <v>3583</v>
      </c>
    </row>
    <row r="8" spans="1:2" x14ac:dyDescent="0.25">
      <c r="A8" t="s">
        <v>3584</v>
      </c>
    </row>
    <row r="10" spans="1:2" x14ac:dyDescent="0.25">
      <c r="A10" t="s">
        <v>572</v>
      </c>
    </row>
    <row r="11" spans="1:2" x14ac:dyDescent="0.25">
      <c r="A11" t="s">
        <v>646</v>
      </c>
    </row>
    <row r="12" spans="1:2" x14ac:dyDescent="0.25">
      <c r="A12" t="s">
        <v>1512</v>
      </c>
    </row>
    <row r="13" spans="1:2" x14ac:dyDescent="0.25">
      <c r="A13" t="s">
        <v>3585</v>
      </c>
    </row>
    <row r="15" spans="1:2" x14ac:dyDescent="0.25">
      <c r="A15" t="s">
        <v>572</v>
      </c>
    </row>
    <row r="16" spans="1:2" x14ac:dyDescent="0.25">
      <c r="A16" t="s">
        <v>384</v>
      </c>
    </row>
    <row r="17" spans="1:1" x14ac:dyDescent="0.25">
      <c r="A17" t="s">
        <v>3586</v>
      </c>
    </row>
    <row r="18" spans="1:1" x14ac:dyDescent="0.25">
      <c r="A18" t="s">
        <v>1019</v>
      </c>
    </row>
    <row r="19" spans="1:1" x14ac:dyDescent="0.25">
      <c r="A19" t="s">
        <v>3248</v>
      </c>
    </row>
    <row r="20" spans="1:1" x14ac:dyDescent="0.25">
      <c r="A20" t="s">
        <v>1017</v>
      </c>
    </row>
    <row r="21" spans="1:1" x14ac:dyDescent="0.25">
      <c r="A21" t="s">
        <v>1018</v>
      </c>
    </row>
    <row r="22" spans="1:1" x14ac:dyDescent="0.25">
      <c r="A22" t="s">
        <v>3587</v>
      </c>
    </row>
    <row r="23" spans="1:1" x14ac:dyDescent="0.25">
      <c r="A23" t="s">
        <v>3588</v>
      </c>
    </row>
    <row r="24" spans="1:1" x14ac:dyDescent="0.25">
      <c r="A24" t="s">
        <v>3589</v>
      </c>
    </row>
    <row r="25" spans="1:1" x14ac:dyDescent="0.25">
      <c r="A25" t="s">
        <v>3590</v>
      </c>
    </row>
    <row r="26" spans="1:1" x14ac:dyDescent="0.25">
      <c r="A26" t="s">
        <v>1832</v>
      </c>
    </row>
    <row r="27" spans="1:1" x14ac:dyDescent="0.25">
      <c r="A27" t="s">
        <v>2299</v>
      </c>
    </row>
    <row r="28" spans="1:1" x14ac:dyDescent="0.25">
      <c r="A28" t="s">
        <v>580</v>
      </c>
    </row>
    <row r="29" spans="1:1" x14ac:dyDescent="0.25">
      <c r="A29" t="s">
        <v>3591</v>
      </c>
    </row>
    <row r="30" spans="1:1" x14ac:dyDescent="0.25">
      <c r="A30" t="s">
        <v>3584</v>
      </c>
    </row>
    <row r="32" spans="1:1" x14ac:dyDescent="0.25">
      <c r="A32" t="s">
        <v>3592</v>
      </c>
    </row>
    <row r="33" spans="1:2" x14ac:dyDescent="0.25">
      <c r="A33" t="s">
        <v>3593</v>
      </c>
    </row>
    <row r="34" spans="1:2" x14ac:dyDescent="0.25">
      <c r="A34" t="s">
        <v>2278</v>
      </c>
    </row>
    <row r="35" spans="1:2" x14ac:dyDescent="0.25">
      <c r="A35" t="s">
        <v>3594</v>
      </c>
    </row>
    <row r="36" spans="1:2" x14ac:dyDescent="0.25">
      <c r="A36" t="s">
        <v>3595</v>
      </c>
    </row>
    <row r="38" spans="1:2" x14ac:dyDescent="0.25">
      <c r="A38" t="s">
        <v>3592</v>
      </c>
    </row>
    <row r="39" spans="1:2" x14ac:dyDescent="0.25">
      <c r="A39" t="s">
        <v>3596</v>
      </c>
    </row>
    <row r="40" spans="1:2" x14ac:dyDescent="0.25">
      <c r="A40" t="s">
        <v>3597</v>
      </c>
    </row>
    <row r="41" spans="1:2" x14ac:dyDescent="0.25">
      <c r="A41" t="s">
        <v>3598</v>
      </c>
    </row>
    <row r="43" spans="1:2" x14ac:dyDescent="0.25">
      <c r="A43" t="s">
        <v>572</v>
      </c>
    </row>
    <row r="44" spans="1:2" x14ac:dyDescent="0.25">
      <c r="A44" t="s">
        <v>3599</v>
      </c>
    </row>
    <row r="45" spans="1:2" x14ac:dyDescent="0.25">
      <c r="A45" t="s">
        <v>576</v>
      </c>
    </row>
    <row r="46" spans="1:2" x14ac:dyDescent="0.25">
      <c r="A46" t="s">
        <v>3600</v>
      </c>
    </row>
    <row r="47" spans="1:2" x14ac:dyDescent="0.25">
      <c r="B47" t="s">
        <v>2605</v>
      </c>
    </row>
    <row r="48" spans="1:2" x14ac:dyDescent="0.25">
      <c r="A48" t="s">
        <v>3601</v>
      </c>
    </row>
    <row r="49" spans="1:2" x14ac:dyDescent="0.25">
      <c r="B49" t="s">
        <v>3602</v>
      </c>
    </row>
    <row r="50" spans="1:2" x14ac:dyDescent="0.25">
      <c r="B50" t="s">
        <v>3603</v>
      </c>
    </row>
    <row r="51" spans="1:2" x14ac:dyDescent="0.25">
      <c r="A51" t="s">
        <v>3604</v>
      </c>
    </row>
    <row r="52" spans="1:2" x14ac:dyDescent="0.25">
      <c r="B52" t="s">
        <v>3605</v>
      </c>
    </row>
    <row r="53" spans="1:2" x14ac:dyDescent="0.25">
      <c r="A53" t="s">
        <v>3606</v>
      </c>
    </row>
    <row r="54" spans="1:2" x14ac:dyDescent="0.25">
      <c r="B54" t="s">
        <v>3607</v>
      </c>
    </row>
    <row r="55" spans="1:2" x14ac:dyDescent="0.25">
      <c r="B55" t="s">
        <v>3608</v>
      </c>
    </row>
    <row r="57" spans="1:2" x14ac:dyDescent="0.25">
      <c r="A57" t="s">
        <v>3609</v>
      </c>
    </row>
    <row r="58" spans="1:2" x14ac:dyDescent="0.25">
      <c r="A58" t="s">
        <v>3610</v>
      </c>
    </row>
    <row r="59" spans="1:2" x14ac:dyDescent="0.25">
      <c r="B59" t="s">
        <v>3611</v>
      </c>
    </row>
    <row r="61" spans="1:2" x14ac:dyDescent="0.25">
      <c r="A61" t="s">
        <v>572</v>
      </c>
    </row>
    <row r="62" spans="1:2" x14ac:dyDescent="0.25">
      <c r="A62" t="s">
        <v>646</v>
      </c>
    </row>
    <row r="63" spans="1:2" x14ac:dyDescent="0.25">
      <c r="A63" t="s">
        <v>3612</v>
      </c>
    </row>
    <row r="64" spans="1:2" x14ac:dyDescent="0.25">
      <c r="A64" t="s">
        <v>3613</v>
      </c>
    </row>
    <row r="65" spans="1:2" x14ac:dyDescent="0.25">
      <c r="B65" t="s">
        <v>3614</v>
      </c>
    </row>
    <row r="66" spans="1:2" x14ac:dyDescent="0.25">
      <c r="B66" t="s">
        <v>3583</v>
      </c>
    </row>
    <row r="68" spans="1:2" x14ac:dyDescent="0.25">
      <c r="A68" t="s">
        <v>572</v>
      </c>
    </row>
    <row r="69" spans="1:2" x14ac:dyDescent="0.25">
      <c r="A69" t="s">
        <v>646</v>
      </c>
    </row>
    <row r="70" spans="1:2" x14ac:dyDescent="0.25">
      <c r="A70" t="s">
        <v>3612</v>
      </c>
    </row>
    <row r="71" spans="1:2" x14ac:dyDescent="0.25">
      <c r="A71" t="s">
        <v>3615</v>
      </c>
    </row>
    <row r="74" spans="1:2" x14ac:dyDescent="0.25">
      <c r="A74" t="s">
        <v>254</v>
      </c>
    </row>
    <row r="75" spans="1:2" x14ac:dyDescent="0.25">
      <c r="A75" t="s">
        <v>607</v>
      </c>
    </row>
    <row r="76" spans="1:2" x14ac:dyDescent="0.25">
      <c r="A76" t="s">
        <v>1912</v>
      </c>
    </row>
    <row r="77" spans="1:2" x14ac:dyDescent="0.25">
      <c r="A77" t="s">
        <v>3616</v>
      </c>
    </row>
    <row r="78" spans="1:2" x14ac:dyDescent="0.25">
      <c r="A78" t="s">
        <v>3617</v>
      </c>
    </row>
    <row r="80" spans="1:2" x14ac:dyDescent="0.25">
      <c r="A80" t="s">
        <v>3618</v>
      </c>
    </row>
    <row r="82" spans="1:2" x14ac:dyDescent="0.25">
      <c r="A82" t="s">
        <v>258</v>
      </c>
    </row>
    <row r="84" spans="1:2" x14ac:dyDescent="0.25">
      <c r="A84" t="s">
        <v>572</v>
      </c>
    </row>
    <row r="85" spans="1:2" x14ac:dyDescent="0.25">
      <c r="A85" t="s">
        <v>646</v>
      </c>
    </row>
    <row r="86" spans="1:2" x14ac:dyDescent="0.25">
      <c r="A86" t="s">
        <v>245</v>
      </c>
    </row>
    <row r="87" spans="1:2" x14ac:dyDescent="0.25">
      <c r="A87" t="s">
        <v>3619</v>
      </c>
    </row>
    <row r="88" spans="1:2" x14ac:dyDescent="0.25">
      <c r="B88" t="s">
        <v>3620</v>
      </c>
    </row>
    <row r="90" spans="1:2" x14ac:dyDescent="0.25">
      <c r="A90" t="s">
        <v>572</v>
      </c>
    </row>
    <row r="91" spans="1:2" x14ac:dyDescent="0.25">
      <c r="A91" t="s">
        <v>3621</v>
      </c>
    </row>
    <row r="92" spans="1:2" x14ac:dyDescent="0.25">
      <c r="A92" t="s">
        <v>3622</v>
      </c>
    </row>
    <row r="93" spans="1:2" x14ac:dyDescent="0.25">
      <c r="A93" t="s">
        <v>3623</v>
      </c>
    </row>
    <row r="94" spans="1:2" x14ac:dyDescent="0.25">
      <c r="A94" t="s">
        <v>3624</v>
      </c>
    </row>
    <row r="95" spans="1:2" x14ac:dyDescent="0.25">
      <c r="A95" t="s">
        <v>3625</v>
      </c>
    </row>
    <row r="96" spans="1:2" x14ac:dyDescent="0.25">
      <c r="A96" t="s">
        <v>3626</v>
      </c>
    </row>
    <row r="97" spans="1:2" x14ac:dyDescent="0.25">
      <c r="A97" t="s">
        <v>3627</v>
      </c>
    </row>
    <row r="98" spans="1:2" x14ac:dyDescent="0.25">
      <c r="A98" t="s">
        <v>3628</v>
      </c>
    </row>
    <row r="99" spans="1:2" x14ac:dyDescent="0.25">
      <c r="A99" t="s">
        <v>3629</v>
      </c>
    </row>
    <row r="100" spans="1:2" x14ac:dyDescent="0.25">
      <c r="B100" t="s">
        <v>3630</v>
      </c>
    </row>
    <row r="101" spans="1:2" x14ac:dyDescent="0.25">
      <c r="A101" t="s">
        <v>3631</v>
      </c>
    </row>
    <row r="102" spans="1:2" x14ac:dyDescent="0.25">
      <c r="B102" t="s">
        <v>3632</v>
      </c>
    </row>
    <row r="103" spans="1:2" x14ac:dyDescent="0.25">
      <c r="A103" t="s">
        <v>3633</v>
      </c>
    </row>
    <row r="104" spans="1:2" x14ac:dyDescent="0.25">
      <c r="B104" t="s">
        <v>3634</v>
      </c>
    </row>
    <row r="106" spans="1:2" x14ac:dyDescent="0.25">
      <c r="A106" t="s">
        <v>3635</v>
      </c>
    </row>
    <row r="108" spans="1:2" x14ac:dyDescent="0.25">
      <c r="A108" t="s">
        <v>3636</v>
      </c>
    </row>
    <row r="109" spans="1:2" x14ac:dyDescent="0.25">
      <c r="A109" t="s">
        <v>538</v>
      </c>
    </row>
    <row r="110" spans="1:2" x14ac:dyDescent="0.25">
      <c r="A110" t="s">
        <v>2458</v>
      </c>
    </row>
    <row r="111" spans="1:2" x14ac:dyDescent="0.25">
      <c r="A111" t="s">
        <v>540</v>
      </c>
    </row>
    <row r="112" spans="1:2" x14ac:dyDescent="0.25">
      <c r="A112" t="s">
        <v>541</v>
      </c>
    </row>
    <row r="113" spans="1:2" x14ac:dyDescent="0.25">
      <c r="A113" t="s">
        <v>895</v>
      </c>
    </row>
    <row r="114" spans="1:2" x14ac:dyDescent="0.25">
      <c r="A114" t="s">
        <v>3637</v>
      </c>
    </row>
    <row r="115" spans="1:2" x14ac:dyDescent="0.25">
      <c r="A115" t="s">
        <v>3638</v>
      </c>
    </row>
    <row r="116" spans="1:2" x14ac:dyDescent="0.25">
      <c r="A116" t="s">
        <v>3639</v>
      </c>
    </row>
    <row r="117" spans="1:2" x14ac:dyDescent="0.25">
      <c r="A117" t="s">
        <v>3640</v>
      </c>
    </row>
    <row r="118" spans="1:2" x14ac:dyDescent="0.25">
      <c r="B118" t="s">
        <v>3641</v>
      </c>
    </row>
    <row r="119" spans="1:2" x14ac:dyDescent="0.25">
      <c r="A119" t="s">
        <v>1106</v>
      </c>
    </row>
    <row r="120" spans="1:2" x14ac:dyDescent="0.25">
      <c r="A120" t="s">
        <v>697</v>
      </c>
    </row>
    <row r="121" spans="1:2" x14ac:dyDescent="0.25">
      <c r="B121" t="s">
        <v>572</v>
      </c>
    </row>
    <row r="122" spans="1:2" x14ac:dyDescent="0.25">
      <c r="B122" t="s">
        <v>1265</v>
      </c>
    </row>
    <row r="123" spans="1:2" x14ac:dyDescent="0.25">
      <c r="B123" t="s">
        <v>1728</v>
      </c>
    </row>
    <row r="124" spans="1:2" x14ac:dyDescent="0.25">
      <c r="B124" t="s">
        <v>3113</v>
      </c>
    </row>
    <row r="125" spans="1:2" x14ac:dyDescent="0.25">
      <c r="B125" t="s">
        <v>671</v>
      </c>
    </row>
    <row r="126" spans="1:2" x14ac:dyDescent="0.25">
      <c r="B126" t="s">
        <v>1265</v>
      </c>
    </row>
    <row r="127" spans="1:2" x14ac:dyDescent="0.25">
      <c r="A127" t="s">
        <v>1550</v>
      </c>
    </row>
    <row r="128" spans="1:2" x14ac:dyDescent="0.25">
      <c r="B128" t="s">
        <v>2464</v>
      </c>
    </row>
    <row r="129" spans="1:2" x14ac:dyDescent="0.25">
      <c r="A129" t="s">
        <v>3642</v>
      </c>
    </row>
    <row r="130" spans="1:2" x14ac:dyDescent="0.25">
      <c r="B130" t="s">
        <v>3643</v>
      </c>
    </row>
    <row r="131" spans="1:2" x14ac:dyDescent="0.25">
      <c r="A131" t="s">
        <v>3644</v>
      </c>
    </row>
    <row r="132" spans="1:2" x14ac:dyDescent="0.25">
      <c r="A132" t="s">
        <v>254</v>
      </c>
    </row>
    <row r="133" spans="1:2" x14ac:dyDescent="0.25">
      <c r="B133" t="s">
        <v>3645</v>
      </c>
    </row>
    <row r="134" spans="1:2" x14ac:dyDescent="0.25">
      <c r="A134" t="s">
        <v>258</v>
      </c>
    </row>
    <row r="136" spans="1:2" x14ac:dyDescent="0.25">
      <c r="A136" t="s">
        <v>572</v>
      </c>
    </row>
    <row r="137" spans="1:2" x14ac:dyDescent="0.25">
      <c r="A137" t="s">
        <v>3599</v>
      </c>
    </row>
    <row r="138" spans="1:2" x14ac:dyDescent="0.25">
      <c r="A138" t="s">
        <v>3646</v>
      </c>
    </row>
    <row r="139" spans="1:2" x14ac:dyDescent="0.25">
      <c r="A139" t="s">
        <v>3647</v>
      </c>
    </row>
    <row r="140" spans="1:2" x14ac:dyDescent="0.25">
      <c r="B140" t="s">
        <v>3648</v>
      </c>
    </row>
    <row r="141" spans="1:2" x14ac:dyDescent="0.25">
      <c r="B141" t="s">
        <v>3649</v>
      </c>
    </row>
    <row r="142" spans="1:2" x14ac:dyDescent="0.25">
      <c r="B142" t="s">
        <v>3650</v>
      </c>
    </row>
    <row r="143" spans="1:2" x14ac:dyDescent="0.25">
      <c r="A143" t="s">
        <v>3651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workbookViewId="0"/>
  </sheetViews>
  <sheetFormatPr defaultRowHeight="15" x14ac:dyDescent="0.25"/>
  <sheetData>
    <row r="1" spans="1:2" x14ac:dyDescent="0.25">
      <c r="A1" t="s">
        <v>254</v>
      </c>
    </row>
    <row r="2" spans="1:2" x14ac:dyDescent="0.25">
      <c r="A2" t="s">
        <v>1366</v>
      </c>
    </row>
    <row r="3" spans="1:2" x14ac:dyDescent="0.25">
      <c r="A3" t="s">
        <v>1367</v>
      </c>
    </row>
    <row r="4" spans="1:2" x14ac:dyDescent="0.25">
      <c r="A4" t="s">
        <v>1368</v>
      </c>
    </row>
    <row r="5" spans="1:2" x14ac:dyDescent="0.25">
      <c r="A5" t="s">
        <v>258</v>
      </c>
    </row>
    <row r="6" spans="1:2" x14ac:dyDescent="0.25">
      <c r="A6" t="s">
        <v>572</v>
      </c>
    </row>
    <row r="7" spans="1:2" x14ac:dyDescent="0.25">
      <c r="A7" t="s">
        <v>1369</v>
      </c>
    </row>
    <row r="8" spans="1:2" x14ac:dyDescent="0.25">
      <c r="A8" t="s">
        <v>1370</v>
      </c>
    </row>
    <row r="9" spans="1:2" x14ac:dyDescent="0.25">
      <c r="A9" t="s">
        <v>1371</v>
      </c>
    </row>
    <row r="10" spans="1:2" x14ac:dyDescent="0.25">
      <c r="A10" t="s">
        <v>930</v>
      </c>
    </row>
    <row r="11" spans="1:2" x14ac:dyDescent="0.25">
      <c r="A11" t="s">
        <v>1372</v>
      </c>
    </row>
    <row r="12" spans="1:2" x14ac:dyDescent="0.25">
      <c r="A12" t="s">
        <v>1373</v>
      </c>
    </row>
    <row r="13" spans="1:2" x14ac:dyDescent="0.25">
      <c r="A13" t="s">
        <v>1374</v>
      </c>
    </row>
    <row r="14" spans="1:2" x14ac:dyDescent="0.25">
      <c r="A14" t="s">
        <v>1375</v>
      </c>
    </row>
    <row r="15" spans="1:2" x14ac:dyDescent="0.25">
      <c r="A15" t="s">
        <v>1376</v>
      </c>
    </row>
    <row r="16" spans="1:2" x14ac:dyDescent="0.25">
      <c r="B16" t="s">
        <v>1377</v>
      </c>
    </row>
    <row r="17" spans="1:2" x14ac:dyDescent="0.25">
      <c r="A17" t="s">
        <v>1378</v>
      </c>
    </row>
    <row r="18" spans="1:2" x14ac:dyDescent="0.25">
      <c r="B18" t="s">
        <v>1379</v>
      </c>
    </row>
    <row r="19" spans="1:2" x14ac:dyDescent="0.25">
      <c r="A19" t="s">
        <v>1380</v>
      </c>
    </row>
    <row r="20" spans="1:2" x14ac:dyDescent="0.25">
      <c r="B20" t="s">
        <v>1381</v>
      </c>
    </row>
    <row r="21" spans="1:2" x14ac:dyDescent="0.25">
      <c r="A21" t="s">
        <v>1382</v>
      </c>
    </row>
    <row r="23" spans="1:2" x14ac:dyDescent="0.25">
      <c r="A23" t="s">
        <v>254</v>
      </c>
    </row>
    <row r="24" spans="1:2" x14ac:dyDescent="0.25">
      <c r="A24" t="s">
        <v>1383</v>
      </c>
    </row>
    <row r="25" spans="1:2" x14ac:dyDescent="0.25">
      <c r="A25" t="s">
        <v>1384</v>
      </c>
    </row>
    <row r="26" spans="1:2" x14ac:dyDescent="0.25">
      <c r="A26" t="s">
        <v>1385</v>
      </c>
    </row>
    <row r="27" spans="1:2" x14ac:dyDescent="0.25">
      <c r="A27" t="s">
        <v>1386</v>
      </c>
    </row>
    <row r="28" spans="1:2" x14ac:dyDescent="0.25">
      <c r="A28" t="s">
        <v>1387</v>
      </c>
    </row>
    <row r="30" spans="1:2" x14ac:dyDescent="0.25">
      <c r="A30" t="s">
        <v>1388</v>
      </c>
    </row>
    <row r="31" spans="1:2" x14ac:dyDescent="0.25">
      <c r="A31" t="s">
        <v>1389</v>
      </c>
    </row>
    <row r="32" spans="1:2" x14ac:dyDescent="0.25">
      <c r="A32" t="s">
        <v>258</v>
      </c>
    </row>
    <row r="34" spans="1:2" x14ac:dyDescent="0.25">
      <c r="A34" t="s">
        <v>244</v>
      </c>
    </row>
    <row r="35" spans="1:2" x14ac:dyDescent="0.25">
      <c r="A35" t="s">
        <v>1390</v>
      </c>
    </row>
    <row r="36" spans="1:2" x14ac:dyDescent="0.25">
      <c r="A36" t="s">
        <v>1391</v>
      </c>
    </row>
    <row r="38" spans="1:2" x14ac:dyDescent="0.25">
      <c r="A38" t="s">
        <v>244</v>
      </c>
    </row>
    <row r="39" spans="1:2" x14ac:dyDescent="0.25">
      <c r="A39" t="s">
        <v>1392</v>
      </c>
    </row>
    <row r="40" spans="1:2" x14ac:dyDescent="0.25">
      <c r="A40" t="s">
        <v>1393</v>
      </c>
    </row>
    <row r="42" spans="1:2" x14ac:dyDescent="0.25">
      <c r="A42" t="s">
        <v>572</v>
      </c>
    </row>
    <row r="43" spans="1:2" x14ac:dyDescent="0.25">
      <c r="A43" t="s">
        <v>646</v>
      </c>
    </row>
    <row r="44" spans="1:2" x14ac:dyDescent="0.25">
      <c r="A44" t="s">
        <v>1394</v>
      </c>
    </row>
    <row r="45" spans="1:2" x14ac:dyDescent="0.25">
      <c r="A45" t="s">
        <v>1395</v>
      </c>
    </row>
    <row r="46" spans="1:2" x14ac:dyDescent="0.25">
      <c r="B46" t="s">
        <v>1396</v>
      </c>
    </row>
    <row r="48" spans="1:2" x14ac:dyDescent="0.25">
      <c r="A48" t="s">
        <v>572</v>
      </c>
    </row>
    <row r="49" spans="1:2" x14ac:dyDescent="0.25">
      <c r="A49" t="s">
        <v>1397</v>
      </c>
    </row>
    <row r="50" spans="1:2" x14ac:dyDescent="0.25">
      <c r="A50" t="s">
        <v>1398</v>
      </c>
    </row>
    <row r="51" spans="1:2" x14ac:dyDescent="0.25">
      <c r="A51" t="s">
        <v>1399</v>
      </c>
    </row>
    <row r="52" spans="1:2" x14ac:dyDescent="0.25">
      <c r="A52" t="s">
        <v>1371</v>
      </c>
    </row>
    <row r="53" spans="1:2" x14ac:dyDescent="0.25">
      <c r="A53" t="s">
        <v>930</v>
      </c>
    </row>
    <row r="54" spans="1:2" x14ac:dyDescent="0.25">
      <c r="A54" t="s">
        <v>1400</v>
      </c>
    </row>
    <row r="55" spans="1:2" x14ac:dyDescent="0.25">
      <c r="A55" t="s">
        <v>1376</v>
      </c>
    </row>
    <row r="56" spans="1:2" x14ac:dyDescent="0.25">
      <c r="B56" t="s">
        <v>1401</v>
      </c>
    </row>
    <row r="57" spans="1:2" x14ac:dyDescent="0.25">
      <c r="A57" t="s">
        <v>1402</v>
      </c>
    </row>
    <row r="58" spans="1:2" x14ac:dyDescent="0.25">
      <c r="B58" t="s">
        <v>1403</v>
      </c>
    </row>
    <row r="60" spans="1:2" x14ac:dyDescent="0.25">
      <c r="A60" t="s">
        <v>254</v>
      </c>
    </row>
    <row r="61" spans="1:2" x14ac:dyDescent="0.25">
      <c r="A61" t="s">
        <v>1404</v>
      </c>
    </row>
    <row r="62" spans="1:2" x14ac:dyDescent="0.25">
      <c r="A62" t="s">
        <v>1405</v>
      </c>
    </row>
    <row r="63" spans="1:2" x14ac:dyDescent="0.25">
      <c r="A63" t="s">
        <v>1406</v>
      </c>
    </row>
    <row r="64" spans="1:2" x14ac:dyDescent="0.25">
      <c r="A64" t="s">
        <v>1407</v>
      </c>
    </row>
    <row r="65" spans="1:1" x14ac:dyDescent="0.25">
      <c r="A65" t="s">
        <v>258</v>
      </c>
    </row>
    <row r="68" spans="1:1" x14ac:dyDescent="0.25">
      <c r="A68" t="s">
        <v>1408</v>
      </c>
    </row>
    <row r="69" spans="1:1" x14ac:dyDescent="0.25">
      <c r="A69" t="s">
        <v>1409</v>
      </c>
    </row>
    <row r="70" spans="1:1" x14ac:dyDescent="0.25">
      <c r="A70" t="s">
        <v>576</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4"/>
  <sheetViews>
    <sheetView workbookViewId="0"/>
  </sheetViews>
  <sheetFormatPr defaultRowHeight="15" x14ac:dyDescent="0.25"/>
  <sheetData>
    <row r="1" spans="1:2" x14ac:dyDescent="0.25">
      <c r="A1" t="e">
        <f>-- multiple tax ids for a party</f>
        <v>#NAME?</v>
      </c>
    </row>
    <row r="2" spans="1:2" x14ac:dyDescent="0.25">
      <c r="A2" t="s">
        <v>572</v>
      </c>
    </row>
    <row r="3" spans="1:2" x14ac:dyDescent="0.25">
      <c r="A3" t="s">
        <v>573</v>
      </c>
    </row>
    <row r="4" spans="1:2" x14ac:dyDescent="0.25">
      <c r="A4" t="s">
        <v>2513</v>
      </c>
    </row>
    <row r="5" spans="1:2" x14ac:dyDescent="0.25">
      <c r="A5" t="s">
        <v>3457</v>
      </c>
    </row>
    <row r="6" spans="1:2" x14ac:dyDescent="0.25">
      <c r="A6" t="s">
        <v>1569</v>
      </c>
    </row>
    <row r="7" spans="1:2" x14ac:dyDescent="0.25">
      <c r="A7" t="s">
        <v>533</v>
      </c>
    </row>
    <row r="8" spans="1:2" x14ac:dyDescent="0.25">
      <c r="A8" t="s">
        <v>3758</v>
      </c>
    </row>
    <row r="9" spans="1:2" x14ac:dyDescent="0.25">
      <c r="B9" t="s">
        <v>3759</v>
      </c>
    </row>
    <row r="10" spans="1:2" x14ac:dyDescent="0.25">
      <c r="A10" t="s">
        <v>3566</v>
      </c>
    </row>
    <row r="11" spans="1:2" x14ac:dyDescent="0.25">
      <c r="A11" t="s">
        <v>671</v>
      </c>
    </row>
    <row r="12" spans="1:2" x14ac:dyDescent="0.25">
      <c r="A12" t="s">
        <v>573</v>
      </c>
    </row>
    <row r="13" spans="1:2" x14ac:dyDescent="0.25">
      <c r="A13" t="s">
        <v>2513</v>
      </c>
    </row>
    <row r="14" spans="1:2" x14ac:dyDescent="0.25">
      <c r="A14" t="s">
        <v>3457</v>
      </c>
    </row>
    <row r="15" spans="1:2" x14ac:dyDescent="0.25">
      <c r="A15" t="s">
        <v>447</v>
      </c>
    </row>
    <row r="16" spans="1:2" x14ac:dyDescent="0.25">
      <c r="A16" t="s">
        <v>1046</v>
      </c>
    </row>
    <row r="18" spans="1:1" x14ac:dyDescent="0.25">
      <c r="A18" t="s">
        <v>3760</v>
      </c>
    </row>
    <row r="19" spans="1:1" x14ac:dyDescent="0.25">
      <c r="A19" t="s">
        <v>3761</v>
      </c>
    </row>
    <row r="20" spans="1:1" x14ac:dyDescent="0.25">
      <c r="A20" t="s">
        <v>3762</v>
      </c>
    </row>
    <row r="22" spans="1:1" x14ac:dyDescent="0.25">
      <c r="A22" t="s">
        <v>572</v>
      </c>
    </row>
    <row r="23" spans="1:1" x14ac:dyDescent="0.25">
      <c r="A23" t="s">
        <v>573</v>
      </c>
    </row>
    <row r="24" spans="1:1" x14ac:dyDescent="0.25">
      <c r="A24" t="s">
        <v>1009</v>
      </c>
    </row>
    <row r="25" spans="1:1" x14ac:dyDescent="0.25">
      <c r="A25" t="s">
        <v>3763</v>
      </c>
    </row>
    <row r="26" spans="1:1" x14ac:dyDescent="0.25">
      <c r="A26" t="s">
        <v>3457</v>
      </c>
    </row>
    <row r="27" spans="1:1" x14ac:dyDescent="0.25">
      <c r="A27" t="s">
        <v>1010</v>
      </c>
    </row>
    <row r="28" spans="1:1" x14ac:dyDescent="0.25">
      <c r="A28" t="s">
        <v>533</v>
      </c>
    </row>
    <row r="29" spans="1:1" x14ac:dyDescent="0.25">
      <c r="A29" t="s">
        <v>3764</v>
      </c>
    </row>
    <row r="31" spans="1:1" x14ac:dyDescent="0.25">
      <c r="A31" t="s">
        <v>607</v>
      </c>
    </row>
    <row r="32" spans="1:1" x14ac:dyDescent="0.25">
      <c r="A32" t="s">
        <v>1912</v>
      </c>
    </row>
    <row r="33" spans="1:1" x14ac:dyDescent="0.25">
      <c r="A33" t="s">
        <v>3765</v>
      </c>
    </row>
    <row r="35" spans="1:1" x14ac:dyDescent="0.25">
      <c r="A35" t="s">
        <v>3766</v>
      </c>
    </row>
    <row r="37" spans="1:1" x14ac:dyDescent="0.25">
      <c r="A37" t="s">
        <v>572</v>
      </c>
    </row>
    <row r="38" spans="1:1" x14ac:dyDescent="0.25">
      <c r="A38" t="s">
        <v>646</v>
      </c>
    </row>
    <row r="39" spans="1:1" x14ac:dyDescent="0.25">
      <c r="A39" t="s">
        <v>533</v>
      </c>
    </row>
    <row r="40" spans="1:1" x14ac:dyDescent="0.25">
      <c r="A40" t="s">
        <v>3767</v>
      </c>
    </row>
    <row r="41" spans="1:1" x14ac:dyDescent="0.25">
      <c r="A41" t="s">
        <v>3768</v>
      </c>
    </row>
    <row r="43" spans="1:1" x14ac:dyDescent="0.25">
      <c r="A43" t="s">
        <v>1950</v>
      </c>
    </row>
    <row r="44" spans="1:1" x14ac:dyDescent="0.25">
      <c r="A44" t="s">
        <v>646</v>
      </c>
    </row>
    <row r="45" spans="1:1" x14ac:dyDescent="0.25">
      <c r="A45" t="s">
        <v>1209</v>
      </c>
    </row>
    <row r="46" spans="1:1" x14ac:dyDescent="0.25">
      <c r="A46" t="s">
        <v>3769</v>
      </c>
    </row>
    <row r="47" spans="1:1" x14ac:dyDescent="0.25">
      <c r="A47" t="e">
        <f>-- Standard_TennCare_XML_10242014_151526733</f>
        <v>#NAME?</v>
      </c>
    </row>
    <row r="49" spans="1:1" x14ac:dyDescent="0.25">
      <c r="A49" t="s">
        <v>3770</v>
      </c>
    </row>
    <row r="50" spans="1:1" x14ac:dyDescent="0.25">
      <c r="A50" t="s">
        <v>646</v>
      </c>
    </row>
    <row r="51" spans="1:1" x14ac:dyDescent="0.25">
      <c r="A51" t="s">
        <v>1512</v>
      </c>
    </row>
    <row r="52" spans="1:1" x14ac:dyDescent="0.25">
      <c r="A52" t="s">
        <v>3771</v>
      </c>
    </row>
    <row r="53" spans="1:1" x14ac:dyDescent="0.25">
      <c r="A53" t="e">
        <f>-- DirectoryMaintenance_TennCare_20141021_220000000.txt</f>
        <v>#NAME?</v>
      </c>
    </row>
    <row r="55" spans="1:1" x14ac:dyDescent="0.25">
      <c r="A55" t="s">
        <v>3772</v>
      </c>
    </row>
    <row r="57" spans="1:1" x14ac:dyDescent="0.25">
      <c r="A57" t="s">
        <v>3773</v>
      </c>
    </row>
    <row r="58" spans="1:1" x14ac:dyDescent="0.25">
      <c r="A58" t="s">
        <v>3774</v>
      </c>
    </row>
    <row r="60" spans="1:1" x14ac:dyDescent="0.25">
      <c r="A60" t="s">
        <v>3775</v>
      </c>
    </row>
    <row r="61" spans="1:1" x14ac:dyDescent="0.25">
      <c r="A61" t="s">
        <v>3776</v>
      </c>
    </row>
    <row r="63" spans="1:1" x14ac:dyDescent="0.25">
      <c r="A63" t="s">
        <v>3777</v>
      </c>
    </row>
    <row r="65" spans="1:1" x14ac:dyDescent="0.25">
      <c r="A65" t="s">
        <v>254</v>
      </c>
    </row>
    <row r="66" spans="1:1" x14ac:dyDescent="0.25">
      <c r="A66" t="s">
        <v>3095</v>
      </c>
    </row>
    <row r="67" spans="1:1" x14ac:dyDescent="0.25">
      <c r="A67" t="s">
        <v>3778</v>
      </c>
    </row>
    <row r="68" spans="1:1" x14ac:dyDescent="0.25">
      <c r="A68" t="s">
        <v>3779</v>
      </c>
    </row>
    <row r="70" spans="1:1" x14ac:dyDescent="0.25">
      <c r="A70" t="s">
        <v>3780</v>
      </c>
    </row>
    <row r="71" spans="1:1" x14ac:dyDescent="0.25">
      <c r="A71" t="s">
        <v>3781</v>
      </c>
    </row>
    <row r="72" spans="1:1" x14ac:dyDescent="0.25">
      <c r="A72" t="s">
        <v>1393</v>
      </c>
    </row>
    <row r="74" spans="1:1" x14ac:dyDescent="0.25">
      <c r="A74" t="s">
        <v>572</v>
      </c>
    </row>
    <row r="75" spans="1:1" x14ac:dyDescent="0.25">
      <c r="A75" t="s">
        <v>1265</v>
      </c>
    </row>
    <row r="76" spans="1:1" x14ac:dyDescent="0.25">
      <c r="A76" t="s">
        <v>3457</v>
      </c>
    </row>
    <row r="77" spans="1:1" x14ac:dyDescent="0.25">
      <c r="A77" t="s">
        <v>3763</v>
      </c>
    </row>
    <row r="78" spans="1:1" x14ac:dyDescent="0.25">
      <c r="A78" t="s">
        <v>3158</v>
      </c>
    </row>
    <row r="79" spans="1:1" x14ac:dyDescent="0.25">
      <c r="A79" t="s">
        <v>533</v>
      </c>
    </row>
    <row r="80" spans="1:1" x14ac:dyDescent="0.25">
      <c r="A80" t="s">
        <v>3782</v>
      </c>
    </row>
    <row r="81" spans="1:2" x14ac:dyDescent="0.25">
      <c r="A81" t="s">
        <v>3783</v>
      </c>
    </row>
    <row r="82" spans="1:2" x14ac:dyDescent="0.25">
      <c r="B82" t="s">
        <v>3784</v>
      </c>
    </row>
    <row r="83" spans="1:2" x14ac:dyDescent="0.25">
      <c r="B83" t="s">
        <v>3785</v>
      </c>
    </row>
    <row r="84" spans="1:2" x14ac:dyDescent="0.25">
      <c r="A84" t="s">
        <v>634</v>
      </c>
    </row>
    <row r="85" spans="1:2" x14ac:dyDescent="0.25">
      <c r="A85" t="s">
        <v>1265</v>
      </c>
    </row>
    <row r="86" spans="1:2" x14ac:dyDescent="0.25">
      <c r="A86" t="s">
        <v>3457</v>
      </c>
    </row>
    <row r="87" spans="1:2" x14ac:dyDescent="0.25">
      <c r="A87" t="s">
        <v>3763</v>
      </c>
    </row>
    <row r="88" spans="1:2" x14ac:dyDescent="0.25">
      <c r="A88" t="s">
        <v>3158</v>
      </c>
    </row>
    <row r="89" spans="1:2" x14ac:dyDescent="0.25">
      <c r="A89" t="s">
        <v>258</v>
      </c>
    </row>
    <row r="90" spans="1:2" x14ac:dyDescent="0.25">
      <c r="A90" t="s">
        <v>254</v>
      </c>
    </row>
    <row r="91" spans="1:2" x14ac:dyDescent="0.25">
      <c r="A91" t="s">
        <v>3459</v>
      </c>
    </row>
    <row r="92" spans="1:2" x14ac:dyDescent="0.25">
      <c r="B92" t="s">
        <v>3460</v>
      </c>
    </row>
    <row r="93" spans="1:2" x14ac:dyDescent="0.25">
      <c r="A93" t="s">
        <v>3461</v>
      </c>
    </row>
    <row r="94" spans="1:2" x14ac:dyDescent="0.25">
      <c r="B94" t="s">
        <v>3462</v>
      </c>
    </row>
    <row r="95" spans="1:2" x14ac:dyDescent="0.25">
      <c r="A95" t="s">
        <v>258</v>
      </c>
    </row>
    <row r="97" spans="1:2" x14ac:dyDescent="0.25">
      <c r="A97" t="s">
        <v>254</v>
      </c>
    </row>
    <row r="98" spans="1:2" x14ac:dyDescent="0.25">
      <c r="A98" t="s">
        <v>3463</v>
      </c>
    </row>
    <row r="99" spans="1:2" x14ac:dyDescent="0.25">
      <c r="A99" t="s">
        <v>607</v>
      </c>
    </row>
    <row r="100" spans="1:2" x14ac:dyDescent="0.25">
      <c r="A100" t="s">
        <v>1912</v>
      </c>
    </row>
    <row r="101" spans="1:2" x14ac:dyDescent="0.25">
      <c r="A101" t="s">
        <v>3464</v>
      </c>
    </row>
    <row r="102" spans="1:2" x14ac:dyDescent="0.25">
      <c r="A102" t="s">
        <v>3465</v>
      </c>
    </row>
    <row r="103" spans="1:2" x14ac:dyDescent="0.25">
      <c r="A103" t="s">
        <v>258</v>
      </c>
    </row>
    <row r="105" spans="1:2" x14ac:dyDescent="0.25">
      <c r="A105" t="s">
        <v>254</v>
      </c>
    </row>
    <row r="106" spans="1:2" x14ac:dyDescent="0.25">
      <c r="A106" t="s">
        <v>2453</v>
      </c>
    </row>
    <row r="107" spans="1:2" x14ac:dyDescent="0.25">
      <c r="A107" t="s">
        <v>607</v>
      </c>
    </row>
    <row r="108" spans="1:2" x14ac:dyDescent="0.25">
      <c r="A108" t="s">
        <v>1912</v>
      </c>
    </row>
    <row r="109" spans="1:2" x14ac:dyDescent="0.25">
      <c r="A109" t="s">
        <v>3466</v>
      </c>
    </row>
    <row r="110" spans="1:2" x14ac:dyDescent="0.25">
      <c r="B110" t="s">
        <v>467</v>
      </c>
    </row>
    <row r="111" spans="1:2" x14ac:dyDescent="0.25">
      <c r="B111" t="s">
        <v>2458</v>
      </c>
    </row>
    <row r="112" spans="1:2" x14ac:dyDescent="0.25">
      <c r="B112" t="s">
        <v>576</v>
      </c>
    </row>
    <row r="113" spans="1:4" x14ac:dyDescent="0.25">
      <c r="B113" t="s">
        <v>619</v>
      </c>
    </row>
    <row r="114" spans="1:4" x14ac:dyDescent="0.25">
      <c r="C114" t="s">
        <v>2464</v>
      </c>
    </row>
    <row r="115" spans="1:4" x14ac:dyDescent="0.25">
      <c r="B115" t="s">
        <v>3456</v>
      </c>
    </row>
    <row r="116" spans="1:4" x14ac:dyDescent="0.25">
      <c r="C116" t="s">
        <v>3467</v>
      </c>
    </row>
    <row r="117" spans="1:4" x14ac:dyDescent="0.25">
      <c r="D117" t="s">
        <v>3468</v>
      </c>
    </row>
    <row r="118" spans="1:4" x14ac:dyDescent="0.25">
      <c r="C118" t="s">
        <v>3469</v>
      </c>
    </row>
    <row r="119" spans="1:4" x14ac:dyDescent="0.25">
      <c r="B119" t="s">
        <v>3470</v>
      </c>
    </row>
    <row r="120" spans="1:4" x14ac:dyDescent="0.25">
      <c r="A120" t="s">
        <v>3471</v>
      </c>
    </row>
    <row r="121" spans="1:4" x14ac:dyDescent="0.25">
      <c r="A121" t="s">
        <v>3472</v>
      </c>
    </row>
    <row r="123" spans="1:4" x14ac:dyDescent="0.25">
      <c r="A123" t="s">
        <v>3473</v>
      </c>
    </row>
    <row r="124" spans="1:4" x14ac:dyDescent="0.25">
      <c r="B124" t="s">
        <v>3474</v>
      </c>
    </row>
    <row r="126" spans="1:4" x14ac:dyDescent="0.25">
      <c r="C126" t="s">
        <v>3475</v>
      </c>
    </row>
    <row r="128" spans="1:4" x14ac:dyDescent="0.25">
      <c r="C128" t="s">
        <v>3476</v>
      </c>
    </row>
    <row r="130" spans="1:3" x14ac:dyDescent="0.25">
      <c r="C130" t="s">
        <v>3472</v>
      </c>
    </row>
    <row r="131" spans="1:3" x14ac:dyDescent="0.25">
      <c r="B131" t="s">
        <v>1749</v>
      </c>
    </row>
    <row r="133" spans="1:3" x14ac:dyDescent="0.25">
      <c r="A133" t="s">
        <v>3477</v>
      </c>
    </row>
    <row r="134" spans="1:3" x14ac:dyDescent="0.25">
      <c r="A134" t="s">
        <v>3478</v>
      </c>
    </row>
    <row r="135" spans="1:3" x14ac:dyDescent="0.25">
      <c r="A135" t="s">
        <v>258</v>
      </c>
    </row>
    <row r="138" spans="1:3" x14ac:dyDescent="0.25">
      <c r="A138" t="s">
        <v>3479</v>
      </c>
    </row>
    <row r="139" spans="1:3" x14ac:dyDescent="0.25">
      <c r="A139" t="e">
        <f>---- How to handle existing non-primary service locations (in PRD system) which have a medicaid Id</f>
        <v>#NAME?</v>
      </c>
    </row>
    <row r="140" spans="1:3" x14ac:dyDescent="0.25">
      <c r="A140" t="s">
        <v>3480</v>
      </c>
      <c r="C140" t="s">
        <v>3481</v>
      </c>
    </row>
    <row r="141" spans="1:3" x14ac:dyDescent="0.25">
      <c r="A141" t="e">
        <f>---- if the primary gets deleted another primary will get marked during Add/UPDATE process (usp_SavePrimaryFlags)</f>
        <v>#NAME?</v>
      </c>
    </row>
    <row r="143" spans="1:3" x14ac:dyDescent="0.25">
      <c r="A143" t="s">
        <v>3482</v>
      </c>
    </row>
    <row r="144" spans="1:3" x14ac:dyDescent="0.25">
      <c r="A144" t="e">
        <f>---- UPDATE UpdatePDMSDataAdminSvcLoc to also all term date to all non-primary service locations</f>
        <v>#NAME?</v>
      </c>
    </row>
    <row r="145" spans="1:2" x14ac:dyDescent="0.25">
      <c r="A145" t="e">
        <f>---- Test scenario: if primary service Location changes make sure it is sent as an UPDATE</f>
        <v>#NAME?</v>
      </c>
    </row>
    <row r="146" spans="1:2" x14ac:dyDescent="0.25">
      <c r="A146" t="s">
        <v>3483</v>
      </c>
    </row>
    <row r="147" spans="1:2" x14ac:dyDescent="0.25">
      <c r="A147" t="e">
        <f>---- verify that send process only sends the primary service locations</f>
        <v>#NAME?</v>
      </c>
    </row>
    <row r="148" spans="1:2" x14ac:dyDescent="0.25">
      <c r="A148" t="e">
        <f>---- create data cleanup script to close out all transactions non-submitted, non-primary service locations</f>
        <v>#NAME?</v>
      </c>
    </row>
    <row r="149" spans="1:2" x14ac:dyDescent="0.25">
      <c r="A149" t="e">
        <f>---- Assign bug to Mark to only allow changing medicaid Id on PrimaryFlag Location AND to UPDATE all</f>
        <v>#NAME?</v>
      </c>
    </row>
    <row r="150" spans="1:2" x14ac:dyDescent="0.25">
      <c r="A150" t="s">
        <v>3480</v>
      </c>
      <c r="B150" t="s">
        <v>3484</v>
      </c>
    </row>
    <row r="151" spans="1:2" x14ac:dyDescent="0.25">
      <c r="A151" t="e">
        <f>---- Mark: if terminating also make sure only the primary can be terminated</f>
        <v>#NAME?</v>
      </c>
    </row>
    <row r="152" spans="1:2" x14ac:dyDescent="0.25">
      <c r="A152" t="e">
        <f>---- have Mark indicate which locations are primary (bolded?)</f>
        <v>#NAME?</v>
      </c>
    </row>
    <row r="154" spans="1:2" x14ac:dyDescent="0.25">
      <c r="A154" t="s">
        <v>3485</v>
      </c>
    </row>
    <row r="155" spans="1:2" x14ac:dyDescent="0.25">
      <c r="A155" t="s">
        <v>3486</v>
      </c>
    </row>
    <row r="156" spans="1:2" x14ac:dyDescent="0.25">
      <c r="A156" t="s">
        <v>3487</v>
      </c>
    </row>
    <row r="158" spans="1:2" x14ac:dyDescent="0.25">
      <c r="A158" t="s">
        <v>3488</v>
      </c>
    </row>
    <row r="159" spans="1:2" x14ac:dyDescent="0.25">
      <c r="A159" t="e">
        <f>-- Check for duplicates</f>
        <v>#NAME?</v>
      </c>
    </row>
    <row r="160" spans="1:2" x14ac:dyDescent="0.25">
      <c r="A160" t="s">
        <v>3488</v>
      </c>
    </row>
    <row r="161" spans="1:1" x14ac:dyDescent="0.25">
      <c r="A161" t="s">
        <v>572</v>
      </c>
    </row>
    <row r="162" spans="1:1" x14ac:dyDescent="0.25">
      <c r="A162" t="s">
        <v>573</v>
      </c>
    </row>
    <row r="163" spans="1:1" x14ac:dyDescent="0.25">
      <c r="A163" t="s">
        <v>1569</v>
      </c>
    </row>
    <row r="164" spans="1:1" x14ac:dyDescent="0.25">
      <c r="A164" t="s">
        <v>611</v>
      </c>
    </row>
    <row r="165" spans="1:1" x14ac:dyDescent="0.25">
      <c r="A165" t="s">
        <v>2805</v>
      </c>
    </row>
    <row r="166" spans="1:1" x14ac:dyDescent="0.25">
      <c r="A166" t="s">
        <v>671</v>
      </c>
    </row>
    <row r="167" spans="1:1" x14ac:dyDescent="0.25">
      <c r="A167" t="s">
        <v>573</v>
      </c>
    </row>
    <row r="168" spans="1:1" x14ac:dyDescent="0.25">
      <c r="A168" t="s">
        <v>447</v>
      </c>
    </row>
    <row r="170" spans="1:1" x14ac:dyDescent="0.25">
      <c r="A170" t="s">
        <v>572</v>
      </c>
    </row>
    <row r="171" spans="1:1" x14ac:dyDescent="0.25">
      <c r="A171" t="s">
        <v>536</v>
      </c>
    </row>
    <row r="172" spans="1:1" x14ac:dyDescent="0.25">
      <c r="A172" t="s">
        <v>1569</v>
      </c>
    </row>
    <row r="173" spans="1:1" x14ac:dyDescent="0.25">
      <c r="A173" t="s">
        <v>533</v>
      </c>
    </row>
    <row r="174" spans="1:1" x14ac:dyDescent="0.25">
      <c r="A174" t="s">
        <v>2805</v>
      </c>
    </row>
    <row r="175" spans="1:1" x14ac:dyDescent="0.25">
      <c r="A175" t="s">
        <v>671</v>
      </c>
    </row>
    <row r="176" spans="1:1" x14ac:dyDescent="0.25">
      <c r="A176" t="s">
        <v>536</v>
      </c>
    </row>
    <row r="177" spans="1:1" x14ac:dyDescent="0.25">
      <c r="A177" t="s">
        <v>447</v>
      </c>
    </row>
    <row r="179" spans="1:1" x14ac:dyDescent="0.25">
      <c r="A179" t="s">
        <v>572</v>
      </c>
    </row>
    <row r="180" spans="1:1" x14ac:dyDescent="0.25">
      <c r="A180" t="s">
        <v>390</v>
      </c>
    </row>
    <row r="181" spans="1:1" x14ac:dyDescent="0.25">
      <c r="A181" t="s">
        <v>1569</v>
      </c>
    </row>
    <row r="182" spans="1:1" x14ac:dyDescent="0.25">
      <c r="A182" t="s">
        <v>3489</v>
      </c>
    </row>
    <row r="183" spans="1:1" x14ac:dyDescent="0.25">
      <c r="A183" t="s">
        <v>671</v>
      </c>
    </row>
    <row r="184" spans="1:1" x14ac:dyDescent="0.25">
      <c r="A184" t="s">
        <v>390</v>
      </c>
    </row>
    <row r="185" spans="1:1" x14ac:dyDescent="0.25">
      <c r="A185" t="s">
        <v>447</v>
      </c>
    </row>
    <row r="187" spans="1:1" x14ac:dyDescent="0.25">
      <c r="A187" t="s">
        <v>572</v>
      </c>
    </row>
    <row r="188" spans="1:1" x14ac:dyDescent="0.25">
      <c r="A188" t="s">
        <v>390</v>
      </c>
    </row>
    <row r="189" spans="1:1" x14ac:dyDescent="0.25">
      <c r="A189" t="s">
        <v>1569</v>
      </c>
    </row>
    <row r="190" spans="1:1" x14ac:dyDescent="0.25">
      <c r="A190" t="s">
        <v>3490</v>
      </c>
    </row>
    <row r="191" spans="1:1" x14ac:dyDescent="0.25">
      <c r="A191" t="s">
        <v>671</v>
      </c>
    </row>
    <row r="192" spans="1:1" x14ac:dyDescent="0.25">
      <c r="A192" t="s">
        <v>390</v>
      </c>
    </row>
    <row r="193" spans="1:1" x14ac:dyDescent="0.25">
      <c r="A193" t="s">
        <v>447</v>
      </c>
    </row>
    <row r="195" spans="1:1" x14ac:dyDescent="0.25">
      <c r="A195" t="s">
        <v>572</v>
      </c>
    </row>
    <row r="196" spans="1:1" x14ac:dyDescent="0.25">
      <c r="A196" t="s">
        <v>1265</v>
      </c>
    </row>
    <row r="197" spans="1:1" x14ac:dyDescent="0.25">
      <c r="A197" t="s">
        <v>3457</v>
      </c>
    </row>
    <row r="198" spans="1:1" x14ac:dyDescent="0.25">
      <c r="A198" t="s">
        <v>1569</v>
      </c>
    </row>
    <row r="199" spans="1:1" x14ac:dyDescent="0.25">
      <c r="A199" t="s">
        <v>533</v>
      </c>
    </row>
    <row r="200" spans="1:1" x14ac:dyDescent="0.25">
      <c r="A200" t="s">
        <v>3458</v>
      </c>
    </row>
    <row r="201" spans="1:1" x14ac:dyDescent="0.25">
      <c r="A201" t="s">
        <v>671</v>
      </c>
    </row>
    <row r="202" spans="1:1" x14ac:dyDescent="0.25">
      <c r="A202" t="s">
        <v>1265</v>
      </c>
    </row>
    <row r="203" spans="1:1" x14ac:dyDescent="0.25">
      <c r="A203" t="s">
        <v>3457</v>
      </c>
    </row>
    <row r="204" spans="1:1" x14ac:dyDescent="0.25">
      <c r="A204" t="s">
        <v>447</v>
      </c>
    </row>
    <row r="206" spans="1:1" x14ac:dyDescent="0.25">
      <c r="A206" t="e">
        <f>-- queries Need to be run after \PDMS\SqlScripts\DataCleanup\Bug3040_SetPrimaryFlag.sql has been executed</f>
        <v>#NAME?</v>
      </c>
    </row>
    <row r="208" spans="1:1" x14ac:dyDescent="0.25">
      <c r="A208" t="e">
        <f>-- all records processed (count should be zero)</f>
        <v>#NAME?</v>
      </c>
    </row>
    <row r="209" spans="1:1" x14ac:dyDescent="0.25">
      <c r="A209" t="s">
        <v>3716</v>
      </c>
    </row>
    <row r="211" spans="1:1" x14ac:dyDescent="0.25">
      <c r="A211" t="s">
        <v>3717</v>
      </c>
    </row>
    <row r="212" spans="1:1" x14ac:dyDescent="0.25">
      <c r="A212" t="s">
        <v>572</v>
      </c>
    </row>
    <row r="213" spans="1:1" x14ac:dyDescent="0.25">
      <c r="A213" t="s">
        <v>1265</v>
      </c>
    </row>
    <row r="214" spans="1:1" x14ac:dyDescent="0.25">
      <c r="A214" t="s">
        <v>2053</v>
      </c>
    </row>
    <row r="215" spans="1:1" x14ac:dyDescent="0.25">
      <c r="A215" t="s">
        <v>3565</v>
      </c>
    </row>
    <row r="216" spans="1:1" x14ac:dyDescent="0.25">
      <c r="A216" t="s">
        <v>533</v>
      </c>
    </row>
    <row r="217" spans="1:1" x14ac:dyDescent="0.25">
      <c r="A217" t="s">
        <v>3458</v>
      </c>
    </row>
    <row r="218" spans="1:1" x14ac:dyDescent="0.25">
      <c r="A218" t="s">
        <v>671</v>
      </c>
    </row>
    <row r="219" spans="1:1" x14ac:dyDescent="0.25">
      <c r="A219" t="s">
        <v>1265</v>
      </c>
    </row>
    <row r="220" spans="1:1" x14ac:dyDescent="0.25">
      <c r="A220" t="s">
        <v>2053</v>
      </c>
    </row>
    <row r="221" spans="1:1" x14ac:dyDescent="0.25">
      <c r="A221" t="s">
        <v>447</v>
      </c>
    </row>
    <row r="223" spans="1:1" x14ac:dyDescent="0.25">
      <c r="A223" t="s">
        <v>3718</v>
      </c>
    </row>
    <row r="224" spans="1:1" x14ac:dyDescent="0.25">
      <c r="A224" t="s">
        <v>3719</v>
      </c>
    </row>
    <row r="225" spans="1:1" x14ac:dyDescent="0.25">
      <c r="A225" t="s">
        <v>572</v>
      </c>
    </row>
    <row r="226" spans="1:1" x14ac:dyDescent="0.25">
      <c r="A226" t="s">
        <v>1265</v>
      </c>
    </row>
    <row r="227" spans="1:1" x14ac:dyDescent="0.25">
      <c r="A227" t="s">
        <v>2053</v>
      </c>
    </row>
    <row r="228" spans="1:1" x14ac:dyDescent="0.25">
      <c r="A228" t="s">
        <v>3720</v>
      </c>
    </row>
    <row r="229" spans="1:1" x14ac:dyDescent="0.25">
      <c r="A229" t="s">
        <v>3565</v>
      </c>
    </row>
    <row r="230" spans="1:1" x14ac:dyDescent="0.25">
      <c r="A230" t="s">
        <v>3721</v>
      </c>
    </row>
    <row r="231" spans="1:1" x14ac:dyDescent="0.25">
      <c r="A231" t="s">
        <v>533</v>
      </c>
    </row>
    <row r="232" spans="1:1" x14ac:dyDescent="0.25">
      <c r="A232" t="s">
        <v>3722</v>
      </c>
    </row>
    <row r="233" spans="1:1" x14ac:dyDescent="0.25">
      <c r="A233" t="s">
        <v>671</v>
      </c>
    </row>
    <row r="234" spans="1:1" x14ac:dyDescent="0.25">
      <c r="A234" t="s">
        <v>1265</v>
      </c>
    </row>
    <row r="235" spans="1:1" x14ac:dyDescent="0.25">
      <c r="A235" t="s">
        <v>2053</v>
      </c>
    </row>
    <row r="236" spans="1:1" x14ac:dyDescent="0.25">
      <c r="A236" t="s">
        <v>3723</v>
      </c>
    </row>
    <row r="238" spans="1:1" x14ac:dyDescent="0.25">
      <c r="A238" t="s">
        <v>572</v>
      </c>
    </row>
    <row r="239" spans="1:1" x14ac:dyDescent="0.25">
      <c r="A239" t="s">
        <v>3724</v>
      </c>
    </row>
    <row r="240" spans="1:1" x14ac:dyDescent="0.25">
      <c r="A240" t="s">
        <v>3725</v>
      </c>
    </row>
    <row r="241" spans="1:2" x14ac:dyDescent="0.25">
      <c r="A241" t="s">
        <v>3726</v>
      </c>
    </row>
    <row r="242" spans="1:2" x14ac:dyDescent="0.25">
      <c r="A242" t="s">
        <v>3727</v>
      </c>
    </row>
    <row r="243" spans="1:2" x14ac:dyDescent="0.25">
      <c r="A243" t="s">
        <v>3728</v>
      </c>
    </row>
    <row r="244" spans="1:2" x14ac:dyDescent="0.25">
      <c r="A244" t="s">
        <v>3729</v>
      </c>
    </row>
    <row r="245" spans="1:2" x14ac:dyDescent="0.25">
      <c r="B245" t="s">
        <v>3730</v>
      </c>
    </row>
    <row r="246" spans="1:2" x14ac:dyDescent="0.25">
      <c r="B246" t="s">
        <v>3731</v>
      </c>
    </row>
    <row r="247" spans="1:2" x14ac:dyDescent="0.25">
      <c r="A247" t="s">
        <v>3732</v>
      </c>
    </row>
    <row r="249" spans="1:2" x14ac:dyDescent="0.25">
      <c r="A249" t="s">
        <v>3733</v>
      </c>
    </row>
    <row r="251" spans="1:2" x14ac:dyDescent="0.25">
      <c r="A251" t="e">
        <f>-- no non-primary service locations with open errors</f>
        <v>#NAME?</v>
      </c>
    </row>
    <row r="252" spans="1:2" x14ac:dyDescent="0.25">
      <c r="A252" t="s">
        <v>572</v>
      </c>
    </row>
    <row r="253" spans="1:2" x14ac:dyDescent="0.25">
      <c r="A253" t="s">
        <v>3734</v>
      </c>
    </row>
    <row r="254" spans="1:2" x14ac:dyDescent="0.25">
      <c r="A254" t="s">
        <v>533</v>
      </c>
    </row>
    <row r="255" spans="1:2" x14ac:dyDescent="0.25">
      <c r="A255" t="s">
        <v>3735</v>
      </c>
    </row>
    <row r="256" spans="1:2" x14ac:dyDescent="0.25">
      <c r="B256" t="s">
        <v>3736</v>
      </c>
    </row>
    <row r="257" spans="1:2" x14ac:dyDescent="0.25">
      <c r="B257" t="s">
        <v>3737</v>
      </c>
    </row>
    <row r="259" spans="1:2" x14ac:dyDescent="0.25">
      <c r="A259" t="s">
        <v>3738</v>
      </c>
    </row>
    <row r="261" spans="1:2" x14ac:dyDescent="0.25">
      <c r="A261" t="s">
        <v>572</v>
      </c>
    </row>
    <row r="262" spans="1:2" x14ac:dyDescent="0.25">
      <c r="A262" t="s">
        <v>1047</v>
      </c>
    </row>
    <row r="263" spans="1:2" x14ac:dyDescent="0.25">
      <c r="A263" t="s">
        <v>3455</v>
      </c>
    </row>
    <row r="264" spans="1:2" x14ac:dyDescent="0.25">
      <c r="A264" t="s">
        <v>2756</v>
      </c>
    </row>
    <row r="265" spans="1:2" x14ac:dyDescent="0.25">
      <c r="A265" t="s">
        <v>647</v>
      </c>
    </row>
    <row r="266" spans="1:2" x14ac:dyDescent="0.25">
      <c r="A266" t="s">
        <v>619</v>
      </c>
    </row>
    <row r="267" spans="1:2" x14ac:dyDescent="0.25">
      <c r="B267" t="s">
        <v>3739</v>
      </c>
    </row>
    <row r="268" spans="1:2" x14ac:dyDescent="0.25">
      <c r="A268" t="s">
        <v>2958</v>
      </c>
    </row>
    <row r="269" spans="1:2" x14ac:dyDescent="0.25">
      <c r="B269" t="s">
        <v>1471</v>
      </c>
    </row>
    <row r="270" spans="1:2" x14ac:dyDescent="0.25">
      <c r="B270" t="s">
        <v>3740</v>
      </c>
    </row>
    <row r="271" spans="1:2" x14ac:dyDescent="0.25">
      <c r="B271" t="s">
        <v>3737</v>
      </c>
    </row>
    <row r="273" spans="1:3" x14ac:dyDescent="0.25">
      <c r="A273" t="s">
        <v>244</v>
      </c>
    </row>
    <row r="274" spans="1:3" x14ac:dyDescent="0.25">
      <c r="A274" t="s">
        <v>669</v>
      </c>
    </row>
    <row r="275" spans="1:3" x14ac:dyDescent="0.25">
      <c r="A275" t="s">
        <v>3741</v>
      </c>
    </row>
    <row r="276" spans="1:3" x14ac:dyDescent="0.25">
      <c r="A276" t="s">
        <v>3742</v>
      </c>
    </row>
    <row r="277" spans="1:3" x14ac:dyDescent="0.25">
      <c r="A277" t="s">
        <v>258</v>
      </c>
    </row>
    <row r="279" spans="1:3" x14ac:dyDescent="0.25">
      <c r="A279" t="s">
        <v>254</v>
      </c>
    </row>
    <row r="280" spans="1:3" x14ac:dyDescent="0.25">
      <c r="A280" t="e">
        <f>-- UI Test Scenarios</f>
        <v>#NAME?</v>
      </c>
    </row>
    <row r="281" spans="1:3" x14ac:dyDescent="0.25">
      <c r="A281" t="s">
        <v>3743</v>
      </c>
    </row>
    <row r="282" spans="1:3" x14ac:dyDescent="0.25">
      <c r="A282" t="s">
        <v>3744</v>
      </c>
    </row>
    <row r="283" spans="1:3" x14ac:dyDescent="0.25">
      <c r="A283" t="s">
        <v>3745</v>
      </c>
    </row>
    <row r="284" spans="1:3" x14ac:dyDescent="0.25">
      <c r="C284" t="s">
        <v>3746</v>
      </c>
    </row>
    <row r="285" spans="1:3" x14ac:dyDescent="0.25">
      <c r="A285" t="s">
        <v>258</v>
      </c>
    </row>
    <row r="287" spans="1:3" x14ac:dyDescent="0.25">
      <c r="A287" t="s">
        <v>1447</v>
      </c>
    </row>
    <row r="288" spans="1:3" x14ac:dyDescent="0.25">
      <c r="A288" t="s">
        <v>3747</v>
      </c>
    </row>
    <row r="290" spans="1:3" x14ac:dyDescent="0.25">
      <c r="A290" t="s">
        <v>572</v>
      </c>
    </row>
    <row r="291" spans="1:3" x14ac:dyDescent="0.25">
      <c r="A291" t="s">
        <v>3748</v>
      </c>
    </row>
    <row r="292" spans="1:3" x14ac:dyDescent="0.25">
      <c r="A292" t="s">
        <v>3749</v>
      </c>
    </row>
    <row r="293" spans="1:3" x14ac:dyDescent="0.25">
      <c r="A293" t="s">
        <v>842</v>
      </c>
    </row>
    <row r="294" spans="1:3" x14ac:dyDescent="0.25">
      <c r="A294" t="s">
        <v>2821</v>
      </c>
    </row>
    <row r="295" spans="1:3" x14ac:dyDescent="0.25">
      <c r="A295" t="s">
        <v>897</v>
      </c>
    </row>
    <row r="296" spans="1:3" x14ac:dyDescent="0.25">
      <c r="A296" t="s">
        <v>3455</v>
      </c>
    </row>
    <row r="297" spans="1:3" x14ac:dyDescent="0.25">
      <c r="A297" t="s">
        <v>1044</v>
      </c>
    </row>
    <row r="298" spans="1:3" x14ac:dyDescent="0.25">
      <c r="A298" t="s">
        <v>3750</v>
      </c>
    </row>
    <row r="299" spans="1:3" x14ac:dyDescent="0.25">
      <c r="A299" t="e">
        <f>-- TaxId</f>
        <v>#NAME?</v>
      </c>
      <c r="C299" t="s">
        <v>3751</v>
      </c>
    </row>
    <row r="300" spans="1:3" x14ac:dyDescent="0.25">
      <c r="A300">
        <f>-- 205755130</f>
        <v>205755130</v>
      </c>
      <c r="B300" t="s">
        <v>3752</v>
      </c>
    </row>
    <row r="301" spans="1:3" x14ac:dyDescent="0.25">
      <c r="A301">
        <f>-- 593773290</f>
        <v>593773290</v>
      </c>
      <c r="B301" t="s">
        <v>394</v>
      </c>
    </row>
    <row r="303" spans="1:3" x14ac:dyDescent="0.25">
      <c r="A303" t="s">
        <v>3753</v>
      </c>
    </row>
    <row r="304" spans="1:3" x14ac:dyDescent="0.25">
      <c r="A304" t="s">
        <v>258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3"/>
  <sheetViews>
    <sheetView workbookViewId="0"/>
  </sheetViews>
  <sheetFormatPr defaultRowHeight="15" x14ac:dyDescent="0.25"/>
  <sheetData>
    <row r="1" spans="1:2" x14ac:dyDescent="0.25">
      <c r="A1" t="s">
        <v>572</v>
      </c>
    </row>
    <row r="2" spans="1:2" x14ac:dyDescent="0.25">
      <c r="A2" t="s">
        <v>539</v>
      </c>
    </row>
    <row r="3" spans="1:2" x14ac:dyDescent="0.25">
      <c r="A3" t="s">
        <v>1714</v>
      </c>
    </row>
    <row r="4" spans="1:2" x14ac:dyDescent="0.25">
      <c r="A4" t="s">
        <v>896</v>
      </c>
    </row>
    <row r="5" spans="1:2" x14ac:dyDescent="0.25">
      <c r="A5" t="s">
        <v>1715</v>
      </c>
    </row>
    <row r="6" spans="1:2" x14ac:dyDescent="0.25">
      <c r="A6" t="s">
        <v>624</v>
      </c>
    </row>
    <row r="7" spans="1:2" x14ac:dyDescent="0.25">
      <c r="B7" t="s">
        <v>1716</v>
      </c>
    </row>
    <row r="8" spans="1:2" x14ac:dyDescent="0.25">
      <c r="A8" t="s">
        <v>1717</v>
      </c>
    </row>
    <row r="10" spans="1:2" x14ac:dyDescent="0.25">
      <c r="A10" t="s">
        <v>572</v>
      </c>
    </row>
    <row r="11" spans="1:2" x14ac:dyDescent="0.25">
      <c r="A11" t="s">
        <v>1718</v>
      </c>
    </row>
    <row r="12" spans="1:2" x14ac:dyDescent="0.25">
      <c r="A12" t="s">
        <v>1719</v>
      </c>
    </row>
    <row r="13" spans="1:2" x14ac:dyDescent="0.25">
      <c r="A13" t="s">
        <v>576</v>
      </c>
    </row>
    <row r="14" spans="1:2" x14ac:dyDescent="0.25">
      <c r="A14" t="s">
        <v>962</v>
      </c>
    </row>
    <row r="15" spans="1:2" x14ac:dyDescent="0.25">
      <c r="B15" t="s">
        <v>900</v>
      </c>
    </row>
    <row r="16" spans="1:2" x14ac:dyDescent="0.25">
      <c r="A16" t="s">
        <v>1720</v>
      </c>
    </row>
    <row r="18" spans="1:1" x14ac:dyDescent="0.25">
      <c r="A18" t="s">
        <v>572</v>
      </c>
    </row>
    <row r="19" spans="1:1" x14ac:dyDescent="0.25">
      <c r="A19" t="s">
        <v>646</v>
      </c>
    </row>
    <row r="20" spans="1:1" x14ac:dyDescent="0.25">
      <c r="A20" t="s">
        <v>865</v>
      </c>
    </row>
    <row r="21" spans="1:1" x14ac:dyDescent="0.25">
      <c r="A21" t="s">
        <v>1721</v>
      </c>
    </row>
    <row r="23" spans="1:1" x14ac:dyDescent="0.25">
      <c r="A23" t="s">
        <v>572</v>
      </c>
    </row>
    <row r="24" spans="1:1" x14ac:dyDescent="0.25">
      <c r="A24" t="s">
        <v>646</v>
      </c>
    </row>
    <row r="25" spans="1:1" x14ac:dyDescent="0.25">
      <c r="A25" t="s">
        <v>734</v>
      </c>
    </row>
    <row r="26" spans="1:1" x14ac:dyDescent="0.25">
      <c r="A26" t="s">
        <v>1722</v>
      </c>
    </row>
    <row r="28" spans="1:1" x14ac:dyDescent="0.25">
      <c r="A28" t="s">
        <v>538</v>
      </c>
    </row>
    <row r="29" spans="1:1" x14ac:dyDescent="0.25">
      <c r="A29" t="s">
        <v>646</v>
      </c>
    </row>
    <row r="30" spans="1:1" x14ac:dyDescent="0.25">
      <c r="A30" t="s">
        <v>582</v>
      </c>
    </row>
    <row r="31" spans="1:1" x14ac:dyDescent="0.25">
      <c r="A31" t="s">
        <v>1723</v>
      </c>
    </row>
    <row r="33" spans="1:2" x14ac:dyDescent="0.25">
      <c r="A33" t="s">
        <v>1724</v>
      </c>
    </row>
    <row r="34" spans="1:2" x14ac:dyDescent="0.25">
      <c r="A34" t="s">
        <v>1725</v>
      </c>
    </row>
    <row r="35" spans="1:2" x14ac:dyDescent="0.25">
      <c r="A35" t="s">
        <v>572</v>
      </c>
    </row>
    <row r="36" spans="1:2" x14ac:dyDescent="0.25">
      <c r="A36" t="s">
        <v>539</v>
      </c>
    </row>
    <row r="37" spans="1:2" x14ac:dyDescent="0.25">
      <c r="A37" t="s">
        <v>542</v>
      </c>
    </row>
    <row r="38" spans="1:2" x14ac:dyDescent="0.25">
      <c r="A38" t="s">
        <v>540</v>
      </c>
    </row>
    <row r="39" spans="1:2" x14ac:dyDescent="0.25">
      <c r="A39" t="s">
        <v>541</v>
      </c>
    </row>
    <row r="40" spans="1:2" x14ac:dyDescent="0.25">
      <c r="A40" t="s">
        <v>1000</v>
      </c>
    </row>
    <row r="41" spans="1:2" x14ac:dyDescent="0.25">
      <c r="A41" t="s">
        <v>1726</v>
      </c>
    </row>
    <row r="42" spans="1:2" x14ac:dyDescent="0.25">
      <c r="A42" t="s">
        <v>1727</v>
      </c>
    </row>
    <row r="43" spans="1:2" x14ac:dyDescent="0.25">
      <c r="A43" t="s">
        <v>576</v>
      </c>
    </row>
    <row r="44" spans="1:2" x14ac:dyDescent="0.25">
      <c r="A44" t="s">
        <v>1106</v>
      </c>
    </row>
    <row r="45" spans="1:2" x14ac:dyDescent="0.25">
      <c r="A45" t="s">
        <v>697</v>
      </c>
    </row>
    <row r="46" spans="1:2" x14ac:dyDescent="0.25">
      <c r="B46" t="s">
        <v>572</v>
      </c>
    </row>
    <row r="47" spans="1:2" x14ac:dyDescent="0.25">
      <c r="B47" t="s">
        <v>573</v>
      </c>
    </row>
    <row r="48" spans="1:2" x14ac:dyDescent="0.25">
      <c r="B48" t="s">
        <v>1728</v>
      </c>
    </row>
    <row r="49" spans="1:3" x14ac:dyDescent="0.25">
      <c r="B49" t="s">
        <v>533</v>
      </c>
    </row>
    <row r="50" spans="1:3" x14ac:dyDescent="0.25">
      <c r="B50" t="s">
        <v>671</v>
      </c>
    </row>
    <row r="51" spans="1:3" x14ac:dyDescent="0.25">
      <c r="B51" t="s">
        <v>573</v>
      </c>
    </row>
    <row r="52" spans="1:3" x14ac:dyDescent="0.25">
      <c r="A52" t="s">
        <v>1550</v>
      </c>
    </row>
    <row r="53" spans="1:3" x14ac:dyDescent="0.25">
      <c r="B53" t="s">
        <v>900</v>
      </c>
    </row>
    <row r="54" spans="1:3" x14ac:dyDescent="0.25">
      <c r="A54" t="s">
        <v>1271</v>
      </c>
    </row>
    <row r="55" spans="1:3" x14ac:dyDescent="0.25">
      <c r="B55" t="s">
        <v>1729</v>
      </c>
    </row>
    <row r="56" spans="1:3" x14ac:dyDescent="0.25">
      <c r="A56" t="s">
        <v>634</v>
      </c>
    </row>
    <row r="57" spans="1:3" x14ac:dyDescent="0.25">
      <c r="A57" t="s">
        <v>1730</v>
      </c>
    </row>
    <row r="59" spans="1:3" x14ac:dyDescent="0.25">
      <c r="A59" t="s">
        <v>1731</v>
      </c>
    </row>
    <row r="60" spans="1:3" x14ac:dyDescent="0.25">
      <c r="A60" t="s">
        <v>218</v>
      </c>
    </row>
    <row r="61" spans="1:3" x14ac:dyDescent="0.25">
      <c r="A61" t="s">
        <v>216</v>
      </c>
    </row>
    <row r="63" spans="1:3" x14ac:dyDescent="0.25">
      <c r="C63" t="e">
        <f>-- get the provider type</f>
        <v>#NAME?</v>
      </c>
    </row>
    <row r="64" spans="1:3" x14ac:dyDescent="0.25">
      <c r="C64" t="s">
        <v>1732</v>
      </c>
    </row>
    <row r="65" spans="3:5" x14ac:dyDescent="0.25">
      <c r="C65" t="s">
        <v>1733</v>
      </c>
    </row>
    <row r="66" spans="3:5" x14ac:dyDescent="0.25">
      <c r="C66" t="s">
        <v>611</v>
      </c>
    </row>
    <row r="67" spans="3:5" x14ac:dyDescent="0.25">
      <c r="C67" t="s">
        <v>1734</v>
      </c>
    </row>
    <row r="68" spans="3:5" x14ac:dyDescent="0.25">
      <c r="C68" t="s">
        <v>1735</v>
      </c>
    </row>
    <row r="70" spans="3:5" x14ac:dyDescent="0.25">
      <c r="C70" t="s">
        <v>1736</v>
      </c>
    </row>
    <row r="71" spans="3:5" x14ac:dyDescent="0.25">
      <c r="C71" t="e">
        <f>-- get the number of individual service locations</f>
        <v>#NAME?</v>
      </c>
    </row>
    <row r="72" spans="3:5" x14ac:dyDescent="0.25">
      <c r="C72" t="s">
        <v>1737</v>
      </c>
    </row>
    <row r="73" spans="3:5" x14ac:dyDescent="0.25">
      <c r="C73" t="s">
        <v>1738</v>
      </c>
    </row>
    <row r="74" spans="3:5" x14ac:dyDescent="0.25">
      <c r="C74" t="s">
        <v>1044</v>
      </c>
    </row>
    <row r="75" spans="3:5" x14ac:dyDescent="0.25">
      <c r="C75" t="s">
        <v>1739</v>
      </c>
    </row>
    <row r="76" spans="3:5" x14ac:dyDescent="0.25">
      <c r="D76" t="s">
        <v>1740</v>
      </c>
    </row>
    <row r="77" spans="3:5" x14ac:dyDescent="0.25">
      <c r="C77" t="s">
        <v>1741</v>
      </c>
    </row>
    <row r="79" spans="3:5" x14ac:dyDescent="0.25">
      <c r="C79" t="e">
        <f>-- if provider type is individual AND no individual service locations</f>
        <v>#NAME?</v>
      </c>
    </row>
    <row r="80" spans="3:5" x14ac:dyDescent="0.25">
      <c r="C80" t="s">
        <v>247</v>
      </c>
      <c r="E80" t="s">
        <v>1742</v>
      </c>
    </row>
    <row r="81" spans="1:5" x14ac:dyDescent="0.25">
      <c r="C81" t="s">
        <v>1743</v>
      </c>
    </row>
    <row r="82" spans="1:5" x14ac:dyDescent="0.25">
      <c r="D82" t="s">
        <v>1744</v>
      </c>
    </row>
    <row r="83" spans="1:5" x14ac:dyDescent="0.25">
      <c r="D83" t="s">
        <v>1745</v>
      </c>
    </row>
    <row r="84" spans="1:5" x14ac:dyDescent="0.25">
      <c r="D84" t="s">
        <v>1746</v>
      </c>
    </row>
    <row r="85" spans="1:5" x14ac:dyDescent="0.25">
      <c r="D85" t="s">
        <v>1747</v>
      </c>
    </row>
    <row r="86" spans="1:5" x14ac:dyDescent="0.25">
      <c r="E86" t="e">
        <f>-- Set to processed</f>
        <v>#NAME?</v>
      </c>
    </row>
    <row r="87" spans="1:5" x14ac:dyDescent="0.25">
      <c r="E87" t="s">
        <v>1748</v>
      </c>
    </row>
    <row r="88" spans="1:5" x14ac:dyDescent="0.25">
      <c r="D88" t="s">
        <v>1749</v>
      </c>
    </row>
    <row r="90" spans="1:5" x14ac:dyDescent="0.25">
      <c r="A90" t="s">
        <v>538</v>
      </c>
    </row>
    <row r="91" spans="1:5" x14ac:dyDescent="0.25">
      <c r="A91" t="s">
        <v>646</v>
      </c>
    </row>
    <row r="92" spans="1:5" x14ac:dyDescent="0.25">
      <c r="A92" t="s">
        <v>669</v>
      </c>
    </row>
    <row r="93" spans="1:5" x14ac:dyDescent="0.25">
      <c r="A93" t="s">
        <v>1750</v>
      </c>
    </row>
    <row r="96" spans="1:5" x14ac:dyDescent="0.25">
      <c r="A96" t="s">
        <v>572</v>
      </c>
    </row>
    <row r="97" spans="1:2" x14ac:dyDescent="0.25">
      <c r="A97" t="s">
        <v>761</v>
      </c>
    </row>
    <row r="98" spans="1:2" x14ac:dyDescent="0.25">
      <c r="A98" t="s">
        <v>1751</v>
      </c>
    </row>
    <row r="99" spans="1:2" x14ac:dyDescent="0.25">
      <c r="A99" t="s">
        <v>1752</v>
      </c>
    </row>
    <row r="100" spans="1:2" x14ac:dyDescent="0.25">
      <c r="A100" t="s">
        <v>1237</v>
      </c>
    </row>
    <row r="101" spans="1:2" x14ac:dyDescent="0.25">
      <c r="A101" t="s">
        <v>1238</v>
      </c>
    </row>
    <row r="102" spans="1:2" x14ac:dyDescent="0.25">
      <c r="A102" t="s">
        <v>1109</v>
      </c>
    </row>
    <row r="103" spans="1:2" x14ac:dyDescent="0.25">
      <c r="A103" t="s">
        <v>763</v>
      </c>
    </row>
    <row r="104" spans="1:2" x14ac:dyDescent="0.25">
      <c r="A104" t="s">
        <v>1240</v>
      </c>
    </row>
    <row r="105" spans="1:2" x14ac:dyDescent="0.25">
      <c r="B105" t="s">
        <v>1241</v>
      </c>
    </row>
    <row r="106" spans="1:2" x14ac:dyDescent="0.25">
      <c r="A106" t="s">
        <v>765</v>
      </c>
    </row>
    <row r="107" spans="1:2" x14ac:dyDescent="0.25">
      <c r="B107" t="s">
        <v>1242</v>
      </c>
    </row>
    <row r="108" spans="1:2" x14ac:dyDescent="0.25">
      <c r="A108" t="s">
        <v>1753</v>
      </c>
    </row>
    <row r="110" spans="1:2" x14ac:dyDescent="0.25">
      <c r="A110" t="s">
        <v>538</v>
      </c>
    </row>
    <row r="111" spans="1:2" x14ac:dyDescent="0.25">
      <c r="A111" t="s">
        <v>646</v>
      </c>
    </row>
    <row r="112" spans="1:2" x14ac:dyDescent="0.25">
      <c r="A112" t="s">
        <v>611</v>
      </c>
    </row>
    <row r="113" spans="1:2" x14ac:dyDescent="0.25">
      <c r="A113" t="s">
        <v>1754</v>
      </c>
    </row>
    <row r="115" spans="1:2" x14ac:dyDescent="0.25">
      <c r="A115" t="s">
        <v>572</v>
      </c>
    </row>
    <row r="116" spans="1:2" x14ac:dyDescent="0.25">
      <c r="A116" t="s">
        <v>1755</v>
      </c>
    </row>
    <row r="117" spans="1:2" x14ac:dyDescent="0.25">
      <c r="A117" t="s">
        <v>1484</v>
      </c>
    </row>
    <row r="118" spans="1:2" x14ac:dyDescent="0.25">
      <c r="A118" t="s">
        <v>1376</v>
      </c>
    </row>
    <row r="119" spans="1:2" x14ac:dyDescent="0.25">
      <c r="B119" t="s">
        <v>1469</v>
      </c>
    </row>
    <row r="120" spans="1:2" x14ac:dyDescent="0.25">
      <c r="A120" t="s">
        <v>1756</v>
      </c>
    </row>
    <row r="122" spans="1:2" x14ac:dyDescent="0.25">
      <c r="A122" t="s">
        <v>1757</v>
      </c>
    </row>
    <row r="124" spans="1:2" x14ac:dyDescent="0.25">
      <c r="A124" t="s">
        <v>572</v>
      </c>
    </row>
    <row r="125" spans="1:2" x14ac:dyDescent="0.25">
      <c r="A125" t="s">
        <v>646</v>
      </c>
    </row>
    <row r="126" spans="1:2" x14ac:dyDescent="0.25">
      <c r="A126" t="s">
        <v>1758</v>
      </c>
    </row>
    <row r="127" spans="1:2" x14ac:dyDescent="0.25">
      <c r="A127" t="s">
        <v>1754</v>
      </c>
    </row>
    <row r="130" spans="1:2" x14ac:dyDescent="0.25">
      <c r="A130" t="s">
        <v>1759</v>
      </c>
    </row>
    <row r="131" spans="1:2" x14ac:dyDescent="0.25">
      <c r="B131" t="s">
        <v>1760</v>
      </c>
    </row>
    <row r="132" spans="1:2" x14ac:dyDescent="0.25">
      <c r="A132" t="s">
        <v>572</v>
      </c>
    </row>
    <row r="133" spans="1:2" x14ac:dyDescent="0.25">
      <c r="A133" t="s">
        <v>539</v>
      </c>
    </row>
    <row r="134" spans="1:2" x14ac:dyDescent="0.25">
      <c r="A134" t="s">
        <v>542</v>
      </c>
    </row>
    <row r="135" spans="1:2" x14ac:dyDescent="0.25">
      <c r="A135" t="s">
        <v>896</v>
      </c>
    </row>
    <row r="136" spans="1:2" x14ac:dyDescent="0.25">
      <c r="A136" t="s">
        <v>1761</v>
      </c>
    </row>
    <row r="137" spans="1:2" x14ac:dyDescent="0.25">
      <c r="A137" t="s">
        <v>1000</v>
      </c>
    </row>
    <row r="138" spans="1:2" x14ac:dyDescent="0.25">
      <c r="A138" t="s">
        <v>1762</v>
      </c>
    </row>
    <row r="139" spans="1:2" x14ac:dyDescent="0.25">
      <c r="A139" t="s">
        <v>1763</v>
      </c>
    </row>
    <row r="140" spans="1:2" x14ac:dyDescent="0.25">
      <c r="A140" t="s">
        <v>576</v>
      </c>
    </row>
    <row r="141" spans="1:2" x14ac:dyDescent="0.25">
      <c r="A141" t="s">
        <v>939</v>
      </c>
    </row>
    <row r="142" spans="1:2" x14ac:dyDescent="0.25">
      <c r="A142" t="s">
        <v>697</v>
      </c>
    </row>
    <row r="143" spans="1:2" x14ac:dyDescent="0.25">
      <c r="B143" t="s">
        <v>538</v>
      </c>
    </row>
    <row r="144" spans="1:2" x14ac:dyDescent="0.25">
      <c r="B144" t="s">
        <v>384</v>
      </c>
    </row>
    <row r="145" spans="1:3" x14ac:dyDescent="0.25">
      <c r="B145" t="s">
        <v>1764</v>
      </c>
    </row>
    <row r="146" spans="1:3" x14ac:dyDescent="0.25">
      <c r="B146" t="s">
        <v>604</v>
      </c>
    </row>
    <row r="147" spans="1:3" x14ac:dyDescent="0.25">
      <c r="B147" t="s">
        <v>1765</v>
      </c>
    </row>
    <row r="148" spans="1:3" x14ac:dyDescent="0.25">
      <c r="B148" t="s">
        <v>644</v>
      </c>
    </row>
    <row r="149" spans="1:3" x14ac:dyDescent="0.25">
      <c r="B149" t="s">
        <v>384</v>
      </c>
    </row>
    <row r="150" spans="1:3" x14ac:dyDescent="0.25">
      <c r="A150" t="s">
        <v>1057</v>
      </c>
    </row>
    <row r="151" spans="1:3" x14ac:dyDescent="0.25">
      <c r="B151" t="s">
        <v>1766</v>
      </c>
    </row>
    <row r="152" spans="1:3" x14ac:dyDescent="0.25">
      <c r="A152" t="s">
        <v>1106</v>
      </c>
    </row>
    <row r="153" spans="1:3" x14ac:dyDescent="0.25">
      <c r="A153" t="s">
        <v>697</v>
      </c>
    </row>
    <row r="154" spans="1:3" x14ac:dyDescent="0.25">
      <c r="B154" t="s">
        <v>572</v>
      </c>
    </row>
    <row r="155" spans="1:3" x14ac:dyDescent="0.25">
      <c r="B155" t="s">
        <v>1265</v>
      </c>
    </row>
    <row r="156" spans="1:3" x14ac:dyDescent="0.25">
      <c r="B156" t="s">
        <v>668</v>
      </c>
    </row>
    <row r="157" spans="1:3" x14ac:dyDescent="0.25">
      <c r="B157" t="s">
        <v>669</v>
      </c>
    </row>
    <row r="158" spans="1:3" x14ac:dyDescent="0.25">
      <c r="B158" t="s">
        <v>1767</v>
      </c>
    </row>
    <row r="159" spans="1:3" x14ac:dyDescent="0.25">
      <c r="C159" t="s">
        <v>1025</v>
      </c>
    </row>
    <row r="160" spans="1:3" x14ac:dyDescent="0.25">
      <c r="B160" t="s">
        <v>671</v>
      </c>
    </row>
    <row r="161" spans="1:5" x14ac:dyDescent="0.25">
      <c r="B161" t="s">
        <v>1265</v>
      </c>
    </row>
    <row r="162" spans="1:5" x14ac:dyDescent="0.25">
      <c r="A162" t="s">
        <v>1768</v>
      </c>
    </row>
    <row r="163" spans="1:5" x14ac:dyDescent="0.25">
      <c r="B163" t="s">
        <v>1769</v>
      </c>
    </row>
    <row r="164" spans="1:5" x14ac:dyDescent="0.25">
      <c r="A164" t="s">
        <v>1106</v>
      </c>
    </row>
    <row r="165" spans="1:5" x14ac:dyDescent="0.25">
      <c r="A165" t="s">
        <v>697</v>
      </c>
    </row>
    <row r="166" spans="1:5" x14ac:dyDescent="0.25">
      <c r="C166" t="s">
        <v>572</v>
      </c>
    </row>
    <row r="167" spans="1:5" x14ac:dyDescent="0.25">
      <c r="C167" t="s">
        <v>573</v>
      </c>
    </row>
    <row r="168" spans="1:5" x14ac:dyDescent="0.25">
      <c r="C168" t="s">
        <v>1770</v>
      </c>
    </row>
    <row r="169" spans="1:5" x14ac:dyDescent="0.25">
      <c r="C169" t="s">
        <v>1044</v>
      </c>
    </row>
    <row r="170" spans="1:5" x14ac:dyDescent="0.25">
      <c r="C170" t="s">
        <v>1739</v>
      </c>
    </row>
    <row r="171" spans="1:5" x14ac:dyDescent="0.25">
      <c r="C171" t="s">
        <v>1771</v>
      </c>
    </row>
    <row r="172" spans="1:5" x14ac:dyDescent="0.25">
      <c r="A172" t="s">
        <v>1550</v>
      </c>
    </row>
    <row r="173" spans="1:5" x14ac:dyDescent="0.25">
      <c r="B173" t="s">
        <v>900</v>
      </c>
    </row>
    <row r="174" spans="1:5" x14ac:dyDescent="0.25">
      <c r="A174" t="s">
        <v>1271</v>
      </c>
    </row>
    <row r="175" spans="1:5" x14ac:dyDescent="0.25">
      <c r="B175" t="s">
        <v>1772</v>
      </c>
      <c r="E175" t="e">
        <f>-- no pending transactions</f>
        <v>#NAME?</v>
      </c>
    </row>
    <row r="176" spans="1:5" x14ac:dyDescent="0.25">
      <c r="B176" t="s">
        <v>1773</v>
      </c>
      <c r="C176" t="e">
        <f>-- no open/pending errors</f>
        <v>#NAME?</v>
      </c>
    </row>
    <row r="177" spans="1:5" x14ac:dyDescent="0.25">
      <c r="B177" t="s">
        <v>1774</v>
      </c>
      <c r="E177" t="e">
        <f>-- no individual service locations</f>
        <v>#NAME?</v>
      </c>
    </row>
    <row r="178" spans="1:5" x14ac:dyDescent="0.25">
      <c r="B178" t="s">
        <v>1002</v>
      </c>
      <c r="E178" t="e">
        <f>-- pending mmis Submission</f>
        <v>#NAME?</v>
      </c>
    </row>
    <row r="179" spans="1:5" x14ac:dyDescent="0.25">
      <c r="A179">
        <f>-- 110433</f>
        <v>110433</v>
      </c>
    </row>
    <row r="180" spans="1:5" x14ac:dyDescent="0.25">
      <c r="A180" t="e">
        <f>-- SELECT * FROM Bug3104_ProviderStatuses ORDER BY PDMSStatusDate DESC</f>
        <v>#NAME?</v>
      </c>
    </row>
    <row r="182" spans="1:5" x14ac:dyDescent="0.25">
      <c r="A182" t="s">
        <v>572</v>
      </c>
    </row>
    <row r="183" spans="1:5" x14ac:dyDescent="0.25">
      <c r="A183" t="s">
        <v>646</v>
      </c>
    </row>
    <row r="184" spans="1:5" x14ac:dyDescent="0.25">
      <c r="A184" t="s">
        <v>1775</v>
      </c>
    </row>
    <row r="185" spans="1:5" x14ac:dyDescent="0.25">
      <c r="A185" t="s">
        <v>1776</v>
      </c>
    </row>
    <row r="187" spans="1:5" x14ac:dyDescent="0.25">
      <c r="A187" t="s">
        <v>1777</v>
      </c>
    </row>
    <row r="188" spans="1:5" x14ac:dyDescent="0.25">
      <c r="B188" t="s">
        <v>1778</v>
      </c>
    </row>
    <row r="189" spans="1:5" x14ac:dyDescent="0.25">
      <c r="A189" t="s">
        <v>572</v>
      </c>
    </row>
    <row r="190" spans="1:5" x14ac:dyDescent="0.25">
      <c r="A190" t="s">
        <v>539</v>
      </c>
    </row>
    <row r="191" spans="1:5" x14ac:dyDescent="0.25">
      <c r="A191" t="s">
        <v>542</v>
      </c>
    </row>
    <row r="192" spans="1:5" x14ac:dyDescent="0.25">
      <c r="A192" t="s">
        <v>896</v>
      </c>
    </row>
    <row r="193" spans="1:2" x14ac:dyDescent="0.25">
      <c r="A193" t="s">
        <v>1761</v>
      </c>
    </row>
    <row r="194" spans="1:2" x14ac:dyDescent="0.25">
      <c r="A194" t="s">
        <v>1000</v>
      </c>
    </row>
    <row r="195" spans="1:2" x14ac:dyDescent="0.25">
      <c r="A195" t="s">
        <v>1779</v>
      </c>
    </row>
    <row r="196" spans="1:2" x14ac:dyDescent="0.25">
      <c r="A196" t="s">
        <v>1780</v>
      </c>
    </row>
    <row r="197" spans="1:2" x14ac:dyDescent="0.25">
      <c r="A197" t="s">
        <v>1781</v>
      </c>
    </row>
    <row r="198" spans="1:2" x14ac:dyDescent="0.25">
      <c r="A198" t="s">
        <v>1782</v>
      </c>
    </row>
    <row r="199" spans="1:2" x14ac:dyDescent="0.25">
      <c r="A199" t="s">
        <v>1783</v>
      </c>
    </row>
    <row r="200" spans="1:2" x14ac:dyDescent="0.25">
      <c r="A200" t="s">
        <v>576</v>
      </c>
    </row>
    <row r="201" spans="1:2" x14ac:dyDescent="0.25">
      <c r="A201" t="s">
        <v>939</v>
      </c>
    </row>
    <row r="202" spans="1:2" x14ac:dyDescent="0.25">
      <c r="A202" t="s">
        <v>697</v>
      </c>
    </row>
    <row r="203" spans="1:2" x14ac:dyDescent="0.25">
      <c r="B203" t="s">
        <v>538</v>
      </c>
    </row>
    <row r="204" spans="1:2" x14ac:dyDescent="0.25">
      <c r="B204" t="s">
        <v>384</v>
      </c>
    </row>
    <row r="205" spans="1:2" x14ac:dyDescent="0.25">
      <c r="B205" t="s">
        <v>1764</v>
      </c>
    </row>
    <row r="206" spans="1:2" x14ac:dyDescent="0.25">
      <c r="B206" t="s">
        <v>1056</v>
      </c>
    </row>
    <row r="207" spans="1:2" x14ac:dyDescent="0.25">
      <c r="B207" t="s">
        <v>1784</v>
      </c>
    </row>
    <row r="208" spans="1:2" x14ac:dyDescent="0.25">
      <c r="B208" t="s">
        <v>644</v>
      </c>
    </row>
    <row r="209" spans="1:2" x14ac:dyDescent="0.25">
      <c r="B209" t="s">
        <v>384</v>
      </c>
    </row>
    <row r="210" spans="1:2" x14ac:dyDescent="0.25">
      <c r="A210" t="s">
        <v>1785</v>
      </c>
    </row>
    <row r="211" spans="1:2" x14ac:dyDescent="0.25">
      <c r="B211" t="s">
        <v>1786</v>
      </c>
    </row>
    <row r="212" spans="1:2" x14ac:dyDescent="0.25">
      <c r="A212" t="s">
        <v>939</v>
      </c>
    </row>
    <row r="213" spans="1:2" x14ac:dyDescent="0.25">
      <c r="A213" t="s">
        <v>697</v>
      </c>
    </row>
    <row r="214" spans="1:2" x14ac:dyDescent="0.25">
      <c r="B214" t="s">
        <v>538</v>
      </c>
    </row>
    <row r="215" spans="1:2" x14ac:dyDescent="0.25">
      <c r="B215" t="s">
        <v>384</v>
      </c>
    </row>
    <row r="216" spans="1:2" x14ac:dyDescent="0.25">
      <c r="B216" t="s">
        <v>1764</v>
      </c>
    </row>
    <row r="217" spans="1:2" x14ac:dyDescent="0.25">
      <c r="B217" t="s">
        <v>1056</v>
      </c>
    </row>
    <row r="218" spans="1:2" x14ac:dyDescent="0.25">
      <c r="B218" t="s">
        <v>1787</v>
      </c>
    </row>
    <row r="219" spans="1:2" x14ac:dyDescent="0.25">
      <c r="B219" t="s">
        <v>644</v>
      </c>
    </row>
    <row r="220" spans="1:2" x14ac:dyDescent="0.25">
      <c r="B220" t="s">
        <v>384</v>
      </c>
    </row>
    <row r="221" spans="1:2" x14ac:dyDescent="0.25">
      <c r="A221" t="s">
        <v>1788</v>
      </c>
    </row>
    <row r="222" spans="1:2" x14ac:dyDescent="0.25">
      <c r="B222" t="s">
        <v>1789</v>
      </c>
    </row>
    <row r="223" spans="1:2" x14ac:dyDescent="0.25">
      <c r="A223" t="s">
        <v>1106</v>
      </c>
    </row>
    <row r="224" spans="1:2" x14ac:dyDescent="0.25">
      <c r="A224" t="s">
        <v>697</v>
      </c>
    </row>
    <row r="225" spans="1:3" x14ac:dyDescent="0.25">
      <c r="B225" t="s">
        <v>572</v>
      </c>
    </row>
    <row r="226" spans="1:3" x14ac:dyDescent="0.25">
      <c r="B226" t="s">
        <v>1265</v>
      </c>
    </row>
    <row r="227" spans="1:3" x14ac:dyDescent="0.25">
      <c r="B227" t="s">
        <v>668</v>
      </c>
    </row>
    <row r="228" spans="1:3" x14ac:dyDescent="0.25">
      <c r="B228" t="s">
        <v>669</v>
      </c>
    </row>
    <row r="229" spans="1:3" x14ac:dyDescent="0.25">
      <c r="B229" t="s">
        <v>1767</v>
      </c>
    </row>
    <row r="230" spans="1:3" x14ac:dyDescent="0.25">
      <c r="C230" t="s">
        <v>1025</v>
      </c>
    </row>
    <row r="231" spans="1:3" x14ac:dyDescent="0.25">
      <c r="B231" t="s">
        <v>671</v>
      </c>
    </row>
    <row r="232" spans="1:3" x14ac:dyDescent="0.25">
      <c r="B232" t="s">
        <v>1265</v>
      </c>
    </row>
    <row r="233" spans="1:3" x14ac:dyDescent="0.25">
      <c r="A233" t="s">
        <v>1768</v>
      </c>
    </row>
    <row r="234" spans="1:3" x14ac:dyDescent="0.25">
      <c r="B234" t="s">
        <v>1769</v>
      </c>
    </row>
    <row r="235" spans="1:3" x14ac:dyDescent="0.25">
      <c r="A235" t="s">
        <v>1106</v>
      </c>
    </row>
    <row r="236" spans="1:3" x14ac:dyDescent="0.25">
      <c r="A236" t="s">
        <v>697</v>
      </c>
    </row>
    <row r="237" spans="1:3" x14ac:dyDescent="0.25">
      <c r="C237" t="s">
        <v>572</v>
      </c>
    </row>
    <row r="238" spans="1:3" x14ac:dyDescent="0.25">
      <c r="C238" t="s">
        <v>573</v>
      </c>
    </row>
    <row r="239" spans="1:3" x14ac:dyDescent="0.25">
      <c r="C239" t="s">
        <v>1770</v>
      </c>
    </row>
    <row r="240" spans="1:3" x14ac:dyDescent="0.25">
      <c r="C240" t="s">
        <v>1044</v>
      </c>
    </row>
    <row r="241" spans="1:3" x14ac:dyDescent="0.25">
      <c r="C241" t="s">
        <v>1739</v>
      </c>
    </row>
    <row r="242" spans="1:3" x14ac:dyDescent="0.25">
      <c r="C242" t="s">
        <v>1771</v>
      </c>
    </row>
    <row r="243" spans="1:3" x14ac:dyDescent="0.25">
      <c r="A243" t="s">
        <v>1550</v>
      </c>
    </row>
    <row r="244" spans="1:3" x14ac:dyDescent="0.25">
      <c r="B244" t="s">
        <v>900</v>
      </c>
    </row>
    <row r="245" spans="1:3" x14ac:dyDescent="0.25">
      <c r="A245" t="s">
        <v>939</v>
      </c>
    </row>
    <row r="246" spans="1:3" x14ac:dyDescent="0.25">
      <c r="A246" t="s">
        <v>697</v>
      </c>
    </row>
    <row r="247" spans="1:3" x14ac:dyDescent="0.25">
      <c r="B247" t="s">
        <v>538</v>
      </c>
    </row>
    <row r="248" spans="1:3" x14ac:dyDescent="0.25">
      <c r="B248" t="s">
        <v>1790</v>
      </c>
    </row>
    <row r="249" spans="1:3" x14ac:dyDescent="0.25">
      <c r="B249" t="s">
        <v>1791</v>
      </c>
    </row>
    <row r="250" spans="1:3" x14ac:dyDescent="0.25">
      <c r="B250" t="s">
        <v>865</v>
      </c>
    </row>
    <row r="251" spans="1:3" x14ac:dyDescent="0.25">
      <c r="B251" t="s">
        <v>1792</v>
      </c>
      <c r="C251" t="s">
        <v>1793</v>
      </c>
    </row>
    <row r="252" spans="1:3" x14ac:dyDescent="0.25">
      <c r="B252" t="s">
        <v>644</v>
      </c>
    </row>
    <row r="253" spans="1:3" x14ac:dyDescent="0.25">
      <c r="B253" t="s">
        <v>1790</v>
      </c>
    </row>
    <row r="254" spans="1:3" x14ac:dyDescent="0.25">
      <c r="A254" t="s">
        <v>1794</v>
      </c>
    </row>
    <row r="255" spans="1:3" x14ac:dyDescent="0.25">
      <c r="B255" t="s">
        <v>1104</v>
      </c>
    </row>
    <row r="256" spans="1:3" x14ac:dyDescent="0.25">
      <c r="A256" t="s">
        <v>939</v>
      </c>
    </row>
    <row r="257" spans="1:5" x14ac:dyDescent="0.25">
      <c r="A257" t="s">
        <v>697</v>
      </c>
    </row>
    <row r="258" spans="1:5" x14ac:dyDescent="0.25">
      <c r="B258" t="s">
        <v>538</v>
      </c>
    </row>
    <row r="259" spans="1:5" x14ac:dyDescent="0.25">
      <c r="B259" t="s">
        <v>1790</v>
      </c>
    </row>
    <row r="260" spans="1:5" x14ac:dyDescent="0.25">
      <c r="B260" t="s">
        <v>1795</v>
      </c>
    </row>
    <row r="261" spans="1:5" x14ac:dyDescent="0.25">
      <c r="B261" t="s">
        <v>865</v>
      </c>
    </row>
    <row r="262" spans="1:5" x14ac:dyDescent="0.25">
      <c r="B262" t="s">
        <v>1796</v>
      </c>
      <c r="C262" t="s">
        <v>1797</v>
      </c>
    </row>
    <row r="263" spans="1:5" x14ac:dyDescent="0.25">
      <c r="B263" t="s">
        <v>644</v>
      </c>
    </row>
    <row r="264" spans="1:5" x14ac:dyDescent="0.25">
      <c r="B264" t="s">
        <v>1790</v>
      </c>
    </row>
    <row r="265" spans="1:5" x14ac:dyDescent="0.25">
      <c r="A265" t="s">
        <v>1798</v>
      </c>
    </row>
    <row r="266" spans="1:5" x14ac:dyDescent="0.25">
      <c r="B266" t="s">
        <v>1799</v>
      </c>
    </row>
    <row r="267" spans="1:5" x14ac:dyDescent="0.25">
      <c r="A267" t="s">
        <v>1271</v>
      </c>
    </row>
    <row r="268" spans="1:5" x14ac:dyDescent="0.25">
      <c r="B268" t="s">
        <v>1800</v>
      </c>
      <c r="C268" t="s">
        <v>1801</v>
      </c>
    </row>
    <row r="269" spans="1:5" x14ac:dyDescent="0.25">
      <c r="B269" t="s">
        <v>1773</v>
      </c>
      <c r="C269" t="s">
        <v>1802</v>
      </c>
    </row>
    <row r="270" spans="1:5" x14ac:dyDescent="0.25">
      <c r="B270" t="s">
        <v>1774</v>
      </c>
      <c r="E270" t="s">
        <v>1803</v>
      </c>
    </row>
    <row r="271" spans="1:5" x14ac:dyDescent="0.25">
      <c r="B271" t="s">
        <v>1002</v>
      </c>
      <c r="E271" t="s">
        <v>1804</v>
      </c>
    </row>
    <row r="273" spans="1:1" x14ac:dyDescent="0.25">
      <c r="A273" t="s">
        <v>1805</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7"/>
  <sheetViews>
    <sheetView workbookViewId="0">
      <selection sqref="A1:C89"/>
    </sheetView>
  </sheetViews>
  <sheetFormatPr defaultRowHeight="15" x14ac:dyDescent="0.25"/>
  <sheetData>
    <row r="1" spans="1:1" x14ac:dyDescent="0.25">
      <c r="A1" t="s">
        <v>254</v>
      </c>
    </row>
    <row r="2" spans="1:1" x14ac:dyDescent="0.25">
      <c r="A2" t="s">
        <v>3001</v>
      </c>
    </row>
    <row r="3" spans="1:1" x14ac:dyDescent="0.25">
      <c r="A3" t="s">
        <v>258</v>
      </c>
    </row>
    <row r="4" spans="1:1" x14ac:dyDescent="0.25">
      <c r="A4" t="s">
        <v>3002</v>
      </c>
    </row>
    <row r="5" spans="1:1" x14ac:dyDescent="0.25">
      <c r="A5" t="s">
        <v>538</v>
      </c>
    </row>
    <row r="6" spans="1:1" x14ac:dyDescent="0.25">
      <c r="A6" t="s">
        <v>384</v>
      </c>
    </row>
    <row r="7" spans="1:1" x14ac:dyDescent="0.25">
      <c r="A7" t="s">
        <v>3003</v>
      </c>
    </row>
    <row r="8" spans="1:1" x14ac:dyDescent="0.25">
      <c r="A8" t="s">
        <v>3004</v>
      </c>
    </row>
    <row r="9" spans="1:1" x14ac:dyDescent="0.25">
      <c r="A9" t="s">
        <v>1775</v>
      </c>
    </row>
    <row r="10" spans="1:1" x14ac:dyDescent="0.25">
      <c r="A10" t="s">
        <v>3005</v>
      </c>
    </row>
    <row r="11" spans="1:1" x14ac:dyDescent="0.25">
      <c r="A11" t="s">
        <v>3006</v>
      </c>
    </row>
    <row r="13" spans="1:1" x14ac:dyDescent="0.25">
      <c r="A13" t="s">
        <v>3007</v>
      </c>
    </row>
    <row r="14" spans="1:1" x14ac:dyDescent="0.25">
      <c r="A14" t="s">
        <v>572</v>
      </c>
    </row>
    <row r="15" spans="1:1" x14ac:dyDescent="0.25">
      <c r="A15" t="s">
        <v>1043</v>
      </c>
    </row>
    <row r="16" spans="1:1" x14ac:dyDescent="0.25">
      <c r="A16" t="s">
        <v>1770</v>
      </c>
    </row>
    <row r="17" spans="1:2" x14ac:dyDescent="0.25">
      <c r="A17" t="s">
        <v>3008</v>
      </c>
    </row>
    <row r="18" spans="1:2" x14ac:dyDescent="0.25">
      <c r="A18" t="s">
        <v>1044</v>
      </c>
    </row>
    <row r="19" spans="1:2" x14ac:dyDescent="0.25">
      <c r="A19" t="s">
        <v>3009</v>
      </c>
    </row>
    <row r="20" spans="1:2" x14ac:dyDescent="0.25">
      <c r="A20" t="s">
        <v>3010</v>
      </c>
    </row>
    <row r="22" spans="1:2" x14ac:dyDescent="0.25">
      <c r="A22" t="s">
        <v>572</v>
      </c>
    </row>
    <row r="23" spans="1:2" x14ac:dyDescent="0.25">
      <c r="A23" t="s">
        <v>1520</v>
      </c>
    </row>
    <row r="24" spans="1:2" x14ac:dyDescent="0.25">
      <c r="A24" t="s">
        <v>3011</v>
      </c>
    </row>
    <row r="25" spans="1:2" x14ac:dyDescent="0.25">
      <c r="A25" t="s">
        <v>3012</v>
      </c>
    </row>
    <row r="26" spans="1:2" x14ac:dyDescent="0.25">
      <c r="A26" t="s">
        <v>3013</v>
      </c>
    </row>
    <row r="27" spans="1:2" x14ac:dyDescent="0.25">
      <c r="B27" t="s">
        <v>3014</v>
      </c>
    </row>
    <row r="28" spans="1:2" x14ac:dyDescent="0.25">
      <c r="A28" t="s">
        <v>3015</v>
      </c>
    </row>
    <row r="30" spans="1:2" x14ac:dyDescent="0.25">
      <c r="A30" t="s">
        <v>572</v>
      </c>
    </row>
    <row r="31" spans="1:2" x14ac:dyDescent="0.25">
      <c r="A31" t="s">
        <v>646</v>
      </c>
    </row>
    <row r="32" spans="1:2" x14ac:dyDescent="0.25">
      <c r="A32" t="s">
        <v>533</v>
      </c>
    </row>
    <row r="33" spans="1:1" x14ac:dyDescent="0.25">
      <c r="A33" t="s">
        <v>3016</v>
      </c>
    </row>
    <row r="34" spans="1:1" x14ac:dyDescent="0.25">
      <c r="A34" t="s">
        <v>1046</v>
      </c>
    </row>
    <row r="36" spans="1:1" x14ac:dyDescent="0.25">
      <c r="A36" t="s">
        <v>572</v>
      </c>
    </row>
    <row r="37" spans="1:1" x14ac:dyDescent="0.25">
      <c r="A37" t="s">
        <v>646</v>
      </c>
    </row>
    <row r="38" spans="1:1" x14ac:dyDescent="0.25">
      <c r="A38" t="s">
        <v>3017</v>
      </c>
    </row>
    <row r="39" spans="1:1" x14ac:dyDescent="0.25">
      <c r="A39" t="s">
        <v>3018</v>
      </c>
    </row>
    <row r="40" spans="1:1" x14ac:dyDescent="0.25">
      <c r="A40" t="s">
        <v>3019</v>
      </c>
    </row>
    <row r="44" spans="1:1" x14ac:dyDescent="0.25">
      <c r="A44" t="s">
        <v>572</v>
      </c>
    </row>
    <row r="45" spans="1:1" x14ac:dyDescent="0.25">
      <c r="A45" t="s">
        <v>646</v>
      </c>
    </row>
    <row r="46" spans="1:1" x14ac:dyDescent="0.25">
      <c r="A46" t="s">
        <v>669</v>
      </c>
    </row>
    <row r="47" spans="1:1" x14ac:dyDescent="0.25">
      <c r="A47" t="s">
        <v>3020</v>
      </c>
    </row>
    <row r="49" spans="1:2" x14ac:dyDescent="0.25">
      <c r="A49" t="s">
        <v>3021</v>
      </c>
    </row>
    <row r="50" spans="1:2" x14ac:dyDescent="0.25">
      <c r="A50" t="s">
        <v>3022</v>
      </c>
    </row>
    <row r="51" spans="1:2" x14ac:dyDescent="0.25">
      <c r="A51" t="s">
        <v>1775</v>
      </c>
    </row>
    <row r="52" spans="1:2" x14ac:dyDescent="0.25">
      <c r="A52" t="s">
        <v>3023</v>
      </c>
    </row>
    <row r="53" spans="1:2" x14ac:dyDescent="0.25">
      <c r="A53" t="s">
        <v>3024</v>
      </c>
    </row>
    <row r="55" spans="1:2" x14ac:dyDescent="0.25">
      <c r="A55" t="s">
        <v>3025</v>
      </c>
    </row>
    <row r="56" spans="1:2" x14ac:dyDescent="0.25">
      <c r="A56" t="s">
        <v>3026</v>
      </c>
    </row>
    <row r="57" spans="1:2" x14ac:dyDescent="0.25">
      <c r="A57" t="s">
        <v>578</v>
      </c>
    </row>
    <row r="58" spans="1:2" x14ac:dyDescent="0.25">
      <c r="A58" t="s">
        <v>3027</v>
      </c>
    </row>
    <row r="59" spans="1:2" x14ac:dyDescent="0.25">
      <c r="B59" t="s">
        <v>3028</v>
      </c>
    </row>
    <row r="61" spans="1:2" x14ac:dyDescent="0.25">
      <c r="A61" t="s">
        <v>3029</v>
      </c>
    </row>
    <row r="62" spans="1:2" x14ac:dyDescent="0.25">
      <c r="A62" t="s">
        <v>3030</v>
      </c>
    </row>
    <row r="63" spans="1:2" x14ac:dyDescent="0.25">
      <c r="A63" t="s">
        <v>3031</v>
      </c>
    </row>
    <row r="65" spans="1:3" x14ac:dyDescent="0.25">
      <c r="A65" t="e">
        <f>-- it appears only a partial load of the serivce Location occurred</f>
        <v>#NAME?</v>
      </c>
    </row>
    <row r="66" spans="1:3" x14ac:dyDescent="0.25">
      <c r="A66" t="s">
        <v>247</v>
      </c>
      <c r="C66" t="s">
        <v>3032</v>
      </c>
    </row>
    <row r="67" spans="1:3" x14ac:dyDescent="0.25">
      <c r="A67" t="s">
        <v>572</v>
      </c>
    </row>
    <row r="68" spans="1:3" x14ac:dyDescent="0.25">
      <c r="A68" t="s">
        <v>3033</v>
      </c>
    </row>
    <row r="69" spans="1:3" x14ac:dyDescent="0.25">
      <c r="A69" t="s">
        <v>3034</v>
      </c>
    </row>
    <row r="70" spans="1:3" x14ac:dyDescent="0.25">
      <c r="A70" t="s">
        <v>3035</v>
      </c>
    </row>
    <row r="71" spans="1:3" x14ac:dyDescent="0.25">
      <c r="A71" t="s">
        <v>3036</v>
      </c>
    </row>
    <row r="72" spans="1:3" x14ac:dyDescent="0.25">
      <c r="B72" t="s">
        <v>3037</v>
      </c>
    </row>
    <row r="73" spans="1:3" x14ac:dyDescent="0.25">
      <c r="A73" t="s">
        <v>3038</v>
      </c>
    </row>
    <row r="75" spans="1:3" x14ac:dyDescent="0.25">
      <c r="A75" t="e">
        <f>-- no history of an attempt to Add the medicaid record</f>
        <v>#NAME?</v>
      </c>
    </row>
    <row r="76" spans="1:3" x14ac:dyDescent="0.25">
      <c r="A76" t="s">
        <v>572</v>
      </c>
    </row>
    <row r="77" spans="1:3" x14ac:dyDescent="0.25">
      <c r="A77" t="s">
        <v>646</v>
      </c>
    </row>
    <row r="78" spans="1:3" x14ac:dyDescent="0.25">
      <c r="A78" t="s">
        <v>3039</v>
      </c>
    </row>
    <row r="79" spans="1:3" x14ac:dyDescent="0.25">
      <c r="A79" t="s">
        <v>3040</v>
      </c>
    </row>
    <row r="81" spans="1:2" x14ac:dyDescent="0.25">
      <c r="A81" t="e">
        <f>-- look at history in UPDATE fi</f>
        <v>#NAME?</v>
      </c>
    </row>
    <row r="82" spans="1:2" x14ac:dyDescent="0.25">
      <c r="A82" t="s">
        <v>538</v>
      </c>
    </row>
    <row r="83" spans="1:2" x14ac:dyDescent="0.25">
      <c r="A83" t="s">
        <v>646</v>
      </c>
    </row>
    <row r="84" spans="1:2" x14ac:dyDescent="0.25">
      <c r="A84" t="s">
        <v>1512</v>
      </c>
    </row>
    <row r="85" spans="1:2" x14ac:dyDescent="0.25">
      <c r="A85" t="s">
        <v>3041</v>
      </c>
    </row>
    <row r="86" spans="1:2" x14ac:dyDescent="0.25">
      <c r="B86" t="s">
        <v>1514</v>
      </c>
    </row>
    <row r="87" spans="1:2" x14ac:dyDescent="0.25">
      <c r="A87" t="s">
        <v>1515</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3"/>
  <sheetViews>
    <sheetView workbookViewId="0"/>
  </sheetViews>
  <sheetFormatPr defaultRowHeight="15" x14ac:dyDescent="0.25"/>
  <sheetData>
    <row r="1" spans="1:1" x14ac:dyDescent="0.25">
      <c r="A1" t="s">
        <v>254</v>
      </c>
    </row>
    <row r="2" spans="1:1" x14ac:dyDescent="0.25">
      <c r="A2" t="s">
        <v>1806</v>
      </c>
    </row>
    <row r="3" spans="1:1" x14ac:dyDescent="0.25">
      <c r="A3" t="s">
        <v>1807</v>
      </c>
    </row>
    <row r="5" spans="1:1" x14ac:dyDescent="0.25">
      <c r="A5" t="s">
        <v>1808</v>
      </c>
    </row>
    <row r="6" spans="1:1" x14ac:dyDescent="0.25">
      <c r="A6" t="s">
        <v>572</v>
      </c>
    </row>
    <row r="7" spans="1:1" x14ac:dyDescent="0.25">
      <c r="A7" t="s">
        <v>646</v>
      </c>
    </row>
    <row r="8" spans="1:1" x14ac:dyDescent="0.25">
      <c r="A8" t="s">
        <v>1809</v>
      </c>
    </row>
    <row r="9" spans="1:1" x14ac:dyDescent="0.25">
      <c r="A9" t="s">
        <v>611</v>
      </c>
    </row>
    <row r="10" spans="1:1" x14ac:dyDescent="0.25">
      <c r="A10" t="s">
        <v>1810</v>
      </c>
    </row>
    <row r="12" spans="1:1" x14ac:dyDescent="0.25">
      <c r="A12" t="s">
        <v>572</v>
      </c>
    </row>
    <row r="13" spans="1:1" x14ac:dyDescent="0.25">
      <c r="A13" t="s">
        <v>646</v>
      </c>
    </row>
    <row r="14" spans="1:1" x14ac:dyDescent="0.25">
      <c r="A14" t="s">
        <v>1811</v>
      </c>
    </row>
    <row r="15" spans="1:1" x14ac:dyDescent="0.25">
      <c r="A15" t="s">
        <v>1812</v>
      </c>
    </row>
    <row r="17" spans="1:2" x14ac:dyDescent="0.25">
      <c r="A17" t="s">
        <v>538</v>
      </c>
    </row>
    <row r="18" spans="1:2" x14ac:dyDescent="0.25">
      <c r="A18" t="s">
        <v>646</v>
      </c>
    </row>
    <row r="19" spans="1:2" x14ac:dyDescent="0.25">
      <c r="A19" t="s">
        <v>1350</v>
      </c>
    </row>
    <row r="20" spans="1:2" x14ac:dyDescent="0.25">
      <c r="A20" t="s">
        <v>1813</v>
      </c>
    </row>
    <row r="22" spans="1:2" x14ac:dyDescent="0.25">
      <c r="A22" t="s">
        <v>572</v>
      </c>
    </row>
    <row r="23" spans="1:2" x14ac:dyDescent="0.25">
      <c r="A23" t="s">
        <v>1814</v>
      </c>
    </row>
    <row r="24" spans="1:2" x14ac:dyDescent="0.25">
      <c r="A24" t="s">
        <v>1815</v>
      </c>
    </row>
    <row r="25" spans="1:2" x14ac:dyDescent="0.25">
      <c r="A25" t="s">
        <v>1816</v>
      </c>
    </row>
    <row r="26" spans="1:2" x14ac:dyDescent="0.25">
      <c r="A26" t="s">
        <v>1817</v>
      </c>
    </row>
    <row r="27" spans="1:2" x14ac:dyDescent="0.25">
      <c r="B27" t="s">
        <v>1818</v>
      </c>
    </row>
    <row r="28" spans="1:2" x14ac:dyDescent="0.25">
      <c r="A28" t="s">
        <v>1819</v>
      </c>
    </row>
    <row r="29" spans="1:2" x14ac:dyDescent="0.25">
      <c r="B29" t="s">
        <v>1820</v>
      </c>
    </row>
    <row r="30" spans="1:2" x14ac:dyDescent="0.25">
      <c r="A30" t="s">
        <v>1821</v>
      </c>
    </row>
    <row r="33" spans="1:2" x14ac:dyDescent="0.25">
      <c r="A33" t="s">
        <v>467</v>
      </c>
    </row>
    <row r="34" spans="1:2" x14ac:dyDescent="0.25">
      <c r="A34" t="s">
        <v>646</v>
      </c>
    </row>
    <row r="35" spans="1:2" x14ac:dyDescent="0.25">
      <c r="A35" t="s">
        <v>1822</v>
      </c>
    </row>
    <row r="36" spans="1:2" x14ac:dyDescent="0.25">
      <c r="A36" t="s">
        <v>1823</v>
      </c>
    </row>
    <row r="37" spans="1:2" x14ac:dyDescent="0.25">
      <c r="B37" t="s">
        <v>1824</v>
      </c>
    </row>
    <row r="38" spans="1:2" x14ac:dyDescent="0.25">
      <c r="A38" t="s">
        <v>1825</v>
      </c>
    </row>
    <row r="40" spans="1:2" x14ac:dyDescent="0.25">
      <c r="A40" t="s">
        <v>244</v>
      </c>
    </row>
    <row r="41" spans="1:2" x14ac:dyDescent="0.25">
      <c r="A41" t="s">
        <v>908</v>
      </c>
    </row>
    <row r="42" spans="1:2" x14ac:dyDescent="0.25">
      <c r="A42" t="s">
        <v>1826</v>
      </c>
    </row>
    <row r="43" spans="1:2" x14ac:dyDescent="0.25">
      <c r="A43" t="s">
        <v>258</v>
      </c>
    </row>
    <row r="45" spans="1:2" x14ac:dyDescent="0.25">
      <c r="A45" t="s">
        <v>645</v>
      </c>
    </row>
    <row r="46" spans="1:2" x14ac:dyDescent="0.25">
      <c r="A46" t="s">
        <v>646</v>
      </c>
    </row>
    <row r="47" spans="1:2" x14ac:dyDescent="0.25">
      <c r="A47" t="s">
        <v>245</v>
      </c>
    </row>
    <row r="48" spans="1:2" x14ac:dyDescent="0.25">
      <c r="A48" t="s">
        <v>251</v>
      </c>
    </row>
    <row r="50" spans="1:2" x14ac:dyDescent="0.25">
      <c r="A50" t="s">
        <v>1827</v>
      </c>
    </row>
    <row r="52" spans="1:2" x14ac:dyDescent="0.25">
      <c r="A52" t="s">
        <v>1828</v>
      </c>
    </row>
    <row r="53" spans="1:2" x14ac:dyDescent="0.25">
      <c r="A53" t="s">
        <v>1829</v>
      </c>
    </row>
    <row r="54" spans="1:2" x14ac:dyDescent="0.25">
      <c r="A54" t="s">
        <v>538</v>
      </c>
    </row>
    <row r="55" spans="1:2" x14ac:dyDescent="0.25">
      <c r="A55" t="s">
        <v>1830</v>
      </c>
    </row>
    <row r="56" spans="1:2" x14ac:dyDescent="0.25">
      <c r="A56" t="s">
        <v>1015</v>
      </c>
    </row>
    <row r="57" spans="1:2" x14ac:dyDescent="0.25">
      <c r="A57" t="s">
        <v>1831</v>
      </c>
    </row>
    <row r="58" spans="1:2" x14ac:dyDescent="0.25">
      <c r="A58" t="s">
        <v>575</v>
      </c>
    </row>
    <row r="59" spans="1:2" x14ac:dyDescent="0.25">
      <c r="A59" t="s">
        <v>1832</v>
      </c>
    </row>
    <row r="60" spans="1:2" x14ac:dyDescent="0.25">
      <c r="A60" t="s">
        <v>1833</v>
      </c>
    </row>
    <row r="61" spans="1:2" x14ac:dyDescent="0.25">
      <c r="A61" t="s">
        <v>1350</v>
      </c>
    </row>
    <row r="62" spans="1:2" x14ac:dyDescent="0.25">
      <c r="A62" t="s">
        <v>1834</v>
      </c>
    </row>
    <row r="63" spans="1:2" x14ac:dyDescent="0.25">
      <c r="B63" t="s">
        <v>1835</v>
      </c>
    </row>
    <row r="64" spans="1:2" x14ac:dyDescent="0.25">
      <c r="B64" t="s">
        <v>1836</v>
      </c>
    </row>
    <row r="65" spans="1:1" x14ac:dyDescent="0.25">
      <c r="A65" t="s">
        <v>671</v>
      </c>
    </row>
    <row r="66" spans="1:1" x14ac:dyDescent="0.25">
      <c r="A66" t="s">
        <v>1830</v>
      </c>
    </row>
    <row r="67" spans="1:1" x14ac:dyDescent="0.25">
      <c r="A67" t="s">
        <v>1015</v>
      </c>
    </row>
    <row r="68" spans="1:1" x14ac:dyDescent="0.25">
      <c r="A68" t="s">
        <v>575</v>
      </c>
    </row>
    <row r="69" spans="1:1" x14ac:dyDescent="0.25">
      <c r="A69" t="s">
        <v>1832</v>
      </c>
    </row>
    <row r="71" spans="1:1" x14ac:dyDescent="0.25">
      <c r="A71" t="s">
        <v>1837</v>
      </c>
    </row>
    <row r="72" spans="1:1" x14ac:dyDescent="0.25">
      <c r="A72" t="s">
        <v>538</v>
      </c>
    </row>
    <row r="73" spans="1:1" x14ac:dyDescent="0.25">
      <c r="A73" t="s">
        <v>1838</v>
      </c>
    </row>
    <row r="74" spans="1:1" x14ac:dyDescent="0.25">
      <c r="A74" t="s">
        <v>1839</v>
      </c>
    </row>
    <row r="75" spans="1:1" x14ac:dyDescent="0.25">
      <c r="A75" t="s">
        <v>1840</v>
      </c>
    </row>
    <row r="76" spans="1:1" x14ac:dyDescent="0.25">
      <c r="A76" t="s">
        <v>1841</v>
      </c>
    </row>
    <row r="77" spans="1:1" x14ac:dyDescent="0.25">
      <c r="A77" t="s">
        <v>632</v>
      </c>
    </row>
    <row r="78" spans="1:1" x14ac:dyDescent="0.25">
      <c r="A78" t="s">
        <v>1842</v>
      </c>
    </row>
    <row r="79" spans="1:1" x14ac:dyDescent="0.25">
      <c r="A79" t="s">
        <v>895</v>
      </c>
    </row>
    <row r="80" spans="1:1" x14ac:dyDescent="0.25">
      <c r="A80" t="s">
        <v>1843</v>
      </c>
    </row>
    <row r="81" spans="1:2" x14ac:dyDescent="0.25">
      <c r="A81" t="s">
        <v>1844</v>
      </c>
    </row>
    <row r="82" spans="1:2" x14ac:dyDescent="0.25">
      <c r="A82" t="s">
        <v>1845</v>
      </c>
    </row>
    <row r="83" spans="1:2" x14ac:dyDescent="0.25">
      <c r="A83" t="s">
        <v>1846</v>
      </c>
    </row>
    <row r="84" spans="1:2" x14ac:dyDescent="0.25">
      <c r="A84" t="s">
        <v>1847</v>
      </c>
    </row>
    <row r="85" spans="1:2" x14ac:dyDescent="0.25">
      <c r="B85" t="s">
        <v>1848</v>
      </c>
    </row>
    <row r="86" spans="1:2" x14ac:dyDescent="0.25">
      <c r="A86" t="s">
        <v>624</v>
      </c>
    </row>
    <row r="87" spans="1:2" x14ac:dyDescent="0.25">
      <c r="B87" t="s">
        <v>1849</v>
      </c>
    </row>
    <row r="88" spans="1:2" x14ac:dyDescent="0.25">
      <c r="A88" t="s">
        <v>1850</v>
      </c>
    </row>
    <row r="89" spans="1:2" x14ac:dyDescent="0.25">
      <c r="B89" t="s">
        <v>1851</v>
      </c>
    </row>
    <row r="90" spans="1:2" x14ac:dyDescent="0.25">
      <c r="A90" t="s">
        <v>1852</v>
      </c>
    </row>
    <row r="91" spans="1:2" x14ac:dyDescent="0.25">
      <c r="B91" t="s">
        <v>1853</v>
      </c>
    </row>
    <row r="92" spans="1:2" x14ac:dyDescent="0.25">
      <c r="B92" t="s">
        <v>1854</v>
      </c>
    </row>
    <row r="93" spans="1:2" x14ac:dyDescent="0.25">
      <c r="A93" t="s">
        <v>1855</v>
      </c>
    </row>
    <row r="94" spans="1:2" x14ac:dyDescent="0.25">
      <c r="B94" t="s">
        <v>1856</v>
      </c>
    </row>
    <row r="95" spans="1:2" x14ac:dyDescent="0.25">
      <c r="A95" t="s">
        <v>1857</v>
      </c>
    </row>
    <row r="97" spans="1:2" x14ac:dyDescent="0.25">
      <c r="A97" t="e">
        <f>-- get all affiliations which should have been sent as Updates</f>
        <v>#NAME?</v>
      </c>
    </row>
    <row r="98" spans="1:2" x14ac:dyDescent="0.25">
      <c r="A98" t="s">
        <v>1858</v>
      </c>
    </row>
    <row r="99" spans="1:2" x14ac:dyDescent="0.25">
      <c r="A99" t="s">
        <v>572</v>
      </c>
    </row>
    <row r="100" spans="1:2" x14ac:dyDescent="0.25">
      <c r="A100" t="s">
        <v>584</v>
      </c>
    </row>
    <row r="101" spans="1:2" x14ac:dyDescent="0.25">
      <c r="A101" t="s">
        <v>588</v>
      </c>
    </row>
    <row r="102" spans="1:2" x14ac:dyDescent="0.25">
      <c r="A102" t="s">
        <v>1859</v>
      </c>
    </row>
    <row r="103" spans="1:2" x14ac:dyDescent="0.25">
      <c r="A103" t="s">
        <v>895</v>
      </c>
    </row>
    <row r="104" spans="1:2" x14ac:dyDescent="0.25">
      <c r="A104" t="s">
        <v>1860</v>
      </c>
    </row>
    <row r="105" spans="1:2" x14ac:dyDescent="0.25">
      <c r="A105" t="s">
        <v>593</v>
      </c>
    </row>
    <row r="106" spans="1:2" x14ac:dyDescent="0.25">
      <c r="A106" t="s">
        <v>1861</v>
      </c>
    </row>
    <row r="107" spans="1:2" x14ac:dyDescent="0.25">
      <c r="B107" t="s">
        <v>597</v>
      </c>
    </row>
    <row r="108" spans="1:2" x14ac:dyDescent="0.25">
      <c r="A108" t="s">
        <v>594</v>
      </c>
    </row>
    <row r="109" spans="1:2" x14ac:dyDescent="0.25">
      <c r="B109" t="s">
        <v>595</v>
      </c>
    </row>
    <row r="110" spans="1:2" x14ac:dyDescent="0.25">
      <c r="A110" t="s">
        <v>624</v>
      </c>
    </row>
    <row r="111" spans="1:2" x14ac:dyDescent="0.25">
      <c r="B111" t="s">
        <v>1102</v>
      </c>
    </row>
    <row r="112" spans="1:2" x14ac:dyDescent="0.25">
      <c r="A112" t="s">
        <v>696</v>
      </c>
    </row>
    <row r="113" spans="1:2" x14ac:dyDescent="0.25">
      <c r="A113" t="s">
        <v>697</v>
      </c>
    </row>
    <row r="114" spans="1:2" x14ac:dyDescent="0.25">
      <c r="B114" t="s">
        <v>572</v>
      </c>
    </row>
    <row r="115" spans="1:2" x14ac:dyDescent="0.25">
      <c r="B115" t="s">
        <v>384</v>
      </c>
    </row>
    <row r="116" spans="1:2" x14ac:dyDescent="0.25">
      <c r="B116" t="s">
        <v>1862</v>
      </c>
    </row>
    <row r="117" spans="1:2" x14ac:dyDescent="0.25">
      <c r="B117" t="s">
        <v>908</v>
      </c>
    </row>
    <row r="118" spans="1:2" x14ac:dyDescent="0.25">
      <c r="B118" t="s">
        <v>671</v>
      </c>
    </row>
    <row r="119" spans="1:2" x14ac:dyDescent="0.25">
      <c r="B119" t="s">
        <v>384</v>
      </c>
    </row>
    <row r="120" spans="1:2" x14ac:dyDescent="0.25">
      <c r="A120" t="s">
        <v>1863</v>
      </c>
    </row>
    <row r="121" spans="1:2" x14ac:dyDescent="0.25">
      <c r="B121" t="s">
        <v>1864</v>
      </c>
    </row>
    <row r="122" spans="1:2" x14ac:dyDescent="0.25">
      <c r="A122" t="s">
        <v>941</v>
      </c>
    </row>
    <row r="123" spans="1:2" x14ac:dyDescent="0.25">
      <c r="B123" t="s">
        <v>1865</v>
      </c>
    </row>
    <row r="124" spans="1:2" x14ac:dyDescent="0.25">
      <c r="B124" t="s">
        <v>1866</v>
      </c>
    </row>
    <row r="125" spans="1:2" x14ac:dyDescent="0.25">
      <c r="B125" t="s">
        <v>1867</v>
      </c>
    </row>
    <row r="127" spans="1:2" x14ac:dyDescent="0.25">
      <c r="A127" t="s">
        <v>254</v>
      </c>
    </row>
    <row r="128" spans="1:2" x14ac:dyDescent="0.25">
      <c r="A128" t="s">
        <v>1868</v>
      </c>
    </row>
    <row r="129" spans="1:2" x14ac:dyDescent="0.25">
      <c r="A129" t="s">
        <v>1869</v>
      </c>
    </row>
    <row r="130" spans="1:2" x14ac:dyDescent="0.25">
      <c r="A130" t="s">
        <v>1870</v>
      </c>
    </row>
    <row r="131" spans="1:2" x14ac:dyDescent="0.25">
      <c r="A131" t="s">
        <v>1871</v>
      </c>
    </row>
    <row r="132" spans="1:2" x14ac:dyDescent="0.25">
      <c r="A132" t="s">
        <v>1872</v>
      </c>
    </row>
    <row r="133" spans="1:2" x14ac:dyDescent="0.25">
      <c r="A133" t="s">
        <v>1873</v>
      </c>
    </row>
    <row r="135" spans="1:2" x14ac:dyDescent="0.25">
      <c r="A135" t="s">
        <v>1874</v>
      </c>
    </row>
    <row r="136" spans="1:2" x14ac:dyDescent="0.25">
      <c r="A136" t="s">
        <v>1810</v>
      </c>
    </row>
    <row r="137" spans="1:2" x14ac:dyDescent="0.25">
      <c r="B137" t="s">
        <v>1875</v>
      </c>
    </row>
    <row r="139" spans="1:2" x14ac:dyDescent="0.25">
      <c r="A139" t="s">
        <v>258</v>
      </c>
    </row>
    <row r="140" spans="1:2" x14ac:dyDescent="0.25">
      <c r="A140" t="s">
        <v>572</v>
      </c>
    </row>
    <row r="141" spans="1:2" x14ac:dyDescent="0.25">
      <c r="A141" t="s">
        <v>584</v>
      </c>
    </row>
    <row r="142" spans="1:2" x14ac:dyDescent="0.25">
      <c r="A142" t="s">
        <v>588</v>
      </c>
    </row>
    <row r="143" spans="1:2" x14ac:dyDescent="0.25">
      <c r="A143" t="s">
        <v>1859</v>
      </c>
    </row>
    <row r="144" spans="1:2" x14ac:dyDescent="0.25">
      <c r="A144" t="s">
        <v>895</v>
      </c>
    </row>
    <row r="145" spans="1:2" x14ac:dyDescent="0.25">
      <c r="A145" t="s">
        <v>593</v>
      </c>
    </row>
    <row r="146" spans="1:2" x14ac:dyDescent="0.25">
      <c r="A146" t="s">
        <v>815</v>
      </c>
    </row>
    <row r="147" spans="1:2" x14ac:dyDescent="0.25">
      <c r="B147" t="s">
        <v>597</v>
      </c>
    </row>
    <row r="148" spans="1:2" x14ac:dyDescent="0.25">
      <c r="A148" t="s">
        <v>624</v>
      </c>
    </row>
    <row r="149" spans="1:2" x14ac:dyDescent="0.25">
      <c r="B149" t="s">
        <v>1102</v>
      </c>
    </row>
    <row r="150" spans="1:2" x14ac:dyDescent="0.25">
      <c r="A150" t="s">
        <v>696</v>
      </c>
    </row>
    <row r="151" spans="1:2" x14ac:dyDescent="0.25">
      <c r="A151" t="s">
        <v>697</v>
      </c>
    </row>
    <row r="152" spans="1:2" x14ac:dyDescent="0.25">
      <c r="B152" t="s">
        <v>572</v>
      </c>
    </row>
    <row r="153" spans="1:2" x14ac:dyDescent="0.25">
      <c r="B153" t="s">
        <v>384</v>
      </c>
    </row>
    <row r="154" spans="1:2" x14ac:dyDescent="0.25">
      <c r="B154" t="s">
        <v>1862</v>
      </c>
    </row>
    <row r="155" spans="1:2" x14ac:dyDescent="0.25">
      <c r="B155" t="s">
        <v>908</v>
      </c>
    </row>
    <row r="156" spans="1:2" x14ac:dyDescent="0.25">
      <c r="B156" t="s">
        <v>671</v>
      </c>
    </row>
    <row r="157" spans="1:2" x14ac:dyDescent="0.25">
      <c r="B157" t="s">
        <v>384</v>
      </c>
    </row>
    <row r="158" spans="1:2" x14ac:dyDescent="0.25">
      <c r="A158" t="s">
        <v>1863</v>
      </c>
    </row>
    <row r="159" spans="1:2" x14ac:dyDescent="0.25">
      <c r="B159" t="s">
        <v>1864</v>
      </c>
    </row>
    <row r="160" spans="1:2" x14ac:dyDescent="0.25">
      <c r="A160" t="s">
        <v>1876</v>
      </c>
    </row>
    <row r="161" spans="1:2" x14ac:dyDescent="0.25">
      <c r="A161" t="s">
        <v>1877</v>
      </c>
    </row>
    <row r="163" spans="1:2" x14ac:dyDescent="0.25">
      <c r="A163" t="e">
        <f>-- all affiliations which were sent as Updates</f>
        <v>#NAME?</v>
      </c>
    </row>
    <row r="164" spans="1:2" x14ac:dyDescent="0.25">
      <c r="A164" t="s">
        <v>247</v>
      </c>
      <c r="B164" t="s">
        <v>1878</v>
      </c>
    </row>
    <row r="165" spans="1:2" x14ac:dyDescent="0.25">
      <c r="A165" t="s">
        <v>1879</v>
      </c>
    </row>
    <row r="166" spans="1:2" x14ac:dyDescent="0.25">
      <c r="A166" t="s">
        <v>572</v>
      </c>
    </row>
    <row r="167" spans="1:2" x14ac:dyDescent="0.25">
      <c r="A167" t="s">
        <v>1880</v>
      </c>
    </row>
    <row r="168" spans="1:2" x14ac:dyDescent="0.25">
      <c r="A168" t="s">
        <v>1881</v>
      </c>
    </row>
    <row r="169" spans="1:2" x14ac:dyDescent="0.25">
      <c r="A169" t="s">
        <v>1882</v>
      </c>
    </row>
    <row r="170" spans="1:2" x14ac:dyDescent="0.25">
      <c r="A170" t="s">
        <v>1883</v>
      </c>
    </row>
    <row r="171" spans="1:2" x14ac:dyDescent="0.25">
      <c r="A171" t="s">
        <v>1884</v>
      </c>
    </row>
    <row r="172" spans="1:2" x14ac:dyDescent="0.25">
      <c r="A172" t="s">
        <v>1885</v>
      </c>
    </row>
    <row r="173" spans="1:2" x14ac:dyDescent="0.25">
      <c r="A173" t="s">
        <v>1886</v>
      </c>
    </row>
    <row r="174" spans="1:2" x14ac:dyDescent="0.25">
      <c r="B174" t="s">
        <v>1887</v>
      </c>
    </row>
    <row r="175" spans="1:2" x14ac:dyDescent="0.25">
      <c r="B175" t="s">
        <v>1888</v>
      </c>
    </row>
    <row r="176" spans="1:2" x14ac:dyDescent="0.25">
      <c r="A176" t="s">
        <v>624</v>
      </c>
    </row>
    <row r="177" spans="1:2" x14ac:dyDescent="0.25">
      <c r="B177" t="s">
        <v>1889</v>
      </c>
    </row>
    <row r="178" spans="1:2" x14ac:dyDescent="0.25">
      <c r="A178" t="s">
        <v>1890</v>
      </c>
    </row>
    <row r="179" spans="1:2" x14ac:dyDescent="0.25">
      <c r="B179" t="s">
        <v>1891</v>
      </c>
    </row>
    <row r="180" spans="1:2" x14ac:dyDescent="0.25">
      <c r="A180" t="s">
        <v>672</v>
      </c>
    </row>
    <row r="181" spans="1:2" x14ac:dyDescent="0.25">
      <c r="A181" t="s">
        <v>1880</v>
      </c>
    </row>
    <row r="182" spans="1:2" x14ac:dyDescent="0.25">
      <c r="A182" t="s">
        <v>1882</v>
      </c>
    </row>
    <row r="183" spans="1:2" x14ac:dyDescent="0.25">
      <c r="A183" t="s">
        <v>254</v>
      </c>
    </row>
    <row r="184" spans="1:2" x14ac:dyDescent="0.25">
      <c r="A184" t="s">
        <v>1892</v>
      </c>
    </row>
    <row r="185" spans="1:2" x14ac:dyDescent="0.25">
      <c r="A185" t="s">
        <v>1893</v>
      </c>
    </row>
    <row r="186" spans="1:2" x14ac:dyDescent="0.25">
      <c r="A186" t="s">
        <v>258</v>
      </c>
    </row>
    <row r="188" spans="1:2" x14ac:dyDescent="0.25">
      <c r="A188" t="s">
        <v>538</v>
      </c>
    </row>
    <row r="189" spans="1:2" x14ac:dyDescent="0.25">
      <c r="A189" t="s">
        <v>1894</v>
      </c>
    </row>
    <row r="190" spans="1:2" x14ac:dyDescent="0.25">
      <c r="A190" t="s">
        <v>1895</v>
      </c>
    </row>
    <row r="191" spans="1:2" x14ac:dyDescent="0.25">
      <c r="A191" t="s">
        <v>1896</v>
      </c>
    </row>
    <row r="192" spans="1:2" x14ac:dyDescent="0.25">
      <c r="A192" t="s">
        <v>1897</v>
      </c>
    </row>
    <row r="193" spans="1:2" x14ac:dyDescent="0.25">
      <c r="A193" t="s">
        <v>1898</v>
      </c>
    </row>
    <row r="194" spans="1:2" x14ac:dyDescent="0.25">
      <c r="A194" t="s">
        <v>1899</v>
      </c>
    </row>
    <row r="195" spans="1:2" x14ac:dyDescent="0.25">
      <c r="A195" t="s">
        <v>1900</v>
      </c>
    </row>
    <row r="196" spans="1:2" x14ac:dyDescent="0.25">
      <c r="A196" t="s">
        <v>1901</v>
      </c>
    </row>
    <row r="197" spans="1:2" x14ac:dyDescent="0.25">
      <c r="A197" t="s">
        <v>1902</v>
      </c>
    </row>
    <row r="198" spans="1:2" x14ac:dyDescent="0.25">
      <c r="A198" t="s">
        <v>1350</v>
      </c>
    </row>
    <row r="199" spans="1:2" x14ac:dyDescent="0.25">
      <c r="A199" t="s">
        <v>1903</v>
      </c>
    </row>
    <row r="200" spans="1:2" x14ac:dyDescent="0.25">
      <c r="B200" t="s">
        <v>1904</v>
      </c>
    </row>
    <row r="201" spans="1:2" x14ac:dyDescent="0.25">
      <c r="B201" t="s">
        <v>1905</v>
      </c>
    </row>
    <row r="202" spans="1:2" x14ac:dyDescent="0.25">
      <c r="A202" t="s">
        <v>634</v>
      </c>
    </row>
    <row r="203" spans="1:2" x14ac:dyDescent="0.25">
      <c r="A203" t="s">
        <v>1906</v>
      </c>
    </row>
    <row r="204" spans="1:2" x14ac:dyDescent="0.25">
      <c r="A204" t="s">
        <v>1895</v>
      </c>
    </row>
    <row r="205" spans="1:2" x14ac:dyDescent="0.25">
      <c r="A205" t="s">
        <v>1898</v>
      </c>
    </row>
    <row r="208" spans="1:2" x14ac:dyDescent="0.25">
      <c r="A208" t="s">
        <v>538</v>
      </c>
    </row>
    <row r="209" spans="1:1" x14ac:dyDescent="0.25">
      <c r="A209" t="s">
        <v>1894</v>
      </c>
    </row>
    <row r="210" spans="1:1" x14ac:dyDescent="0.25">
      <c r="A210" t="s">
        <v>1895</v>
      </c>
    </row>
    <row r="211" spans="1:1" x14ac:dyDescent="0.25">
      <c r="A211" t="s">
        <v>1896</v>
      </c>
    </row>
    <row r="212" spans="1:1" x14ac:dyDescent="0.25">
      <c r="A212" t="s">
        <v>1897</v>
      </c>
    </row>
    <row r="213" spans="1:1" x14ac:dyDescent="0.25">
      <c r="A213" t="s">
        <v>1898</v>
      </c>
    </row>
    <row r="214" spans="1:1" x14ac:dyDescent="0.25">
      <c r="A214" t="s">
        <v>1899</v>
      </c>
    </row>
    <row r="215" spans="1:1" x14ac:dyDescent="0.25">
      <c r="A215" t="s">
        <v>1900</v>
      </c>
    </row>
    <row r="216" spans="1:1" x14ac:dyDescent="0.25">
      <c r="A216" t="s">
        <v>1901</v>
      </c>
    </row>
    <row r="217" spans="1:1" x14ac:dyDescent="0.25">
      <c r="A217" t="s">
        <v>1902</v>
      </c>
    </row>
    <row r="218" spans="1:1" x14ac:dyDescent="0.25">
      <c r="A218" t="s">
        <v>1350</v>
      </c>
    </row>
    <row r="219" spans="1:1" x14ac:dyDescent="0.25">
      <c r="A219" t="s">
        <v>1907</v>
      </c>
    </row>
    <row r="220" spans="1:1" x14ac:dyDescent="0.25">
      <c r="A220" t="s">
        <v>634</v>
      </c>
    </row>
    <row r="221" spans="1:1" x14ac:dyDescent="0.25">
      <c r="A221" t="s">
        <v>1906</v>
      </c>
    </row>
    <row r="222" spans="1:1" x14ac:dyDescent="0.25">
      <c r="A222" t="s">
        <v>1895</v>
      </c>
    </row>
    <row r="223" spans="1:1" x14ac:dyDescent="0.25">
      <c r="A223" t="s">
        <v>1898</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election activeCell="B5" sqref="B5"/>
    </sheetView>
  </sheetViews>
  <sheetFormatPr defaultRowHeight="15" x14ac:dyDescent="0.25"/>
  <sheetData>
    <row r="1" spans="1:1" x14ac:dyDescent="0.25">
      <c r="A1" t="s">
        <v>1314</v>
      </c>
    </row>
    <row r="2" spans="1:1" x14ac:dyDescent="0.25">
      <c r="A2" t="s">
        <v>1315</v>
      </c>
    </row>
    <row r="3" spans="1:1" x14ac:dyDescent="0.25">
      <c r="A3" t="s">
        <v>1316</v>
      </c>
    </row>
    <row r="4" spans="1:1" x14ac:dyDescent="0.25">
      <c r="A4" t="s">
        <v>1317</v>
      </c>
    </row>
    <row r="5" spans="1:1" x14ac:dyDescent="0.25">
      <c r="A5" t="s">
        <v>1318</v>
      </c>
    </row>
    <row r="6" spans="1:1" x14ac:dyDescent="0.25">
      <c r="A6" t="s">
        <v>1319</v>
      </c>
    </row>
    <row r="7" spans="1:1" x14ac:dyDescent="0.25">
      <c r="A7" t="s">
        <v>1320</v>
      </c>
    </row>
    <row r="9" spans="1:1" x14ac:dyDescent="0.25">
      <c r="A9" t="s">
        <v>1321</v>
      </c>
    </row>
    <row r="10" spans="1:1" x14ac:dyDescent="0.25">
      <c r="A10" t="s">
        <v>538</v>
      </c>
    </row>
    <row r="11" spans="1:1" x14ac:dyDescent="0.25">
      <c r="A11" t="s">
        <v>539</v>
      </c>
    </row>
    <row r="12" spans="1:1" x14ac:dyDescent="0.25">
      <c r="A12" t="s">
        <v>542</v>
      </c>
    </row>
    <row r="13" spans="1:1" x14ac:dyDescent="0.25">
      <c r="A13" t="s">
        <v>895</v>
      </c>
    </row>
    <row r="14" spans="1:1" x14ac:dyDescent="0.25">
      <c r="A14" t="s">
        <v>540</v>
      </c>
    </row>
    <row r="15" spans="1:1" x14ac:dyDescent="0.25">
      <c r="A15" t="s">
        <v>541</v>
      </c>
    </row>
    <row r="16" spans="1:1" x14ac:dyDescent="0.25">
      <c r="A16" t="s">
        <v>809</v>
      </c>
    </row>
    <row r="17" spans="1:2" x14ac:dyDescent="0.25">
      <c r="A17" t="s">
        <v>842</v>
      </c>
    </row>
    <row r="18" spans="1:2" x14ac:dyDescent="0.25">
      <c r="A18" t="s">
        <v>897</v>
      </c>
    </row>
    <row r="19" spans="1:2" x14ac:dyDescent="0.25">
      <c r="A19" t="s">
        <v>1322</v>
      </c>
    </row>
    <row r="20" spans="1:2" x14ac:dyDescent="0.25">
      <c r="A20" t="s">
        <v>576</v>
      </c>
    </row>
    <row r="21" spans="1:2" x14ac:dyDescent="0.25">
      <c r="A21" t="s">
        <v>962</v>
      </c>
    </row>
    <row r="22" spans="1:2" x14ac:dyDescent="0.25">
      <c r="B22" t="s">
        <v>900</v>
      </c>
    </row>
    <row r="23" spans="1:2" x14ac:dyDescent="0.25">
      <c r="A23" t="s">
        <v>1323</v>
      </c>
    </row>
    <row r="25" spans="1:2" x14ac:dyDescent="0.25">
      <c r="A25" t="s">
        <v>794</v>
      </c>
    </row>
    <row r="26" spans="1:2" x14ac:dyDescent="0.25">
      <c r="A26" t="s">
        <v>1324</v>
      </c>
    </row>
    <row r="28" spans="1:2" x14ac:dyDescent="0.25">
      <c r="A28" t="s">
        <v>244</v>
      </c>
    </row>
    <row r="29" spans="1:2" x14ac:dyDescent="0.25">
      <c r="A29" t="s">
        <v>578</v>
      </c>
    </row>
    <row r="30" spans="1:2" x14ac:dyDescent="0.25">
      <c r="A30" t="s">
        <v>1325</v>
      </c>
    </row>
    <row r="32" spans="1:2" x14ac:dyDescent="0.25">
      <c r="A32" t="s">
        <v>244</v>
      </c>
    </row>
    <row r="33" spans="1:2" x14ac:dyDescent="0.25">
      <c r="A33" t="s">
        <v>643</v>
      </c>
    </row>
    <row r="34" spans="1:2" x14ac:dyDescent="0.25">
      <c r="A34" t="s">
        <v>1326</v>
      </c>
    </row>
    <row r="37" spans="1:2" x14ac:dyDescent="0.25">
      <c r="A37" t="s">
        <v>572</v>
      </c>
    </row>
    <row r="38" spans="1:2" x14ac:dyDescent="0.25">
      <c r="A38" t="s">
        <v>646</v>
      </c>
    </row>
    <row r="39" spans="1:2" x14ac:dyDescent="0.25">
      <c r="A39" t="s">
        <v>1327</v>
      </c>
    </row>
    <row r="40" spans="1:2" x14ac:dyDescent="0.25">
      <c r="A40" t="s">
        <v>1328</v>
      </c>
    </row>
    <row r="42" spans="1:2" x14ac:dyDescent="0.25">
      <c r="A42" t="s">
        <v>538</v>
      </c>
    </row>
    <row r="43" spans="1:2" x14ac:dyDescent="0.25">
      <c r="A43" t="s">
        <v>646</v>
      </c>
    </row>
    <row r="44" spans="1:2" x14ac:dyDescent="0.25">
      <c r="A44" t="s">
        <v>611</v>
      </c>
    </row>
    <row r="45" spans="1:2" x14ac:dyDescent="0.25">
      <c r="A45" t="s">
        <v>1329</v>
      </c>
    </row>
    <row r="46" spans="1:2" x14ac:dyDescent="0.25">
      <c r="A46" t="s">
        <v>697</v>
      </c>
    </row>
    <row r="47" spans="1:2" x14ac:dyDescent="0.25">
      <c r="B47" t="s">
        <v>572</v>
      </c>
    </row>
    <row r="48" spans="1:2" x14ac:dyDescent="0.25">
      <c r="B48" t="s">
        <v>39</v>
      </c>
    </row>
    <row r="49" spans="1:3" x14ac:dyDescent="0.25">
      <c r="B49" t="s">
        <v>480</v>
      </c>
    </row>
    <row r="50" spans="1:3" x14ac:dyDescent="0.25">
      <c r="B50" t="s">
        <v>1330</v>
      </c>
    </row>
    <row r="51" spans="1:3" x14ac:dyDescent="0.25">
      <c r="C51" t="s">
        <v>1331</v>
      </c>
    </row>
    <row r="52" spans="1:3" x14ac:dyDescent="0.25">
      <c r="A52" t="s">
        <v>698</v>
      </c>
    </row>
    <row r="53" spans="1:3" x14ac:dyDescent="0.25">
      <c r="A53" t="s">
        <v>1332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9"/>
  <sheetViews>
    <sheetView workbookViewId="0"/>
  </sheetViews>
  <sheetFormatPr defaultRowHeight="15" x14ac:dyDescent="0.25"/>
  <sheetData>
    <row r="1" spans="1:2" x14ac:dyDescent="0.25">
      <c r="A1" t="s">
        <v>244</v>
      </c>
    </row>
    <row r="2" spans="1:2" x14ac:dyDescent="0.25">
      <c r="A2" t="s">
        <v>611</v>
      </c>
    </row>
    <row r="3" spans="1:2" x14ac:dyDescent="0.25">
      <c r="A3" t="s">
        <v>1333</v>
      </c>
      <c r="B3" t="s">
        <v>1334</v>
      </c>
    </row>
    <row r="5" spans="1:2" x14ac:dyDescent="0.25">
      <c r="A5" t="s">
        <v>538</v>
      </c>
    </row>
    <row r="6" spans="1:2" x14ac:dyDescent="0.25">
      <c r="A6" t="s">
        <v>646</v>
      </c>
    </row>
    <row r="7" spans="1:2" x14ac:dyDescent="0.25">
      <c r="A7" t="s">
        <v>734</v>
      </c>
    </row>
    <row r="8" spans="1:2" x14ac:dyDescent="0.25">
      <c r="A8" t="s">
        <v>1335</v>
      </c>
    </row>
    <row r="10" spans="1:2" x14ac:dyDescent="0.25">
      <c r="A10" t="e">
        <f>-- groups associated with open transactions</f>
        <v>#NAME?</v>
      </c>
    </row>
    <row r="11" spans="1:2" x14ac:dyDescent="0.25">
      <c r="A11" t="s">
        <v>572</v>
      </c>
    </row>
    <row r="12" spans="1:2" x14ac:dyDescent="0.25">
      <c r="A12" t="s">
        <v>573</v>
      </c>
    </row>
    <row r="13" spans="1:2" x14ac:dyDescent="0.25">
      <c r="A13" t="s">
        <v>533</v>
      </c>
    </row>
    <row r="14" spans="1:2" x14ac:dyDescent="0.25">
      <c r="A14" t="s">
        <v>1336</v>
      </c>
    </row>
    <row r="16" spans="1:2" x14ac:dyDescent="0.25">
      <c r="A16" t="e">
        <f>-- mmis staging records</f>
        <v>#NAME?</v>
      </c>
    </row>
    <row r="17" spans="1:3" x14ac:dyDescent="0.25">
      <c r="A17" t="s">
        <v>538</v>
      </c>
    </row>
    <row r="18" spans="1:3" x14ac:dyDescent="0.25">
      <c r="A18" t="s">
        <v>646</v>
      </c>
    </row>
    <row r="19" spans="1:3" x14ac:dyDescent="0.25">
      <c r="A19" t="s">
        <v>852</v>
      </c>
    </row>
    <row r="20" spans="1:3" x14ac:dyDescent="0.25">
      <c r="A20" t="s">
        <v>1337</v>
      </c>
    </row>
    <row r="21" spans="1:3" x14ac:dyDescent="0.25">
      <c r="B21" t="s">
        <v>1338</v>
      </c>
    </row>
    <row r="23" spans="1:3" x14ac:dyDescent="0.25">
      <c r="A23" t="s">
        <v>254</v>
      </c>
    </row>
    <row r="24" spans="1:3" x14ac:dyDescent="0.25">
      <c r="A24" t="s">
        <v>1339</v>
      </c>
    </row>
    <row r="25" spans="1:3" x14ac:dyDescent="0.25">
      <c r="A25" t="s">
        <v>1340</v>
      </c>
    </row>
    <row r="26" spans="1:3" x14ac:dyDescent="0.25">
      <c r="A26" t="s">
        <v>1341</v>
      </c>
    </row>
    <row r="27" spans="1:3" x14ac:dyDescent="0.25">
      <c r="A27" t="s">
        <v>1342</v>
      </c>
      <c r="C27" t="s">
        <v>1343</v>
      </c>
    </row>
    <row r="28" spans="1:3" x14ac:dyDescent="0.25">
      <c r="A28" t="s">
        <v>258</v>
      </c>
    </row>
    <row r="29" spans="1:3" x14ac:dyDescent="0.25">
      <c r="A29" t="s">
        <v>1344</v>
      </c>
    </row>
    <row r="30" spans="1:3" x14ac:dyDescent="0.25">
      <c r="A30" t="e">
        <f>-- all affiliations which have no open vw_MMISStagingAffiliationDetail.MMIS_STATUS_TYPE_ID</f>
        <v>#NAME?</v>
      </c>
    </row>
    <row r="31" spans="1:3" x14ac:dyDescent="0.25">
      <c r="A31" t="s">
        <v>247</v>
      </c>
      <c r="B31" t="s">
        <v>1345</v>
      </c>
    </row>
    <row r="32" spans="1:3" x14ac:dyDescent="0.25">
      <c r="A32" t="s">
        <v>1346</v>
      </c>
    </row>
    <row r="33" spans="1:2" x14ac:dyDescent="0.25">
      <c r="A33" t="s">
        <v>572</v>
      </c>
    </row>
    <row r="34" spans="1:2" x14ac:dyDescent="0.25">
      <c r="A34" t="s">
        <v>1347</v>
      </c>
    </row>
    <row r="35" spans="1:2" x14ac:dyDescent="0.25">
      <c r="A35" t="s">
        <v>842</v>
      </c>
    </row>
    <row r="36" spans="1:2" x14ac:dyDescent="0.25">
      <c r="A36" t="s">
        <v>1348</v>
      </c>
    </row>
    <row r="37" spans="1:2" x14ac:dyDescent="0.25">
      <c r="A37" t="s">
        <v>1349</v>
      </c>
    </row>
    <row r="38" spans="1:2" x14ac:dyDescent="0.25">
      <c r="A38" t="s">
        <v>1350</v>
      </c>
    </row>
    <row r="39" spans="1:2" x14ac:dyDescent="0.25">
      <c r="A39" t="s">
        <v>619</v>
      </c>
    </row>
    <row r="40" spans="1:2" x14ac:dyDescent="0.25">
      <c r="B40" t="s">
        <v>1351</v>
      </c>
    </row>
    <row r="41" spans="1:2" x14ac:dyDescent="0.25">
      <c r="A41" t="s">
        <v>1352</v>
      </c>
    </row>
    <row r="42" spans="1:2" x14ac:dyDescent="0.25">
      <c r="B42" t="s">
        <v>1353</v>
      </c>
    </row>
    <row r="44" spans="1:2" x14ac:dyDescent="0.25">
      <c r="A44" t="s">
        <v>1354</v>
      </c>
    </row>
    <row r="45" spans="1:2" x14ac:dyDescent="0.25">
      <c r="A45" t="s">
        <v>572</v>
      </c>
    </row>
    <row r="46" spans="1:2" x14ac:dyDescent="0.25">
      <c r="A46" t="s">
        <v>1355</v>
      </c>
    </row>
    <row r="47" spans="1:2" x14ac:dyDescent="0.25">
      <c r="A47" t="s">
        <v>1356</v>
      </c>
    </row>
    <row r="48" spans="1:2" x14ac:dyDescent="0.25">
      <c r="A48" t="s">
        <v>604</v>
      </c>
    </row>
    <row r="49" spans="1:2" x14ac:dyDescent="0.25">
      <c r="A49" t="s">
        <v>1357</v>
      </c>
    </row>
    <row r="50" spans="1:2" x14ac:dyDescent="0.25">
      <c r="B50" t="s">
        <v>1358</v>
      </c>
    </row>
    <row r="51" spans="1:2" x14ac:dyDescent="0.25">
      <c r="B51" t="s">
        <v>1359</v>
      </c>
    </row>
    <row r="52" spans="1:2" x14ac:dyDescent="0.25">
      <c r="A52" t="s">
        <v>1360</v>
      </c>
    </row>
    <row r="53" spans="1:2" x14ac:dyDescent="0.25">
      <c r="B53" t="s">
        <v>1361</v>
      </c>
    </row>
    <row r="54" spans="1:2" x14ac:dyDescent="0.25">
      <c r="B54" t="s">
        <v>1362</v>
      </c>
    </row>
    <row r="55" spans="1:2" x14ac:dyDescent="0.25">
      <c r="B55" t="s">
        <v>1363</v>
      </c>
    </row>
    <row r="57" spans="1:2" x14ac:dyDescent="0.25">
      <c r="A57" t="s">
        <v>794</v>
      </c>
    </row>
    <row r="58" spans="1:2" x14ac:dyDescent="0.25">
      <c r="A58" t="s">
        <v>1364</v>
      </c>
    </row>
    <row r="59" spans="1:2" x14ac:dyDescent="0.25">
      <c r="A59" t="s">
        <v>1365</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
  <sheetViews>
    <sheetView workbookViewId="0">
      <selection sqref="A1:B80"/>
    </sheetView>
  </sheetViews>
  <sheetFormatPr defaultRowHeight="15" x14ac:dyDescent="0.25"/>
  <sheetData>
    <row r="1" spans="1:2" x14ac:dyDescent="0.25">
      <c r="A1" t="s">
        <v>254</v>
      </c>
    </row>
    <row r="2" spans="1:2" x14ac:dyDescent="0.25">
      <c r="A2" t="s">
        <v>1908</v>
      </c>
    </row>
    <row r="3" spans="1:2" x14ac:dyDescent="0.25">
      <c r="A3" t="s">
        <v>1909</v>
      </c>
    </row>
    <row r="4" spans="1:2" x14ac:dyDescent="0.25">
      <c r="A4" t="s">
        <v>1910</v>
      </c>
    </row>
    <row r="5" spans="1:2" x14ac:dyDescent="0.25">
      <c r="A5" t="s">
        <v>258</v>
      </c>
    </row>
    <row r="7" spans="1:2" x14ac:dyDescent="0.25">
      <c r="A7" t="s">
        <v>1911</v>
      </c>
    </row>
    <row r="8" spans="1:2" x14ac:dyDescent="0.25">
      <c r="A8" t="s">
        <v>607</v>
      </c>
    </row>
    <row r="9" spans="1:2" x14ac:dyDescent="0.25">
      <c r="A9" t="s">
        <v>1912</v>
      </c>
    </row>
    <row r="10" spans="1:2" x14ac:dyDescent="0.25">
      <c r="A10" t="s">
        <v>1913</v>
      </c>
    </row>
    <row r="11" spans="1:2" x14ac:dyDescent="0.25">
      <c r="B11" t="s">
        <v>394</v>
      </c>
    </row>
    <row r="12" spans="1:2" x14ac:dyDescent="0.25">
      <c r="B12" t="s">
        <v>1914</v>
      </c>
    </row>
    <row r="13" spans="1:2" x14ac:dyDescent="0.25">
      <c r="B13" t="s">
        <v>1039</v>
      </c>
    </row>
    <row r="14" spans="1:2" x14ac:dyDescent="0.25">
      <c r="B14" t="s">
        <v>1036</v>
      </c>
    </row>
    <row r="15" spans="1:2" x14ac:dyDescent="0.25">
      <c r="B15" t="s">
        <v>1915</v>
      </c>
    </row>
    <row r="16" spans="1:2" x14ac:dyDescent="0.25">
      <c r="B16" t="s">
        <v>1916</v>
      </c>
    </row>
    <row r="17" spans="1:1" x14ac:dyDescent="0.25">
      <c r="A17" t="s">
        <v>1917</v>
      </c>
    </row>
    <row r="19" spans="1:1" x14ac:dyDescent="0.25">
      <c r="A19" t="s">
        <v>572</v>
      </c>
    </row>
    <row r="20" spans="1:1" x14ac:dyDescent="0.25">
      <c r="A20" t="s">
        <v>1918</v>
      </c>
    </row>
    <row r="21" spans="1:1" x14ac:dyDescent="0.25">
      <c r="A21" t="s">
        <v>669</v>
      </c>
    </row>
    <row r="22" spans="1:1" x14ac:dyDescent="0.25">
      <c r="A22" t="s">
        <v>1919</v>
      </c>
    </row>
    <row r="23" spans="1:1" x14ac:dyDescent="0.25">
      <c r="A23" t="s">
        <v>1920</v>
      </c>
    </row>
    <row r="24" spans="1:1" x14ac:dyDescent="0.25">
      <c r="A24" t="s">
        <v>1921</v>
      </c>
    </row>
    <row r="25" spans="1:1" x14ac:dyDescent="0.25">
      <c r="A25" t="s">
        <v>644</v>
      </c>
    </row>
    <row r="26" spans="1:1" x14ac:dyDescent="0.25">
      <c r="A26" t="s">
        <v>1918</v>
      </c>
    </row>
    <row r="27" spans="1:1" x14ac:dyDescent="0.25">
      <c r="A27" t="s">
        <v>447</v>
      </c>
    </row>
    <row r="28" spans="1:1" x14ac:dyDescent="0.25">
      <c r="A28" t="s">
        <v>634</v>
      </c>
    </row>
    <row r="29" spans="1:1" x14ac:dyDescent="0.25">
      <c r="A29" t="s">
        <v>1918</v>
      </c>
    </row>
    <row r="31" spans="1:1" x14ac:dyDescent="0.25">
      <c r="A31" t="s">
        <v>572</v>
      </c>
    </row>
    <row r="32" spans="1:1" x14ac:dyDescent="0.25">
      <c r="A32" t="s">
        <v>1922</v>
      </c>
    </row>
    <row r="33" spans="1:1" x14ac:dyDescent="0.25">
      <c r="A33" t="s">
        <v>611</v>
      </c>
    </row>
    <row r="34" spans="1:1" x14ac:dyDescent="0.25">
      <c r="A34" t="s">
        <v>1923</v>
      </c>
    </row>
    <row r="36" spans="1:1" x14ac:dyDescent="0.25">
      <c r="A36" t="s">
        <v>572</v>
      </c>
    </row>
    <row r="37" spans="1:1" x14ac:dyDescent="0.25">
      <c r="A37" t="s">
        <v>646</v>
      </c>
    </row>
    <row r="38" spans="1:1" x14ac:dyDescent="0.25">
      <c r="A38" t="s">
        <v>1327</v>
      </c>
    </row>
    <row r="39" spans="1:1" x14ac:dyDescent="0.25">
      <c r="A39" t="s">
        <v>1924</v>
      </c>
    </row>
    <row r="41" spans="1:1" x14ac:dyDescent="0.25">
      <c r="A41" t="s">
        <v>572</v>
      </c>
    </row>
    <row r="42" spans="1:1" x14ac:dyDescent="0.25">
      <c r="A42" t="s">
        <v>646</v>
      </c>
    </row>
    <row r="43" spans="1:1" x14ac:dyDescent="0.25">
      <c r="A43" t="s">
        <v>669</v>
      </c>
    </row>
    <row r="44" spans="1:1" x14ac:dyDescent="0.25">
      <c r="A44" t="s">
        <v>1925</v>
      </c>
    </row>
    <row r="46" spans="1:1" x14ac:dyDescent="0.25">
      <c r="A46" t="s">
        <v>538</v>
      </c>
    </row>
    <row r="47" spans="1:1" x14ac:dyDescent="0.25">
      <c r="A47" t="s">
        <v>646</v>
      </c>
    </row>
    <row r="48" spans="1:1" x14ac:dyDescent="0.25">
      <c r="A48" t="s">
        <v>647</v>
      </c>
    </row>
    <row r="49" spans="1:2" x14ac:dyDescent="0.25">
      <c r="A49" t="s">
        <v>624</v>
      </c>
    </row>
    <row r="50" spans="1:2" x14ac:dyDescent="0.25">
      <c r="B50" t="s">
        <v>1926</v>
      </c>
    </row>
    <row r="51" spans="1:2" x14ac:dyDescent="0.25">
      <c r="A51" t="s">
        <v>1927</v>
      </c>
    </row>
    <row r="53" spans="1:2" x14ac:dyDescent="0.25">
      <c r="A53" t="s">
        <v>572</v>
      </c>
    </row>
    <row r="54" spans="1:2" x14ac:dyDescent="0.25">
      <c r="A54" t="s">
        <v>1928</v>
      </c>
    </row>
    <row r="55" spans="1:2" x14ac:dyDescent="0.25">
      <c r="A55" t="s">
        <v>1929</v>
      </c>
    </row>
    <row r="56" spans="1:2" x14ac:dyDescent="0.25">
      <c r="A56" t="s">
        <v>1930</v>
      </c>
    </row>
    <row r="57" spans="1:2" x14ac:dyDescent="0.25">
      <c r="A57" t="s">
        <v>1931</v>
      </c>
    </row>
    <row r="58" spans="1:2" x14ac:dyDescent="0.25">
      <c r="A58" t="s">
        <v>1932</v>
      </c>
    </row>
    <row r="59" spans="1:2" x14ac:dyDescent="0.25">
      <c r="A59" t="s">
        <v>1933</v>
      </c>
    </row>
    <row r="60" spans="1:2" x14ac:dyDescent="0.25">
      <c r="A60" t="s">
        <v>1934</v>
      </c>
    </row>
    <row r="61" spans="1:2" x14ac:dyDescent="0.25">
      <c r="A61" t="s">
        <v>1935</v>
      </c>
    </row>
    <row r="62" spans="1:2" x14ac:dyDescent="0.25">
      <c r="A62" t="s">
        <v>1936</v>
      </c>
    </row>
    <row r="63" spans="1:2" x14ac:dyDescent="0.25">
      <c r="B63" t="s">
        <v>1937</v>
      </c>
    </row>
    <row r="64" spans="1:2" x14ac:dyDescent="0.25">
      <c r="A64" t="s">
        <v>1938</v>
      </c>
    </row>
    <row r="65" spans="1:2" x14ac:dyDescent="0.25">
      <c r="B65" t="s">
        <v>1939</v>
      </c>
    </row>
    <row r="66" spans="1:2" x14ac:dyDescent="0.25">
      <c r="A66" t="s">
        <v>1940</v>
      </c>
    </row>
    <row r="67" spans="1:2" x14ac:dyDescent="0.25">
      <c r="B67" t="s">
        <v>1941</v>
      </c>
    </row>
    <row r="69" spans="1:2" x14ac:dyDescent="0.25">
      <c r="A69" t="s">
        <v>538</v>
      </c>
    </row>
    <row r="70" spans="1:2" x14ac:dyDescent="0.25">
      <c r="A70" t="s">
        <v>646</v>
      </c>
    </row>
    <row r="71" spans="1:2" x14ac:dyDescent="0.25">
      <c r="A71" t="s">
        <v>1942</v>
      </c>
    </row>
    <row r="72" spans="1:2" x14ac:dyDescent="0.25">
      <c r="A72" t="s">
        <v>1943</v>
      </c>
    </row>
    <row r="73" spans="1:2" x14ac:dyDescent="0.25">
      <c r="A73" t="s">
        <v>1944</v>
      </c>
    </row>
    <row r="76" spans="1:2" x14ac:dyDescent="0.25">
      <c r="A76" t="s">
        <v>572</v>
      </c>
    </row>
    <row r="77" spans="1:2" x14ac:dyDescent="0.25">
      <c r="A77" t="s">
        <v>646</v>
      </c>
    </row>
    <row r="78" spans="1:2" x14ac:dyDescent="0.25">
      <c r="A78" t="s">
        <v>1945</v>
      </c>
    </row>
    <row r="79" spans="1:2" x14ac:dyDescent="0.25">
      <c r="A79" t="s">
        <v>1946</v>
      </c>
    </row>
    <row r="80" spans="1:2" x14ac:dyDescent="0.25">
      <c r="B80" t="s">
        <v>1947</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
  <sheetViews>
    <sheetView workbookViewId="0">
      <selection sqref="A1:B83"/>
    </sheetView>
  </sheetViews>
  <sheetFormatPr defaultRowHeight="15" x14ac:dyDescent="0.25"/>
  <sheetData>
    <row r="1" spans="1:2" x14ac:dyDescent="0.25">
      <c r="A1" t="s">
        <v>2492</v>
      </c>
    </row>
    <row r="2" spans="1:2" x14ac:dyDescent="0.25">
      <c r="A2" t="s">
        <v>2493</v>
      </c>
      <c r="B2">
        <f>-- 11823066</f>
        <v>11823066</v>
      </c>
    </row>
    <row r="3" spans="1:2" x14ac:dyDescent="0.25">
      <c r="A3" t="s">
        <v>607</v>
      </c>
    </row>
    <row r="4" spans="1:2" x14ac:dyDescent="0.25">
      <c r="A4" t="s">
        <v>1912</v>
      </c>
    </row>
    <row r="6" spans="1:2" x14ac:dyDescent="0.25">
      <c r="A6" t="s">
        <v>254</v>
      </c>
    </row>
    <row r="7" spans="1:2" x14ac:dyDescent="0.25">
      <c r="A7" t="s">
        <v>2494</v>
      </c>
      <c r="B7" t="s">
        <v>2495</v>
      </c>
    </row>
    <row r="8" spans="1:2" x14ac:dyDescent="0.25">
      <c r="A8" t="s">
        <v>2496</v>
      </c>
    </row>
    <row r="9" spans="1:2" x14ac:dyDescent="0.25">
      <c r="A9" t="s">
        <v>2497</v>
      </c>
    </row>
    <row r="10" spans="1:2" x14ac:dyDescent="0.25">
      <c r="A10" t="s">
        <v>2498</v>
      </c>
    </row>
    <row r="11" spans="1:2" x14ac:dyDescent="0.25">
      <c r="A11" t="s">
        <v>2499</v>
      </c>
    </row>
    <row r="12" spans="1:2" x14ac:dyDescent="0.25">
      <c r="A12" t="s">
        <v>258</v>
      </c>
    </row>
    <row r="14" spans="1:2" x14ac:dyDescent="0.25">
      <c r="A14" t="s">
        <v>572</v>
      </c>
    </row>
    <row r="15" spans="1:2" x14ac:dyDescent="0.25">
      <c r="A15" t="s">
        <v>1922</v>
      </c>
    </row>
    <row r="16" spans="1:2" x14ac:dyDescent="0.25">
      <c r="A16" t="s">
        <v>2500</v>
      </c>
    </row>
    <row r="17" spans="1:2" x14ac:dyDescent="0.25">
      <c r="A17" t="s">
        <v>2501</v>
      </c>
    </row>
    <row r="18" spans="1:2" x14ac:dyDescent="0.25">
      <c r="B18" t="s">
        <v>2502</v>
      </c>
    </row>
    <row r="20" spans="1:2" x14ac:dyDescent="0.25">
      <c r="A20" t="s">
        <v>2503</v>
      </c>
    </row>
    <row r="22" spans="1:2" x14ac:dyDescent="0.25">
      <c r="A22" t="s">
        <v>2504</v>
      </c>
    </row>
    <row r="23" spans="1:2" x14ac:dyDescent="0.25">
      <c r="A23" t="s">
        <v>2505</v>
      </c>
    </row>
    <row r="24" spans="1:2" x14ac:dyDescent="0.25">
      <c r="A24" t="s">
        <v>2506</v>
      </c>
    </row>
    <row r="25" spans="1:2" x14ac:dyDescent="0.25">
      <c r="A25" t="s">
        <v>2501</v>
      </c>
    </row>
    <row r="27" spans="1:2" x14ac:dyDescent="0.25">
      <c r="A27" t="s">
        <v>2507</v>
      </c>
    </row>
    <row r="28" spans="1:2" x14ac:dyDescent="0.25">
      <c r="A28" t="s">
        <v>2508</v>
      </c>
    </row>
    <row r="30" spans="1:2" x14ac:dyDescent="0.25">
      <c r="A30" t="s">
        <v>2509</v>
      </c>
    </row>
    <row r="31" spans="1:2" x14ac:dyDescent="0.25">
      <c r="A31" t="e">
        <f>-- SELECT * FROM  CAQHUpdate.UPRACTICE</f>
        <v>#NAME?</v>
      </c>
    </row>
    <row r="33" spans="1:2" x14ac:dyDescent="0.25">
      <c r="A33" t="s">
        <v>572</v>
      </c>
    </row>
    <row r="34" spans="1:2" x14ac:dyDescent="0.25">
      <c r="A34" t="s">
        <v>1922</v>
      </c>
    </row>
    <row r="35" spans="1:2" x14ac:dyDescent="0.25">
      <c r="A35" t="s">
        <v>2500</v>
      </c>
    </row>
    <row r="36" spans="1:2" x14ac:dyDescent="0.25">
      <c r="A36" t="s">
        <v>2501</v>
      </c>
    </row>
    <row r="37" spans="1:2" x14ac:dyDescent="0.25">
      <c r="B37" t="s">
        <v>2502</v>
      </c>
    </row>
    <row r="39" spans="1:2" x14ac:dyDescent="0.25">
      <c r="A39" t="s">
        <v>254</v>
      </c>
    </row>
    <row r="40" spans="1:2" x14ac:dyDescent="0.25">
      <c r="A40" t="s">
        <v>2510</v>
      </c>
    </row>
    <row r="43" spans="1:2" x14ac:dyDescent="0.25">
      <c r="A43" t="s">
        <v>572</v>
      </c>
    </row>
    <row r="44" spans="1:2" x14ac:dyDescent="0.25">
      <c r="A44" t="s">
        <v>384</v>
      </c>
    </row>
    <row r="45" spans="1:2" x14ac:dyDescent="0.25">
      <c r="A45" t="s">
        <v>2511</v>
      </c>
    </row>
    <row r="46" spans="1:2" x14ac:dyDescent="0.25">
      <c r="A46" t="s">
        <v>2088</v>
      </c>
    </row>
    <row r="47" spans="1:2" x14ac:dyDescent="0.25">
      <c r="A47" t="s">
        <v>697</v>
      </c>
    </row>
    <row r="48" spans="1:2" x14ac:dyDescent="0.25">
      <c r="A48" t="s">
        <v>538</v>
      </c>
    </row>
    <row r="49" spans="1:2" x14ac:dyDescent="0.25">
      <c r="A49" t="s">
        <v>2512</v>
      </c>
    </row>
    <row r="50" spans="1:2" x14ac:dyDescent="0.25">
      <c r="A50" t="s">
        <v>2513</v>
      </c>
    </row>
    <row r="51" spans="1:2" x14ac:dyDescent="0.25">
      <c r="A51" t="s">
        <v>2514</v>
      </c>
    </row>
    <row r="52" spans="1:2" x14ac:dyDescent="0.25">
      <c r="A52" t="s">
        <v>2515</v>
      </c>
    </row>
    <row r="53" spans="1:2" x14ac:dyDescent="0.25">
      <c r="A53" t="s">
        <v>1569</v>
      </c>
    </row>
    <row r="54" spans="1:2" x14ac:dyDescent="0.25">
      <c r="A54" t="s">
        <v>559</v>
      </c>
    </row>
    <row r="55" spans="1:2" x14ac:dyDescent="0.25">
      <c r="A55" t="s">
        <v>2516</v>
      </c>
    </row>
    <row r="56" spans="1:2" x14ac:dyDescent="0.25">
      <c r="B56" t="s">
        <v>2517</v>
      </c>
    </row>
    <row r="57" spans="1:2" x14ac:dyDescent="0.25">
      <c r="A57" t="s">
        <v>1548</v>
      </c>
    </row>
    <row r="58" spans="1:2" x14ac:dyDescent="0.25">
      <c r="A58" t="s">
        <v>2518</v>
      </c>
    </row>
    <row r="59" spans="1:2" x14ac:dyDescent="0.25">
      <c r="A59" t="s">
        <v>644</v>
      </c>
    </row>
    <row r="60" spans="1:2" x14ac:dyDescent="0.25">
      <c r="A60" t="s">
        <v>2512</v>
      </c>
    </row>
    <row r="61" spans="1:2" x14ac:dyDescent="0.25">
      <c r="A61" t="s">
        <v>2513</v>
      </c>
    </row>
    <row r="62" spans="1:2" x14ac:dyDescent="0.25">
      <c r="A62" t="s">
        <v>2514</v>
      </c>
    </row>
    <row r="63" spans="1:2" x14ac:dyDescent="0.25">
      <c r="A63" t="s">
        <v>2515</v>
      </c>
    </row>
    <row r="64" spans="1:2" x14ac:dyDescent="0.25">
      <c r="A64" t="s">
        <v>447</v>
      </c>
    </row>
    <row r="65" spans="1:1" x14ac:dyDescent="0.25">
      <c r="A65" t="s">
        <v>2519</v>
      </c>
    </row>
    <row r="66" spans="1:1" x14ac:dyDescent="0.25">
      <c r="A66" t="s">
        <v>671</v>
      </c>
    </row>
    <row r="67" spans="1:1" x14ac:dyDescent="0.25">
      <c r="A67" t="s">
        <v>384</v>
      </c>
    </row>
    <row r="68" spans="1:1" x14ac:dyDescent="0.25">
      <c r="A68" t="s">
        <v>2511</v>
      </c>
    </row>
    <row r="70" spans="1:1" x14ac:dyDescent="0.25">
      <c r="A70" t="s">
        <v>645</v>
      </c>
    </row>
    <row r="71" spans="1:1" x14ac:dyDescent="0.25">
      <c r="A71" t="s">
        <v>646</v>
      </c>
    </row>
    <row r="72" spans="1:1" x14ac:dyDescent="0.25">
      <c r="A72" t="s">
        <v>245</v>
      </c>
    </row>
    <row r="73" spans="1:1" x14ac:dyDescent="0.25">
      <c r="A73" t="s">
        <v>2520</v>
      </c>
    </row>
    <row r="74" spans="1:1" x14ac:dyDescent="0.25">
      <c r="A74" t="s">
        <v>251</v>
      </c>
    </row>
    <row r="76" spans="1:1" x14ac:dyDescent="0.25">
      <c r="A76" t="s">
        <v>572</v>
      </c>
    </row>
    <row r="77" spans="1:1" x14ac:dyDescent="0.25">
      <c r="A77" t="s">
        <v>646</v>
      </c>
    </row>
    <row r="78" spans="1:1" x14ac:dyDescent="0.25">
      <c r="A78" t="s">
        <v>734</v>
      </c>
    </row>
    <row r="79" spans="1:1" x14ac:dyDescent="0.25">
      <c r="A79" t="s">
        <v>2521</v>
      </c>
    </row>
    <row r="81" spans="1:1" x14ac:dyDescent="0.25">
      <c r="A81" t="s">
        <v>258</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4"/>
  <sheetViews>
    <sheetView workbookViewId="0"/>
  </sheetViews>
  <sheetFormatPr defaultRowHeight="15" x14ac:dyDescent="0.25"/>
  <sheetData>
    <row r="1" spans="1:1" x14ac:dyDescent="0.25">
      <c r="A1" t="s">
        <v>1447</v>
      </c>
    </row>
    <row r="2" spans="1:1" x14ac:dyDescent="0.25">
      <c r="A2" t="s">
        <v>1448</v>
      </c>
    </row>
    <row r="3" spans="1:1" x14ac:dyDescent="0.25">
      <c r="A3" t="s">
        <v>258</v>
      </c>
    </row>
    <row r="4" spans="1:1" x14ac:dyDescent="0.25">
      <c r="A4" t="s">
        <v>1449</v>
      </c>
    </row>
    <row r="5" spans="1:1" x14ac:dyDescent="0.25">
      <c r="A5" t="s">
        <v>572</v>
      </c>
    </row>
    <row r="6" spans="1:1" x14ac:dyDescent="0.25">
      <c r="A6" t="s">
        <v>539</v>
      </c>
    </row>
    <row r="7" spans="1:1" x14ac:dyDescent="0.25">
      <c r="A7" t="s">
        <v>540</v>
      </c>
    </row>
    <row r="8" spans="1:1" x14ac:dyDescent="0.25">
      <c r="A8" t="s">
        <v>541</v>
      </c>
    </row>
    <row r="9" spans="1:1" x14ac:dyDescent="0.25">
      <c r="A9" t="s">
        <v>542</v>
      </c>
    </row>
    <row r="10" spans="1:1" x14ac:dyDescent="0.25">
      <c r="A10" t="s">
        <v>895</v>
      </c>
    </row>
    <row r="11" spans="1:1" x14ac:dyDescent="0.25">
      <c r="A11" t="s">
        <v>809</v>
      </c>
    </row>
    <row r="12" spans="1:1" x14ac:dyDescent="0.25">
      <c r="A12" t="s">
        <v>1450</v>
      </c>
    </row>
    <row r="13" spans="1:1" x14ac:dyDescent="0.25">
      <c r="A13" t="s">
        <v>576</v>
      </c>
    </row>
    <row r="14" spans="1:1" x14ac:dyDescent="0.25">
      <c r="A14" t="s">
        <v>1451</v>
      </c>
    </row>
    <row r="15" spans="1:1" x14ac:dyDescent="0.25">
      <c r="A15" t="s">
        <v>1452</v>
      </c>
    </row>
    <row r="16" spans="1:1" x14ac:dyDescent="0.25">
      <c r="A16" t="s">
        <v>254</v>
      </c>
    </row>
    <row r="17" spans="1:10" x14ac:dyDescent="0.25">
      <c r="A17" t="s">
        <v>1453</v>
      </c>
      <c r="D17" t="s">
        <v>1454</v>
      </c>
      <c r="F17" t="s">
        <v>1455</v>
      </c>
      <c r="I17" t="s">
        <v>1456</v>
      </c>
      <c r="J17" t="s">
        <v>1265</v>
      </c>
    </row>
    <row r="18" spans="1:10" x14ac:dyDescent="0.25">
      <c r="A18" t="s">
        <v>1457</v>
      </c>
      <c r="D18">
        <v>11261804</v>
      </c>
      <c r="E18">
        <v>1154539021</v>
      </c>
      <c r="F18">
        <v>3685374</v>
      </c>
      <c r="I18">
        <v>126374</v>
      </c>
    </row>
    <row r="19" spans="1:10" x14ac:dyDescent="0.25">
      <c r="A19" t="s">
        <v>1458</v>
      </c>
      <c r="D19">
        <v>12681044</v>
      </c>
      <c r="E19">
        <v>1376960518</v>
      </c>
      <c r="F19">
        <v>1534034</v>
      </c>
      <c r="I19" t="s">
        <v>1459</v>
      </c>
    </row>
    <row r="20" spans="1:10" x14ac:dyDescent="0.25">
      <c r="A20" t="s">
        <v>1460</v>
      </c>
      <c r="D20">
        <v>11261797</v>
      </c>
      <c r="E20">
        <v>1346318433</v>
      </c>
      <c r="F20">
        <v>3397960</v>
      </c>
      <c r="I20" t="s">
        <v>1461</v>
      </c>
    </row>
    <row r="21" spans="1:10" x14ac:dyDescent="0.25">
      <c r="A21" t="s">
        <v>1948</v>
      </c>
      <c r="C21">
        <v>12100049</v>
      </c>
      <c r="D21">
        <v>1285895615</v>
      </c>
      <c r="E21">
        <v>1529079</v>
      </c>
      <c r="H21">
        <v>128059</v>
      </c>
    </row>
    <row r="22" spans="1:10" x14ac:dyDescent="0.25">
      <c r="A22" t="s">
        <v>258</v>
      </c>
    </row>
    <row r="23" spans="1:10" x14ac:dyDescent="0.25">
      <c r="A23" t="s">
        <v>254</v>
      </c>
    </row>
    <row r="24" spans="1:10" x14ac:dyDescent="0.25">
      <c r="A24" t="s">
        <v>1462</v>
      </c>
    </row>
    <row r="25" spans="1:10" x14ac:dyDescent="0.25">
      <c r="A25" t="s">
        <v>1463</v>
      </c>
    </row>
    <row r="26" spans="1:10" x14ac:dyDescent="0.25">
      <c r="A26" t="s">
        <v>1464</v>
      </c>
    </row>
    <row r="27" spans="1:10" x14ac:dyDescent="0.25">
      <c r="A27" t="s">
        <v>258</v>
      </c>
    </row>
    <row r="28" spans="1:10" x14ac:dyDescent="0.25">
      <c r="A28" t="s">
        <v>244</v>
      </c>
    </row>
    <row r="29" spans="1:10" x14ac:dyDescent="0.25">
      <c r="A29" t="s">
        <v>734</v>
      </c>
    </row>
    <row r="30" spans="1:10" x14ac:dyDescent="0.25">
      <c r="A30" t="s">
        <v>1949</v>
      </c>
    </row>
    <row r="32" spans="1:10" x14ac:dyDescent="0.25">
      <c r="A32" t="s">
        <v>1950</v>
      </c>
    </row>
    <row r="33" spans="1:2" x14ac:dyDescent="0.25">
      <c r="A33" t="s">
        <v>646</v>
      </c>
    </row>
    <row r="34" spans="1:2" x14ac:dyDescent="0.25">
      <c r="A34" t="s">
        <v>1350</v>
      </c>
    </row>
    <row r="35" spans="1:2" x14ac:dyDescent="0.25">
      <c r="A35" t="s">
        <v>1951</v>
      </c>
    </row>
    <row r="36" spans="1:2" x14ac:dyDescent="0.25">
      <c r="B36" t="s">
        <v>1952</v>
      </c>
    </row>
    <row r="38" spans="1:2" x14ac:dyDescent="0.25">
      <c r="A38" t="s">
        <v>572</v>
      </c>
    </row>
    <row r="39" spans="1:2" x14ac:dyDescent="0.25">
      <c r="A39" t="s">
        <v>1466</v>
      </c>
    </row>
    <row r="40" spans="1:2" x14ac:dyDescent="0.25">
      <c r="A40" t="s">
        <v>1467</v>
      </c>
    </row>
    <row r="41" spans="1:2" x14ac:dyDescent="0.25">
      <c r="A41" t="s">
        <v>1468</v>
      </c>
    </row>
    <row r="42" spans="1:2" x14ac:dyDescent="0.25">
      <c r="A42" t="s">
        <v>1371</v>
      </c>
    </row>
    <row r="43" spans="1:2" x14ac:dyDescent="0.25">
      <c r="A43" t="s">
        <v>554</v>
      </c>
    </row>
    <row r="44" spans="1:2" x14ac:dyDescent="0.25">
      <c r="A44" t="s">
        <v>1376</v>
      </c>
    </row>
    <row r="45" spans="1:2" x14ac:dyDescent="0.25">
      <c r="B45" t="s">
        <v>1469</v>
      </c>
    </row>
    <row r="46" spans="1:2" x14ac:dyDescent="0.25">
      <c r="A46" t="s">
        <v>1465</v>
      </c>
    </row>
    <row r="48" spans="1:2" x14ac:dyDescent="0.25">
      <c r="A48" t="s">
        <v>572</v>
      </c>
    </row>
    <row r="49" spans="1:2" x14ac:dyDescent="0.25">
      <c r="A49" t="s">
        <v>646</v>
      </c>
    </row>
    <row r="50" spans="1:2" x14ac:dyDescent="0.25">
      <c r="A50" t="s">
        <v>647</v>
      </c>
    </row>
    <row r="51" spans="1:2" x14ac:dyDescent="0.25">
      <c r="A51" t="s">
        <v>1470</v>
      </c>
    </row>
    <row r="52" spans="1:2" x14ac:dyDescent="0.25">
      <c r="B52" t="s">
        <v>712</v>
      </c>
    </row>
    <row r="53" spans="1:2" x14ac:dyDescent="0.25">
      <c r="B53" t="s">
        <v>1471</v>
      </c>
    </row>
    <row r="54" spans="1:2" x14ac:dyDescent="0.25">
      <c r="A54" t="s">
        <v>1472</v>
      </c>
    </row>
    <row r="56" spans="1:2" x14ac:dyDescent="0.25">
      <c r="A56" t="s">
        <v>572</v>
      </c>
    </row>
    <row r="57" spans="1:2" x14ac:dyDescent="0.25">
      <c r="A57" t="s">
        <v>646</v>
      </c>
    </row>
    <row r="58" spans="1:2" x14ac:dyDescent="0.25">
      <c r="A58" t="s">
        <v>1473</v>
      </c>
    </row>
    <row r="59" spans="1:2" x14ac:dyDescent="0.25">
      <c r="A59" t="s">
        <v>1474</v>
      </c>
    </row>
    <row r="61" spans="1:2" x14ac:dyDescent="0.25">
      <c r="A61" t="s">
        <v>572</v>
      </c>
    </row>
    <row r="62" spans="1:2" x14ac:dyDescent="0.25">
      <c r="A62" t="s">
        <v>646</v>
      </c>
    </row>
    <row r="63" spans="1:2" x14ac:dyDescent="0.25">
      <c r="A63" t="s">
        <v>1953</v>
      </c>
    </row>
    <row r="64" spans="1:2" x14ac:dyDescent="0.25">
      <c r="A64" t="s">
        <v>1954</v>
      </c>
    </row>
    <row r="66" spans="1:1" x14ac:dyDescent="0.25">
      <c r="A66" t="s">
        <v>254</v>
      </c>
    </row>
    <row r="67" spans="1:1" x14ac:dyDescent="0.25">
      <c r="A67" t="s">
        <v>1475</v>
      </c>
    </row>
    <row r="68" spans="1:1" x14ac:dyDescent="0.25">
      <c r="A68" t="s">
        <v>1476</v>
      </c>
    </row>
    <row r="69" spans="1:1" x14ac:dyDescent="0.25">
      <c r="A69" t="s">
        <v>258</v>
      </c>
    </row>
    <row r="71" spans="1:1" x14ac:dyDescent="0.25">
      <c r="A71" t="s">
        <v>572</v>
      </c>
    </row>
    <row r="72" spans="1:1" x14ac:dyDescent="0.25">
      <c r="A72" t="s">
        <v>584</v>
      </c>
    </row>
    <row r="73" spans="1:1" x14ac:dyDescent="0.25">
      <c r="A73" t="s">
        <v>637</v>
      </c>
    </row>
    <row r="74" spans="1:1" x14ac:dyDescent="0.25">
      <c r="A74" t="s">
        <v>636</v>
      </c>
    </row>
    <row r="75" spans="1:1" x14ac:dyDescent="0.25">
      <c r="A75" t="s">
        <v>585</v>
      </c>
    </row>
    <row r="76" spans="1:1" x14ac:dyDescent="0.25">
      <c r="A76" t="s">
        <v>589</v>
      </c>
    </row>
    <row r="77" spans="1:1" x14ac:dyDescent="0.25">
      <c r="A77" t="s">
        <v>919</v>
      </c>
    </row>
    <row r="78" spans="1:1" x14ac:dyDescent="0.25">
      <c r="A78" t="s">
        <v>1477</v>
      </c>
    </row>
    <row r="79" spans="1:1" x14ac:dyDescent="0.25">
      <c r="A79" t="s">
        <v>919</v>
      </c>
    </row>
    <row r="80" spans="1:1" x14ac:dyDescent="0.25">
      <c r="A80" t="s">
        <v>590</v>
      </c>
    </row>
    <row r="81" spans="1:2" x14ac:dyDescent="0.25">
      <c r="A81" t="s">
        <v>591</v>
      </c>
    </row>
    <row r="82" spans="1:2" x14ac:dyDescent="0.25">
      <c r="A82" t="s">
        <v>1478</v>
      </c>
    </row>
    <row r="83" spans="1:2" x14ac:dyDescent="0.25">
      <c r="A83" t="s">
        <v>1479</v>
      </c>
    </row>
    <row r="84" spans="1:2" x14ac:dyDescent="0.25">
      <c r="A84" t="s">
        <v>1480</v>
      </c>
    </row>
    <row r="85" spans="1:2" x14ac:dyDescent="0.25">
      <c r="A85" t="s">
        <v>593</v>
      </c>
    </row>
    <row r="86" spans="1:2" x14ac:dyDescent="0.25">
      <c r="A86" t="s">
        <v>594</v>
      </c>
    </row>
    <row r="87" spans="1:2" x14ac:dyDescent="0.25">
      <c r="B87" t="s">
        <v>595</v>
      </c>
    </row>
    <row r="88" spans="1:2" x14ac:dyDescent="0.25">
      <c r="A88" t="s">
        <v>600</v>
      </c>
    </row>
    <row r="89" spans="1:2" x14ac:dyDescent="0.25">
      <c r="B89" t="s">
        <v>601</v>
      </c>
    </row>
    <row r="90" spans="1:2" x14ac:dyDescent="0.25">
      <c r="A90" t="s">
        <v>815</v>
      </c>
    </row>
    <row r="91" spans="1:2" x14ac:dyDescent="0.25">
      <c r="B91" t="s">
        <v>597</v>
      </c>
    </row>
    <row r="92" spans="1:2" x14ac:dyDescent="0.25">
      <c r="A92" t="s">
        <v>1481</v>
      </c>
    </row>
    <row r="93" spans="1:2" x14ac:dyDescent="0.25">
      <c r="B93" t="s">
        <v>1955</v>
      </c>
    </row>
    <row r="95" spans="1:2" x14ac:dyDescent="0.25">
      <c r="A95" t="s">
        <v>572</v>
      </c>
    </row>
    <row r="96" spans="1:2" x14ac:dyDescent="0.25">
      <c r="A96" t="s">
        <v>1956</v>
      </c>
    </row>
    <row r="97" spans="1:2" x14ac:dyDescent="0.25">
      <c r="A97" t="s">
        <v>1650</v>
      </c>
    </row>
    <row r="98" spans="1:2" x14ac:dyDescent="0.25">
      <c r="A98" t="s">
        <v>1482</v>
      </c>
    </row>
    <row r="99" spans="1:2" x14ac:dyDescent="0.25">
      <c r="A99" t="s">
        <v>1376</v>
      </c>
    </row>
    <row r="100" spans="1:2" x14ac:dyDescent="0.25">
      <c r="B100" t="s">
        <v>1957</v>
      </c>
    </row>
    <row r="101" spans="1:2" x14ac:dyDescent="0.25">
      <c r="A101" t="s">
        <v>1958</v>
      </c>
    </row>
    <row r="102" spans="1:2" x14ac:dyDescent="0.25">
      <c r="A102" t="s">
        <v>1483</v>
      </c>
    </row>
    <row r="104" spans="1:2" x14ac:dyDescent="0.25">
      <c r="A104" t="s">
        <v>538</v>
      </c>
    </row>
    <row r="105" spans="1:2" x14ac:dyDescent="0.25">
      <c r="A105" t="s">
        <v>646</v>
      </c>
    </row>
    <row r="106" spans="1:2" x14ac:dyDescent="0.25">
      <c r="A106" t="s">
        <v>611</v>
      </c>
    </row>
    <row r="107" spans="1:2" x14ac:dyDescent="0.25">
      <c r="A107" t="s">
        <v>1959</v>
      </c>
    </row>
    <row r="109" spans="1:2" x14ac:dyDescent="0.25">
      <c r="A109" t="s">
        <v>572</v>
      </c>
    </row>
    <row r="110" spans="1:2" x14ac:dyDescent="0.25">
      <c r="A110" t="s">
        <v>646</v>
      </c>
    </row>
    <row r="111" spans="1:2" x14ac:dyDescent="0.25">
      <c r="A111" t="s">
        <v>1484</v>
      </c>
    </row>
    <row r="112" spans="1:2" x14ac:dyDescent="0.25">
      <c r="A112" t="s">
        <v>1960</v>
      </c>
    </row>
    <row r="113" spans="1:2" x14ac:dyDescent="0.25">
      <c r="A113" t="s">
        <v>1485</v>
      </c>
    </row>
    <row r="115" spans="1:2" x14ac:dyDescent="0.25">
      <c r="A115" t="s">
        <v>572</v>
      </c>
    </row>
    <row r="116" spans="1:2" x14ac:dyDescent="0.25">
      <c r="A116" t="s">
        <v>918</v>
      </c>
    </row>
    <row r="117" spans="1:2" x14ac:dyDescent="0.25">
      <c r="A117" t="s">
        <v>637</v>
      </c>
    </row>
    <row r="118" spans="1:2" x14ac:dyDescent="0.25">
      <c r="A118" t="s">
        <v>636</v>
      </c>
    </row>
    <row r="119" spans="1:2" x14ac:dyDescent="0.25">
      <c r="A119" t="s">
        <v>1580</v>
      </c>
    </row>
    <row r="120" spans="1:2" x14ac:dyDescent="0.25">
      <c r="A120" t="s">
        <v>589</v>
      </c>
    </row>
    <row r="121" spans="1:2" x14ac:dyDescent="0.25">
      <c r="A121" t="s">
        <v>921</v>
      </c>
    </row>
    <row r="122" spans="1:2" x14ac:dyDescent="0.25">
      <c r="A122" t="s">
        <v>813</v>
      </c>
    </row>
    <row r="123" spans="1:2" x14ac:dyDescent="0.25">
      <c r="B123" t="s">
        <v>1574</v>
      </c>
    </row>
    <row r="124" spans="1:2" x14ac:dyDescent="0.25">
      <c r="A124" t="s">
        <v>600</v>
      </c>
    </row>
    <row r="125" spans="1:2" x14ac:dyDescent="0.25">
      <c r="B125" t="s">
        <v>601</v>
      </c>
    </row>
    <row r="126" spans="1:2" x14ac:dyDescent="0.25">
      <c r="A126" t="s">
        <v>1961</v>
      </c>
    </row>
    <row r="128" spans="1:2" x14ac:dyDescent="0.25">
      <c r="A128" t="s">
        <v>1962</v>
      </c>
    </row>
    <row r="129" spans="1:1" x14ac:dyDescent="0.25">
      <c r="A129" t="s">
        <v>1963</v>
      </c>
    </row>
    <row r="131" spans="1:1" x14ac:dyDescent="0.25">
      <c r="A131" t="s">
        <v>254</v>
      </c>
    </row>
    <row r="132" spans="1:1" x14ac:dyDescent="0.25">
      <c r="A132" t="s">
        <v>1964</v>
      </c>
    </row>
    <row r="133" spans="1:1" x14ac:dyDescent="0.25">
      <c r="A133" t="s">
        <v>1965</v>
      </c>
    </row>
    <row r="134" spans="1:1" x14ac:dyDescent="0.25">
      <c r="A134" t="s">
        <v>1966</v>
      </c>
    </row>
    <row r="135" spans="1:1" x14ac:dyDescent="0.25">
      <c r="A135" t="s">
        <v>1967</v>
      </c>
    </row>
    <row r="136" spans="1:1" x14ac:dyDescent="0.25">
      <c r="A136" t="s">
        <v>1968</v>
      </c>
    </row>
    <row r="137" spans="1:1" x14ac:dyDescent="0.25">
      <c r="A137" t="s">
        <v>1969</v>
      </c>
    </row>
    <row r="138" spans="1:1" x14ac:dyDescent="0.25">
      <c r="A138" t="s">
        <v>1970</v>
      </c>
    </row>
    <row r="140" spans="1:1" x14ac:dyDescent="0.25">
      <c r="A140" t="s">
        <v>1971</v>
      </c>
    </row>
    <row r="141" spans="1:1" x14ac:dyDescent="0.25">
      <c r="A141" t="s">
        <v>1972</v>
      </c>
    </row>
    <row r="144" spans="1:1" x14ac:dyDescent="0.25">
      <c r="A144" t="s">
        <v>1487</v>
      </c>
    </row>
    <row r="145" spans="1:2" x14ac:dyDescent="0.25">
      <c r="A145" t="s">
        <v>1488</v>
      </c>
    </row>
    <row r="146" spans="1:2" x14ac:dyDescent="0.25">
      <c r="A146" t="s">
        <v>1489</v>
      </c>
    </row>
    <row r="148" spans="1:2" x14ac:dyDescent="0.25">
      <c r="A148" t="s">
        <v>1973</v>
      </c>
    </row>
    <row r="149" spans="1:2" x14ac:dyDescent="0.25">
      <c r="A149" t="s">
        <v>1974</v>
      </c>
    </row>
    <row r="150" spans="1:2" x14ac:dyDescent="0.25">
      <c r="A150" t="s">
        <v>1486</v>
      </c>
    </row>
    <row r="151" spans="1:2" x14ac:dyDescent="0.25">
      <c r="A151" t="s">
        <v>1975</v>
      </c>
      <c r="B151" t="s">
        <v>1976</v>
      </c>
    </row>
    <row r="152" spans="1:2" x14ac:dyDescent="0.25">
      <c r="A152" t="s">
        <v>1977</v>
      </c>
    </row>
    <row r="154" spans="1:2" x14ac:dyDescent="0.25">
      <c r="A154" t="s">
        <v>258</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9"/>
  <sheetViews>
    <sheetView workbookViewId="0">
      <selection activeCell="B1" sqref="B1"/>
    </sheetView>
  </sheetViews>
  <sheetFormatPr defaultRowHeight="15" x14ac:dyDescent="0.25"/>
  <sheetData>
    <row r="1" spans="1:2" x14ac:dyDescent="0.25">
      <c r="A1" t="s">
        <v>254</v>
      </c>
    </row>
    <row r="2" spans="1:2" x14ac:dyDescent="0.25">
      <c r="A2" t="s">
        <v>1978</v>
      </c>
    </row>
    <row r="3" spans="1:2" x14ac:dyDescent="0.25">
      <c r="A3" t="s">
        <v>1979</v>
      </c>
    </row>
    <row r="4" spans="1:2" x14ac:dyDescent="0.25">
      <c r="A4" t="s">
        <v>1980</v>
      </c>
    </row>
    <row r="5" spans="1:2" x14ac:dyDescent="0.25">
      <c r="A5" t="s">
        <v>258</v>
      </c>
    </row>
    <row r="6" spans="1:2" x14ac:dyDescent="0.25">
      <c r="A6" t="s">
        <v>572</v>
      </c>
    </row>
    <row r="7" spans="1:2" x14ac:dyDescent="0.25">
      <c r="A7" t="s">
        <v>646</v>
      </c>
    </row>
    <row r="8" spans="1:2" x14ac:dyDescent="0.25">
      <c r="A8" t="s">
        <v>576</v>
      </c>
    </row>
    <row r="9" spans="1:2" x14ac:dyDescent="0.25">
      <c r="A9" t="s">
        <v>1981</v>
      </c>
    </row>
    <row r="10" spans="1:2" x14ac:dyDescent="0.25">
      <c r="B10" t="s">
        <v>1982</v>
      </c>
    </row>
    <row r="11" spans="1:2" x14ac:dyDescent="0.25">
      <c r="A11" t="s">
        <v>1983</v>
      </c>
    </row>
    <row r="13" spans="1:2" x14ac:dyDescent="0.25">
      <c r="A13" t="s">
        <v>572</v>
      </c>
    </row>
    <row r="14" spans="1:2" x14ac:dyDescent="0.25">
      <c r="A14" t="s">
        <v>646</v>
      </c>
    </row>
    <row r="15" spans="1:2" x14ac:dyDescent="0.25">
      <c r="A15" t="s">
        <v>1512</v>
      </c>
    </row>
    <row r="16" spans="1:2" x14ac:dyDescent="0.25">
      <c r="A16" t="s">
        <v>1984</v>
      </c>
    </row>
    <row r="19" spans="1:2" x14ac:dyDescent="0.25">
      <c r="A19" t="s">
        <v>572</v>
      </c>
    </row>
    <row r="20" spans="1:2" x14ac:dyDescent="0.25">
      <c r="A20" t="s">
        <v>1985</v>
      </c>
    </row>
    <row r="21" spans="1:2" x14ac:dyDescent="0.25">
      <c r="A21" t="s">
        <v>636</v>
      </c>
    </row>
    <row r="22" spans="1:2" x14ac:dyDescent="0.25">
      <c r="A22" t="s">
        <v>1625</v>
      </c>
    </row>
    <row r="23" spans="1:2" x14ac:dyDescent="0.25">
      <c r="A23" t="s">
        <v>1628</v>
      </c>
    </row>
    <row r="24" spans="1:2" x14ac:dyDescent="0.25">
      <c r="A24" t="s">
        <v>593</v>
      </c>
    </row>
    <row r="25" spans="1:2" x14ac:dyDescent="0.25">
      <c r="A25" t="s">
        <v>1635</v>
      </c>
    </row>
    <row r="26" spans="1:2" x14ac:dyDescent="0.25">
      <c r="B26" t="s">
        <v>1636</v>
      </c>
    </row>
    <row r="27" spans="1:2" x14ac:dyDescent="0.25">
      <c r="A27" t="s">
        <v>1986</v>
      </c>
    </row>
    <row r="28" spans="1:2" x14ac:dyDescent="0.25">
      <c r="B28" t="s">
        <v>1987</v>
      </c>
    </row>
    <row r="30" spans="1:2" x14ac:dyDescent="0.25">
      <c r="A30" t="s">
        <v>572</v>
      </c>
    </row>
    <row r="31" spans="1:2" x14ac:dyDescent="0.25">
      <c r="A31" t="s">
        <v>646</v>
      </c>
    </row>
    <row r="32" spans="1:2" x14ac:dyDescent="0.25">
      <c r="A32" t="s">
        <v>1390</v>
      </c>
    </row>
    <row r="33" spans="1:2" x14ac:dyDescent="0.25">
      <c r="A33" t="s">
        <v>1988</v>
      </c>
    </row>
    <row r="35" spans="1:2" x14ac:dyDescent="0.25">
      <c r="A35" t="s">
        <v>572</v>
      </c>
    </row>
    <row r="36" spans="1:2" x14ac:dyDescent="0.25">
      <c r="A36" t="s">
        <v>646</v>
      </c>
    </row>
    <row r="37" spans="1:2" x14ac:dyDescent="0.25">
      <c r="A37" t="s">
        <v>1621</v>
      </c>
    </row>
    <row r="38" spans="1:2" x14ac:dyDescent="0.25">
      <c r="A38" t="s">
        <v>1989</v>
      </c>
    </row>
    <row r="39" spans="1:2" x14ac:dyDescent="0.25">
      <c r="B39" t="s">
        <v>1990</v>
      </c>
    </row>
    <row r="41" spans="1:2" x14ac:dyDescent="0.25">
      <c r="A41" t="e">
        <f>-- Steps that were actually executed</f>
        <v>#NAME?</v>
      </c>
    </row>
    <row r="42" spans="1:2" x14ac:dyDescent="0.25">
      <c r="A42" t="s">
        <v>538</v>
      </c>
    </row>
    <row r="43" spans="1:2" x14ac:dyDescent="0.25">
      <c r="A43" t="s">
        <v>1991</v>
      </c>
    </row>
    <row r="44" spans="1:2" x14ac:dyDescent="0.25">
      <c r="A44" t="s">
        <v>1992</v>
      </c>
    </row>
    <row r="45" spans="1:2" x14ac:dyDescent="0.25">
      <c r="A45" t="s">
        <v>1993</v>
      </c>
    </row>
    <row r="46" spans="1:2" x14ac:dyDescent="0.25">
      <c r="A46" t="s">
        <v>1994</v>
      </c>
    </row>
    <row r="47" spans="1:2" x14ac:dyDescent="0.25">
      <c r="A47" t="s">
        <v>1995</v>
      </c>
    </row>
    <row r="48" spans="1:2" x14ac:dyDescent="0.25">
      <c r="A48" t="s">
        <v>1996</v>
      </c>
    </row>
    <row r="49" spans="1:2" x14ac:dyDescent="0.25">
      <c r="A49" t="s">
        <v>1997</v>
      </c>
    </row>
    <row r="50" spans="1:2" x14ac:dyDescent="0.25">
      <c r="A50" t="s">
        <v>1998</v>
      </c>
    </row>
    <row r="51" spans="1:2" x14ac:dyDescent="0.25">
      <c r="A51" t="s">
        <v>1999</v>
      </c>
    </row>
    <row r="52" spans="1:2" x14ac:dyDescent="0.25">
      <c r="A52" t="s">
        <v>2000</v>
      </c>
    </row>
    <row r="53" spans="1:2" x14ac:dyDescent="0.25">
      <c r="A53" t="s">
        <v>2001</v>
      </c>
    </row>
    <row r="54" spans="1:2" x14ac:dyDescent="0.25">
      <c r="A54" t="s">
        <v>2002</v>
      </c>
    </row>
    <row r="55" spans="1:2" x14ac:dyDescent="0.25">
      <c r="A55" t="s">
        <v>2003</v>
      </c>
    </row>
    <row r="56" spans="1:2" x14ac:dyDescent="0.25">
      <c r="B56" t="s">
        <v>2004</v>
      </c>
    </row>
    <row r="57" spans="1:2" x14ac:dyDescent="0.25">
      <c r="A57" t="s">
        <v>2005</v>
      </c>
    </row>
    <row r="58" spans="1:2" x14ac:dyDescent="0.25">
      <c r="B58" t="s">
        <v>2006</v>
      </c>
    </row>
    <row r="59" spans="1:2" x14ac:dyDescent="0.25">
      <c r="A59" t="s">
        <v>2007</v>
      </c>
    </row>
    <row r="60" spans="1:2" x14ac:dyDescent="0.25">
      <c r="A60" t="s">
        <v>2008</v>
      </c>
    </row>
    <row r="62" spans="1:2" x14ac:dyDescent="0.25">
      <c r="A62" t="s">
        <v>2009</v>
      </c>
    </row>
    <row r="63" spans="1:2" x14ac:dyDescent="0.25">
      <c r="A63" t="s">
        <v>2010</v>
      </c>
    </row>
    <row r="65" spans="1:1" x14ac:dyDescent="0.25">
      <c r="A65">
        <v>1962746842</v>
      </c>
    </row>
    <row r="67" spans="1:1" x14ac:dyDescent="0.25">
      <c r="A67" t="s">
        <v>572</v>
      </c>
    </row>
    <row r="68" spans="1:1" x14ac:dyDescent="0.25">
      <c r="A68" t="s">
        <v>646</v>
      </c>
    </row>
    <row r="69" spans="1:1" x14ac:dyDescent="0.25">
      <c r="A69" t="s">
        <v>908</v>
      </c>
    </row>
    <row r="70" spans="1:1" x14ac:dyDescent="0.25">
      <c r="A70" t="s">
        <v>2011</v>
      </c>
    </row>
    <row r="72" spans="1:1" x14ac:dyDescent="0.25">
      <c r="A72" t="s">
        <v>2012</v>
      </c>
    </row>
    <row r="73" spans="1:1" x14ac:dyDescent="0.25">
      <c r="A73" t="s">
        <v>2013</v>
      </c>
    </row>
    <row r="74" spans="1:1" x14ac:dyDescent="0.25">
      <c r="A74" t="s">
        <v>2014</v>
      </c>
    </row>
    <row r="76" spans="1:1" x14ac:dyDescent="0.25">
      <c r="A76" t="s">
        <v>254</v>
      </c>
    </row>
    <row r="77" spans="1:1" x14ac:dyDescent="0.25">
      <c r="A77" t="s">
        <v>607</v>
      </c>
    </row>
    <row r="78" spans="1:1" x14ac:dyDescent="0.25">
      <c r="A78" t="s">
        <v>1912</v>
      </c>
    </row>
    <row r="79" spans="1:1" x14ac:dyDescent="0.25">
      <c r="A79" t="s">
        <v>2015</v>
      </c>
    </row>
    <row r="80" spans="1:1" x14ac:dyDescent="0.25">
      <c r="A80" t="s">
        <v>2016</v>
      </c>
    </row>
    <row r="81" spans="1:1" x14ac:dyDescent="0.25">
      <c r="A81" t="s">
        <v>2017</v>
      </c>
    </row>
    <row r="82" spans="1:1" x14ac:dyDescent="0.25">
      <c r="A82" t="s">
        <v>2018</v>
      </c>
    </row>
    <row r="83" spans="1:1" x14ac:dyDescent="0.25">
      <c r="A83" t="s">
        <v>2019</v>
      </c>
    </row>
    <row r="84" spans="1:1" x14ac:dyDescent="0.25">
      <c r="A84" t="s">
        <v>2020</v>
      </c>
    </row>
    <row r="86" spans="1:1" x14ac:dyDescent="0.25">
      <c r="A86" t="s">
        <v>607</v>
      </c>
    </row>
    <row r="87" spans="1:1" x14ac:dyDescent="0.25">
      <c r="A87" t="s">
        <v>1912</v>
      </c>
    </row>
    <row r="88" spans="1:1" x14ac:dyDescent="0.25">
      <c r="A88" t="s">
        <v>2021</v>
      </c>
    </row>
    <row r="90" spans="1:1" x14ac:dyDescent="0.25">
      <c r="A90" t="s">
        <v>607</v>
      </c>
    </row>
    <row r="91" spans="1:1" x14ac:dyDescent="0.25">
      <c r="A91" t="s">
        <v>1912</v>
      </c>
    </row>
    <row r="92" spans="1:1" x14ac:dyDescent="0.25">
      <c r="A92" t="s">
        <v>2022</v>
      </c>
    </row>
    <row r="93" spans="1:1" x14ac:dyDescent="0.25">
      <c r="A93" t="s">
        <v>2023</v>
      </c>
    </row>
    <row r="94" spans="1:1" x14ac:dyDescent="0.25">
      <c r="A94" t="s">
        <v>2024</v>
      </c>
    </row>
    <row r="95" spans="1:1" x14ac:dyDescent="0.25">
      <c r="A95" t="s">
        <v>2025</v>
      </c>
    </row>
    <row r="97" spans="1:1" x14ac:dyDescent="0.25">
      <c r="A97" t="s">
        <v>2026</v>
      </c>
    </row>
    <row r="98" spans="1:1" x14ac:dyDescent="0.25">
      <c r="A98" t="s">
        <v>2027</v>
      </c>
    </row>
    <row r="99" spans="1:1" x14ac:dyDescent="0.25">
      <c r="A99" t="s">
        <v>2024</v>
      </c>
    </row>
    <row r="100" spans="1:1" x14ac:dyDescent="0.25">
      <c r="A100" t="s">
        <v>2028</v>
      </c>
    </row>
    <row r="102" spans="1:1" x14ac:dyDescent="0.25">
      <c r="A102" t="s">
        <v>2029</v>
      </c>
    </row>
    <row r="103" spans="1:1" x14ac:dyDescent="0.25">
      <c r="A103" t="s">
        <v>2030</v>
      </c>
    </row>
    <row r="104" spans="1:1" x14ac:dyDescent="0.25">
      <c r="A104" t="s">
        <v>2031</v>
      </c>
    </row>
    <row r="107" spans="1:1" x14ac:dyDescent="0.25">
      <c r="A107" t="s">
        <v>607</v>
      </c>
    </row>
    <row r="108" spans="1:1" x14ac:dyDescent="0.25">
      <c r="A108" t="s">
        <v>1912</v>
      </c>
    </row>
    <row r="109" spans="1:1" x14ac:dyDescent="0.25">
      <c r="A109" t="s">
        <v>2032</v>
      </c>
    </row>
    <row r="111" spans="1:1" x14ac:dyDescent="0.25">
      <c r="A111" t="s">
        <v>607</v>
      </c>
    </row>
    <row r="112" spans="1:1" x14ac:dyDescent="0.25">
      <c r="A112" t="s">
        <v>1912</v>
      </c>
    </row>
    <row r="113" spans="1:2" x14ac:dyDescent="0.25">
      <c r="A113" t="s">
        <v>2033</v>
      </c>
    </row>
    <row r="116" spans="1:2" x14ac:dyDescent="0.25">
      <c r="A116" t="s">
        <v>607</v>
      </c>
    </row>
    <row r="117" spans="1:2" x14ac:dyDescent="0.25">
      <c r="A117" t="s">
        <v>1912</v>
      </c>
    </row>
    <row r="119" spans="1:2" x14ac:dyDescent="0.25">
      <c r="A119" t="s">
        <v>2034</v>
      </c>
    </row>
    <row r="120" spans="1:2" x14ac:dyDescent="0.25">
      <c r="A120" t="s">
        <v>2035</v>
      </c>
    </row>
    <row r="121" spans="1:2" x14ac:dyDescent="0.25">
      <c r="B121">
        <v>131191</v>
      </c>
    </row>
    <row r="122" spans="1:2" x14ac:dyDescent="0.25">
      <c r="B122" t="s">
        <v>2036</v>
      </c>
    </row>
    <row r="123" spans="1:2" x14ac:dyDescent="0.25">
      <c r="B123" t="s">
        <v>2037</v>
      </c>
    </row>
    <row r="124" spans="1:2" x14ac:dyDescent="0.25">
      <c r="B124" t="s">
        <v>1036</v>
      </c>
    </row>
    <row r="125" spans="1:2" x14ac:dyDescent="0.25">
      <c r="B125" t="s">
        <v>1037</v>
      </c>
    </row>
    <row r="127" spans="1:2" x14ac:dyDescent="0.25">
      <c r="A127" t="s">
        <v>2038</v>
      </c>
    </row>
    <row r="129" spans="1:2" x14ac:dyDescent="0.25">
      <c r="A129" t="e">
        <f>-- get the number of individual service locations</f>
        <v>#NAME?</v>
      </c>
    </row>
    <row r="130" spans="1:2" x14ac:dyDescent="0.25">
      <c r="A130" t="s">
        <v>2039</v>
      </c>
    </row>
    <row r="131" spans="1:2" x14ac:dyDescent="0.25">
      <c r="A131" t="s">
        <v>1738</v>
      </c>
    </row>
    <row r="132" spans="1:2" x14ac:dyDescent="0.25">
      <c r="A132" t="s">
        <v>1044</v>
      </c>
    </row>
    <row r="133" spans="1:2" x14ac:dyDescent="0.25">
      <c r="A133" t="s">
        <v>1739</v>
      </c>
    </row>
    <row r="134" spans="1:2" x14ac:dyDescent="0.25">
      <c r="B134" t="s">
        <v>2040</v>
      </c>
    </row>
    <row r="136" spans="1:2" x14ac:dyDescent="0.25">
      <c r="A136" t="s">
        <v>2041</v>
      </c>
    </row>
    <row r="137" spans="1:2" x14ac:dyDescent="0.25">
      <c r="A137" t="s">
        <v>2042</v>
      </c>
    </row>
    <row r="139" spans="1:2" x14ac:dyDescent="0.25">
      <c r="A139" t="s">
        <v>2043</v>
      </c>
    </row>
    <row r="140" spans="1:2" x14ac:dyDescent="0.25">
      <c r="A140" t="s">
        <v>2044</v>
      </c>
    </row>
    <row r="141" spans="1:2" x14ac:dyDescent="0.25">
      <c r="B141" t="s">
        <v>1031</v>
      </c>
    </row>
    <row r="142" spans="1:2" x14ac:dyDescent="0.25">
      <c r="B142" t="s">
        <v>1032</v>
      </c>
    </row>
    <row r="143" spans="1:2" x14ac:dyDescent="0.25">
      <c r="B143" t="s">
        <v>2045</v>
      </c>
    </row>
    <row r="144" spans="1:2" x14ac:dyDescent="0.25">
      <c r="B144" t="s">
        <v>2046</v>
      </c>
    </row>
    <row r="145" spans="1:2" x14ac:dyDescent="0.25">
      <c r="B145" t="s">
        <v>2047</v>
      </c>
    </row>
    <row r="146" spans="1:2" x14ac:dyDescent="0.25">
      <c r="B146" t="s">
        <v>2048</v>
      </c>
    </row>
    <row r="147" spans="1:2" x14ac:dyDescent="0.25">
      <c r="B147" t="s">
        <v>2049</v>
      </c>
    </row>
    <row r="149" spans="1:2" x14ac:dyDescent="0.25">
      <c r="A149" t="s">
        <v>258</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4"/>
  <sheetViews>
    <sheetView workbookViewId="0">
      <selection sqref="A1:C115"/>
    </sheetView>
  </sheetViews>
  <sheetFormatPr defaultRowHeight="15" x14ac:dyDescent="0.25"/>
  <sheetData>
    <row r="1" spans="1:1" x14ac:dyDescent="0.25">
      <c r="A1" t="s">
        <v>2451</v>
      </c>
    </row>
    <row r="2" spans="1:1" x14ac:dyDescent="0.25">
      <c r="A2" t="s">
        <v>2452</v>
      </c>
    </row>
    <row r="3" spans="1:1" x14ac:dyDescent="0.25">
      <c r="A3" t="s">
        <v>2453</v>
      </c>
    </row>
    <row r="5" spans="1:1" x14ac:dyDescent="0.25">
      <c r="A5" t="s">
        <v>572</v>
      </c>
    </row>
    <row r="6" spans="1:1" x14ac:dyDescent="0.25">
      <c r="A6" t="s">
        <v>2454</v>
      </c>
    </row>
    <row r="7" spans="1:1" x14ac:dyDescent="0.25">
      <c r="A7" t="s">
        <v>2455</v>
      </c>
    </row>
    <row r="8" spans="1:1" x14ac:dyDescent="0.25">
      <c r="A8" t="s">
        <v>2456</v>
      </c>
    </row>
    <row r="10" spans="1:1" x14ac:dyDescent="0.25">
      <c r="A10" t="s">
        <v>467</v>
      </c>
    </row>
    <row r="11" spans="1:1" x14ac:dyDescent="0.25">
      <c r="A11" t="s">
        <v>641</v>
      </c>
    </row>
    <row r="12" spans="1:1" x14ac:dyDescent="0.25">
      <c r="A12" t="s">
        <v>1512</v>
      </c>
    </row>
    <row r="13" spans="1:1" x14ac:dyDescent="0.25">
      <c r="A13" t="s">
        <v>2457</v>
      </c>
    </row>
    <row r="15" spans="1:1" x14ac:dyDescent="0.25">
      <c r="A15" t="s">
        <v>572</v>
      </c>
    </row>
    <row r="16" spans="1:1" x14ac:dyDescent="0.25">
      <c r="A16" t="s">
        <v>2458</v>
      </c>
    </row>
    <row r="17" spans="1:2" x14ac:dyDescent="0.25">
      <c r="A17" t="s">
        <v>542</v>
      </c>
    </row>
    <row r="18" spans="1:2" x14ac:dyDescent="0.25">
      <c r="A18" t="s">
        <v>540</v>
      </c>
    </row>
    <row r="19" spans="1:2" x14ac:dyDescent="0.25">
      <c r="A19" t="s">
        <v>541</v>
      </c>
    </row>
    <row r="20" spans="1:2" x14ac:dyDescent="0.25">
      <c r="A20" t="s">
        <v>2459</v>
      </c>
    </row>
    <row r="21" spans="1:2" x14ac:dyDescent="0.25">
      <c r="A21" t="s">
        <v>2460</v>
      </c>
    </row>
    <row r="22" spans="1:2" x14ac:dyDescent="0.25">
      <c r="A22" t="s">
        <v>895</v>
      </c>
    </row>
    <row r="23" spans="1:2" x14ac:dyDescent="0.25">
      <c r="A23" t="s">
        <v>2461</v>
      </c>
    </row>
    <row r="24" spans="1:2" x14ac:dyDescent="0.25">
      <c r="A24" t="s">
        <v>808</v>
      </c>
    </row>
    <row r="25" spans="1:2" x14ac:dyDescent="0.25">
      <c r="A25" t="s">
        <v>2462</v>
      </c>
    </row>
    <row r="26" spans="1:2" x14ac:dyDescent="0.25">
      <c r="A26" t="s">
        <v>2463</v>
      </c>
    </row>
    <row r="27" spans="1:2" x14ac:dyDescent="0.25">
      <c r="A27" t="s">
        <v>576</v>
      </c>
    </row>
    <row r="28" spans="1:2" x14ac:dyDescent="0.25">
      <c r="A28" t="s">
        <v>962</v>
      </c>
    </row>
    <row r="29" spans="1:2" x14ac:dyDescent="0.25">
      <c r="B29" t="s">
        <v>2464</v>
      </c>
    </row>
    <row r="30" spans="1:2" x14ac:dyDescent="0.25">
      <c r="A30" t="s">
        <v>2465</v>
      </c>
    </row>
    <row r="32" spans="1:2" x14ac:dyDescent="0.25">
      <c r="A32" t="s">
        <v>572</v>
      </c>
    </row>
    <row r="33" spans="1:1" x14ac:dyDescent="0.25">
      <c r="A33" t="s">
        <v>646</v>
      </c>
    </row>
    <row r="34" spans="1:1" x14ac:dyDescent="0.25">
      <c r="A34" t="s">
        <v>865</v>
      </c>
    </row>
    <row r="35" spans="1:1" x14ac:dyDescent="0.25">
      <c r="A35" t="s">
        <v>2466</v>
      </c>
    </row>
    <row r="37" spans="1:1" x14ac:dyDescent="0.25">
      <c r="A37" t="s">
        <v>572</v>
      </c>
    </row>
    <row r="38" spans="1:1" x14ac:dyDescent="0.25">
      <c r="A38" t="s">
        <v>646</v>
      </c>
    </row>
    <row r="39" spans="1:1" x14ac:dyDescent="0.25">
      <c r="A39" t="s">
        <v>578</v>
      </c>
    </row>
    <row r="40" spans="1:1" x14ac:dyDescent="0.25">
      <c r="A40" t="s">
        <v>2467</v>
      </c>
    </row>
    <row r="42" spans="1:1" x14ac:dyDescent="0.25">
      <c r="A42" t="s">
        <v>467</v>
      </c>
    </row>
    <row r="43" spans="1:1" x14ac:dyDescent="0.25">
      <c r="A43" t="s">
        <v>641</v>
      </c>
    </row>
    <row r="44" spans="1:1" x14ac:dyDescent="0.25">
      <c r="A44" t="s">
        <v>1512</v>
      </c>
    </row>
    <row r="45" spans="1:1" x14ac:dyDescent="0.25">
      <c r="A45" t="s">
        <v>2457</v>
      </c>
    </row>
    <row r="46" spans="1:1" x14ac:dyDescent="0.25">
      <c r="A46" t="s">
        <v>2468</v>
      </c>
    </row>
    <row r="48" spans="1:1" x14ac:dyDescent="0.25">
      <c r="A48" t="s">
        <v>254</v>
      </c>
    </row>
    <row r="50" spans="1:3" x14ac:dyDescent="0.25">
      <c r="A50" t="s">
        <v>645</v>
      </c>
    </row>
    <row r="51" spans="1:3" x14ac:dyDescent="0.25">
      <c r="A51" t="s">
        <v>646</v>
      </c>
    </row>
    <row r="52" spans="1:3" x14ac:dyDescent="0.25">
      <c r="A52" t="s">
        <v>245</v>
      </c>
    </row>
    <row r="53" spans="1:3" x14ac:dyDescent="0.25">
      <c r="A53" t="s">
        <v>251</v>
      </c>
    </row>
    <row r="55" spans="1:3" x14ac:dyDescent="0.25">
      <c r="A55" t="s">
        <v>2469</v>
      </c>
    </row>
    <row r="56" spans="1:3" x14ac:dyDescent="0.25">
      <c r="A56" t="e">
        <f>-- Refreshed in Production</f>
        <v>#NAME?</v>
      </c>
    </row>
    <row r="58" spans="1:3" x14ac:dyDescent="0.25">
      <c r="A58" t="s">
        <v>2470</v>
      </c>
    </row>
    <row r="59" spans="1:3" x14ac:dyDescent="0.25">
      <c r="A59" t="e">
        <f>-- this is what we discussed in our meeting with Steve. this provider needs</f>
        <v>#NAME?</v>
      </c>
    </row>
    <row r="60" spans="1:3" x14ac:dyDescent="0.25">
      <c r="A60" t="s">
        <v>247</v>
      </c>
      <c r="C60" t="s">
        <v>2471</v>
      </c>
    </row>
    <row r="61" spans="1:3" x14ac:dyDescent="0.25">
      <c r="A61" t="s">
        <v>247</v>
      </c>
      <c r="C61" t="s">
        <v>2472</v>
      </c>
    </row>
    <row r="63" spans="1:3" x14ac:dyDescent="0.25">
      <c r="A63" t="s">
        <v>2473</v>
      </c>
    </row>
    <row r="65" spans="1:2" x14ac:dyDescent="0.25">
      <c r="A65" t="s">
        <v>2474</v>
      </c>
    </row>
    <row r="67" spans="1:2" x14ac:dyDescent="0.25">
      <c r="A67" t="s">
        <v>467</v>
      </c>
    </row>
    <row r="68" spans="1:2" x14ac:dyDescent="0.25">
      <c r="A68" t="s">
        <v>641</v>
      </c>
    </row>
    <row r="69" spans="1:2" x14ac:dyDescent="0.25">
      <c r="A69" t="s">
        <v>1512</v>
      </c>
    </row>
    <row r="70" spans="1:2" x14ac:dyDescent="0.25">
      <c r="A70" t="s">
        <v>2475</v>
      </c>
    </row>
    <row r="72" spans="1:2" x14ac:dyDescent="0.25">
      <c r="A72" t="s">
        <v>572</v>
      </c>
    </row>
    <row r="73" spans="1:2" x14ac:dyDescent="0.25">
      <c r="A73" t="s">
        <v>646</v>
      </c>
    </row>
    <row r="74" spans="1:2" x14ac:dyDescent="0.25">
      <c r="A74" t="s">
        <v>1512</v>
      </c>
    </row>
    <row r="75" spans="1:2" x14ac:dyDescent="0.25">
      <c r="A75" t="s">
        <v>2475</v>
      </c>
    </row>
    <row r="76" spans="1:2" x14ac:dyDescent="0.25">
      <c r="B76" t="s">
        <v>2476</v>
      </c>
    </row>
    <row r="77" spans="1:2" x14ac:dyDescent="0.25">
      <c r="A77" t="s">
        <v>1515</v>
      </c>
    </row>
    <row r="79" spans="1:2" x14ac:dyDescent="0.25">
      <c r="A79" t="s">
        <v>2477</v>
      </c>
    </row>
    <row r="80" spans="1:2" x14ac:dyDescent="0.25">
      <c r="A80" t="s">
        <v>2478</v>
      </c>
    </row>
    <row r="81" spans="1:1" x14ac:dyDescent="0.25">
      <c r="A81" t="s">
        <v>2479</v>
      </c>
    </row>
    <row r="82" spans="1:1" x14ac:dyDescent="0.25">
      <c r="A82" t="s">
        <v>2245</v>
      </c>
    </row>
    <row r="83" spans="1:1" x14ac:dyDescent="0.25">
      <c r="A83" t="s">
        <v>470</v>
      </c>
    </row>
    <row r="84" spans="1:1" x14ac:dyDescent="0.25">
      <c r="A84" t="s">
        <v>471</v>
      </c>
    </row>
    <row r="85" spans="1:1" x14ac:dyDescent="0.25">
      <c r="A85" t="s">
        <v>2246</v>
      </c>
    </row>
    <row r="86" spans="1:1" x14ac:dyDescent="0.25">
      <c r="A86" t="s">
        <v>469</v>
      </c>
    </row>
    <row r="87" spans="1:1" x14ac:dyDescent="0.25">
      <c r="A87" t="s">
        <v>2480</v>
      </c>
    </row>
    <row r="88" spans="1:1" x14ac:dyDescent="0.25">
      <c r="A88" t="s">
        <v>2481</v>
      </c>
    </row>
    <row r="89" spans="1:1" x14ac:dyDescent="0.25">
      <c r="A89" t="s">
        <v>2482</v>
      </c>
    </row>
    <row r="90" spans="1:1" x14ac:dyDescent="0.25">
      <c r="A90" t="s">
        <v>2483</v>
      </c>
    </row>
    <row r="91" spans="1:1" x14ac:dyDescent="0.25">
      <c r="A91" t="s">
        <v>2247</v>
      </c>
    </row>
    <row r="92" spans="1:1" x14ac:dyDescent="0.25">
      <c r="A92" t="s">
        <v>2484</v>
      </c>
    </row>
    <row r="93" spans="1:1" x14ac:dyDescent="0.25">
      <c r="A93" t="s">
        <v>472</v>
      </c>
    </row>
    <row r="94" spans="1:1" x14ac:dyDescent="0.25">
      <c r="A94" t="s">
        <v>2485</v>
      </c>
    </row>
    <row r="95" spans="1:1" x14ac:dyDescent="0.25">
      <c r="A95" t="s">
        <v>2486</v>
      </c>
    </row>
    <row r="96" spans="1:1" x14ac:dyDescent="0.25">
      <c r="A96" t="s">
        <v>473</v>
      </c>
    </row>
    <row r="97" spans="1:2" x14ac:dyDescent="0.25">
      <c r="A97" t="s">
        <v>2487</v>
      </c>
    </row>
    <row r="98" spans="1:2" x14ac:dyDescent="0.25">
      <c r="A98" t="s">
        <v>2488</v>
      </c>
    </row>
    <row r="99" spans="1:2" x14ac:dyDescent="0.25">
      <c r="A99" t="s">
        <v>474</v>
      </c>
    </row>
    <row r="100" spans="1:2" x14ac:dyDescent="0.25">
      <c r="A100" t="s">
        <v>1526</v>
      </c>
    </row>
    <row r="101" spans="1:2" x14ac:dyDescent="0.25">
      <c r="B101" t="s">
        <v>976</v>
      </c>
    </row>
    <row r="102" spans="1:2" x14ac:dyDescent="0.25">
      <c r="A102" t="s">
        <v>1527</v>
      </c>
    </row>
    <row r="103" spans="1:2" x14ac:dyDescent="0.25">
      <c r="B103" t="s">
        <v>978</v>
      </c>
    </row>
    <row r="104" spans="1:2" x14ac:dyDescent="0.25">
      <c r="A104" t="s">
        <v>1528</v>
      </c>
    </row>
    <row r="105" spans="1:2" x14ac:dyDescent="0.25">
      <c r="B105" t="s">
        <v>980</v>
      </c>
    </row>
    <row r="106" spans="1:2" x14ac:dyDescent="0.25">
      <c r="A106" t="s">
        <v>706</v>
      </c>
    </row>
    <row r="107" spans="1:2" x14ac:dyDescent="0.25">
      <c r="A107" t="s">
        <v>697</v>
      </c>
    </row>
    <row r="108" spans="1:2" x14ac:dyDescent="0.25">
      <c r="B108" t="s">
        <v>2489</v>
      </c>
    </row>
    <row r="109" spans="1:2" x14ac:dyDescent="0.25">
      <c r="B109" t="s">
        <v>1530</v>
      </c>
    </row>
    <row r="110" spans="1:2" x14ac:dyDescent="0.25">
      <c r="A110" t="s">
        <v>1531</v>
      </c>
    </row>
    <row r="111" spans="1:2" x14ac:dyDescent="0.25">
      <c r="A111" t="s">
        <v>2490</v>
      </c>
    </row>
    <row r="112" spans="1:2" x14ac:dyDescent="0.25">
      <c r="B112" t="s">
        <v>2491</v>
      </c>
    </row>
    <row r="114" spans="1:1" x14ac:dyDescent="0.25">
      <c r="A114" t="s">
        <v>258</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2"/>
  <sheetViews>
    <sheetView topLeftCell="A313" workbookViewId="0">
      <selection activeCell="A327" sqref="A327:B394"/>
    </sheetView>
  </sheetViews>
  <sheetFormatPr defaultRowHeight="15" x14ac:dyDescent="0.25"/>
  <sheetData>
    <row r="1" spans="1:2" x14ac:dyDescent="0.25">
      <c r="A1" t="s">
        <v>538</v>
      </c>
    </row>
    <row r="2" spans="1:2" x14ac:dyDescent="0.25">
      <c r="A2" t="s">
        <v>744</v>
      </c>
    </row>
    <row r="3" spans="1:2" x14ac:dyDescent="0.25">
      <c r="A3" t="s">
        <v>880</v>
      </c>
    </row>
    <row r="4" spans="1:2" x14ac:dyDescent="0.25">
      <c r="A4" t="s">
        <v>2335</v>
      </c>
    </row>
    <row r="5" spans="1:2" x14ac:dyDescent="0.25">
      <c r="A5" t="s">
        <v>2336</v>
      </c>
    </row>
    <row r="6" spans="1:2" x14ac:dyDescent="0.25">
      <c r="A6" t="s">
        <v>2337</v>
      </c>
    </row>
    <row r="7" spans="1:2" x14ac:dyDescent="0.25">
      <c r="A7" t="s">
        <v>1751</v>
      </c>
    </row>
    <row r="8" spans="1:2" x14ac:dyDescent="0.25">
      <c r="A8" t="s">
        <v>2338</v>
      </c>
    </row>
    <row r="9" spans="1:2" x14ac:dyDescent="0.25">
      <c r="A9" t="s">
        <v>746</v>
      </c>
    </row>
    <row r="10" spans="1:2" x14ac:dyDescent="0.25">
      <c r="A10" t="s">
        <v>763</v>
      </c>
    </row>
    <row r="11" spans="1:2" x14ac:dyDescent="0.25">
      <c r="A11" t="s">
        <v>804</v>
      </c>
    </row>
    <row r="12" spans="1:2" x14ac:dyDescent="0.25">
      <c r="B12" t="s">
        <v>2339</v>
      </c>
    </row>
    <row r="13" spans="1:2" x14ac:dyDescent="0.25">
      <c r="A13" t="s">
        <v>2340</v>
      </c>
    </row>
    <row r="14" spans="1:2" x14ac:dyDescent="0.25">
      <c r="A14" t="s">
        <v>2341</v>
      </c>
    </row>
    <row r="16" spans="1:2" x14ac:dyDescent="0.25">
      <c r="A16" t="s">
        <v>2342</v>
      </c>
    </row>
    <row r="17" spans="1:2" x14ac:dyDescent="0.25">
      <c r="A17" t="s">
        <v>2343</v>
      </c>
    </row>
    <row r="18" spans="1:2" x14ac:dyDescent="0.25">
      <c r="A18" t="s">
        <v>572</v>
      </c>
    </row>
    <row r="19" spans="1:2" x14ac:dyDescent="0.25">
      <c r="A19" t="s">
        <v>918</v>
      </c>
    </row>
    <row r="20" spans="1:2" x14ac:dyDescent="0.25">
      <c r="A20" t="s">
        <v>589</v>
      </c>
    </row>
    <row r="21" spans="1:2" x14ac:dyDescent="0.25">
      <c r="A21" t="s">
        <v>585</v>
      </c>
    </row>
    <row r="22" spans="1:2" x14ac:dyDescent="0.25">
      <c r="A22" t="s">
        <v>637</v>
      </c>
    </row>
    <row r="23" spans="1:2" x14ac:dyDescent="0.25">
      <c r="A23" t="s">
        <v>636</v>
      </c>
    </row>
    <row r="24" spans="1:2" x14ac:dyDescent="0.25">
      <c r="A24" t="s">
        <v>1420</v>
      </c>
    </row>
    <row r="25" spans="1:2" x14ac:dyDescent="0.25">
      <c r="A25" t="s">
        <v>2344</v>
      </c>
    </row>
    <row r="26" spans="1:2" x14ac:dyDescent="0.25">
      <c r="A26" t="s">
        <v>2345</v>
      </c>
    </row>
    <row r="27" spans="1:2" x14ac:dyDescent="0.25">
      <c r="A27" t="s">
        <v>921</v>
      </c>
    </row>
    <row r="28" spans="1:2" x14ac:dyDescent="0.25">
      <c r="A28" t="s">
        <v>600</v>
      </c>
    </row>
    <row r="29" spans="1:2" x14ac:dyDescent="0.25">
      <c r="B29" t="s">
        <v>601</v>
      </c>
    </row>
    <row r="30" spans="1:2" x14ac:dyDescent="0.25">
      <c r="A30" t="s">
        <v>813</v>
      </c>
    </row>
    <row r="31" spans="1:2" x14ac:dyDescent="0.25">
      <c r="B31" t="s">
        <v>1574</v>
      </c>
    </row>
    <row r="32" spans="1:2" x14ac:dyDescent="0.25">
      <c r="A32" t="s">
        <v>2346</v>
      </c>
    </row>
    <row r="33" spans="1:2" x14ac:dyDescent="0.25">
      <c r="B33" t="s">
        <v>2347</v>
      </c>
    </row>
    <row r="36" spans="1:2" x14ac:dyDescent="0.25">
      <c r="A36" t="s">
        <v>2343</v>
      </c>
    </row>
    <row r="37" spans="1:2" x14ac:dyDescent="0.25">
      <c r="A37" t="s">
        <v>572</v>
      </c>
    </row>
    <row r="38" spans="1:2" x14ac:dyDescent="0.25">
      <c r="A38" t="s">
        <v>918</v>
      </c>
    </row>
    <row r="39" spans="1:2" x14ac:dyDescent="0.25">
      <c r="A39" t="s">
        <v>589</v>
      </c>
    </row>
    <row r="40" spans="1:2" x14ac:dyDescent="0.25">
      <c r="A40" t="s">
        <v>585</v>
      </c>
    </row>
    <row r="41" spans="1:2" x14ac:dyDescent="0.25">
      <c r="A41" t="s">
        <v>637</v>
      </c>
    </row>
    <row r="42" spans="1:2" x14ac:dyDescent="0.25">
      <c r="A42" t="s">
        <v>636</v>
      </c>
    </row>
    <row r="43" spans="1:2" x14ac:dyDescent="0.25">
      <c r="A43" t="s">
        <v>1420</v>
      </c>
    </row>
    <row r="44" spans="1:2" x14ac:dyDescent="0.25">
      <c r="A44" t="s">
        <v>2344</v>
      </c>
    </row>
    <row r="45" spans="1:2" x14ac:dyDescent="0.25">
      <c r="A45" t="s">
        <v>2345</v>
      </c>
    </row>
    <row r="46" spans="1:2" x14ac:dyDescent="0.25">
      <c r="A46" t="s">
        <v>921</v>
      </c>
    </row>
    <row r="47" spans="1:2" x14ac:dyDescent="0.25">
      <c r="A47" t="s">
        <v>600</v>
      </c>
    </row>
    <row r="48" spans="1:2" x14ac:dyDescent="0.25">
      <c r="B48" t="s">
        <v>601</v>
      </c>
    </row>
    <row r="49" spans="1:2" x14ac:dyDescent="0.25">
      <c r="A49" t="s">
        <v>813</v>
      </c>
    </row>
    <row r="50" spans="1:2" x14ac:dyDescent="0.25">
      <c r="B50" t="s">
        <v>1574</v>
      </c>
    </row>
    <row r="51" spans="1:2" x14ac:dyDescent="0.25">
      <c r="A51" t="s">
        <v>2348</v>
      </c>
    </row>
    <row r="52" spans="1:2" x14ac:dyDescent="0.25">
      <c r="B52" t="s">
        <v>2349</v>
      </c>
    </row>
    <row r="54" spans="1:2" x14ac:dyDescent="0.25">
      <c r="A54" t="s">
        <v>538</v>
      </c>
    </row>
    <row r="55" spans="1:2" x14ac:dyDescent="0.25">
      <c r="A55" t="s">
        <v>744</v>
      </c>
    </row>
    <row r="56" spans="1:2" x14ac:dyDescent="0.25">
      <c r="A56" t="s">
        <v>880</v>
      </c>
    </row>
    <row r="57" spans="1:2" x14ac:dyDescent="0.25">
      <c r="A57" t="s">
        <v>2335</v>
      </c>
    </row>
    <row r="58" spans="1:2" x14ac:dyDescent="0.25">
      <c r="A58" t="s">
        <v>2336</v>
      </c>
    </row>
    <row r="59" spans="1:2" x14ac:dyDescent="0.25">
      <c r="A59" t="s">
        <v>1752</v>
      </c>
    </row>
    <row r="60" spans="1:2" x14ac:dyDescent="0.25">
      <c r="A60" t="s">
        <v>2337</v>
      </c>
    </row>
    <row r="61" spans="1:2" x14ac:dyDescent="0.25">
      <c r="A61" t="s">
        <v>1751</v>
      </c>
    </row>
    <row r="62" spans="1:2" x14ac:dyDescent="0.25">
      <c r="A62" t="s">
        <v>2338</v>
      </c>
    </row>
    <row r="63" spans="1:2" x14ac:dyDescent="0.25">
      <c r="A63" t="s">
        <v>886</v>
      </c>
    </row>
    <row r="64" spans="1:2" x14ac:dyDescent="0.25">
      <c r="A64" t="s">
        <v>763</v>
      </c>
    </row>
    <row r="65" spans="1:2" x14ac:dyDescent="0.25">
      <c r="A65" t="s">
        <v>804</v>
      </c>
    </row>
    <row r="66" spans="1:2" x14ac:dyDescent="0.25">
      <c r="B66" t="s">
        <v>2339</v>
      </c>
    </row>
    <row r="67" spans="1:2" x14ac:dyDescent="0.25">
      <c r="A67" t="s">
        <v>1607</v>
      </c>
    </row>
    <row r="68" spans="1:2" x14ac:dyDescent="0.25">
      <c r="B68" t="s">
        <v>1241</v>
      </c>
    </row>
    <row r="69" spans="1:2" x14ac:dyDescent="0.25">
      <c r="A69" t="s">
        <v>2350</v>
      </c>
    </row>
    <row r="70" spans="1:2" x14ac:dyDescent="0.25">
      <c r="B70" t="s">
        <v>1242</v>
      </c>
    </row>
    <row r="71" spans="1:2" x14ac:dyDescent="0.25">
      <c r="A71" t="s">
        <v>2351</v>
      </c>
    </row>
    <row r="72" spans="1:2" x14ac:dyDescent="0.25">
      <c r="B72" t="s">
        <v>2352</v>
      </c>
    </row>
    <row r="73" spans="1:2" x14ac:dyDescent="0.25">
      <c r="A73" t="s">
        <v>2353</v>
      </c>
    </row>
    <row r="75" spans="1:2" x14ac:dyDescent="0.25">
      <c r="A75" t="s">
        <v>572</v>
      </c>
    </row>
    <row r="76" spans="1:2" x14ac:dyDescent="0.25">
      <c r="A76" t="s">
        <v>646</v>
      </c>
    </row>
    <row r="77" spans="1:2" x14ac:dyDescent="0.25">
      <c r="A77" t="s">
        <v>1280</v>
      </c>
    </row>
    <row r="78" spans="1:2" x14ac:dyDescent="0.25">
      <c r="A78" t="s">
        <v>2354</v>
      </c>
    </row>
    <row r="80" spans="1:2" x14ac:dyDescent="0.25">
      <c r="A80" t="s">
        <v>572</v>
      </c>
    </row>
    <row r="81" spans="1:1" x14ac:dyDescent="0.25">
      <c r="A81" t="s">
        <v>646</v>
      </c>
    </row>
    <row r="82" spans="1:1" x14ac:dyDescent="0.25">
      <c r="A82" t="s">
        <v>669</v>
      </c>
    </row>
    <row r="83" spans="1:1" x14ac:dyDescent="0.25">
      <c r="A83" t="s">
        <v>2355</v>
      </c>
    </row>
    <row r="85" spans="1:1" x14ac:dyDescent="0.25">
      <c r="A85" t="s">
        <v>572</v>
      </c>
    </row>
    <row r="86" spans="1:1" x14ac:dyDescent="0.25">
      <c r="A86" t="s">
        <v>646</v>
      </c>
    </row>
    <row r="87" spans="1:1" x14ac:dyDescent="0.25">
      <c r="A87" t="s">
        <v>908</v>
      </c>
    </row>
    <row r="88" spans="1:1" x14ac:dyDescent="0.25">
      <c r="A88" t="s">
        <v>2356</v>
      </c>
    </row>
    <row r="91" spans="1:1" x14ac:dyDescent="0.25">
      <c r="A91" t="s">
        <v>572</v>
      </c>
    </row>
    <row r="92" spans="1:1" x14ac:dyDescent="0.25">
      <c r="A92" t="s">
        <v>646</v>
      </c>
    </row>
    <row r="93" spans="1:1" x14ac:dyDescent="0.25">
      <c r="A93" t="s">
        <v>734</v>
      </c>
    </row>
    <row r="94" spans="1:1" x14ac:dyDescent="0.25">
      <c r="A94" t="s">
        <v>2357</v>
      </c>
    </row>
    <row r="96" spans="1:1" x14ac:dyDescent="0.25">
      <c r="A96" t="s">
        <v>572</v>
      </c>
    </row>
    <row r="97" spans="1:1" x14ac:dyDescent="0.25">
      <c r="A97" t="s">
        <v>646</v>
      </c>
    </row>
    <row r="98" spans="1:1" x14ac:dyDescent="0.25">
      <c r="A98" t="s">
        <v>924</v>
      </c>
    </row>
    <row r="99" spans="1:1" x14ac:dyDescent="0.25">
      <c r="A99" t="s">
        <v>2357</v>
      </c>
    </row>
    <row r="100" spans="1:1" x14ac:dyDescent="0.25">
      <c r="A100" t="s">
        <v>1604</v>
      </c>
    </row>
    <row r="102" spans="1:1" x14ac:dyDescent="0.25">
      <c r="A102" t="s">
        <v>572</v>
      </c>
    </row>
    <row r="103" spans="1:1" x14ac:dyDescent="0.25">
      <c r="A103" t="s">
        <v>646</v>
      </c>
    </row>
    <row r="104" spans="1:1" x14ac:dyDescent="0.25">
      <c r="A104" t="s">
        <v>2358</v>
      </c>
    </row>
    <row r="105" spans="1:1" x14ac:dyDescent="0.25">
      <c r="A105" t="s">
        <v>2359</v>
      </c>
    </row>
    <row r="106" spans="1:1" x14ac:dyDescent="0.25">
      <c r="A106" t="s">
        <v>2360</v>
      </c>
    </row>
    <row r="108" spans="1:1" x14ac:dyDescent="0.25">
      <c r="A108" t="s">
        <v>1303</v>
      </c>
    </row>
    <row r="109" spans="1:1" x14ac:dyDescent="0.25">
      <c r="A109" t="s">
        <v>646</v>
      </c>
    </row>
    <row r="110" spans="1:1" x14ac:dyDescent="0.25">
      <c r="A110" t="s">
        <v>792</v>
      </c>
    </row>
    <row r="111" spans="1:1" x14ac:dyDescent="0.25">
      <c r="A111" t="s">
        <v>2361</v>
      </c>
    </row>
    <row r="112" spans="1:1" x14ac:dyDescent="0.25">
      <c r="A112" t="s">
        <v>2362</v>
      </c>
    </row>
    <row r="114" spans="1:2" x14ac:dyDescent="0.25">
      <c r="A114" t="s">
        <v>2363</v>
      </c>
    </row>
    <row r="116" spans="1:2" x14ac:dyDescent="0.25">
      <c r="A116" t="s">
        <v>254</v>
      </c>
    </row>
    <row r="118" spans="1:2" x14ac:dyDescent="0.25">
      <c r="A118" t="s">
        <v>2364</v>
      </c>
    </row>
    <row r="120" spans="1:2" x14ac:dyDescent="0.25">
      <c r="A120" t="s">
        <v>2365</v>
      </c>
    </row>
    <row r="121" spans="1:2" x14ac:dyDescent="0.25">
      <c r="A121" t="s">
        <v>2366</v>
      </c>
    </row>
    <row r="122" spans="1:2" x14ac:dyDescent="0.25">
      <c r="A122" t="s">
        <v>2367</v>
      </c>
    </row>
    <row r="123" spans="1:2" x14ac:dyDescent="0.25">
      <c r="B123" t="s">
        <v>2368</v>
      </c>
    </row>
    <row r="125" spans="1:2" x14ac:dyDescent="0.25">
      <c r="A125" t="s">
        <v>2369</v>
      </c>
    </row>
    <row r="126" spans="1:2" x14ac:dyDescent="0.25">
      <c r="B126" t="s">
        <v>2370</v>
      </c>
    </row>
    <row r="127" spans="1:2" x14ac:dyDescent="0.25">
      <c r="A127" t="s">
        <v>2369</v>
      </c>
    </row>
    <row r="128" spans="1:2" x14ac:dyDescent="0.25">
      <c r="A128" t="s">
        <v>607</v>
      </c>
    </row>
    <row r="129" spans="1:2" x14ac:dyDescent="0.25">
      <c r="A129" t="s">
        <v>1912</v>
      </c>
    </row>
    <row r="130" spans="1:2" x14ac:dyDescent="0.25">
      <c r="A130" t="s">
        <v>2371</v>
      </c>
    </row>
    <row r="131" spans="1:2" x14ac:dyDescent="0.25">
      <c r="A131" t="s">
        <v>2372</v>
      </c>
    </row>
    <row r="132" spans="1:2" x14ac:dyDescent="0.25">
      <c r="A132" t="s">
        <v>2373</v>
      </c>
    </row>
    <row r="133" spans="1:2" x14ac:dyDescent="0.25">
      <c r="A133" t="s">
        <v>2374</v>
      </c>
    </row>
    <row r="134" spans="1:2" x14ac:dyDescent="0.25">
      <c r="A134" t="s">
        <v>2375</v>
      </c>
    </row>
    <row r="136" spans="1:2" x14ac:dyDescent="0.25">
      <c r="A136" t="s">
        <v>2371</v>
      </c>
    </row>
    <row r="137" spans="1:2" x14ac:dyDescent="0.25">
      <c r="A137" t="s">
        <v>2376</v>
      </c>
    </row>
    <row r="138" spans="1:2" x14ac:dyDescent="0.25">
      <c r="A138" t="s">
        <v>2373</v>
      </c>
    </row>
    <row r="139" spans="1:2" x14ac:dyDescent="0.25">
      <c r="A139" t="s">
        <v>2374</v>
      </c>
    </row>
    <row r="140" spans="1:2" x14ac:dyDescent="0.25">
      <c r="A140" t="s">
        <v>2377</v>
      </c>
    </row>
    <row r="142" spans="1:2" x14ac:dyDescent="0.25">
      <c r="A142" t="s">
        <v>2369</v>
      </c>
    </row>
    <row r="143" spans="1:2" x14ac:dyDescent="0.25">
      <c r="B143" t="s">
        <v>2378</v>
      </c>
    </row>
    <row r="144" spans="1:2" x14ac:dyDescent="0.25">
      <c r="A144" t="s">
        <v>2369</v>
      </c>
    </row>
    <row r="145" spans="1:1" x14ac:dyDescent="0.25">
      <c r="A145" t="s">
        <v>607</v>
      </c>
    </row>
    <row r="146" spans="1:1" x14ac:dyDescent="0.25">
      <c r="A146" t="s">
        <v>1912</v>
      </c>
    </row>
    <row r="147" spans="1:1" x14ac:dyDescent="0.25">
      <c r="A147" t="s">
        <v>2371</v>
      </c>
    </row>
    <row r="148" spans="1:1" x14ac:dyDescent="0.25">
      <c r="A148" t="s">
        <v>2379</v>
      </c>
    </row>
    <row r="149" spans="1:1" x14ac:dyDescent="0.25">
      <c r="A149" t="s">
        <v>2373</v>
      </c>
    </row>
    <row r="150" spans="1:1" x14ac:dyDescent="0.25">
      <c r="A150" t="s">
        <v>2374</v>
      </c>
    </row>
    <row r="151" spans="1:1" x14ac:dyDescent="0.25">
      <c r="A151" t="s">
        <v>2375</v>
      </c>
    </row>
    <row r="153" spans="1:1" x14ac:dyDescent="0.25">
      <c r="A153" t="s">
        <v>2371</v>
      </c>
    </row>
    <row r="154" spans="1:1" x14ac:dyDescent="0.25">
      <c r="A154" t="s">
        <v>2380</v>
      </c>
    </row>
    <row r="155" spans="1:1" x14ac:dyDescent="0.25">
      <c r="A155" t="s">
        <v>2373</v>
      </c>
    </row>
    <row r="156" spans="1:1" x14ac:dyDescent="0.25">
      <c r="A156" t="s">
        <v>2374</v>
      </c>
    </row>
    <row r="157" spans="1:1" x14ac:dyDescent="0.25">
      <c r="A157" t="s">
        <v>2377</v>
      </c>
    </row>
    <row r="159" spans="1:1" x14ac:dyDescent="0.25">
      <c r="A159" t="s">
        <v>572</v>
      </c>
    </row>
    <row r="160" spans="1:1" x14ac:dyDescent="0.25">
      <c r="A160" t="s">
        <v>646</v>
      </c>
    </row>
    <row r="161" spans="1:1" x14ac:dyDescent="0.25">
      <c r="A161" t="s">
        <v>2381</v>
      </c>
    </row>
    <row r="162" spans="1:1" x14ac:dyDescent="0.25">
      <c r="A162" t="s">
        <v>2382</v>
      </c>
    </row>
    <row r="163" spans="1:1" x14ac:dyDescent="0.25">
      <c r="A163" t="s">
        <v>258</v>
      </c>
    </row>
    <row r="165" spans="1:1" x14ac:dyDescent="0.25">
      <c r="A165" t="s">
        <v>254</v>
      </c>
    </row>
    <row r="166" spans="1:1" x14ac:dyDescent="0.25">
      <c r="A166" t="s">
        <v>2383</v>
      </c>
    </row>
    <row r="167" spans="1:1" x14ac:dyDescent="0.25">
      <c r="A167" t="s">
        <v>2384</v>
      </c>
    </row>
    <row r="168" spans="1:1" x14ac:dyDescent="0.25">
      <c r="A168" t="s">
        <v>2383</v>
      </c>
    </row>
    <row r="169" spans="1:1" x14ac:dyDescent="0.25">
      <c r="A169" t="s">
        <v>258</v>
      </c>
    </row>
    <row r="170" spans="1:1" x14ac:dyDescent="0.25">
      <c r="A170" t="e">
        <f>-- Find the process given the REG_ID</f>
        <v>#NAME?</v>
      </c>
    </row>
    <row r="171" spans="1:1" x14ac:dyDescent="0.25">
      <c r="A171" t="s">
        <v>2385</v>
      </c>
    </row>
    <row r="172" spans="1:1" x14ac:dyDescent="0.25">
      <c r="A172" t="s">
        <v>2386</v>
      </c>
    </row>
    <row r="173" spans="1:1" x14ac:dyDescent="0.25">
      <c r="A173" t="s">
        <v>2387</v>
      </c>
    </row>
    <row r="174" spans="1:1" x14ac:dyDescent="0.25">
      <c r="A174" t="s">
        <v>2388</v>
      </c>
    </row>
    <row r="176" spans="1:1" x14ac:dyDescent="0.25">
      <c r="A176" t="s">
        <v>467</v>
      </c>
    </row>
    <row r="177" spans="1:1" x14ac:dyDescent="0.25">
      <c r="A177" t="s">
        <v>2389</v>
      </c>
    </row>
    <row r="178" spans="1:1" x14ac:dyDescent="0.25">
      <c r="A178" t="s">
        <v>2154</v>
      </c>
    </row>
    <row r="179" spans="1:1" x14ac:dyDescent="0.25">
      <c r="A179" t="s">
        <v>2155</v>
      </c>
    </row>
    <row r="180" spans="1:1" x14ac:dyDescent="0.25">
      <c r="A180" t="s">
        <v>2156</v>
      </c>
    </row>
    <row r="181" spans="1:1" x14ac:dyDescent="0.25">
      <c r="A181" t="s">
        <v>2390</v>
      </c>
    </row>
    <row r="183" spans="1:1" x14ac:dyDescent="0.25">
      <c r="A183" t="s">
        <v>2391</v>
      </c>
    </row>
    <row r="185" spans="1:1" x14ac:dyDescent="0.25">
      <c r="A185" t="s">
        <v>2153</v>
      </c>
    </row>
    <row r="186" spans="1:1" x14ac:dyDescent="0.25">
      <c r="A186" t="s">
        <v>2154</v>
      </c>
    </row>
    <row r="187" spans="1:1" x14ac:dyDescent="0.25">
      <c r="A187" t="s">
        <v>2155</v>
      </c>
    </row>
    <row r="188" spans="1:1" x14ac:dyDescent="0.25">
      <c r="A188" t="s">
        <v>2156</v>
      </c>
    </row>
    <row r="189" spans="1:1" x14ac:dyDescent="0.25">
      <c r="A189" t="s">
        <v>2157</v>
      </c>
    </row>
    <row r="190" spans="1:1" x14ac:dyDescent="0.25">
      <c r="A190" t="s">
        <v>2158</v>
      </c>
    </row>
    <row r="192" spans="1:1" x14ac:dyDescent="0.25">
      <c r="A192" t="e">
        <f>-- Steps that were actually executed</f>
        <v>#NAME?</v>
      </c>
    </row>
    <row r="193" spans="1:2" x14ac:dyDescent="0.25">
      <c r="A193" t="s">
        <v>2159</v>
      </c>
    </row>
    <row r="194" spans="1:2" x14ac:dyDescent="0.25">
      <c r="A194" t="s">
        <v>2160</v>
      </c>
    </row>
    <row r="195" spans="1:2" x14ac:dyDescent="0.25">
      <c r="A195" t="s">
        <v>2002</v>
      </c>
    </row>
    <row r="196" spans="1:2" x14ac:dyDescent="0.25">
      <c r="A196" t="s">
        <v>2161</v>
      </c>
    </row>
    <row r="197" spans="1:2" x14ac:dyDescent="0.25">
      <c r="A197" t="s">
        <v>2162</v>
      </c>
    </row>
    <row r="198" spans="1:2" x14ac:dyDescent="0.25">
      <c r="A198" t="s">
        <v>2163</v>
      </c>
    </row>
    <row r="199" spans="1:2" x14ac:dyDescent="0.25">
      <c r="A199" t="s">
        <v>2008</v>
      </c>
    </row>
    <row r="201" spans="1:2" x14ac:dyDescent="0.25">
      <c r="A201" t="e">
        <f>-- Possible step actions that could have taken place with this process</f>
        <v>#NAME?</v>
      </c>
    </row>
    <row r="202" spans="1:2" x14ac:dyDescent="0.25">
      <c r="A202" t="s">
        <v>2164</v>
      </c>
    </row>
    <row r="203" spans="1:2" x14ac:dyDescent="0.25">
      <c r="A203" t="s">
        <v>2165</v>
      </c>
    </row>
    <row r="204" spans="1:2" x14ac:dyDescent="0.25">
      <c r="B204" t="s">
        <v>2166</v>
      </c>
    </row>
    <row r="205" spans="1:2" x14ac:dyDescent="0.25">
      <c r="A205" t="s">
        <v>2167</v>
      </c>
    </row>
    <row r="206" spans="1:2" x14ac:dyDescent="0.25">
      <c r="A206" t="s">
        <v>2168</v>
      </c>
    </row>
    <row r="207" spans="1:2" x14ac:dyDescent="0.25">
      <c r="A207" t="s">
        <v>2169</v>
      </c>
    </row>
    <row r="208" spans="1:2" x14ac:dyDescent="0.25">
      <c r="A208" t="s">
        <v>2170</v>
      </c>
    </row>
    <row r="209" spans="1:2" x14ac:dyDescent="0.25">
      <c r="A209" t="s">
        <v>2095</v>
      </c>
    </row>
    <row r="210" spans="1:2" x14ac:dyDescent="0.25">
      <c r="A210" t="s">
        <v>2171</v>
      </c>
    </row>
    <row r="211" spans="1:2" x14ac:dyDescent="0.25">
      <c r="B211" t="s">
        <v>2166</v>
      </c>
    </row>
    <row r="212" spans="1:2" x14ac:dyDescent="0.25">
      <c r="A212" t="s">
        <v>2167</v>
      </c>
    </row>
    <row r="213" spans="1:2" x14ac:dyDescent="0.25">
      <c r="A213" t="s">
        <v>2168</v>
      </c>
    </row>
    <row r="214" spans="1:2" x14ac:dyDescent="0.25">
      <c r="A214" t="s">
        <v>2172</v>
      </c>
    </row>
    <row r="215" spans="1:2" x14ac:dyDescent="0.25">
      <c r="A215" t="s">
        <v>2173</v>
      </c>
    </row>
    <row r="216" spans="1:2" x14ac:dyDescent="0.25">
      <c r="B216" t="s">
        <v>2174</v>
      </c>
    </row>
    <row r="217" spans="1:2" x14ac:dyDescent="0.25">
      <c r="B217" t="s">
        <v>2167</v>
      </c>
    </row>
    <row r="218" spans="1:2" x14ac:dyDescent="0.25">
      <c r="B218" t="s">
        <v>2169</v>
      </c>
    </row>
    <row r="219" spans="1:2" x14ac:dyDescent="0.25">
      <c r="B219" t="s">
        <v>2175</v>
      </c>
    </row>
    <row r="220" spans="1:2" x14ac:dyDescent="0.25">
      <c r="B220" t="s">
        <v>698</v>
      </c>
    </row>
    <row r="221" spans="1:2" x14ac:dyDescent="0.25">
      <c r="A221" t="s">
        <v>2176</v>
      </c>
    </row>
    <row r="223" spans="1:2" x14ac:dyDescent="0.25">
      <c r="A223" t="s">
        <v>2392</v>
      </c>
    </row>
    <row r="225" spans="1:2" x14ac:dyDescent="0.25">
      <c r="A225" t="s">
        <v>538</v>
      </c>
    </row>
    <row r="226" spans="1:2" x14ac:dyDescent="0.25">
      <c r="A226" t="s">
        <v>2393</v>
      </c>
    </row>
    <row r="227" spans="1:2" x14ac:dyDescent="0.25">
      <c r="A227" t="s">
        <v>1931</v>
      </c>
    </row>
    <row r="228" spans="1:2" x14ac:dyDescent="0.25">
      <c r="A228" t="s">
        <v>2394</v>
      </c>
    </row>
    <row r="229" spans="1:2" x14ac:dyDescent="0.25">
      <c r="A229" t="s">
        <v>2395</v>
      </c>
    </row>
    <row r="230" spans="1:2" x14ac:dyDescent="0.25">
      <c r="A230" t="s">
        <v>1933</v>
      </c>
    </row>
    <row r="231" spans="1:2" x14ac:dyDescent="0.25">
      <c r="A231" t="s">
        <v>1935</v>
      </c>
    </row>
    <row r="232" spans="1:2" x14ac:dyDescent="0.25">
      <c r="A232" t="s">
        <v>1936</v>
      </c>
    </row>
    <row r="233" spans="1:2" x14ac:dyDescent="0.25">
      <c r="B233" t="s">
        <v>1937</v>
      </c>
    </row>
    <row r="234" spans="1:2" x14ac:dyDescent="0.25">
      <c r="A234" t="s">
        <v>2396</v>
      </c>
    </row>
    <row r="235" spans="1:2" x14ac:dyDescent="0.25">
      <c r="A235" t="s">
        <v>2397</v>
      </c>
    </row>
    <row r="237" spans="1:2" x14ac:dyDescent="0.25">
      <c r="A237" t="s">
        <v>572</v>
      </c>
    </row>
    <row r="238" spans="1:2" x14ac:dyDescent="0.25">
      <c r="A238" t="s">
        <v>744</v>
      </c>
    </row>
    <row r="239" spans="1:2" x14ac:dyDescent="0.25">
      <c r="A239" t="s">
        <v>2398</v>
      </c>
    </row>
    <row r="240" spans="1:2" x14ac:dyDescent="0.25">
      <c r="A240" t="s">
        <v>1751</v>
      </c>
    </row>
    <row r="241" spans="1:3" x14ac:dyDescent="0.25">
      <c r="A241" t="s">
        <v>745</v>
      </c>
    </row>
    <row r="242" spans="1:3" x14ac:dyDescent="0.25">
      <c r="A242" t="s">
        <v>746</v>
      </c>
    </row>
    <row r="243" spans="1:3" x14ac:dyDescent="0.25">
      <c r="A243" t="s">
        <v>763</v>
      </c>
    </row>
    <row r="244" spans="1:3" x14ac:dyDescent="0.25">
      <c r="A244" t="s">
        <v>874</v>
      </c>
    </row>
    <row r="245" spans="1:3" x14ac:dyDescent="0.25">
      <c r="B245" t="s">
        <v>2399</v>
      </c>
    </row>
    <row r="246" spans="1:3" x14ac:dyDescent="0.25">
      <c r="A246" t="s">
        <v>2400</v>
      </c>
      <c r="B246">
        <v>129868</v>
      </c>
      <c r="C246" s="22">
        <v>41856.135681979169</v>
      </c>
    </row>
    <row r="247" spans="1:3" x14ac:dyDescent="0.25">
      <c r="A247" t="s">
        <v>2401</v>
      </c>
    </row>
    <row r="249" spans="1:3" x14ac:dyDescent="0.25">
      <c r="A249" t="s">
        <v>572</v>
      </c>
    </row>
    <row r="250" spans="1:3" x14ac:dyDescent="0.25">
      <c r="A250" t="s">
        <v>2402</v>
      </c>
    </row>
    <row r="251" spans="1:3" x14ac:dyDescent="0.25">
      <c r="A251" t="s">
        <v>2403</v>
      </c>
    </row>
    <row r="252" spans="1:3" x14ac:dyDescent="0.25">
      <c r="A252" t="s">
        <v>1625</v>
      </c>
    </row>
    <row r="253" spans="1:3" x14ac:dyDescent="0.25">
      <c r="A253" t="s">
        <v>1628</v>
      </c>
    </row>
    <row r="254" spans="1:3" x14ac:dyDescent="0.25">
      <c r="A254" t="s">
        <v>1371</v>
      </c>
    </row>
    <row r="255" spans="1:3" x14ac:dyDescent="0.25">
      <c r="A255" t="s">
        <v>2404</v>
      </c>
    </row>
    <row r="256" spans="1:3" x14ac:dyDescent="0.25">
      <c r="A256" t="s">
        <v>1376</v>
      </c>
    </row>
    <row r="257" spans="1:2" x14ac:dyDescent="0.25">
      <c r="B257" t="s">
        <v>2405</v>
      </c>
    </row>
    <row r="258" spans="1:2" x14ac:dyDescent="0.25">
      <c r="A258" t="s">
        <v>2406</v>
      </c>
    </row>
    <row r="259" spans="1:2" x14ac:dyDescent="0.25">
      <c r="A259" t="s">
        <v>2407</v>
      </c>
    </row>
    <row r="261" spans="1:2" x14ac:dyDescent="0.25">
      <c r="A261" t="s">
        <v>254</v>
      </c>
    </row>
    <row r="262" spans="1:2" x14ac:dyDescent="0.25">
      <c r="A262" t="e">
        <f>-- show all workflows w/mmis errors AND which have had more than one provider Review</f>
        <v>#NAME?</v>
      </c>
    </row>
    <row r="263" spans="1:2" x14ac:dyDescent="0.25">
      <c r="A263" t="s">
        <v>467</v>
      </c>
    </row>
    <row r="264" spans="1:2" x14ac:dyDescent="0.25">
      <c r="A264" t="s">
        <v>2408</v>
      </c>
    </row>
    <row r="265" spans="1:2" x14ac:dyDescent="0.25">
      <c r="A265" t="s">
        <v>2409</v>
      </c>
    </row>
    <row r="266" spans="1:2" x14ac:dyDescent="0.25">
      <c r="A266" t="s">
        <v>890</v>
      </c>
    </row>
    <row r="267" spans="1:2" x14ac:dyDescent="0.25">
      <c r="B267" t="s">
        <v>2410</v>
      </c>
    </row>
    <row r="268" spans="1:2" x14ac:dyDescent="0.25">
      <c r="A268" t="s">
        <v>2411</v>
      </c>
    </row>
    <row r="269" spans="1:2" x14ac:dyDescent="0.25">
      <c r="B269" t="s">
        <v>2412</v>
      </c>
    </row>
    <row r="270" spans="1:2" x14ac:dyDescent="0.25">
      <c r="B270" t="s">
        <v>2413</v>
      </c>
    </row>
    <row r="271" spans="1:2" x14ac:dyDescent="0.25">
      <c r="A271" t="s">
        <v>2414</v>
      </c>
    </row>
    <row r="273" spans="1:1" x14ac:dyDescent="0.25">
      <c r="A273" t="s">
        <v>2415</v>
      </c>
    </row>
    <row r="277" spans="1:1" x14ac:dyDescent="0.25">
      <c r="A277" t="s">
        <v>2416</v>
      </c>
    </row>
    <row r="278" spans="1:1" x14ac:dyDescent="0.25">
      <c r="A278" t="s">
        <v>2417</v>
      </c>
    </row>
    <row r="279" spans="1:1" x14ac:dyDescent="0.25">
      <c r="A279" t="s">
        <v>2418</v>
      </c>
    </row>
    <row r="280" spans="1:1" x14ac:dyDescent="0.25">
      <c r="A280" t="s">
        <v>2419</v>
      </c>
    </row>
    <row r="282" spans="1:1" x14ac:dyDescent="0.25">
      <c r="A282" t="e">
        <f>-- get REG_ID AND TRANSACTION_QUEUE_ID associated with a workflow item</f>
        <v>#NAME?</v>
      </c>
    </row>
    <row r="283" spans="1:1" x14ac:dyDescent="0.25">
      <c r="A283" t="s">
        <v>572</v>
      </c>
    </row>
    <row r="284" spans="1:1" x14ac:dyDescent="0.25">
      <c r="A284" t="s">
        <v>2420</v>
      </c>
    </row>
    <row r="285" spans="1:1" x14ac:dyDescent="0.25">
      <c r="A285" t="s">
        <v>2421</v>
      </c>
    </row>
    <row r="286" spans="1:1" x14ac:dyDescent="0.25">
      <c r="A286" t="s">
        <v>2422</v>
      </c>
    </row>
    <row r="287" spans="1:1" x14ac:dyDescent="0.25">
      <c r="A287" t="s">
        <v>2423</v>
      </c>
    </row>
    <row r="288" spans="1:1" x14ac:dyDescent="0.25">
      <c r="A288" t="s">
        <v>2424</v>
      </c>
    </row>
    <row r="289" spans="1:2" x14ac:dyDescent="0.25">
      <c r="A289" t="s">
        <v>2425</v>
      </c>
    </row>
    <row r="290" spans="1:2" x14ac:dyDescent="0.25">
      <c r="A290" t="s">
        <v>2426</v>
      </c>
    </row>
    <row r="291" spans="1:2" x14ac:dyDescent="0.25">
      <c r="A291" t="s">
        <v>706</v>
      </c>
    </row>
    <row r="292" spans="1:2" x14ac:dyDescent="0.25">
      <c r="A292" t="s">
        <v>697</v>
      </c>
    </row>
    <row r="293" spans="1:2" x14ac:dyDescent="0.25">
      <c r="B293" t="s">
        <v>538</v>
      </c>
    </row>
    <row r="294" spans="1:2" x14ac:dyDescent="0.25">
      <c r="B294" t="s">
        <v>2427</v>
      </c>
    </row>
    <row r="295" spans="1:2" x14ac:dyDescent="0.25">
      <c r="B295" t="s">
        <v>2428</v>
      </c>
    </row>
    <row r="296" spans="1:2" x14ac:dyDescent="0.25">
      <c r="B296" t="s">
        <v>2429</v>
      </c>
    </row>
    <row r="297" spans="1:2" x14ac:dyDescent="0.25">
      <c r="B297" t="s">
        <v>2430</v>
      </c>
    </row>
    <row r="298" spans="1:2" x14ac:dyDescent="0.25">
      <c r="A298" t="s">
        <v>2431</v>
      </c>
    </row>
    <row r="299" spans="1:2" x14ac:dyDescent="0.25">
      <c r="B299" t="s">
        <v>2432</v>
      </c>
    </row>
    <row r="300" spans="1:2" x14ac:dyDescent="0.25">
      <c r="A300" t="s">
        <v>706</v>
      </c>
    </row>
    <row r="301" spans="1:2" x14ac:dyDescent="0.25">
      <c r="A301" t="s">
        <v>697</v>
      </c>
    </row>
    <row r="302" spans="1:2" x14ac:dyDescent="0.25">
      <c r="B302" t="s">
        <v>538</v>
      </c>
    </row>
    <row r="303" spans="1:2" x14ac:dyDescent="0.25">
      <c r="B303" t="s">
        <v>2427</v>
      </c>
    </row>
    <row r="304" spans="1:2" x14ac:dyDescent="0.25">
      <c r="B304" t="s">
        <v>2433</v>
      </c>
    </row>
    <row r="305" spans="1:2" x14ac:dyDescent="0.25">
      <c r="B305" t="s">
        <v>2429</v>
      </c>
    </row>
    <row r="306" spans="1:2" x14ac:dyDescent="0.25">
      <c r="B306" t="s">
        <v>2434</v>
      </c>
    </row>
    <row r="307" spans="1:2" x14ac:dyDescent="0.25">
      <c r="A307" t="s">
        <v>2435</v>
      </c>
    </row>
    <row r="308" spans="1:2" x14ac:dyDescent="0.25">
      <c r="B308" t="s">
        <v>2436</v>
      </c>
    </row>
    <row r="309" spans="1:2" x14ac:dyDescent="0.25">
      <c r="A309" t="s">
        <v>874</v>
      </c>
    </row>
    <row r="310" spans="1:2" x14ac:dyDescent="0.25">
      <c r="B310" t="s">
        <v>2437</v>
      </c>
    </row>
    <row r="311" spans="1:2" x14ac:dyDescent="0.25">
      <c r="A311" t="s">
        <v>2438</v>
      </c>
    </row>
    <row r="313" spans="1:2" x14ac:dyDescent="0.25">
      <c r="A313" t="s">
        <v>467</v>
      </c>
    </row>
    <row r="314" spans="1:2" x14ac:dyDescent="0.25">
      <c r="A314" t="s">
        <v>2408</v>
      </c>
    </row>
    <row r="315" spans="1:2" x14ac:dyDescent="0.25">
      <c r="A315" t="s">
        <v>2439</v>
      </c>
    </row>
    <row r="316" spans="1:2" x14ac:dyDescent="0.25">
      <c r="A316" t="s">
        <v>890</v>
      </c>
    </row>
    <row r="317" spans="1:2" x14ac:dyDescent="0.25">
      <c r="B317" t="s">
        <v>2410</v>
      </c>
    </row>
    <row r="318" spans="1:2" x14ac:dyDescent="0.25">
      <c r="A318" t="s">
        <v>2411</v>
      </c>
    </row>
    <row r="319" spans="1:2" x14ac:dyDescent="0.25">
      <c r="B319" t="s">
        <v>2412</v>
      </c>
    </row>
    <row r="320" spans="1:2" x14ac:dyDescent="0.25">
      <c r="B320" t="s">
        <v>2440</v>
      </c>
    </row>
    <row r="321" spans="1:2" x14ac:dyDescent="0.25">
      <c r="B321" t="s">
        <v>2095</v>
      </c>
    </row>
    <row r="322" spans="1:2" x14ac:dyDescent="0.25">
      <c r="B322" t="s">
        <v>2441</v>
      </c>
    </row>
    <row r="323" spans="1:2" x14ac:dyDescent="0.25">
      <c r="A323" t="s">
        <v>2414</v>
      </c>
    </row>
    <row r="325" spans="1:2" x14ac:dyDescent="0.25">
      <c r="A325" t="s">
        <v>258</v>
      </c>
    </row>
    <row r="327" spans="1:2" x14ac:dyDescent="0.25">
      <c r="A327" t="s">
        <v>254</v>
      </c>
    </row>
    <row r="328" spans="1:2" x14ac:dyDescent="0.25">
      <c r="A328" t="e">
        <f>-- slow down workflow so tester can verify that Group now shows w or w/out errors</f>
        <v>#NAME?</v>
      </c>
    </row>
    <row r="329" spans="1:2" x14ac:dyDescent="0.25">
      <c r="A329" t="s">
        <v>2442</v>
      </c>
    </row>
    <row r="330" spans="1:2" x14ac:dyDescent="0.25">
      <c r="A330" t="s">
        <v>2443</v>
      </c>
    </row>
    <row r="331" spans="1:2" x14ac:dyDescent="0.25">
      <c r="A331" t="s">
        <v>2444</v>
      </c>
    </row>
    <row r="333" spans="1:2" x14ac:dyDescent="0.25">
      <c r="A333" t="s">
        <v>2445</v>
      </c>
    </row>
    <row r="334" spans="1:2" x14ac:dyDescent="0.25">
      <c r="B334" t="s">
        <v>2370</v>
      </c>
    </row>
    <row r="335" spans="1:2" x14ac:dyDescent="0.25">
      <c r="A335" t="s">
        <v>2369</v>
      </c>
    </row>
    <row r="336" spans="1:2" x14ac:dyDescent="0.25">
      <c r="A336" t="s">
        <v>607</v>
      </c>
    </row>
    <row r="337" spans="1:2" x14ac:dyDescent="0.25">
      <c r="A337" t="s">
        <v>1912</v>
      </c>
    </row>
    <row r="338" spans="1:2" x14ac:dyDescent="0.25">
      <c r="A338" t="s">
        <v>2371</v>
      </c>
    </row>
    <row r="339" spans="1:2" x14ac:dyDescent="0.25">
      <c r="A339" t="s">
        <v>2372</v>
      </c>
    </row>
    <row r="340" spans="1:2" x14ac:dyDescent="0.25">
      <c r="A340" t="s">
        <v>2373</v>
      </c>
    </row>
    <row r="341" spans="1:2" x14ac:dyDescent="0.25">
      <c r="A341" t="s">
        <v>2374</v>
      </c>
    </row>
    <row r="342" spans="1:2" x14ac:dyDescent="0.25">
      <c r="A342" t="s">
        <v>2375</v>
      </c>
    </row>
    <row r="344" spans="1:2" x14ac:dyDescent="0.25">
      <c r="A344" t="s">
        <v>2371</v>
      </c>
    </row>
    <row r="345" spans="1:2" x14ac:dyDescent="0.25">
      <c r="A345" t="s">
        <v>2376</v>
      </c>
    </row>
    <row r="346" spans="1:2" x14ac:dyDescent="0.25">
      <c r="A346" t="s">
        <v>2373</v>
      </c>
    </row>
    <row r="347" spans="1:2" x14ac:dyDescent="0.25">
      <c r="A347" t="s">
        <v>2374</v>
      </c>
    </row>
    <row r="348" spans="1:2" x14ac:dyDescent="0.25">
      <c r="A348" t="s">
        <v>2377</v>
      </c>
    </row>
    <row r="350" spans="1:2" x14ac:dyDescent="0.25">
      <c r="A350" t="s">
        <v>2369</v>
      </c>
    </row>
    <row r="351" spans="1:2" x14ac:dyDescent="0.25">
      <c r="B351" t="s">
        <v>2378</v>
      </c>
    </row>
    <row r="352" spans="1:2" x14ac:dyDescent="0.25">
      <c r="A352" t="s">
        <v>2369</v>
      </c>
    </row>
    <row r="353" spans="1:1" x14ac:dyDescent="0.25">
      <c r="A353" t="s">
        <v>607</v>
      </c>
    </row>
    <row r="354" spans="1:1" x14ac:dyDescent="0.25">
      <c r="A354" t="s">
        <v>1912</v>
      </c>
    </row>
    <row r="355" spans="1:1" x14ac:dyDescent="0.25">
      <c r="A355" t="s">
        <v>2371</v>
      </c>
    </row>
    <row r="356" spans="1:1" x14ac:dyDescent="0.25">
      <c r="A356" t="s">
        <v>2379</v>
      </c>
    </row>
    <row r="357" spans="1:1" x14ac:dyDescent="0.25">
      <c r="A357" t="s">
        <v>2373</v>
      </c>
    </row>
    <row r="358" spans="1:1" x14ac:dyDescent="0.25">
      <c r="A358" t="s">
        <v>2374</v>
      </c>
    </row>
    <row r="359" spans="1:1" x14ac:dyDescent="0.25">
      <c r="A359" t="s">
        <v>2375</v>
      </c>
    </row>
    <row r="361" spans="1:1" x14ac:dyDescent="0.25">
      <c r="A361" t="s">
        <v>2371</v>
      </c>
    </row>
    <row r="362" spans="1:1" x14ac:dyDescent="0.25">
      <c r="A362" t="s">
        <v>2380</v>
      </c>
    </row>
    <row r="363" spans="1:1" x14ac:dyDescent="0.25">
      <c r="A363" t="s">
        <v>2373</v>
      </c>
    </row>
    <row r="364" spans="1:1" x14ac:dyDescent="0.25">
      <c r="A364" t="s">
        <v>2374</v>
      </c>
    </row>
    <row r="365" spans="1:1" x14ac:dyDescent="0.25">
      <c r="A365" t="s">
        <v>2377</v>
      </c>
    </row>
    <row r="367" spans="1:1" x14ac:dyDescent="0.25">
      <c r="A367" t="s">
        <v>572</v>
      </c>
    </row>
    <row r="368" spans="1:1" x14ac:dyDescent="0.25">
      <c r="A368" t="s">
        <v>646</v>
      </c>
    </row>
    <row r="369" spans="1:2" x14ac:dyDescent="0.25">
      <c r="A369" t="s">
        <v>2381</v>
      </c>
    </row>
    <row r="370" spans="1:2" x14ac:dyDescent="0.25">
      <c r="A370" t="s">
        <v>2382</v>
      </c>
    </row>
    <row r="373" spans="1:2" x14ac:dyDescent="0.25">
      <c r="A373" t="s">
        <v>538</v>
      </c>
    </row>
    <row r="374" spans="1:2" x14ac:dyDescent="0.25">
      <c r="A374" t="s">
        <v>646</v>
      </c>
    </row>
    <row r="375" spans="1:2" x14ac:dyDescent="0.25">
      <c r="A375" t="s">
        <v>2446</v>
      </c>
    </row>
    <row r="377" spans="1:2" x14ac:dyDescent="0.25">
      <c r="A377" t="s">
        <v>2447</v>
      </c>
    </row>
    <row r="378" spans="1:2" x14ac:dyDescent="0.25">
      <c r="A378" t="s">
        <v>572</v>
      </c>
    </row>
    <row r="379" spans="1:2" x14ac:dyDescent="0.25">
      <c r="A379" t="s">
        <v>2448</v>
      </c>
    </row>
    <row r="380" spans="1:2" x14ac:dyDescent="0.25">
      <c r="A380" t="s">
        <v>1371</v>
      </c>
    </row>
    <row r="381" spans="1:2" x14ac:dyDescent="0.25">
      <c r="A381" t="s">
        <v>1569</v>
      </c>
    </row>
    <row r="382" spans="1:2" x14ac:dyDescent="0.25">
      <c r="A382" t="s">
        <v>1662</v>
      </c>
    </row>
    <row r="383" spans="1:2" x14ac:dyDescent="0.25">
      <c r="A383" t="s">
        <v>1376</v>
      </c>
    </row>
    <row r="384" spans="1:2" x14ac:dyDescent="0.25">
      <c r="B384" t="s">
        <v>2405</v>
      </c>
    </row>
    <row r="385" spans="1:1" x14ac:dyDescent="0.25">
      <c r="A385" t="s">
        <v>671</v>
      </c>
    </row>
    <row r="386" spans="1:1" x14ac:dyDescent="0.25">
      <c r="A386" t="s">
        <v>2448</v>
      </c>
    </row>
    <row r="387" spans="1:1" x14ac:dyDescent="0.25">
      <c r="A387" t="s">
        <v>1371</v>
      </c>
    </row>
    <row r="388" spans="1:1" x14ac:dyDescent="0.25">
      <c r="A388" t="s">
        <v>2449</v>
      </c>
    </row>
    <row r="391" spans="1:1" x14ac:dyDescent="0.25">
      <c r="A391" t="s">
        <v>2450</v>
      </c>
    </row>
    <row r="392" spans="1:1" x14ac:dyDescent="0.25">
      <c r="A392" t="s">
        <v>258</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sqref="A1:B23"/>
    </sheetView>
  </sheetViews>
  <sheetFormatPr defaultRowHeight="15" x14ac:dyDescent="0.25"/>
  <sheetData>
    <row r="1" spans="1:2" x14ac:dyDescent="0.25">
      <c r="A1" t="s">
        <v>572</v>
      </c>
    </row>
    <row r="2" spans="1:2" x14ac:dyDescent="0.25">
      <c r="A2" t="s">
        <v>2326</v>
      </c>
    </row>
    <row r="3" spans="1:2" x14ac:dyDescent="0.25">
      <c r="A3" t="s">
        <v>585</v>
      </c>
    </row>
    <row r="4" spans="1:2" x14ac:dyDescent="0.25">
      <c r="A4" t="s">
        <v>637</v>
      </c>
    </row>
    <row r="5" spans="1:2" x14ac:dyDescent="0.25">
      <c r="A5" t="s">
        <v>636</v>
      </c>
    </row>
    <row r="6" spans="1:2" x14ac:dyDescent="0.25">
      <c r="A6" t="s">
        <v>2179</v>
      </c>
    </row>
    <row r="7" spans="1:2" x14ac:dyDescent="0.25">
      <c r="A7" t="s">
        <v>921</v>
      </c>
    </row>
    <row r="8" spans="1:2" x14ac:dyDescent="0.25">
      <c r="A8" t="s">
        <v>813</v>
      </c>
    </row>
    <row r="9" spans="1:2" x14ac:dyDescent="0.25">
      <c r="B9" t="s">
        <v>1574</v>
      </c>
    </row>
    <row r="10" spans="1:2" x14ac:dyDescent="0.25">
      <c r="A10" t="s">
        <v>1635</v>
      </c>
    </row>
    <row r="11" spans="1:2" x14ac:dyDescent="0.25">
      <c r="B11" t="s">
        <v>2327</v>
      </c>
    </row>
    <row r="12" spans="1:2" x14ac:dyDescent="0.25">
      <c r="A12" t="s">
        <v>2328</v>
      </c>
    </row>
    <row r="14" spans="1:2" x14ac:dyDescent="0.25">
      <c r="A14" t="s">
        <v>572</v>
      </c>
    </row>
    <row r="15" spans="1:2" x14ac:dyDescent="0.25">
      <c r="A15" t="s">
        <v>646</v>
      </c>
    </row>
    <row r="16" spans="1:2" x14ac:dyDescent="0.25">
      <c r="A16" t="s">
        <v>2329</v>
      </c>
    </row>
    <row r="17" spans="1:2" x14ac:dyDescent="0.25">
      <c r="A17" t="s">
        <v>1376</v>
      </c>
    </row>
    <row r="18" spans="1:2" x14ac:dyDescent="0.25">
      <c r="B18" t="s">
        <v>2330</v>
      </c>
    </row>
    <row r="19" spans="1:2" x14ac:dyDescent="0.25">
      <c r="A19" t="s">
        <v>2331</v>
      </c>
    </row>
    <row r="20" spans="1:2" x14ac:dyDescent="0.25">
      <c r="B20" t="s">
        <v>2332</v>
      </c>
    </row>
    <row r="22" spans="1:2" x14ac:dyDescent="0.25">
      <c r="A22" t="s">
        <v>2333</v>
      </c>
    </row>
    <row r="23" spans="1:2" x14ac:dyDescent="0.25">
      <c r="A23" t="s">
        <v>2334</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
  <sheetViews>
    <sheetView workbookViewId="0">
      <selection sqref="A1:A31"/>
    </sheetView>
  </sheetViews>
  <sheetFormatPr defaultRowHeight="15" x14ac:dyDescent="0.25"/>
  <sheetData>
    <row r="1" spans="1:1" x14ac:dyDescent="0.25">
      <c r="A1" t="s">
        <v>2050</v>
      </c>
    </row>
    <row r="2" spans="1:1" x14ac:dyDescent="0.25">
      <c r="A2" t="s">
        <v>2051</v>
      </c>
    </row>
    <row r="4" spans="1:1" x14ac:dyDescent="0.25">
      <c r="A4" t="s">
        <v>572</v>
      </c>
    </row>
    <row r="5" spans="1:1" x14ac:dyDescent="0.25">
      <c r="A5" t="s">
        <v>2052</v>
      </c>
    </row>
    <row r="6" spans="1:1" x14ac:dyDescent="0.25">
      <c r="A6" t="s">
        <v>2053</v>
      </c>
    </row>
    <row r="7" spans="1:1" x14ac:dyDescent="0.25">
      <c r="A7" t="s">
        <v>575</v>
      </c>
    </row>
    <row r="8" spans="1:1" x14ac:dyDescent="0.25">
      <c r="A8" t="s">
        <v>611</v>
      </c>
    </row>
    <row r="9" spans="1:1" x14ac:dyDescent="0.25">
      <c r="A9" t="s">
        <v>2054</v>
      </c>
    </row>
    <row r="11" spans="1:1" x14ac:dyDescent="0.25">
      <c r="A11" t="s">
        <v>572</v>
      </c>
    </row>
    <row r="12" spans="1:1" x14ac:dyDescent="0.25">
      <c r="A12" t="s">
        <v>2055</v>
      </c>
    </row>
    <row r="13" spans="1:1" x14ac:dyDescent="0.25">
      <c r="A13" t="s">
        <v>643</v>
      </c>
    </row>
    <row r="14" spans="1:1" x14ac:dyDescent="0.25">
      <c r="A14" t="s">
        <v>2056</v>
      </c>
    </row>
    <row r="16" spans="1:1" x14ac:dyDescent="0.25">
      <c r="A16" t="s">
        <v>467</v>
      </c>
    </row>
    <row r="17" spans="1:1" x14ac:dyDescent="0.25">
      <c r="A17" t="s">
        <v>2057</v>
      </c>
    </row>
    <row r="18" spans="1:1" x14ac:dyDescent="0.25">
      <c r="A18" t="s">
        <v>1512</v>
      </c>
    </row>
    <row r="19" spans="1:1" x14ac:dyDescent="0.25">
      <c r="A19" t="s">
        <v>2056</v>
      </c>
    </row>
    <row r="21" spans="1:1" x14ac:dyDescent="0.25">
      <c r="A21" t="s">
        <v>254</v>
      </c>
    </row>
    <row r="22" spans="1:1" x14ac:dyDescent="0.25">
      <c r="A22">
        <v>12209583</v>
      </c>
    </row>
    <row r="23" spans="1:1" x14ac:dyDescent="0.25">
      <c r="A23" t="s">
        <v>2058</v>
      </c>
    </row>
    <row r="24" spans="1:1" x14ac:dyDescent="0.25">
      <c r="A24" t="s">
        <v>2059</v>
      </c>
    </row>
    <row r="25" spans="1:1" x14ac:dyDescent="0.25">
      <c r="A25" t="s">
        <v>2060</v>
      </c>
    </row>
    <row r="26" spans="1:1" x14ac:dyDescent="0.25">
      <c r="A26" t="s">
        <v>2061</v>
      </c>
    </row>
    <row r="28" spans="1:1" x14ac:dyDescent="0.25">
      <c r="A28">
        <v>12576398</v>
      </c>
    </row>
    <row r="29" spans="1:1" x14ac:dyDescent="0.25">
      <c r="A29" t="s">
        <v>2062</v>
      </c>
    </row>
    <row r="30" spans="1:1" x14ac:dyDescent="0.25">
      <c r="A30" t="s">
        <v>2063</v>
      </c>
    </row>
    <row r="31" spans="1:1" x14ac:dyDescent="0.25">
      <c r="A31" t="s">
        <v>258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5"/>
  <sheetViews>
    <sheetView workbookViewId="0">
      <selection sqref="A1:C195"/>
    </sheetView>
  </sheetViews>
  <sheetFormatPr defaultRowHeight="15" x14ac:dyDescent="0.25"/>
  <sheetData>
    <row r="1" spans="1:3" x14ac:dyDescent="0.25">
      <c r="A1" t="s">
        <v>254</v>
      </c>
    </row>
    <row r="2" spans="1:3" x14ac:dyDescent="0.25">
      <c r="A2" t="s">
        <v>2084</v>
      </c>
    </row>
    <row r="3" spans="1:3" x14ac:dyDescent="0.25">
      <c r="B3" t="s">
        <v>2085</v>
      </c>
    </row>
    <row r="4" spans="1:3" x14ac:dyDescent="0.25">
      <c r="A4" t="s">
        <v>258</v>
      </c>
    </row>
    <row r="5" spans="1:3" x14ac:dyDescent="0.25">
      <c r="A5" t="s">
        <v>2086</v>
      </c>
    </row>
    <row r="6" spans="1:3" x14ac:dyDescent="0.25">
      <c r="A6" t="s">
        <v>572</v>
      </c>
    </row>
    <row r="7" spans="1:3" x14ac:dyDescent="0.25">
      <c r="A7" t="s">
        <v>646</v>
      </c>
    </row>
    <row r="8" spans="1:3" x14ac:dyDescent="0.25">
      <c r="A8" t="s">
        <v>2087</v>
      </c>
    </row>
    <row r="9" spans="1:3" x14ac:dyDescent="0.25">
      <c r="A9" t="s">
        <v>2088</v>
      </c>
    </row>
    <row r="10" spans="1:3" x14ac:dyDescent="0.25">
      <c r="A10" t="s">
        <v>697</v>
      </c>
    </row>
    <row r="11" spans="1:3" x14ac:dyDescent="0.25">
      <c r="B11" t="s">
        <v>2089</v>
      </c>
    </row>
    <row r="12" spans="1:3" x14ac:dyDescent="0.25">
      <c r="B12" t="s">
        <v>2090</v>
      </c>
    </row>
    <row r="13" spans="1:3" x14ac:dyDescent="0.25">
      <c r="B13" t="s">
        <v>1420</v>
      </c>
    </row>
    <row r="14" spans="1:3" x14ac:dyDescent="0.25">
      <c r="B14" t="s">
        <v>2091</v>
      </c>
    </row>
    <row r="15" spans="1:3" x14ac:dyDescent="0.25">
      <c r="B15" t="s">
        <v>2092</v>
      </c>
    </row>
    <row r="16" spans="1:3" x14ac:dyDescent="0.25">
      <c r="C16" t="s">
        <v>2093</v>
      </c>
    </row>
    <row r="17" spans="1:3" x14ac:dyDescent="0.25">
      <c r="B17" t="s">
        <v>2094</v>
      </c>
    </row>
    <row r="18" spans="1:3" x14ac:dyDescent="0.25">
      <c r="B18" t="e">
        <f>-- ORDER BY COMMUNICATION_EVENT_ID</f>
        <v>#NAME?</v>
      </c>
    </row>
    <row r="19" spans="1:3" x14ac:dyDescent="0.25">
      <c r="B19" t="s">
        <v>2095</v>
      </c>
    </row>
    <row r="20" spans="1:3" x14ac:dyDescent="0.25">
      <c r="B20" t="s">
        <v>2096</v>
      </c>
    </row>
    <row r="21" spans="1:3" x14ac:dyDescent="0.25">
      <c r="B21" t="s">
        <v>2090</v>
      </c>
    </row>
    <row r="22" spans="1:3" x14ac:dyDescent="0.25">
      <c r="B22" t="s">
        <v>2097</v>
      </c>
    </row>
    <row r="23" spans="1:3" x14ac:dyDescent="0.25">
      <c r="B23" t="s">
        <v>2091</v>
      </c>
    </row>
    <row r="24" spans="1:3" x14ac:dyDescent="0.25">
      <c r="B24" t="s">
        <v>624</v>
      </c>
    </row>
    <row r="25" spans="1:3" x14ac:dyDescent="0.25">
      <c r="C25" t="s">
        <v>2098</v>
      </c>
    </row>
    <row r="26" spans="1:3" x14ac:dyDescent="0.25">
      <c r="B26" t="s">
        <v>2099</v>
      </c>
    </row>
    <row r="27" spans="1:3" x14ac:dyDescent="0.25">
      <c r="C27" t="s">
        <v>2100</v>
      </c>
    </row>
    <row r="28" spans="1:3" x14ac:dyDescent="0.25">
      <c r="A28" t="s">
        <v>2101</v>
      </c>
    </row>
    <row r="30" spans="1:3" x14ac:dyDescent="0.25">
      <c r="A30" t="s">
        <v>2102</v>
      </c>
    </row>
    <row r="31" spans="1:3" x14ac:dyDescent="0.25">
      <c r="A31" t="s">
        <v>467</v>
      </c>
    </row>
    <row r="32" spans="1:3" x14ac:dyDescent="0.25">
      <c r="A32" t="s">
        <v>2103</v>
      </c>
    </row>
    <row r="33" spans="1:2" x14ac:dyDescent="0.25">
      <c r="A33" t="s">
        <v>2104</v>
      </c>
    </row>
    <row r="34" spans="1:2" x14ac:dyDescent="0.25">
      <c r="A34" t="s">
        <v>2105</v>
      </c>
    </row>
    <row r="35" spans="1:2" x14ac:dyDescent="0.25">
      <c r="A35" t="s">
        <v>2106</v>
      </c>
    </row>
    <row r="36" spans="1:2" x14ac:dyDescent="0.25">
      <c r="A36" t="s">
        <v>2107</v>
      </c>
    </row>
    <row r="37" spans="1:2" x14ac:dyDescent="0.25">
      <c r="A37" t="s">
        <v>2108</v>
      </c>
    </row>
    <row r="38" spans="1:2" x14ac:dyDescent="0.25">
      <c r="A38" t="s">
        <v>1816</v>
      </c>
    </row>
    <row r="39" spans="1:2" x14ac:dyDescent="0.25">
      <c r="A39" t="s">
        <v>1819</v>
      </c>
    </row>
    <row r="40" spans="1:2" x14ac:dyDescent="0.25">
      <c r="A40" t="s">
        <v>2109</v>
      </c>
    </row>
    <row r="41" spans="1:2" x14ac:dyDescent="0.25">
      <c r="A41" t="s">
        <v>2110</v>
      </c>
    </row>
    <row r="42" spans="1:2" x14ac:dyDescent="0.25">
      <c r="B42" t="s">
        <v>2111</v>
      </c>
    </row>
    <row r="43" spans="1:2" x14ac:dyDescent="0.25">
      <c r="A43" t="s">
        <v>2112</v>
      </c>
    </row>
    <row r="44" spans="1:2" x14ac:dyDescent="0.25">
      <c r="A44" t="s">
        <v>2113</v>
      </c>
    </row>
    <row r="45" spans="1:2" x14ac:dyDescent="0.25">
      <c r="A45" t="s">
        <v>2114</v>
      </c>
    </row>
    <row r="46" spans="1:2" x14ac:dyDescent="0.25">
      <c r="A46" t="s">
        <v>254</v>
      </c>
    </row>
    <row r="47" spans="1:2" x14ac:dyDescent="0.25">
      <c r="A47" t="s">
        <v>2115</v>
      </c>
    </row>
    <row r="48" spans="1:2" x14ac:dyDescent="0.25">
      <c r="A48" t="s">
        <v>2116</v>
      </c>
    </row>
    <row r="49" spans="1:2" x14ac:dyDescent="0.25">
      <c r="A49" t="s">
        <v>258</v>
      </c>
    </row>
    <row r="51" spans="1:2" x14ac:dyDescent="0.25">
      <c r="A51" t="s">
        <v>2117</v>
      </c>
    </row>
    <row r="52" spans="1:2" x14ac:dyDescent="0.25">
      <c r="A52" t="s">
        <v>467</v>
      </c>
    </row>
    <row r="53" spans="1:2" x14ac:dyDescent="0.25">
      <c r="A53" t="s">
        <v>2118</v>
      </c>
    </row>
    <row r="54" spans="1:2" x14ac:dyDescent="0.25">
      <c r="A54" t="s">
        <v>2119</v>
      </c>
    </row>
    <row r="55" spans="1:2" x14ac:dyDescent="0.25">
      <c r="A55" t="s">
        <v>2120</v>
      </c>
    </row>
    <row r="56" spans="1:2" x14ac:dyDescent="0.25">
      <c r="A56" t="s">
        <v>2121</v>
      </c>
    </row>
    <row r="57" spans="1:2" x14ac:dyDescent="0.25">
      <c r="B57" t="s">
        <v>2122</v>
      </c>
    </row>
    <row r="58" spans="1:2" x14ac:dyDescent="0.25">
      <c r="A58" t="s">
        <v>254</v>
      </c>
    </row>
    <row r="59" spans="1:2" x14ac:dyDescent="0.25">
      <c r="A59" t="s">
        <v>2123</v>
      </c>
    </row>
    <row r="60" spans="1:2" x14ac:dyDescent="0.25">
      <c r="A60" t="s">
        <v>258</v>
      </c>
    </row>
    <row r="62" spans="1:2" x14ac:dyDescent="0.25">
      <c r="A62" t="s">
        <v>2124</v>
      </c>
    </row>
    <row r="63" spans="1:2" x14ac:dyDescent="0.25">
      <c r="A63" t="s">
        <v>467</v>
      </c>
    </row>
    <row r="64" spans="1:2" x14ac:dyDescent="0.25">
      <c r="A64" t="s">
        <v>635</v>
      </c>
    </row>
    <row r="65" spans="1:2" x14ac:dyDescent="0.25">
      <c r="A65" t="s">
        <v>1420</v>
      </c>
    </row>
    <row r="66" spans="1:2" x14ac:dyDescent="0.25">
      <c r="A66" t="s">
        <v>637</v>
      </c>
    </row>
    <row r="67" spans="1:2" x14ac:dyDescent="0.25">
      <c r="A67" t="s">
        <v>636</v>
      </c>
    </row>
    <row r="68" spans="1:2" x14ac:dyDescent="0.25">
      <c r="A68" t="s">
        <v>2125</v>
      </c>
    </row>
    <row r="69" spans="1:2" x14ac:dyDescent="0.25">
      <c r="A69" t="s">
        <v>2126</v>
      </c>
    </row>
    <row r="70" spans="1:2" x14ac:dyDescent="0.25">
      <c r="A70" t="s">
        <v>813</v>
      </c>
    </row>
    <row r="71" spans="1:2" x14ac:dyDescent="0.25">
      <c r="B71" t="s">
        <v>2127</v>
      </c>
    </row>
    <row r="72" spans="1:2" x14ac:dyDescent="0.25">
      <c r="A72" t="s">
        <v>2128</v>
      </c>
    </row>
    <row r="73" spans="1:2" x14ac:dyDescent="0.25">
      <c r="B73" t="s">
        <v>2129</v>
      </c>
    </row>
    <row r="75" spans="1:2" x14ac:dyDescent="0.25">
      <c r="A75" t="s">
        <v>467</v>
      </c>
    </row>
    <row r="76" spans="1:2" x14ac:dyDescent="0.25">
      <c r="A76" t="s">
        <v>635</v>
      </c>
    </row>
    <row r="77" spans="1:2" x14ac:dyDescent="0.25">
      <c r="A77" t="s">
        <v>637</v>
      </c>
    </row>
    <row r="78" spans="1:2" x14ac:dyDescent="0.25">
      <c r="A78" t="s">
        <v>636</v>
      </c>
    </row>
    <row r="79" spans="1:2" x14ac:dyDescent="0.25">
      <c r="A79" t="s">
        <v>1420</v>
      </c>
    </row>
    <row r="80" spans="1:2" x14ac:dyDescent="0.25">
      <c r="A80" t="s">
        <v>2130</v>
      </c>
    </row>
    <row r="81" spans="1:2" x14ac:dyDescent="0.25">
      <c r="A81" t="s">
        <v>593</v>
      </c>
    </row>
    <row r="82" spans="1:2" x14ac:dyDescent="0.25">
      <c r="A82" t="s">
        <v>2128</v>
      </c>
    </row>
    <row r="83" spans="1:2" x14ac:dyDescent="0.25">
      <c r="B83" t="s">
        <v>2129</v>
      </c>
    </row>
    <row r="84" spans="1:2" x14ac:dyDescent="0.25">
      <c r="A84" t="s">
        <v>706</v>
      </c>
    </row>
    <row r="85" spans="1:2" x14ac:dyDescent="0.25">
      <c r="A85" t="s">
        <v>697</v>
      </c>
    </row>
    <row r="86" spans="1:2" x14ac:dyDescent="0.25">
      <c r="B86" t="s">
        <v>538</v>
      </c>
    </row>
    <row r="87" spans="1:2" x14ac:dyDescent="0.25">
      <c r="B87" t="s">
        <v>384</v>
      </c>
    </row>
    <row r="88" spans="1:2" x14ac:dyDescent="0.25">
      <c r="B88" t="s">
        <v>1862</v>
      </c>
    </row>
    <row r="89" spans="1:2" x14ac:dyDescent="0.25">
      <c r="B89" t="s">
        <v>2131</v>
      </c>
    </row>
    <row r="90" spans="1:2" x14ac:dyDescent="0.25">
      <c r="B90" t="s">
        <v>2132</v>
      </c>
    </row>
    <row r="91" spans="1:2" x14ac:dyDescent="0.25">
      <c r="B91" t="s">
        <v>644</v>
      </c>
    </row>
    <row r="92" spans="1:2" x14ac:dyDescent="0.25">
      <c r="B92" t="s">
        <v>384</v>
      </c>
    </row>
    <row r="93" spans="1:2" x14ac:dyDescent="0.25">
      <c r="A93" t="s">
        <v>2133</v>
      </c>
    </row>
    <row r="94" spans="1:2" x14ac:dyDescent="0.25">
      <c r="B94" t="s">
        <v>2127</v>
      </c>
    </row>
    <row r="96" spans="1:2" x14ac:dyDescent="0.25">
      <c r="A96" t="s">
        <v>254</v>
      </c>
    </row>
    <row r="97" spans="1:1" x14ac:dyDescent="0.25">
      <c r="A97" t="s">
        <v>2134</v>
      </c>
    </row>
    <row r="98" spans="1:1" x14ac:dyDescent="0.25">
      <c r="A98" t="s">
        <v>258</v>
      </c>
    </row>
    <row r="100" spans="1:1" x14ac:dyDescent="0.25">
      <c r="A100" t="s">
        <v>254</v>
      </c>
    </row>
    <row r="101" spans="1:1" x14ac:dyDescent="0.25">
      <c r="A101" t="s">
        <v>2135</v>
      </c>
    </row>
    <row r="102" spans="1:1" x14ac:dyDescent="0.25">
      <c r="A102" t="s">
        <v>2136</v>
      </c>
    </row>
    <row r="103" spans="1:1" x14ac:dyDescent="0.25">
      <c r="A103" t="s">
        <v>2137</v>
      </c>
    </row>
    <row r="104" spans="1:1" x14ac:dyDescent="0.25">
      <c r="A104" t="s">
        <v>2138</v>
      </c>
    </row>
    <row r="105" spans="1:1" x14ac:dyDescent="0.25">
      <c r="A105" t="s">
        <v>258</v>
      </c>
    </row>
    <row r="107" spans="1:1" x14ac:dyDescent="0.25">
      <c r="A107" t="e">
        <f>-- EXEC usp_DataHealthCheck</f>
        <v>#NAME?</v>
      </c>
    </row>
    <row r="108" spans="1:1" x14ac:dyDescent="0.25">
      <c r="A108" t="s">
        <v>2139</v>
      </c>
    </row>
    <row r="109" spans="1:1" x14ac:dyDescent="0.25">
      <c r="A109" t="s">
        <v>2140</v>
      </c>
    </row>
    <row r="110" spans="1:1" x14ac:dyDescent="0.25">
      <c r="A110" t="s">
        <v>2141</v>
      </c>
    </row>
    <row r="111" spans="1:1" x14ac:dyDescent="0.25">
      <c r="A111" t="s">
        <v>2142</v>
      </c>
    </row>
    <row r="113" spans="1:2" x14ac:dyDescent="0.25">
      <c r="A113" t="s">
        <v>254</v>
      </c>
    </row>
    <row r="114" spans="1:2" x14ac:dyDescent="0.25">
      <c r="A114" t="s">
        <v>467</v>
      </c>
    </row>
    <row r="115" spans="1:2" x14ac:dyDescent="0.25">
      <c r="A115" t="s">
        <v>2103</v>
      </c>
    </row>
    <row r="116" spans="1:2" x14ac:dyDescent="0.25">
      <c r="A116" t="s">
        <v>2104</v>
      </c>
    </row>
    <row r="117" spans="1:2" x14ac:dyDescent="0.25">
      <c r="A117" t="s">
        <v>2105</v>
      </c>
    </row>
    <row r="118" spans="1:2" x14ac:dyDescent="0.25">
      <c r="A118" t="s">
        <v>2106</v>
      </c>
    </row>
    <row r="119" spans="1:2" x14ac:dyDescent="0.25">
      <c r="A119" t="s">
        <v>2107</v>
      </c>
    </row>
    <row r="120" spans="1:2" x14ac:dyDescent="0.25">
      <c r="A120" t="s">
        <v>2143</v>
      </c>
    </row>
    <row r="121" spans="1:2" x14ac:dyDescent="0.25">
      <c r="A121" t="s">
        <v>1816</v>
      </c>
    </row>
    <row r="122" spans="1:2" x14ac:dyDescent="0.25">
      <c r="A122" t="s">
        <v>1819</v>
      </c>
    </row>
    <row r="123" spans="1:2" x14ac:dyDescent="0.25">
      <c r="A123" t="s">
        <v>2109</v>
      </c>
    </row>
    <row r="124" spans="1:2" x14ac:dyDescent="0.25">
      <c r="A124" t="s">
        <v>2110</v>
      </c>
    </row>
    <row r="125" spans="1:2" x14ac:dyDescent="0.25">
      <c r="B125" t="s">
        <v>2111</v>
      </c>
    </row>
    <row r="126" spans="1:2" x14ac:dyDescent="0.25">
      <c r="A126" t="s">
        <v>624</v>
      </c>
    </row>
    <row r="127" spans="1:2" x14ac:dyDescent="0.25">
      <c r="B127" t="s">
        <v>2144</v>
      </c>
    </row>
    <row r="128" spans="1:2" x14ac:dyDescent="0.25">
      <c r="A128" t="s">
        <v>2112</v>
      </c>
    </row>
    <row r="129" spans="1:2" x14ac:dyDescent="0.25">
      <c r="A129" t="s">
        <v>247</v>
      </c>
      <c r="B129" t="s">
        <v>2145</v>
      </c>
    </row>
    <row r="130" spans="1:2" x14ac:dyDescent="0.25">
      <c r="A130" t="s">
        <v>634</v>
      </c>
    </row>
    <row r="131" spans="1:2" x14ac:dyDescent="0.25">
      <c r="A131" t="s">
        <v>2118</v>
      </c>
    </row>
    <row r="132" spans="1:2" x14ac:dyDescent="0.25">
      <c r="A132" t="s">
        <v>258</v>
      </c>
    </row>
    <row r="135" spans="1:2" x14ac:dyDescent="0.25">
      <c r="A135" t="s">
        <v>572</v>
      </c>
    </row>
    <row r="136" spans="1:2" x14ac:dyDescent="0.25">
      <c r="A136" t="s">
        <v>807</v>
      </c>
    </row>
    <row r="137" spans="1:2" x14ac:dyDescent="0.25">
      <c r="A137" t="s">
        <v>1579</v>
      </c>
    </row>
    <row r="138" spans="1:2" x14ac:dyDescent="0.25">
      <c r="A138" t="s">
        <v>637</v>
      </c>
    </row>
    <row r="139" spans="1:2" x14ac:dyDescent="0.25">
      <c r="A139" t="s">
        <v>636</v>
      </c>
    </row>
    <row r="140" spans="1:2" x14ac:dyDescent="0.25">
      <c r="A140" t="s">
        <v>2146</v>
      </c>
    </row>
    <row r="141" spans="1:2" x14ac:dyDescent="0.25">
      <c r="A141" t="s">
        <v>593</v>
      </c>
    </row>
    <row r="142" spans="1:2" x14ac:dyDescent="0.25">
      <c r="A142" t="s">
        <v>2147</v>
      </c>
    </row>
    <row r="143" spans="1:2" x14ac:dyDescent="0.25">
      <c r="B143" t="s">
        <v>2148</v>
      </c>
    </row>
    <row r="144" spans="1:2" x14ac:dyDescent="0.25">
      <c r="A144" t="s">
        <v>2149</v>
      </c>
    </row>
    <row r="145" spans="1:1" x14ac:dyDescent="0.25">
      <c r="A145" s="24">
        <v>-1.10472126578129E+77</v>
      </c>
    </row>
    <row r="146" spans="1:1" x14ac:dyDescent="0.25">
      <c r="A146" t="s">
        <v>634</v>
      </c>
    </row>
    <row r="147" spans="1:1" x14ac:dyDescent="0.25">
      <c r="A147" t="s">
        <v>807</v>
      </c>
    </row>
    <row r="148" spans="1:1" x14ac:dyDescent="0.25">
      <c r="A148" t="s">
        <v>1579</v>
      </c>
    </row>
    <row r="150" spans="1:1" x14ac:dyDescent="0.25">
      <c r="A150" t="s">
        <v>572</v>
      </c>
    </row>
    <row r="151" spans="1:1" x14ac:dyDescent="0.25">
      <c r="A151" t="s">
        <v>646</v>
      </c>
    </row>
    <row r="152" spans="1:1" x14ac:dyDescent="0.25">
      <c r="A152" t="s">
        <v>2150</v>
      </c>
    </row>
    <row r="153" spans="1:1" x14ac:dyDescent="0.25">
      <c r="A153" t="s">
        <v>2151</v>
      </c>
    </row>
    <row r="154" spans="1:1" x14ac:dyDescent="0.25">
      <c r="A154" s="24">
        <v>-2.83454494496288E+72</v>
      </c>
    </row>
    <row r="156" spans="1:1" x14ac:dyDescent="0.25">
      <c r="A156" t="e">
        <f>-- Find the process given the REG_ID</f>
        <v>#NAME?</v>
      </c>
    </row>
    <row r="157" spans="1:1" x14ac:dyDescent="0.25">
      <c r="A157" t="s">
        <v>2152</v>
      </c>
    </row>
    <row r="159" spans="1:1" x14ac:dyDescent="0.25">
      <c r="A159" t="s">
        <v>2153</v>
      </c>
    </row>
    <row r="160" spans="1:1" x14ac:dyDescent="0.25">
      <c r="A160" t="s">
        <v>2154</v>
      </c>
    </row>
    <row r="161" spans="1:1" x14ac:dyDescent="0.25">
      <c r="A161" t="s">
        <v>2155</v>
      </c>
    </row>
    <row r="162" spans="1:1" x14ac:dyDescent="0.25">
      <c r="A162" t="s">
        <v>2156</v>
      </c>
    </row>
    <row r="163" spans="1:1" x14ac:dyDescent="0.25">
      <c r="A163" t="s">
        <v>2157</v>
      </c>
    </row>
    <row r="164" spans="1:1" x14ac:dyDescent="0.25">
      <c r="A164" t="s">
        <v>2158</v>
      </c>
    </row>
    <row r="166" spans="1:1" x14ac:dyDescent="0.25">
      <c r="A166" t="e">
        <f>-- Steps that were actually executed</f>
        <v>#NAME?</v>
      </c>
    </row>
    <row r="167" spans="1:1" x14ac:dyDescent="0.25">
      <c r="A167" t="s">
        <v>2159</v>
      </c>
    </row>
    <row r="168" spans="1:1" x14ac:dyDescent="0.25">
      <c r="A168" t="s">
        <v>2160</v>
      </c>
    </row>
    <row r="169" spans="1:1" x14ac:dyDescent="0.25">
      <c r="A169" t="s">
        <v>2002</v>
      </c>
    </row>
    <row r="170" spans="1:1" x14ac:dyDescent="0.25">
      <c r="A170" t="s">
        <v>2161</v>
      </c>
    </row>
    <row r="171" spans="1:1" x14ac:dyDescent="0.25">
      <c r="A171" t="s">
        <v>2162</v>
      </c>
    </row>
    <row r="172" spans="1:1" x14ac:dyDescent="0.25">
      <c r="A172" t="s">
        <v>2163</v>
      </c>
    </row>
    <row r="173" spans="1:1" x14ac:dyDescent="0.25">
      <c r="A173" t="s">
        <v>2008</v>
      </c>
    </row>
    <row r="175" spans="1:1" x14ac:dyDescent="0.25">
      <c r="A175" t="e">
        <f>-- Possible step actions that could have taken place with this process</f>
        <v>#NAME?</v>
      </c>
    </row>
    <row r="176" spans="1:1" x14ac:dyDescent="0.25">
      <c r="A176" t="s">
        <v>2164</v>
      </c>
    </row>
    <row r="177" spans="1:2" x14ac:dyDescent="0.25">
      <c r="A177" t="s">
        <v>2165</v>
      </c>
    </row>
    <row r="178" spans="1:2" x14ac:dyDescent="0.25">
      <c r="B178" t="s">
        <v>2166</v>
      </c>
    </row>
    <row r="179" spans="1:2" x14ac:dyDescent="0.25">
      <c r="A179" t="s">
        <v>2167</v>
      </c>
    </row>
    <row r="180" spans="1:2" x14ac:dyDescent="0.25">
      <c r="A180" t="s">
        <v>2168</v>
      </c>
    </row>
    <row r="181" spans="1:2" x14ac:dyDescent="0.25">
      <c r="A181" t="s">
        <v>2169</v>
      </c>
    </row>
    <row r="182" spans="1:2" x14ac:dyDescent="0.25">
      <c r="A182" t="s">
        <v>2170</v>
      </c>
    </row>
    <row r="183" spans="1:2" x14ac:dyDescent="0.25">
      <c r="A183" t="s">
        <v>2095</v>
      </c>
    </row>
    <row r="184" spans="1:2" x14ac:dyDescent="0.25">
      <c r="A184" t="s">
        <v>2171</v>
      </c>
    </row>
    <row r="185" spans="1:2" x14ac:dyDescent="0.25">
      <c r="B185" t="s">
        <v>2166</v>
      </c>
    </row>
    <row r="186" spans="1:2" x14ac:dyDescent="0.25">
      <c r="A186" t="s">
        <v>2167</v>
      </c>
    </row>
    <row r="187" spans="1:2" x14ac:dyDescent="0.25">
      <c r="A187" t="s">
        <v>2168</v>
      </c>
    </row>
    <row r="188" spans="1:2" x14ac:dyDescent="0.25">
      <c r="A188" t="s">
        <v>2172</v>
      </c>
    </row>
    <row r="189" spans="1:2" x14ac:dyDescent="0.25">
      <c r="A189" t="s">
        <v>2173</v>
      </c>
    </row>
    <row r="190" spans="1:2" x14ac:dyDescent="0.25">
      <c r="B190" t="s">
        <v>2174</v>
      </c>
    </row>
    <row r="191" spans="1:2" x14ac:dyDescent="0.25">
      <c r="B191" t="s">
        <v>2167</v>
      </c>
    </row>
    <row r="192" spans="1:2" x14ac:dyDescent="0.25">
      <c r="B192" t="s">
        <v>2169</v>
      </c>
    </row>
    <row r="193" spans="1:2" x14ac:dyDescent="0.25">
      <c r="B193" t="s">
        <v>2175</v>
      </c>
    </row>
    <row r="194" spans="1:2" x14ac:dyDescent="0.25">
      <c r="B194" t="s">
        <v>698</v>
      </c>
    </row>
    <row r="195" spans="1:2" x14ac:dyDescent="0.25">
      <c r="A195" t="s">
        <v>2176</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election sqref="A1:A19"/>
    </sheetView>
  </sheetViews>
  <sheetFormatPr defaultRowHeight="15" x14ac:dyDescent="0.25"/>
  <sheetData>
    <row r="1" spans="1:1" x14ac:dyDescent="0.25">
      <c r="A1" t="s">
        <v>572</v>
      </c>
    </row>
    <row r="2" spans="1:1" x14ac:dyDescent="0.25">
      <c r="A2" t="s">
        <v>646</v>
      </c>
    </row>
    <row r="3" spans="1:1" x14ac:dyDescent="0.25">
      <c r="A3" t="s">
        <v>611</v>
      </c>
    </row>
    <row r="4" spans="1:1" x14ac:dyDescent="0.25">
      <c r="A4" t="s">
        <v>2321</v>
      </c>
    </row>
    <row r="6" spans="1:1" x14ac:dyDescent="0.25">
      <c r="A6" t="s">
        <v>572</v>
      </c>
    </row>
    <row r="7" spans="1:1" x14ac:dyDescent="0.25">
      <c r="A7" t="s">
        <v>646</v>
      </c>
    </row>
    <row r="8" spans="1:1" x14ac:dyDescent="0.25">
      <c r="A8" t="s">
        <v>669</v>
      </c>
    </row>
    <row r="9" spans="1:1" x14ac:dyDescent="0.25">
      <c r="A9" t="s">
        <v>2322</v>
      </c>
    </row>
    <row r="11" spans="1:1" x14ac:dyDescent="0.25">
      <c r="A11" t="s">
        <v>572</v>
      </c>
    </row>
    <row r="12" spans="1:1" x14ac:dyDescent="0.25">
      <c r="A12" t="s">
        <v>646</v>
      </c>
    </row>
    <row r="13" spans="1:1" x14ac:dyDescent="0.25">
      <c r="A13" t="s">
        <v>1437</v>
      </c>
    </row>
    <row r="14" spans="1:1" x14ac:dyDescent="0.25">
      <c r="A14" t="s">
        <v>2323</v>
      </c>
    </row>
    <row r="16" spans="1:1" x14ac:dyDescent="0.25">
      <c r="A16" t="s">
        <v>572</v>
      </c>
    </row>
    <row r="17" spans="1:1" x14ac:dyDescent="0.25">
      <c r="A17" t="s">
        <v>646</v>
      </c>
    </row>
    <row r="18" spans="1:1" x14ac:dyDescent="0.25">
      <c r="A18" t="s">
        <v>2324</v>
      </c>
    </row>
    <row r="19" spans="1:1" x14ac:dyDescent="0.25">
      <c r="A19" t="s">
        <v>2325</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5"/>
  <sheetViews>
    <sheetView workbookViewId="0"/>
  </sheetViews>
  <sheetFormatPr defaultRowHeight="15" x14ac:dyDescent="0.25"/>
  <sheetData>
    <row r="1" spans="1:2" x14ac:dyDescent="0.25">
      <c r="A1" t="s">
        <v>2177</v>
      </c>
    </row>
    <row r="2" spans="1:2" x14ac:dyDescent="0.25">
      <c r="A2" t="s">
        <v>467</v>
      </c>
    </row>
    <row r="3" spans="1:2" x14ac:dyDescent="0.25">
      <c r="A3" t="s">
        <v>2178</v>
      </c>
    </row>
    <row r="4" spans="1:2" x14ac:dyDescent="0.25">
      <c r="A4" t="s">
        <v>2179</v>
      </c>
    </row>
    <row r="5" spans="1:2" x14ac:dyDescent="0.25">
      <c r="A5" t="s">
        <v>2180</v>
      </c>
    </row>
    <row r="6" spans="1:2" x14ac:dyDescent="0.25">
      <c r="A6" t="s">
        <v>2181</v>
      </c>
    </row>
    <row r="7" spans="1:2" x14ac:dyDescent="0.25">
      <c r="A7" t="s">
        <v>1440</v>
      </c>
    </row>
    <row r="8" spans="1:2" x14ac:dyDescent="0.25">
      <c r="B8" t="s">
        <v>2182</v>
      </c>
    </row>
    <row r="9" spans="1:2" x14ac:dyDescent="0.25">
      <c r="A9" t="s">
        <v>2183</v>
      </c>
    </row>
    <row r="10" spans="1:2" x14ac:dyDescent="0.25">
      <c r="B10" t="s">
        <v>2184</v>
      </c>
    </row>
    <row r="11" spans="1:2" x14ac:dyDescent="0.25">
      <c r="A11" t="s">
        <v>2185</v>
      </c>
    </row>
    <row r="13" spans="1:2" x14ac:dyDescent="0.25">
      <c r="A13" t="s">
        <v>2186</v>
      </c>
    </row>
    <row r="14" spans="1:2" x14ac:dyDescent="0.25">
      <c r="A14" t="s">
        <v>538</v>
      </c>
    </row>
    <row r="15" spans="1:2" x14ac:dyDescent="0.25">
      <c r="A15" t="s">
        <v>2178</v>
      </c>
    </row>
    <row r="16" spans="1:2" x14ac:dyDescent="0.25">
      <c r="A16" t="s">
        <v>2187</v>
      </c>
    </row>
    <row r="17" spans="1:2" x14ac:dyDescent="0.25">
      <c r="A17" t="s">
        <v>2188</v>
      </c>
    </row>
    <row r="18" spans="1:2" x14ac:dyDescent="0.25">
      <c r="A18" t="s">
        <v>2189</v>
      </c>
    </row>
    <row r="19" spans="1:2" x14ac:dyDescent="0.25">
      <c r="A19" t="s">
        <v>2190</v>
      </c>
    </row>
    <row r="20" spans="1:2" x14ac:dyDescent="0.25">
      <c r="B20" t="s">
        <v>2191</v>
      </c>
    </row>
    <row r="21" spans="1:2" x14ac:dyDescent="0.25">
      <c r="A21" t="s">
        <v>671</v>
      </c>
    </row>
    <row r="22" spans="1:2" x14ac:dyDescent="0.25">
      <c r="A22" t="s">
        <v>2178</v>
      </c>
    </row>
    <row r="23" spans="1:2" x14ac:dyDescent="0.25">
      <c r="A23" t="s">
        <v>2192</v>
      </c>
    </row>
    <row r="25" spans="1:2" x14ac:dyDescent="0.25">
      <c r="A25" t="s">
        <v>2193</v>
      </c>
    </row>
    <row r="26" spans="1:2" x14ac:dyDescent="0.25">
      <c r="A26" t="s">
        <v>572</v>
      </c>
    </row>
    <row r="27" spans="1:2" x14ac:dyDescent="0.25">
      <c r="A27" t="s">
        <v>2194</v>
      </c>
    </row>
    <row r="28" spans="1:2" x14ac:dyDescent="0.25">
      <c r="A28" t="s">
        <v>2195</v>
      </c>
    </row>
    <row r="29" spans="1:2" x14ac:dyDescent="0.25">
      <c r="A29" t="s">
        <v>2196</v>
      </c>
    </row>
    <row r="30" spans="1:2" x14ac:dyDescent="0.25">
      <c r="A30" t="s">
        <v>2197</v>
      </c>
    </row>
    <row r="31" spans="1:2" x14ac:dyDescent="0.25">
      <c r="A31" t="s">
        <v>2198</v>
      </c>
    </row>
    <row r="32" spans="1:2" x14ac:dyDescent="0.25">
      <c r="A32" t="s">
        <v>706</v>
      </c>
    </row>
    <row r="33" spans="1:3" x14ac:dyDescent="0.25">
      <c r="A33" t="s">
        <v>697</v>
      </c>
    </row>
    <row r="34" spans="1:3" x14ac:dyDescent="0.25">
      <c r="B34" t="s">
        <v>2199</v>
      </c>
    </row>
    <row r="35" spans="1:3" x14ac:dyDescent="0.25">
      <c r="B35" t="s">
        <v>2198</v>
      </c>
    </row>
    <row r="36" spans="1:3" x14ac:dyDescent="0.25">
      <c r="B36" t="s">
        <v>2200</v>
      </c>
    </row>
    <row r="37" spans="1:3" x14ac:dyDescent="0.25">
      <c r="C37" t="s">
        <v>2201</v>
      </c>
    </row>
    <row r="38" spans="1:3" x14ac:dyDescent="0.25">
      <c r="C38" t="s">
        <v>2202</v>
      </c>
    </row>
    <row r="39" spans="1:3" x14ac:dyDescent="0.25">
      <c r="A39" t="s">
        <v>2203</v>
      </c>
    </row>
    <row r="40" spans="1:3" x14ac:dyDescent="0.25">
      <c r="B40" t="s">
        <v>2204</v>
      </c>
    </row>
    <row r="41" spans="1:3" x14ac:dyDescent="0.25">
      <c r="A41" t="s">
        <v>2205</v>
      </c>
    </row>
    <row r="42" spans="1:3" x14ac:dyDescent="0.25">
      <c r="A42" t="s">
        <v>671</v>
      </c>
    </row>
    <row r="43" spans="1:3" x14ac:dyDescent="0.25">
      <c r="A43" t="s">
        <v>2194</v>
      </c>
    </row>
    <row r="44" spans="1:3" x14ac:dyDescent="0.25">
      <c r="A44" t="s">
        <v>2195</v>
      </c>
    </row>
    <row r="45" spans="1:3" x14ac:dyDescent="0.25">
      <c r="A45" t="s">
        <v>2206</v>
      </c>
    </row>
    <row r="46" spans="1:3" x14ac:dyDescent="0.25">
      <c r="A46" t="s">
        <v>2207</v>
      </c>
    </row>
    <row r="48" spans="1:3" x14ac:dyDescent="0.25">
      <c r="A48" t="s">
        <v>244</v>
      </c>
    </row>
    <row r="49" spans="1:2" x14ac:dyDescent="0.25">
      <c r="A49" t="s">
        <v>2208</v>
      </c>
    </row>
    <row r="50" spans="1:2" x14ac:dyDescent="0.25">
      <c r="A50" t="s">
        <v>2183</v>
      </c>
    </row>
    <row r="52" spans="1:2" x14ac:dyDescent="0.25">
      <c r="A52" t="s">
        <v>244</v>
      </c>
    </row>
    <row r="53" spans="1:2" x14ac:dyDescent="0.25">
      <c r="A53" t="s">
        <v>2209</v>
      </c>
    </row>
    <row r="54" spans="1:2" x14ac:dyDescent="0.25">
      <c r="A54" t="s">
        <v>16</v>
      </c>
    </row>
    <row r="55" spans="1:2" x14ac:dyDescent="0.25">
      <c r="B55" t="s">
        <v>2210</v>
      </c>
    </row>
    <row r="56" spans="1:2" x14ac:dyDescent="0.25">
      <c r="B56" t="s">
        <v>2211</v>
      </c>
    </row>
    <row r="57" spans="1:2" x14ac:dyDescent="0.25">
      <c r="B57" t="s">
        <v>697</v>
      </c>
    </row>
    <row r="58" spans="1:2" x14ac:dyDescent="0.25">
      <c r="B58" t="s">
        <v>2212</v>
      </c>
    </row>
    <row r="59" spans="1:2" x14ac:dyDescent="0.25">
      <c r="B59" t="s">
        <v>2213</v>
      </c>
    </row>
    <row r="60" spans="1:2" x14ac:dyDescent="0.25">
      <c r="B60" t="s">
        <v>2214</v>
      </c>
    </row>
    <row r="61" spans="1:2" x14ac:dyDescent="0.25">
      <c r="B61" t="s">
        <v>698</v>
      </c>
    </row>
    <row r="66" spans="1:1" x14ac:dyDescent="0.25">
      <c r="A66" t="s">
        <v>254</v>
      </c>
    </row>
    <row r="67" spans="1:1" x14ac:dyDescent="0.25">
      <c r="A67" t="s">
        <v>572</v>
      </c>
    </row>
    <row r="68" spans="1:1" x14ac:dyDescent="0.25">
      <c r="A68" t="s">
        <v>2215</v>
      </c>
    </row>
    <row r="69" spans="1:1" x14ac:dyDescent="0.25">
      <c r="A69" t="s">
        <v>2198</v>
      </c>
    </row>
    <row r="70" spans="1:1" x14ac:dyDescent="0.25">
      <c r="A70" t="s">
        <v>2216</v>
      </c>
    </row>
    <row r="71" spans="1:1" x14ac:dyDescent="0.25">
      <c r="A71" t="s">
        <v>2217</v>
      </c>
    </row>
    <row r="74" spans="1:1" x14ac:dyDescent="0.25">
      <c r="A74" t="s">
        <v>2218</v>
      </c>
    </row>
    <row r="76" spans="1:1" x14ac:dyDescent="0.25">
      <c r="A76" t="s">
        <v>2219</v>
      </c>
    </row>
    <row r="77" spans="1:1" x14ac:dyDescent="0.25">
      <c r="A77" t="s">
        <v>2220</v>
      </c>
    </row>
    <row r="78" spans="1:1" x14ac:dyDescent="0.25">
      <c r="A78" t="s">
        <v>258</v>
      </c>
    </row>
    <row r="81" spans="1:2" x14ac:dyDescent="0.25">
      <c r="A81" t="s">
        <v>2221</v>
      </c>
    </row>
    <row r="83" spans="1:2" x14ac:dyDescent="0.25">
      <c r="A83" t="s">
        <v>572</v>
      </c>
    </row>
    <row r="84" spans="1:2" x14ac:dyDescent="0.25">
      <c r="A84" t="s">
        <v>1661</v>
      </c>
    </row>
    <row r="85" spans="1:2" x14ac:dyDescent="0.25">
      <c r="A85" t="s">
        <v>637</v>
      </c>
    </row>
    <row r="86" spans="1:2" x14ac:dyDescent="0.25">
      <c r="A86" t="s">
        <v>636</v>
      </c>
    </row>
    <row r="87" spans="1:2" x14ac:dyDescent="0.25">
      <c r="A87" t="s">
        <v>585</v>
      </c>
    </row>
    <row r="88" spans="1:2" x14ac:dyDescent="0.25">
      <c r="A88" t="s">
        <v>2222</v>
      </c>
    </row>
    <row r="89" spans="1:2" x14ac:dyDescent="0.25">
      <c r="A89" t="s">
        <v>2223</v>
      </c>
    </row>
    <row r="90" spans="1:2" x14ac:dyDescent="0.25">
      <c r="A90" t="s">
        <v>813</v>
      </c>
    </row>
    <row r="91" spans="1:2" x14ac:dyDescent="0.25">
      <c r="B91" t="s">
        <v>2224</v>
      </c>
    </row>
    <row r="92" spans="1:2" x14ac:dyDescent="0.25">
      <c r="A92" t="s">
        <v>671</v>
      </c>
    </row>
    <row r="93" spans="1:2" x14ac:dyDescent="0.25">
      <c r="A93" t="s">
        <v>1661</v>
      </c>
    </row>
    <row r="94" spans="1:2" x14ac:dyDescent="0.25">
      <c r="A94" t="s">
        <v>637</v>
      </c>
    </row>
    <row r="95" spans="1:2" x14ac:dyDescent="0.25">
      <c r="A95" t="s">
        <v>636</v>
      </c>
    </row>
    <row r="96" spans="1:2" x14ac:dyDescent="0.25">
      <c r="A96" t="s">
        <v>585</v>
      </c>
    </row>
    <row r="97" spans="1:1" x14ac:dyDescent="0.25">
      <c r="A97" t="s">
        <v>672</v>
      </c>
    </row>
    <row r="98" spans="1:1" x14ac:dyDescent="0.25">
      <c r="A98" t="s">
        <v>1985</v>
      </c>
    </row>
    <row r="99" spans="1:1" x14ac:dyDescent="0.25">
      <c r="A99" t="s">
        <v>636</v>
      </c>
    </row>
    <row r="101" spans="1:1" x14ac:dyDescent="0.25">
      <c r="A101" t="s">
        <v>254</v>
      </c>
    </row>
    <row r="102" spans="1:1" x14ac:dyDescent="0.25">
      <c r="A102" t="s">
        <v>2225</v>
      </c>
    </row>
    <row r="103" spans="1:1" x14ac:dyDescent="0.25">
      <c r="A103" t="s">
        <v>258</v>
      </c>
    </row>
    <row r="104" spans="1:1" x14ac:dyDescent="0.25">
      <c r="A104" t="s">
        <v>2226</v>
      </c>
    </row>
    <row r="105" spans="1:1" x14ac:dyDescent="0.25">
      <c r="A105" t="s">
        <v>1962</v>
      </c>
    </row>
    <row r="106" spans="1:1" x14ac:dyDescent="0.25">
      <c r="A106" t="s">
        <v>2227</v>
      </c>
    </row>
    <row r="108" spans="1:1" x14ac:dyDescent="0.25">
      <c r="A108" t="e">
        <f>-- data in PDMS Core for party</f>
        <v>#NAME?</v>
      </c>
    </row>
    <row r="109" spans="1:1" x14ac:dyDescent="0.25">
      <c r="A109" t="s">
        <v>572</v>
      </c>
    </row>
    <row r="110" spans="1:1" x14ac:dyDescent="0.25">
      <c r="A110" t="s">
        <v>539</v>
      </c>
    </row>
    <row r="111" spans="1:1" x14ac:dyDescent="0.25">
      <c r="A111" t="s">
        <v>1881</v>
      </c>
    </row>
    <row r="112" spans="1:1" x14ac:dyDescent="0.25">
      <c r="A112" t="s">
        <v>842</v>
      </c>
    </row>
    <row r="113" spans="1:2" x14ac:dyDescent="0.25">
      <c r="A113" t="s">
        <v>576</v>
      </c>
    </row>
    <row r="114" spans="1:2" x14ac:dyDescent="0.25">
      <c r="A114" t="s">
        <v>619</v>
      </c>
    </row>
    <row r="115" spans="1:2" x14ac:dyDescent="0.25">
      <c r="B115" t="s">
        <v>900</v>
      </c>
    </row>
    <row r="116" spans="1:2" x14ac:dyDescent="0.25">
      <c r="A116" t="s">
        <v>2228</v>
      </c>
    </row>
    <row r="118" spans="1:2" x14ac:dyDescent="0.25">
      <c r="A118" t="e">
        <f>-- all registrations associated with party</f>
        <v>#NAME?</v>
      </c>
    </row>
    <row r="119" spans="1:2" x14ac:dyDescent="0.25">
      <c r="A119" t="s">
        <v>572</v>
      </c>
    </row>
    <row r="120" spans="1:2" x14ac:dyDescent="0.25">
      <c r="A120" t="s">
        <v>584</v>
      </c>
    </row>
    <row r="121" spans="1:2" x14ac:dyDescent="0.25">
      <c r="A121" t="s">
        <v>1420</v>
      </c>
    </row>
    <row r="122" spans="1:2" x14ac:dyDescent="0.25">
      <c r="A122" t="s">
        <v>2229</v>
      </c>
    </row>
    <row r="123" spans="1:2" x14ac:dyDescent="0.25">
      <c r="A123" t="s">
        <v>1625</v>
      </c>
    </row>
    <row r="124" spans="1:2" x14ac:dyDescent="0.25">
      <c r="A124" t="s">
        <v>593</v>
      </c>
    </row>
    <row r="125" spans="1:2" x14ac:dyDescent="0.25">
      <c r="A125" t="s">
        <v>1635</v>
      </c>
    </row>
    <row r="126" spans="1:2" x14ac:dyDescent="0.25">
      <c r="B126" t="s">
        <v>1636</v>
      </c>
    </row>
    <row r="127" spans="1:2" x14ac:dyDescent="0.25">
      <c r="A127" t="s">
        <v>2230</v>
      </c>
    </row>
    <row r="128" spans="1:2" x14ac:dyDescent="0.25">
      <c r="A128" t="s">
        <v>2231</v>
      </c>
    </row>
    <row r="130" spans="1:2" x14ac:dyDescent="0.25">
      <c r="A130" t="s">
        <v>2232</v>
      </c>
    </row>
    <row r="132" spans="1:2" x14ac:dyDescent="0.25">
      <c r="A132" t="s">
        <v>2233</v>
      </c>
    </row>
    <row r="135" spans="1:2" x14ac:dyDescent="0.25">
      <c r="A135" t="s">
        <v>572</v>
      </c>
    </row>
    <row r="136" spans="1:2" x14ac:dyDescent="0.25">
      <c r="A136" t="s">
        <v>584</v>
      </c>
    </row>
    <row r="137" spans="1:2" x14ac:dyDescent="0.25">
      <c r="A137" t="s">
        <v>585</v>
      </c>
    </row>
    <row r="138" spans="1:2" x14ac:dyDescent="0.25">
      <c r="A138" t="s">
        <v>637</v>
      </c>
    </row>
    <row r="139" spans="1:2" x14ac:dyDescent="0.25">
      <c r="A139" t="s">
        <v>636</v>
      </c>
    </row>
    <row r="140" spans="1:2" x14ac:dyDescent="0.25">
      <c r="A140" t="s">
        <v>2234</v>
      </c>
    </row>
    <row r="141" spans="1:2" x14ac:dyDescent="0.25">
      <c r="A141" t="s">
        <v>2235</v>
      </c>
    </row>
    <row r="142" spans="1:2" x14ac:dyDescent="0.25">
      <c r="A142" t="s">
        <v>2181</v>
      </c>
    </row>
    <row r="143" spans="1:2" x14ac:dyDescent="0.25">
      <c r="A143" t="s">
        <v>813</v>
      </c>
    </row>
    <row r="144" spans="1:2" x14ac:dyDescent="0.25">
      <c r="B144" t="s">
        <v>2224</v>
      </c>
    </row>
    <row r="145" spans="1:1" x14ac:dyDescent="0.25">
      <c r="A145" t="s">
        <v>2236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heetViews>
  <sheetFormatPr defaultRowHeight="15" x14ac:dyDescent="0.25"/>
  <sheetData>
    <row r="1" spans="1:3" x14ac:dyDescent="0.25">
      <c r="A1" t="s">
        <v>572</v>
      </c>
    </row>
    <row r="2" spans="1:3" x14ac:dyDescent="0.25">
      <c r="A2" t="s">
        <v>646</v>
      </c>
    </row>
    <row r="3" spans="1:3" x14ac:dyDescent="0.25">
      <c r="A3" t="s">
        <v>2522</v>
      </c>
    </row>
    <row r="4" spans="1:3" x14ac:dyDescent="0.25">
      <c r="A4" t="s">
        <v>2523</v>
      </c>
    </row>
    <row r="5" spans="1:3" x14ac:dyDescent="0.25">
      <c r="B5">
        <v>8341</v>
      </c>
      <c r="C5" t="s">
        <v>2524</v>
      </c>
    </row>
    <row r="6" spans="1:3" x14ac:dyDescent="0.25">
      <c r="B6" t="s">
        <v>2525</v>
      </c>
      <c r="C6" t="s">
        <v>2526</v>
      </c>
    </row>
    <row r="7" spans="1:3" x14ac:dyDescent="0.25">
      <c r="B7" t="s">
        <v>698</v>
      </c>
    </row>
    <row r="8" spans="1:3" x14ac:dyDescent="0.25">
      <c r="A8" t="s">
        <v>2527</v>
      </c>
    </row>
    <row r="10" spans="1:3" x14ac:dyDescent="0.25">
      <c r="A10" t="s">
        <v>2537</v>
      </c>
    </row>
    <row r="11" spans="1:3" x14ac:dyDescent="0.25">
      <c r="A11" t="s">
        <v>538</v>
      </c>
    </row>
    <row r="12" spans="1:3" x14ac:dyDescent="0.25">
      <c r="A12" t="s">
        <v>646</v>
      </c>
    </row>
    <row r="13" spans="1:3" x14ac:dyDescent="0.25">
      <c r="A13" t="s">
        <v>2528</v>
      </c>
    </row>
    <row r="14" spans="1:3" x14ac:dyDescent="0.25">
      <c r="A14" t="s">
        <v>2529</v>
      </c>
    </row>
    <row r="16" spans="1:3" x14ac:dyDescent="0.25">
      <c r="A16" t="s">
        <v>2538</v>
      </c>
    </row>
    <row r="17" spans="1:2" x14ac:dyDescent="0.25">
      <c r="A17" t="s">
        <v>572</v>
      </c>
    </row>
    <row r="18" spans="1:2" x14ac:dyDescent="0.25">
      <c r="A18" t="s">
        <v>646</v>
      </c>
    </row>
    <row r="19" spans="1:2" x14ac:dyDescent="0.25">
      <c r="A19" t="s">
        <v>2530</v>
      </c>
    </row>
    <row r="20" spans="1:2" x14ac:dyDescent="0.25">
      <c r="A20" t="s">
        <v>2531</v>
      </c>
    </row>
    <row r="22" spans="1:2" x14ac:dyDescent="0.25">
      <c r="A22" t="s">
        <v>2539</v>
      </c>
    </row>
    <row r="23" spans="1:2" x14ac:dyDescent="0.25">
      <c r="A23" t="s">
        <v>538</v>
      </c>
    </row>
    <row r="24" spans="1:2" x14ac:dyDescent="0.25">
      <c r="A24" t="s">
        <v>646</v>
      </c>
    </row>
    <row r="25" spans="1:2" x14ac:dyDescent="0.25">
      <c r="A25" t="s">
        <v>2209</v>
      </c>
    </row>
    <row r="26" spans="1:2" x14ac:dyDescent="0.25">
      <c r="A26" t="s">
        <v>2532</v>
      </c>
    </row>
    <row r="27" spans="1:2" x14ac:dyDescent="0.25">
      <c r="A27" t="s">
        <v>2533</v>
      </c>
    </row>
    <row r="29" spans="1:2" x14ac:dyDescent="0.25">
      <c r="A29" t="s">
        <v>244</v>
      </c>
    </row>
    <row r="30" spans="1:2" x14ac:dyDescent="0.25">
      <c r="A30" t="s">
        <v>2534</v>
      </c>
    </row>
    <row r="31" spans="1:2" x14ac:dyDescent="0.25">
      <c r="A31" t="s">
        <v>2535</v>
      </c>
    </row>
    <row r="32" spans="1:2" x14ac:dyDescent="0.25">
      <c r="B32" t="s">
        <v>2536</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sheetViews>
  <sheetFormatPr defaultRowHeight="15" x14ac:dyDescent="0.25"/>
  <sheetData>
    <row r="1" spans="1:2" x14ac:dyDescent="0.25">
      <c r="A1" t="s">
        <v>572</v>
      </c>
    </row>
    <row r="2" spans="1:2" x14ac:dyDescent="0.25">
      <c r="A2" t="s">
        <v>3652</v>
      </c>
    </row>
    <row r="3" spans="1:2" x14ac:dyDescent="0.25">
      <c r="A3" t="s">
        <v>3653</v>
      </c>
    </row>
    <row r="4" spans="1:2" x14ac:dyDescent="0.25">
      <c r="A4" t="s">
        <v>3624</v>
      </c>
    </row>
    <row r="5" spans="1:2" x14ac:dyDescent="0.25">
      <c r="A5" t="s">
        <v>3654</v>
      </c>
    </row>
    <row r="6" spans="1:2" x14ac:dyDescent="0.25">
      <c r="A6" t="s">
        <v>3655</v>
      </c>
    </row>
    <row r="7" spans="1:2" x14ac:dyDescent="0.25">
      <c r="A7" t="s">
        <v>3628</v>
      </c>
    </row>
    <row r="8" spans="1:2" x14ac:dyDescent="0.25">
      <c r="A8" t="s">
        <v>3656</v>
      </c>
    </row>
    <row r="9" spans="1:2" x14ac:dyDescent="0.25">
      <c r="B9" t="s">
        <v>3632</v>
      </c>
    </row>
    <row r="10" spans="1:2" x14ac:dyDescent="0.25">
      <c r="A10" t="s">
        <v>3657</v>
      </c>
    </row>
    <row r="11" spans="1:2" x14ac:dyDescent="0.25">
      <c r="B11" t="s">
        <v>3630</v>
      </c>
    </row>
    <row r="12" spans="1:2" x14ac:dyDescent="0.25">
      <c r="A12" t="s">
        <v>3658</v>
      </c>
      <c r="B12" t="s">
        <v>3659</v>
      </c>
    </row>
    <row r="13" spans="1:2" x14ac:dyDescent="0.25">
      <c r="A13" t="s">
        <v>3660</v>
      </c>
    </row>
    <row r="17" spans="1:1" x14ac:dyDescent="0.25">
      <c r="A17" t="s">
        <v>3661</v>
      </c>
    </row>
    <row r="18" spans="1:1" x14ac:dyDescent="0.25">
      <c r="A18" t="s">
        <v>254</v>
      </c>
    </row>
    <row r="19" spans="1:1" x14ac:dyDescent="0.25">
      <c r="A19" t="s">
        <v>3662</v>
      </c>
    </row>
    <row r="22" spans="1:1" x14ac:dyDescent="0.25">
      <c r="A22" t="s">
        <v>258</v>
      </c>
    </row>
    <row r="24" spans="1:1" x14ac:dyDescent="0.25">
      <c r="A24" t="s">
        <v>467</v>
      </c>
    </row>
    <row r="25" spans="1:1" x14ac:dyDescent="0.25">
      <c r="A25" t="s">
        <v>3663</v>
      </c>
    </row>
    <row r="26" spans="1:1" x14ac:dyDescent="0.25">
      <c r="A26" t="s">
        <v>3664</v>
      </c>
    </row>
    <row r="27" spans="1:1" x14ac:dyDescent="0.25">
      <c r="A27" t="s">
        <v>3665</v>
      </c>
    </row>
    <row r="28" spans="1:1" x14ac:dyDescent="0.25">
      <c r="A28" t="s">
        <v>792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sqref="A1:B38"/>
    </sheetView>
  </sheetViews>
  <sheetFormatPr defaultRowHeight="15" x14ac:dyDescent="0.25"/>
  <sheetData>
    <row r="1" spans="1:2" x14ac:dyDescent="0.25">
      <c r="A1" t="s">
        <v>254</v>
      </c>
    </row>
    <row r="2" spans="1:2" x14ac:dyDescent="0.25">
      <c r="A2" t="s">
        <v>2083</v>
      </c>
    </row>
    <row r="3" spans="1:2" x14ac:dyDescent="0.25">
      <c r="A3" t="s">
        <v>2064</v>
      </c>
    </row>
    <row r="4" spans="1:2" x14ac:dyDescent="0.25">
      <c r="A4" t="s">
        <v>607</v>
      </c>
    </row>
    <row r="5" spans="1:2" x14ac:dyDescent="0.25">
      <c r="A5" t="s">
        <v>1912</v>
      </c>
    </row>
    <row r="6" spans="1:2" x14ac:dyDescent="0.25">
      <c r="A6" t="s">
        <v>2065</v>
      </c>
    </row>
    <row r="7" spans="1:2" x14ac:dyDescent="0.25">
      <c r="A7" t="s">
        <v>2066</v>
      </c>
    </row>
    <row r="8" spans="1:2" x14ac:dyDescent="0.25">
      <c r="A8" t="s">
        <v>258</v>
      </c>
    </row>
    <row r="10" spans="1:2" x14ac:dyDescent="0.25">
      <c r="A10" t="s">
        <v>572</v>
      </c>
    </row>
    <row r="11" spans="1:2" x14ac:dyDescent="0.25">
      <c r="A11" t="s">
        <v>2067</v>
      </c>
    </row>
    <row r="12" spans="1:2" x14ac:dyDescent="0.25">
      <c r="A12" t="s">
        <v>2068</v>
      </c>
    </row>
    <row r="13" spans="1:2" x14ac:dyDescent="0.25">
      <c r="A13" t="s">
        <v>1350</v>
      </c>
    </row>
    <row r="14" spans="1:2" x14ac:dyDescent="0.25">
      <c r="A14" t="s">
        <v>962</v>
      </c>
    </row>
    <row r="15" spans="1:2" x14ac:dyDescent="0.25">
      <c r="B15" t="s">
        <v>2069</v>
      </c>
    </row>
    <row r="16" spans="1:2" x14ac:dyDescent="0.25">
      <c r="A16" t="s">
        <v>2070</v>
      </c>
    </row>
    <row r="17" spans="1:2" x14ac:dyDescent="0.25">
      <c r="B17" t="s">
        <v>2071</v>
      </c>
    </row>
    <row r="18" spans="1:2" x14ac:dyDescent="0.25">
      <c r="A18" t="s">
        <v>254</v>
      </c>
    </row>
    <row r="19" spans="1:2" x14ac:dyDescent="0.25">
      <c r="A19" t="s">
        <v>2072</v>
      </c>
    </row>
    <row r="20" spans="1:2" x14ac:dyDescent="0.25">
      <c r="B20" t="s">
        <v>2073</v>
      </c>
    </row>
    <row r="21" spans="1:2" x14ac:dyDescent="0.25">
      <c r="A21" t="s">
        <v>258</v>
      </c>
    </row>
    <row r="23" spans="1:2" x14ac:dyDescent="0.25">
      <c r="A23" t="s">
        <v>572</v>
      </c>
    </row>
    <row r="24" spans="1:2" x14ac:dyDescent="0.25">
      <c r="A24" t="s">
        <v>646</v>
      </c>
    </row>
    <row r="25" spans="1:2" x14ac:dyDescent="0.25">
      <c r="A25" t="s">
        <v>604</v>
      </c>
    </row>
    <row r="26" spans="1:2" x14ac:dyDescent="0.25">
      <c r="A26" t="s">
        <v>2074</v>
      </c>
    </row>
    <row r="27" spans="1:2" x14ac:dyDescent="0.25">
      <c r="B27" t="s">
        <v>2075</v>
      </c>
    </row>
    <row r="28" spans="1:2" x14ac:dyDescent="0.25">
      <c r="B28" t="s">
        <v>2076</v>
      </c>
    </row>
    <row r="29" spans="1:2" x14ac:dyDescent="0.25">
      <c r="B29" t="s">
        <v>2077</v>
      </c>
    </row>
    <row r="30" spans="1:2" x14ac:dyDescent="0.25">
      <c r="B30" t="s">
        <v>2078</v>
      </c>
    </row>
    <row r="31" spans="1:2" x14ac:dyDescent="0.25">
      <c r="A31" t="s">
        <v>2079</v>
      </c>
    </row>
    <row r="34" spans="1:1" x14ac:dyDescent="0.25">
      <c r="A34" t="s">
        <v>572</v>
      </c>
    </row>
    <row r="35" spans="1:1" x14ac:dyDescent="0.25">
      <c r="A35" t="s">
        <v>646</v>
      </c>
    </row>
    <row r="36" spans="1:1" x14ac:dyDescent="0.25">
      <c r="A36" t="s">
        <v>2080</v>
      </c>
    </row>
    <row r="37" spans="1:1" x14ac:dyDescent="0.25">
      <c r="A37" t="s">
        <v>2081</v>
      </c>
    </row>
    <row r="38" spans="1:1" x14ac:dyDescent="0.25">
      <c r="A38" t="s">
        <v>2082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2"/>
  <sheetViews>
    <sheetView workbookViewId="0">
      <selection sqref="A1:B102"/>
    </sheetView>
  </sheetViews>
  <sheetFormatPr defaultRowHeight="15" x14ac:dyDescent="0.25"/>
  <sheetData>
    <row r="1" spans="1:2" x14ac:dyDescent="0.25">
      <c r="A1" t="s">
        <v>254</v>
      </c>
    </row>
    <row r="2" spans="1:2" x14ac:dyDescent="0.25">
      <c r="A2" t="s">
        <v>572</v>
      </c>
    </row>
    <row r="3" spans="1:2" x14ac:dyDescent="0.25">
      <c r="A3" t="s">
        <v>646</v>
      </c>
    </row>
    <row r="4" spans="1:2" x14ac:dyDescent="0.25">
      <c r="A4" t="s">
        <v>2126</v>
      </c>
    </row>
    <row r="5" spans="1:2" x14ac:dyDescent="0.25">
      <c r="A5" t="s">
        <v>2705</v>
      </c>
    </row>
    <row r="6" spans="1:2" x14ac:dyDescent="0.25">
      <c r="B6" t="s">
        <v>2706</v>
      </c>
    </row>
    <row r="8" spans="1:2" x14ac:dyDescent="0.25">
      <c r="A8" t="s">
        <v>572</v>
      </c>
    </row>
    <row r="9" spans="1:2" x14ac:dyDescent="0.25">
      <c r="A9" t="s">
        <v>646</v>
      </c>
    </row>
    <row r="10" spans="1:2" x14ac:dyDescent="0.25">
      <c r="A10" t="s">
        <v>792</v>
      </c>
    </row>
    <row r="11" spans="1:2" x14ac:dyDescent="0.25">
      <c r="A11" t="s">
        <v>2707</v>
      </c>
    </row>
    <row r="12" spans="1:2" x14ac:dyDescent="0.25">
      <c r="B12" t="s">
        <v>1305</v>
      </c>
    </row>
    <row r="13" spans="1:2" x14ac:dyDescent="0.25">
      <c r="A13" t="s">
        <v>1189</v>
      </c>
    </row>
    <row r="14" spans="1:2" x14ac:dyDescent="0.25">
      <c r="A14" t="s">
        <v>258</v>
      </c>
    </row>
    <row r="16" spans="1:2" x14ac:dyDescent="0.25">
      <c r="A16" t="s">
        <v>572</v>
      </c>
    </row>
    <row r="17" spans="1:1" x14ac:dyDescent="0.25">
      <c r="A17" t="s">
        <v>646</v>
      </c>
    </row>
    <row r="18" spans="1:1" x14ac:dyDescent="0.25">
      <c r="A18" t="s">
        <v>2708</v>
      </c>
    </row>
    <row r="19" spans="1:1" x14ac:dyDescent="0.25">
      <c r="A19" t="s">
        <v>2709</v>
      </c>
    </row>
    <row r="21" spans="1:1" x14ac:dyDescent="0.25">
      <c r="A21" t="s">
        <v>254</v>
      </c>
    </row>
    <row r="22" spans="1:1" x14ac:dyDescent="0.25">
      <c r="A22" t="s">
        <v>2710</v>
      </c>
    </row>
    <row r="23" spans="1:1" x14ac:dyDescent="0.25">
      <c r="A23" t="s">
        <v>2711</v>
      </c>
    </row>
    <row r="24" spans="1:1" x14ac:dyDescent="0.25">
      <c r="A24" t="s">
        <v>2709</v>
      </c>
    </row>
    <row r="26" spans="1:1" x14ac:dyDescent="0.25">
      <c r="A26" t="s">
        <v>2710</v>
      </c>
    </row>
    <row r="27" spans="1:1" x14ac:dyDescent="0.25">
      <c r="A27" t="s">
        <v>2711</v>
      </c>
    </row>
    <row r="28" spans="1:1" x14ac:dyDescent="0.25">
      <c r="A28" t="s">
        <v>2712</v>
      </c>
    </row>
    <row r="29" spans="1:1" x14ac:dyDescent="0.25">
      <c r="A29" t="s">
        <v>2713</v>
      </c>
    </row>
    <row r="31" spans="1:1" x14ac:dyDescent="0.25">
      <c r="A31" t="s">
        <v>258</v>
      </c>
    </row>
    <row r="32" spans="1:1" x14ac:dyDescent="0.25">
      <c r="A32" t="e">
        <f>-- Main process</f>
        <v>#NAME?</v>
      </c>
    </row>
    <row r="33" spans="1:2" x14ac:dyDescent="0.25">
      <c r="A33" t="s">
        <v>2714</v>
      </c>
    </row>
    <row r="35" spans="1:2" x14ac:dyDescent="0.25">
      <c r="A35" t="e">
        <f>-- Steps that were actually executed</f>
        <v>#NAME?</v>
      </c>
    </row>
    <row r="36" spans="1:2" x14ac:dyDescent="0.25">
      <c r="A36" t="s">
        <v>2689</v>
      </c>
    </row>
    <row r="37" spans="1:2" x14ac:dyDescent="0.25">
      <c r="B37" t="s">
        <v>2690</v>
      </c>
    </row>
    <row r="38" spans="1:2" x14ac:dyDescent="0.25">
      <c r="B38" t="s">
        <v>2715</v>
      </c>
    </row>
    <row r="39" spans="1:2" x14ac:dyDescent="0.25">
      <c r="A39" t="s">
        <v>2002</v>
      </c>
    </row>
    <row r="40" spans="1:2" x14ac:dyDescent="0.25">
      <c r="A40" t="s">
        <v>2161</v>
      </c>
    </row>
    <row r="41" spans="1:2" x14ac:dyDescent="0.25">
      <c r="A41" t="s">
        <v>2162</v>
      </c>
    </row>
    <row r="42" spans="1:2" x14ac:dyDescent="0.25">
      <c r="A42" t="s">
        <v>2163</v>
      </c>
    </row>
    <row r="43" spans="1:2" x14ac:dyDescent="0.25">
      <c r="A43" t="s">
        <v>2008</v>
      </c>
    </row>
    <row r="45" spans="1:2" x14ac:dyDescent="0.25">
      <c r="A45" t="e">
        <f>-- Possible step actions that could have taken place with this process</f>
        <v>#NAME?</v>
      </c>
    </row>
    <row r="46" spans="1:2" x14ac:dyDescent="0.25">
      <c r="A46" t="s">
        <v>2164</v>
      </c>
    </row>
    <row r="47" spans="1:2" x14ac:dyDescent="0.25">
      <c r="A47" t="s">
        <v>2165</v>
      </c>
    </row>
    <row r="48" spans="1:2" x14ac:dyDescent="0.25">
      <c r="B48" t="s">
        <v>2166</v>
      </c>
    </row>
    <row r="49" spans="1:2" x14ac:dyDescent="0.25">
      <c r="A49" t="s">
        <v>2167</v>
      </c>
    </row>
    <row r="50" spans="1:2" x14ac:dyDescent="0.25">
      <c r="A50" t="s">
        <v>2168</v>
      </c>
    </row>
    <row r="51" spans="1:2" x14ac:dyDescent="0.25">
      <c r="A51" t="s">
        <v>2169</v>
      </c>
    </row>
    <row r="52" spans="1:2" x14ac:dyDescent="0.25">
      <c r="A52" t="s">
        <v>2170</v>
      </c>
    </row>
    <row r="53" spans="1:2" x14ac:dyDescent="0.25">
      <c r="A53" t="s">
        <v>2095</v>
      </c>
    </row>
    <row r="54" spans="1:2" x14ac:dyDescent="0.25">
      <c r="A54" t="s">
        <v>2171</v>
      </c>
    </row>
    <row r="55" spans="1:2" x14ac:dyDescent="0.25">
      <c r="B55" t="s">
        <v>2166</v>
      </c>
    </row>
    <row r="56" spans="1:2" x14ac:dyDescent="0.25">
      <c r="A56" t="s">
        <v>2167</v>
      </c>
    </row>
    <row r="57" spans="1:2" x14ac:dyDescent="0.25">
      <c r="A57" t="s">
        <v>2168</v>
      </c>
    </row>
    <row r="58" spans="1:2" x14ac:dyDescent="0.25">
      <c r="A58" t="s">
        <v>2172</v>
      </c>
    </row>
    <row r="59" spans="1:2" x14ac:dyDescent="0.25">
      <c r="A59" t="s">
        <v>2173</v>
      </c>
    </row>
    <row r="60" spans="1:2" x14ac:dyDescent="0.25">
      <c r="B60" t="s">
        <v>2174</v>
      </c>
    </row>
    <row r="61" spans="1:2" x14ac:dyDescent="0.25">
      <c r="B61" t="s">
        <v>2167</v>
      </c>
    </row>
    <row r="62" spans="1:2" x14ac:dyDescent="0.25">
      <c r="B62" t="s">
        <v>2169</v>
      </c>
    </row>
    <row r="63" spans="1:2" x14ac:dyDescent="0.25">
      <c r="B63" t="s">
        <v>2175</v>
      </c>
    </row>
    <row r="64" spans="1:2" x14ac:dyDescent="0.25">
      <c r="B64" t="s">
        <v>698</v>
      </c>
    </row>
    <row r="65" spans="1:1" x14ac:dyDescent="0.25">
      <c r="A65" t="s">
        <v>2176</v>
      </c>
    </row>
    <row r="67" spans="1:1" x14ac:dyDescent="0.25">
      <c r="A67" t="s">
        <v>2716</v>
      </c>
    </row>
    <row r="68" spans="1:1" x14ac:dyDescent="0.25">
      <c r="A68" t="s">
        <v>646</v>
      </c>
    </row>
    <row r="69" spans="1:1" x14ac:dyDescent="0.25">
      <c r="A69" t="s">
        <v>245</v>
      </c>
    </row>
    <row r="70" spans="1:1" x14ac:dyDescent="0.25">
      <c r="A70" t="s">
        <v>251</v>
      </c>
    </row>
    <row r="72" spans="1:1" x14ac:dyDescent="0.25">
      <c r="A72" t="s">
        <v>572</v>
      </c>
    </row>
    <row r="73" spans="1:1" x14ac:dyDescent="0.25">
      <c r="A73" t="s">
        <v>2717</v>
      </c>
    </row>
    <row r="74" spans="1:1" x14ac:dyDescent="0.25">
      <c r="A74" t="s">
        <v>2718</v>
      </c>
    </row>
    <row r="75" spans="1:1" x14ac:dyDescent="0.25">
      <c r="A75" t="s">
        <v>2719</v>
      </c>
    </row>
    <row r="76" spans="1:1" x14ac:dyDescent="0.25">
      <c r="A76" t="s">
        <v>2720</v>
      </c>
    </row>
    <row r="77" spans="1:1" x14ac:dyDescent="0.25">
      <c r="A77" t="s">
        <v>585</v>
      </c>
    </row>
    <row r="78" spans="1:1" x14ac:dyDescent="0.25">
      <c r="A78" t="s">
        <v>636</v>
      </c>
    </row>
    <row r="79" spans="1:1" x14ac:dyDescent="0.25">
      <c r="A79" t="s">
        <v>1420</v>
      </c>
    </row>
    <row r="80" spans="1:1" x14ac:dyDescent="0.25">
      <c r="A80" t="s">
        <v>2721</v>
      </c>
    </row>
    <row r="81" spans="1:2" x14ac:dyDescent="0.25">
      <c r="A81" t="s">
        <v>2722</v>
      </c>
    </row>
    <row r="82" spans="1:2" x14ac:dyDescent="0.25">
      <c r="A82" t="s">
        <v>2723</v>
      </c>
    </row>
    <row r="83" spans="1:2" x14ac:dyDescent="0.25">
      <c r="A83" t="s">
        <v>2724</v>
      </c>
    </row>
    <row r="84" spans="1:2" x14ac:dyDescent="0.25">
      <c r="A84" t="s">
        <v>2725</v>
      </c>
    </row>
    <row r="85" spans="1:2" x14ac:dyDescent="0.25">
      <c r="A85" t="s">
        <v>2726</v>
      </c>
    </row>
    <row r="86" spans="1:2" x14ac:dyDescent="0.25">
      <c r="A86" t="s">
        <v>2727</v>
      </c>
    </row>
    <row r="87" spans="1:2" x14ac:dyDescent="0.25">
      <c r="A87" t="s">
        <v>2728</v>
      </c>
    </row>
    <row r="88" spans="1:2" x14ac:dyDescent="0.25">
      <c r="B88" t="s">
        <v>2729</v>
      </c>
    </row>
    <row r="89" spans="1:2" x14ac:dyDescent="0.25">
      <c r="A89" t="s">
        <v>2730</v>
      </c>
    </row>
    <row r="90" spans="1:2" x14ac:dyDescent="0.25">
      <c r="B90" t="s">
        <v>2731</v>
      </c>
    </row>
    <row r="91" spans="1:2" x14ac:dyDescent="0.25">
      <c r="A91" t="s">
        <v>2732</v>
      </c>
    </row>
    <row r="92" spans="1:2" x14ac:dyDescent="0.25">
      <c r="B92" t="s">
        <v>2733</v>
      </c>
    </row>
    <row r="93" spans="1:2" x14ac:dyDescent="0.25">
      <c r="A93" t="s">
        <v>813</v>
      </c>
    </row>
    <row r="94" spans="1:2" x14ac:dyDescent="0.25">
      <c r="B94" t="s">
        <v>2734</v>
      </c>
    </row>
    <row r="95" spans="1:2" x14ac:dyDescent="0.25">
      <c r="A95" t="s">
        <v>2735</v>
      </c>
    </row>
    <row r="96" spans="1:2" x14ac:dyDescent="0.25">
      <c r="B96" t="s">
        <v>2736</v>
      </c>
    </row>
    <row r="98" spans="1:1" x14ac:dyDescent="0.25">
      <c r="A98" t="s">
        <v>572</v>
      </c>
    </row>
    <row r="99" spans="1:1" x14ac:dyDescent="0.25">
      <c r="A99" t="s">
        <v>646</v>
      </c>
    </row>
    <row r="100" spans="1:1" x14ac:dyDescent="0.25">
      <c r="A100" t="s">
        <v>924</v>
      </c>
    </row>
    <row r="101" spans="1:1" x14ac:dyDescent="0.25">
      <c r="A101" t="s">
        <v>2737</v>
      </c>
    </row>
    <row r="102" spans="1:1" x14ac:dyDescent="0.25">
      <c r="A102" t="s">
        <v>2738</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sqref="A1:B23"/>
    </sheetView>
  </sheetViews>
  <sheetFormatPr defaultRowHeight="15" x14ac:dyDescent="0.25"/>
  <sheetData>
    <row r="1" spans="1:2" x14ac:dyDescent="0.25">
      <c r="A1" t="s">
        <v>572</v>
      </c>
    </row>
    <row r="2" spans="1:2" x14ac:dyDescent="0.25">
      <c r="A2" t="s">
        <v>646</v>
      </c>
    </row>
    <row r="3" spans="1:2" x14ac:dyDescent="0.25">
      <c r="A3" t="s">
        <v>245</v>
      </c>
    </row>
    <row r="4" spans="1:2" x14ac:dyDescent="0.25">
      <c r="A4" t="s">
        <v>2540</v>
      </c>
    </row>
    <row r="5" spans="1:2" x14ac:dyDescent="0.25">
      <c r="B5" t="e">
        <f>--AND</f>
        <v>#NAME?</v>
      </c>
    </row>
    <row r="6" spans="1:2" x14ac:dyDescent="0.25">
      <c r="B6" t="s">
        <v>2541</v>
      </c>
    </row>
    <row r="7" spans="1:2" x14ac:dyDescent="0.25">
      <c r="A7" t="s">
        <v>251</v>
      </c>
    </row>
    <row r="9" spans="1:2" x14ac:dyDescent="0.25">
      <c r="A9" t="s">
        <v>2542</v>
      </c>
    </row>
    <row r="11" spans="1:2" x14ac:dyDescent="0.25">
      <c r="A11" t="s">
        <v>2543</v>
      </c>
    </row>
    <row r="12" spans="1:2" x14ac:dyDescent="0.25">
      <c r="A12" t="s">
        <v>2544</v>
      </c>
    </row>
    <row r="14" spans="1:2" x14ac:dyDescent="0.25">
      <c r="A14" t="s">
        <v>572</v>
      </c>
    </row>
    <row r="15" spans="1:2" x14ac:dyDescent="0.25">
      <c r="A15" t="s">
        <v>646</v>
      </c>
    </row>
    <row r="16" spans="1:2" x14ac:dyDescent="0.25">
      <c r="A16" t="s">
        <v>2455</v>
      </c>
    </row>
    <row r="17" spans="1:2" x14ac:dyDescent="0.25">
      <c r="A17" t="s">
        <v>2545</v>
      </c>
    </row>
    <row r="19" spans="1:2" x14ac:dyDescent="0.25">
      <c r="A19" t="s">
        <v>244</v>
      </c>
    </row>
    <row r="20" spans="1:2" x14ac:dyDescent="0.25">
      <c r="A20" t="s">
        <v>2546</v>
      </c>
    </row>
    <row r="21" spans="1:2" x14ac:dyDescent="0.25">
      <c r="A21" t="s">
        <v>2547</v>
      </c>
    </row>
    <row r="22" spans="1:2" x14ac:dyDescent="0.25">
      <c r="A22" t="s">
        <v>247</v>
      </c>
      <c r="B22" t="s">
        <v>2548</v>
      </c>
    </row>
    <row r="23" spans="1:2" x14ac:dyDescent="0.25">
      <c r="A23" t="s">
        <v>2549</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workbookViewId="0"/>
  </sheetViews>
  <sheetFormatPr defaultRowHeight="15" x14ac:dyDescent="0.25"/>
  <sheetData>
    <row r="1" spans="1:2" x14ac:dyDescent="0.25">
      <c r="A1" t="s">
        <v>572</v>
      </c>
    </row>
    <row r="2" spans="1:2" x14ac:dyDescent="0.25">
      <c r="A2" t="s">
        <v>646</v>
      </c>
    </row>
    <row r="3" spans="1:2" x14ac:dyDescent="0.25">
      <c r="A3" t="s">
        <v>611</v>
      </c>
    </row>
    <row r="4" spans="1:2" x14ac:dyDescent="0.25">
      <c r="A4" t="s">
        <v>2237</v>
      </c>
    </row>
    <row r="6" spans="1:2" x14ac:dyDescent="0.25">
      <c r="A6" t="s">
        <v>572</v>
      </c>
    </row>
    <row r="7" spans="1:2" x14ac:dyDescent="0.25">
      <c r="A7" t="s">
        <v>1520</v>
      </c>
    </row>
    <row r="8" spans="1:2" x14ac:dyDescent="0.25">
      <c r="A8" t="s">
        <v>1044</v>
      </c>
    </row>
    <row r="9" spans="1:2" x14ac:dyDescent="0.25">
      <c r="A9" t="s">
        <v>2238</v>
      </c>
    </row>
    <row r="11" spans="1:2" x14ac:dyDescent="0.25">
      <c r="A11" t="s">
        <v>572</v>
      </c>
    </row>
    <row r="12" spans="1:2" x14ac:dyDescent="0.25">
      <c r="A12" t="s">
        <v>646</v>
      </c>
    </row>
    <row r="13" spans="1:2" x14ac:dyDescent="0.25">
      <c r="A13" t="s">
        <v>580</v>
      </c>
    </row>
    <row r="14" spans="1:2" x14ac:dyDescent="0.25">
      <c r="A14" t="s">
        <v>2239</v>
      </c>
    </row>
    <row r="15" spans="1:2" x14ac:dyDescent="0.25">
      <c r="B15" t="s">
        <v>770</v>
      </c>
    </row>
    <row r="17" spans="1:2" x14ac:dyDescent="0.25">
      <c r="A17" t="s">
        <v>572</v>
      </c>
    </row>
    <row r="18" spans="1:2" x14ac:dyDescent="0.25">
      <c r="A18" t="s">
        <v>646</v>
      </c>
    </row>
    <row r="19" spans="1:2" x14ac:dyDescent="0.25">
      <c r="A19" t="s">
        <v>1512</v>
      </c>
    </row>
    <row r="20" spans="1:2" x14ac:dyDescent="0.25">
      <c r="A20" t="s">
        <v>2240</v>
      </c>
    </row>
    <row r="21" spans="1:2" x14ac:dyDescent="0.25">
      <c r="B21" t="s">
        <v>2241</v>
      </c>
    </row>
    <row r="22" spans="1:2" x14ac:dyDescent="0.25">
      <c r="A22" t="s">
        <v>2242</v>
      </c>
    </row>
    <row r="24" spans="1:2" x14ac:dyDescent="0.25">
      <c r="A24" t="s">
        <v>2243</v>
      </c>
    </row>
    <row r="25" spans="1:2" x14ac:dyDescent="0.25">
      <c r="A25" t="s">
        <v>538</v>
      </c>
    </row>
    <row r="26" spans="1:2" x14ac:dyDescent="0.25">
      <c r="A26" t="s">
        <v>468</v>
      </c>
    </row>
    <row r="27" spans="1:2" x14ac:dyDescent="0.25">
      <c r="A27" t="s">
        <v>2244</v>
      </c>
    </row>
    <row r="28" spans="1:2" x14ac:dyDescent="0.25">
      <c r="A28" t="s">
        <v>2245</v>
      </c>
    </row>
    <row r="29" spans="1:2" x14ac:dyDescent="0.25">
      <c r="A29" t="s">
        <v>470</v>
      </c>
    </row>
    <row r="30" spans="1:2" x14ac:dyDescent="0.25">
      <c r="A30" t="s">
        <v>471</v>
      </c>
    </row>
    <row r="31" spans="1:2" x14ac:dyDescent="0.25">
      <c r="A31" t="s">
        <v>2246</v>
      </c>
    </row>
    <row r="32" spans="1:2" x14ac:dyDescent="0.25">
      <c r="A32" t="s">
        <v>469</v>
      </c>
    </row>
    <row r="33" spans="1:2" x14ac:dyDescent="0.25">
      <c r="A33" t="s">
        <v>2247</v>
      </c>
    </row>
    <row r="34" spans="1:2" x14ac:dyDescent="0.25">
      <c r="A34" t="s">
        <v>2248</v>
      </c>
    </row>
    <row r="35" spans="1:2" x14ac:dyDescent="0.25">
      <c r="A35" t="s">
        <v>474</v>
      </c>
    </row>
    <row r="36" spans="1:2" x14ac:dyDescent="0.25">
      <c r="A36" t="s">
        <v>1526</v>
      </c>
    </row>
    <row r="37" spans="1:2" x14ac:dyDescent="0.25">
      <c r="B37" t="s">
        <v>976</v>
      </c>
    </row>
    <row r="38" spans="1:2" x14ac:dyDescent="0.25">
      <c r="A38" t="s">
        <v>1527</v>
      </c>
    </row>
    <row r="39" spans="1:2" x14ac:dyDescent="0.25">
      <c r="B39" t="s">
        <v>978</v>
      </c>
    </row>
    <row r="40" spans="1:2" x14ac:dyDescent="0.25">
      <c r="A40" t="s">
        <v>1528</v>
      </c>
    </row>
    <row r="41" spans="1:2" x14ac:dyDescent="0.25">
      <c r="B41" t="s">
        <v>980</v>
      </c>
    </row>
    <row r="42" spans="1:2" x14ac:dyDescent="0.25">
      <c r="A42" t="s">
        <v>2249</v>
      </c>
    </row>
    <row r="43" spans="1:2" x14ac:dyDescent="0.25">
      <c r="A43" t="s">
        <v>671</v>
      </c>
    </row>
    <row r="44" spans="1:2" x14ac:dyDescent="0.25">
      <c r="A44" t="s">
        <v>468</v>
      </c>
    </row>
    <row r="45" spans="1:2" x14ac:dyDescent="0.25">
      <c r="A45" t="s">
        <v>2245</v>
      </c>
    </row>
    <row r="46" spans="1:2" x14ac:dyDescent="0.25">
      <c r="A46" t="s">
        <v>470</v>
      </c>
    </row>
    <row r="47" spans="1:2" x14ac:dyDescent="0.25">
      <c r="A47" t="s">
        <v>471</v>
      </c>
    </row>
    <row r="48" spans="1:2" x14ac:dyDescent="0.25">
      <c r="A48" t="s">
        <v>2246</v>
      </c>
    </row>
    <row r="49" spans="1:1" x14ac:dyDescent="0.25">
      <c r="A49" t="s">
        <v>469</v>
      </c>
    </row>
    <row r="50" spans="1:1" x14ac:dyDescent="0.25">
      <c r="A50" t="s">
        <v>2247</v>
      </c>
    </row>
    <row r="51" spans="1:1" x14ac:dyDescent="0.25">
      <c r="A51" t="s">
        <v>2244</v>
      </c>
    </row>
    <row r="52" spans="1:1" x14ac:dyDescent="0.25">
      <c r="A52" t="s">
        <v>2250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2"/>
  <sheetViews>
    <sheetView workbookViewId="0"/>
  </sheetViews>
  <sheetFormatPr defaultRowHeight="15" x14ac:dyDescent="0.25"/>
  <sheetData>
    <row r="1" spans="1:1" x14ac:dyDescent="0.25">
      <c r="A1" t="s">
        <v>254</v>
      </c>
    </row>
    <row r="2" spans="1:1" x14ac:dyDescent="0.25">
      <c r="A2" t="s">
        <v>2251</v>
      </c>
    </row>
    <row r="3" spans="1:1" x14ac:dyDescent="0.25">
      <c r="A3" t="s">
        <v>2252</v>
      </c>
    </row>
    <row r="4" spans="1:1" x14ac:dyDescent="0.25">
      <c r="A4" t="s">
        <v>2253</v>
      </c>
    </row>
    <row r="5" spans="1:1" x14ac:dyDescent="0.25">
      <c r="A5" t="s">
        <v>2254</v>
      </c>
    </row>
    <row r="6" spans="1:1" x14ac:dyDescent="0.25">
      <c r="A6" t="s">
        <v>2255</v>
      </c>
    </row>
    <row r="7" spans="1:1" x14ac:dyDescent="0.25">
      <c r="A7" t="s">
        <v>2256</v>
      </c>
    </row>
    <row r="8" spans="1:1" x14ac:dyDescent="0.25">
      <c r="A8" t="s">
        <v>2257</v>
      </c>
    </row>
    <row r="9" spans="1:1" x14ac:dyDescent="0.25">
      <c r="A9" t="s">
        <v>2258</v>
      </c>
    </row>
    <row r="10" spans="1:1" x14ac:dyDescent="0.25">
      <c r="A10" t="s">
        <v>2259</v>
      </c>
    </row>
    <row r="11" spans="1:1" x14ac:dyDescent="0.25">
      <c r="A11" t="s">
        <v>2260</v>
      </c>
    </row>
    <row r="12" spans="1:1" x14ac:dyDescent="0.25">
      <c r="A12" t="s">
        <v>258</v>
      </c>
    </row>
    <row r="13" spans="1:1" x14ac:dyDescent="0.25">
      <c r="A13" t="s">
        <v>572</v>
      </c>
    </row>
    <row r="14" spans="1:1" x14ac:dyDescent="0.25">
      <c r="A14" t="s">
        <v>646</v>
      </c>
    </row>
    <row r="15" spans="1:1" x14ac:dyDescent="0.25">
      <c r="A15" t="s">
        <v>611</v>
      </c>
    </row>
    <row r="16" spans="1:1" x14ac:dyDescent="0.25">
      <c r="A16" t="s">
        <v>2261</v>
      </c>
    </row>
    <row r="18" spans="1:1" x14ac:dyDescent="0.25">
      <c r="A18" t="s">
        <v>572</v>
      </c>
    </row>
    <row r="19" spans="1:1" x14ac:dyDescent="0.25">
      <c r="A19" t="s">
        <v>1520</v>
      </c>
    </row>
    <row r="20" spans="1:1" x14ac:dyDescent="0.25">
      <c r="A20" t="s">
        <v>1044</v>
      </c>
    </row>
    <row r="21" spans="1:1" x14ac:dyDescent="0.25">
      <c r="A21" t="s">
        <v>2262</v>
      </c>
    </row>
    <row r="23" spans="1:1" x14ac:dyDescent="0.25">
      <c r="A23" t="s">
        <v>572</v>
      </c>
    </row>
    <row r="24" spans="1:1" x14ac:dyDescent="0.25">
      <c r="A24" t="s">
        <v>646</v>
      </c>
    </row>
    <row r="25" spans="1:1" x14ac:dyDescent="0.25">
      <c r="A25" t="s">
        <v>580</v>
      </c>
    </row>
    <row r="26" spans="1:1" x14ac:dyDescent="0.25">
      <c r="A26" t="s">
        <v>2263</v>
      </c>
    </row>
    <row r="28" spans="1:1" x14ac:dyDescent="0.25">
      <c r="A28" t="s">
        <v>572</v>
      </c>
    </row>
    <row r="29" spans="1:1" x14ac:dyDescent="0.25">
      <c r="A29" t="s">
        <v>646</v>
      </c>
    </row>
    <row r="30" spans="1:1" x14ac:dyDescent="0.25">
      <c r="A30" t="s">
        <v>1424</v>
      </c>
    </row>
    <row r="31" spans="1:1" x14ac:dyDescent="0.25">
      <c r="A31" t="s">
        <v>2264</v>
      </c>
    </row>
    <row r="33" spans="1:1" x14ac:dyDescent="0.25">
      <c r="A33" t="s">
        <v>572</v>
      </c>
    </row>
    <row r="34" spans="1:1" x14ac:dyDescent="0.25">
      <c r="A34" t="s">
        <v>646</v>
      </c>
    </row>
    <row r="35" spans="1:1" x14ac:dyDescent="0.25">
      <c r="A35" t="s">
        <v>734</v>
      </c>
    </row>
    <row r="36" spans="1:1" x14ac:dyDescent="0.25">
      <c r="A36" t="s">
        <v>2265</v>
      </c>
    </row>
    <row r="38" spans="1:1" x14ac:dyDescent="0.25">
      <c r="A38" t="s">
        <v>244</v>
      </c>
    </row>
    <row r="39" spans="1:1" x14ac:dyDescent="0.25">
      <c r="A39" t="s">
        <v>1297</v>
      </c>
    </row>
    <row r="40" spans="1:1" x14ac:dyDescent="0.25">
      <c r="A40" t="s">
        <v>2266</v>
      </c>
    </row>
    <row r="41" spans="1:1" x14ac:dyDescent="0.25">
      <c r="A41" t="s">
        <v>2082</v>
      </c>
    </row>
    <row r="43" spans="1:1" x14ac:dyDescent="0.25">
      <c r="A43" t="s">
        <v>572</v>
      </c>
    </row>
    <row r="44" spans="1:1" x14ac:dyDescent="0.25">
      <c r="A44" t="s">
        <v>646</v>
      </c>
    </row>
    <row r="45" spans="1:1" x14ac:dyDescent="0.25">
      <c r="A45" t="s">
        <v>862</v>
      </c>
    </row>
    <row r="46" spans="1:1" x14ac:dyDescent="0.25">
      <c r="A46" t="s">
        <v>2265</v>
      </c>
    </row>
    <row r="47" spans="1:1" x14ac:dyDescent="0.25">
      <c r="A47" t="s">
        <v>1120</v>
      </c>
    </row>
    <row r="49" spans="1:2" x14ac:dyDescent="0.25">
      <c r="A49" t="s">
        <v>572</v>
      </c>
    </row>
    <row r="50" spans="1:2" x14ac:dyDescent="0.25">
      <c r="A50" t="s">
        <v>384</v>
      </c>
    </row>
    <row r="51" spans="1:2" x14ac:dyDescent="0.25">
      <c r="A51" t="s">
        <v>2267</v>
      </c>
    </row>
    <row r="52" spans="1:2" x14ac:dyDescent="0.25">
      <c r="A52" t="s">
        <v>580</v>
      </c>
    </row>
    <row r="53" spans="1:2" x14ac:dyDescent="0.25">
      <c r="A53" t="s">
        <v>2268</v>
      </c>
    </row>
    <row r="54" spans="1:2" x14ac:dyDescent="0.25">
      <c r="B54" t="s">
        <v>770</v>
      </c>
    </row>
    <row r="55" spans="1:2" x14ac:dyDescent="0.25">
      <c r="B55" t="s">
        <v>2269</v>
      </c>
    </row>
    <row r="56" spans="1:2" x14ac:dyDescent="0.25">
      <c r="A56" t="s">
        <v>671</v>
      </c>
    </row>
    <row r="57" spans="1:2" x14ac:dyDescent="0.25">
      <c r="A57" t="s">
        <v>384</v>
      </c>
    </row>
    <row r="58" spans="1:2" x14ac:dyDescent="0.25">
      <c r="A58" t="s">
        <v>447</v>
      </c>
    </row>
    <row r="60" spans="1:2" x14ac:dyDescent="0.25">
      <c r="A60" t="s">
        <v>467</v>
      </c>
    </row>
    <row r="61" spans="1:2" x14ac:dyDescent="0.25">
      <c r="A61" t="s">
        <v>646</v>
      </c>
    </row>
    <row r="62" spans="1:2" x14ac:dyDescent="0.25">
      <c r="A62" t="s">
        <v>2270</v>
      </c>
    </row>
    <row r="63" spans="1:2" x14ac:dyDescent="0.25">
      <c r="A63" t="s">
        <v>580</v>
      </c>
    </row>
    <row r="64" spans="1:2" x14ac:dyDescent="0.25">
      <c r="A64" t="s">
        <v>2271</v>
      </c>
    </row>
    <row r="65" spans="1:2" x14ac:dyDescent="0.25">
      <c r="B65" t="s">
        <v>770</v>
      </c>
    </row>
    <row r="66" spans="1:2" x14ac:dyDescent="0.25">
      <c r="B66" t="s">
        <v>2269</v>
      </c>
    </row>
    <row r="68" spans="1:2" x14ac:dyDescent="0.25">
      <c r="A68" t="s">
        <v>2272</v>
      </c>
    </row>
    <row r="69" spans="1:2" x14ac:dyDescent="0.25">
      <c r="A69" t="s">
        <v>2273</v>
      </c>
    </row>
    <row r="71" spans="1:2" x14ac:dyDescent="0.25">
      <c r="A71" t="s">
        <v>2274</v>
      </c>
    </row>
    <row r="72" spans="1:2" x14ac:dyDescent="0.25">
      <c r="A72" t="s">
        <v>2275</v>
      </c>
    </row>
    <row r="73" spans="1:2" x14ac:dyDescent="0.25">
      <c r="A73" t="s">
        <v>2276</v>
      </c>
    </row>
    <row r="74" spans="1:2" x14ac:dyDescent="0.25">
      <c r="A74" t="s">
        <v>2277</v>
      </c>
    </row>
    <row r="75" spans="1:2" x14ac:dyDescent="0.25">
      <c r="A75" t="s">
        <v>2278</v>
      </c>
    </row>
    <row r="76" spans="1:2" x14ac:dyDescent="0.25">
      <c r="A76" t="s">
        <v>2279</v>
      </c>
    </row>
    <row r="77" spans="1:2" x14ac:dyDescent="0.25">
      <c r="A77" t="s">
        <v>2280</v>
      </c>
    </row>
    <row r="78" spans="1:2" x14ac:dyDescent="0.25">
      <c r="A78" t="s">
        <v>2281</v>
      </c>
    </row>
    <row r="79" spans="1:2" x14ac:dyDescent="0.25">
      <c r="A79" t="s">
        <v>2282</v>
      </c>
    </row>
    <row r="80" spans="1:2" x14ac:dyDescent="0.25">
      <c r="A80" t="s">
        <v>2283</v>
      </c>
    </row>
    <row r="82" spans="1:2" x14ac:dyDescent="0.25">
      <c r="A82" t="s">
        <v>794</v>
      </c>
    </row>
    <row r="83" spans="1:2" x14ac:dyDescent="0.25">
      <c r="A83" t="s">
        <v>2284</v>
      </c>
    </row>
    <row r="84" spans="1:2" x14ac:dyDescent="0.25">
      <c r="A84" t="s">
        <v>696</v>
      </c>
    </row>
    <row r="85" spans="1:2" x14ac:dyDescent="0.25">
      <c r="A85" t="s">
        <v>697</v>
      </c>
    </row>
    <row r="86" spans="1:2" x14ac:dyDescent="0.25">
      <c r="B86" t="s">
        <v>2285</v>
      </c>
    </row>
    <row r="87" spans="1:2" x14ac:dyDescent="0.25">
      <c r="B87" t="s">
        <v>2286</v>
      </c>
    </row>
    <row r="88" spans="1:2" x14ac:dyDescent="0.25">
      <c r="B88" t="s">
        <v>2287</v>
      </c>
    </row>
    <row r="89" spans="1:2" x14ac:dyDescent="0.25">
      <c r="B89" t="s">
        <v>2288</v>
      </c>
    </row>
    <row r="90" spans="1:2" x14ac:dyDescent="0.25">
      <c r="B90" t="s">
        <v>2289</v>
      </c>
    </row>
    <row r="91" spans="1:2" x14ac:dyDescent="0.25">
      <c r="A91" t="s">
        <v>2290</v>
      </c>
    </row>
    <row r="92" spans="1:2" x14ac:dyDescent="0.25">
      <c r="A92" t="s">
        <v>2291</v>
      </c>
    </row>
    <row r="93" spans="1:2" x14ac:dyDescent="0.25">
      <c r="A93" t="s">
        <v>2292</v>
      </c>
    </row>
    <row r="94" spans="1:2" x14ac:dyDescent="0.25">
      <c r="A94" t="s">
        <v>2293</v>
      </c>
    </row>
    <row r="95" spans="1:2" x14ac:dyDescent="0.25">
      <c r="A95" t="s">
        <v>2294</v>
      </c>
    </row>
    <row r="96" spans="1:2" x14ac:dyDescent="0.25">
      <c r="B96" t="s">
        <v>2295</v>
      </c>
    </row>
    <row r="97" spans="1:2" x14ac:dyDescent="0.25">
      <c r="B97" t="s">
        <v>734</v>
      </c>
    </row>
    <row r="98" spans="1:2" x14ac:dyDescent="0.25">
      <c r="B98" t="s">
        <v>2296</v>
      </c>
    </row>
    <row r="100" spans="1:2" x14ac:dyDescent="0.25">
      <c r="A100" t="s">
        <v>2297</v>
      </c>
    </row>
    <row r="101" spans="1:2" x14ac:dyDescent="0.25">
      <c r="A101" t="s">
        <v>607</v>
      </c>
    </row>
    <row r="102" spans="1:2" x14ac:dyDescent="0.25">
      <c r="A102" t="s">
        <v>1912</v>
      </c>
    </row>
    <row r="103" spans="1:2" x14ac:dyDescent="0.25">
      <c r="A103" t="s">
        <v>2298</v>
      </c>
    </row>
    <row r="105" spans="1:2" x14ac:dyDescent="0.25">
      <c r="A105" t="s">
        <v>572</v>
      </c>
    </row>
    <row r="106" spans="1:2" x14ac:dyDescent="0.25">
      <c r="A106" t="s">
        <v>390</v>
      </c>
    </row>
    <row r="107" spans="1:2" x14ac:dyDescent="0.25">
      <c r="A107" t="s">
        <v>1015</v>
      </c>
    </row>
    <row r="108" spans="1:2" x14ac:dyDescent="0.25">
      <c r="A108" t="s">
        <v>2299</v>
      </c>
    </row>
    <row r="109" spans="1:2" x14ac:dyDescent="0.25">
      <c r="A109" t="s">
        <v>642</v>
      </c>
    </row>
    <row r="110" spans="1:2" x14ac:dyDescent="0.25">
      <c r="A110" t="s">
        <v>2300</v>
      </c>
    </row>
    <row r="111" spans="1:2" x14ac:dyDescent="0.25">
      <c r="A111" t="s">
        <v>2301</v>
      </c>
    </row>
    <row r="112" spans="1:2" x14ac:dyDescent="0.25">
      <c r="A112" t="s">
        <v>671</v>
      </c>
    </row>
    <row r="113" spans="1:2" x14ac:dyDescent="0.25">
      <c r="A113" t="s">
        <v>390</v>
      </c>
    </row>
    <row r="114" spans="1:2" x14ac:dyDescent="0.25">
      <c r="A114" t="s">
        <v>1015</v>
      </c>
    </row>
    <row r="115" spans="1:2" x14ac:dyDescent="0.25">
      <c r="A115" t="s">
        <v>2299</v>
      </c>
    </row>
    <row r="116" spans="1:2" x14ac:dyDescent="0.25">
      <c r="A116" t="s">
        <v>2302</v>
      </c>
    </row>
    <row r="118" spans="1:2" x14ac:dyDescent="0.25">
      <c r="A118" t="s">
        <v>572</v>
      </c>
    </row>
    <row r="119" spans="1:2" x14ac:dyDescent="0.25">
      <c r="A119" t="s">
        <v>646</v>
      </c>
    </row>
    <row r="120" spans="1:2" x14ac:dyDescent="0.25">
      <c r="A120" t="s">
        <v>580</v>
      </c>
    </row>
    <row r="121" spans="1:2" x14ac:dyDescent="0.25">
      <c r="A121" t="s">
        <v>2303</v>
      </c>
    </row>
    <row r="122" spans="1:2" x14ac:dyDescent="0.25">
      <c r="B122" t="s">
        <v>2304</v>
      </c>
    </row>
    <row r="125" spans="1:2" x14ac:dyDescent="0.25">
      <c r="A125" t="s">
        <v>2305</v>
      </c>
    </row>
    <row r="126" spans="1:2" x14ac:dyDescent="0.25">
      <c r="A126" t="s">
        <v>572</v>
      </c>
    </row>
    <row r="127" spans="1:2" x14ac:dyDescent="0.25">
      <c r="A127" t="s">
        <v>384</v>
      </c>
    </row>
    <row r="128" spans="1:2" x14ac:dyDescent="0.25">
      <c r="A128" t="s">
        <v>1020</v>
      </c>
    </row>
    <row r="129" spans="1:2" x14ac:dyDescent="0.25">
      <c r="A129" t="s">
        <v>665</v>
      </c>
    </row>
    <row r="130" spans="1:2" x14ac:dyDescent="0.25">
      <c r="A130" t="s">
        <v>2306</v>
      </c>
    </row>
    <row r="131" spans="1:2" x14ac:dyDescent="0.25">
      <c r="A131" t="s">
        <v>734</v>
      </c>
    </row>
    <row r="132" spans="1:2" x14ac:dyDescent="0.25">
      <c r="A132" t="s">
        <v>2307</v>
      </c>
    </row>
    <row r="133" spans="1:2" x14ac:dyDescent="0.25">
      <c r="B133" t="s">
        <v>2308</v>
      </c>
    </row>
    <row r="134" spans="1:2" x14ac:dyDescent="0.25">
      <c r="A134" t="s">
        <v>671</v>
      </c>
    </row>
    <row r="135" spans="1:2" x14ac:dyDescent="0.25">
      <c r="A135" t="s">
        <v>384</v>
      </c>
    </row>
    <row r="136" spans="1:2" x14ac:dyDescent="0.25">
      <c r="A136" t="s">
        <v>1020</v>
      </c>
    </row>
    <row r="137" spans="1:2" x14ac:dyDescent="0.25">
      <c r="A137" t="s">
        <v>447</v>
      </c>
    </row>
    <row r="139" spans="1:2" x14ac:dyDescent="0.25">
      <c r="A139" t="s">
        <v>572</v>
      </c>
    </row>
    <row r="140" spans="1:2" x14ac:dyDescent="0.25">
      <c r="A140" t="s">
        <v>1355</v>
      </c>
    </row>
    <row r="141" spans="1:2" x14ac:dyDescent="0.25">
      <c r="A141" t="s">
        <v>604</v>
      </c>
    </row>
    <row r="142" spans="1:2" x14ac:dyDescent="0.25">
      <c r="A142" t="s">
        <v>2309</v>
      </c>
    </row>
    <row r="143" spans="1:2" x14ac:dyDescent="0.25">
      <c r="B143" t="s">
        <v>2310</v>
      </c>
    </row>
    <row r="144" spans="1:2" x14ac:dyDescent="0.25">
      <c r="B144" t="s">
        <v>2311</v>
      </c>
    </row>
    <row r="145" spans="1:2" x14ac:dyDescent="0.25">
      <c r="A145" t="s">
        <v>2307</v>
      </c>
    </row>
    <row r="146" spans="1:2" x14ac:dyDescent="0.25">
      <c r="A146" t="s">
        <v>672</v>
      </c>
    </row>
    <row r="147" spans="1:2" x14ac:dyDescent="0.25">
      <c r="A147" t="s">
        <v>830</v>
      </c>
    </row>
    <row r="148" spans="1:2" x14ac:dyDescent="0.25">
      <c r="A148" t="s">
        <v>834</v>
      </c>
    </row>
    <row r="150" spans="1:2" x14ac:dyDescent="0.25">
      <c r="A150" t="s">
        <v>2312</v>
      </c>
    </row>
    <row r="151" spans="1:2" x14ac:dyDescent="0.25">
      <c r="A151" t="s">
        <v>2313</v>
      </c>
    </row>
    <row r="152" spans="1:2" x14ac:dyDescent="0.25">
      <c r="A152" t="s">
        <v>2314</v>
      </c>
    </row>
    <row r="153" spans="1:2" x14ac:dyDescent="0.25">
      <c r="A153" t="s">
        <v>2315</v>
      </c>
    </row>
    <row r="154" spans="1:2" x14ac:dyDescent="0.25">
      <c r="A154" t="s">
        <v>2316</v>
      </c>
    </row>
    <row r="155" spans="1:2" x14ac:dyDescent="0.25">
      <c r="A155" t="s">
        <v>82</v>
      </c>
    </row>
    <row r="156" spans="1:2" x14ac:dyDescent="0.25">
      <c r="A156" t="s">
        <v>684</v>
      </c>
    </row>
    <row r="157" spans="1:2" x14ac:dyDescent="0.25">
      <c r="A157" t="s">
        <v>2317</v>
      </c>
    </row>
    <row r="158" spans="1:2" x14ac:dyDescent="0.25">
      <c r="B158" t="s">
        <v>2318</v>
      </c>
    </row>
    <row r="160" spans="1:2" x14ac:dyDescent="0.25">
      <c r="A160" t="s">
        <v>2319</v>
      </c>
    </row>
    <row r="161" spans="1:1" x14ac:dyDescent="0.25">
      <c r="A161" t="s">
        <v>2320</v>
      </c>
    </row>
    <row r="162" spans="1:1" x14ac:dyDescent="0.25">
      <c r="A162" t="e">
        <f>--DELETE FROM TRANSACTION_QUEUE WHERE TRANSACTION_QUEUE_ID = 32212</f>
        <v>#NAME?</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2"/>
  <sheetViews>
    <sheetView workbookViewId="0">
      <selection sqref="A1:B92"/>
    </sheetView>
  </sheetViews>
  <sheetFormatPr defaultRowHeight="15" x14ac:dyDescent="0.25"/>
  <sheetData>
    <row r="1" spans="1:1" x14ac:dyDescent="0.25">
      <c r="A1" t="s">
        <v>254</v>
      </c>
    </row>
    <row r="2" spans="1:1" x14ac:dyDescent="0.25">
      <c r="A2" t="s">
        <v>2694</v>
      </c>
    </row>
    <row r="3" spans="1:1" x14ac:dyDescent="0.25">
      <c r="A3" t="s">
        <v>2695</v>
      </c>
    </row>
    <row r="4" spans="1:1" x14ac:dyDescent="0.25">
      <c r="A4" t="s">
        <v>2696</v>
      </c>
    </row>
    <row r="6" spans="1:1" x14ac:dyDescent="0.25">
      <c r="A6" t="s">
        <v>2697</v>
      </c>
    </row>
    <row r="7" spans="1:1" x14ac:dyDescent="0.25">
      <c r="A7" t="s">
        <v>2698</v>
      </c>
    </row>
    <row r="9" spans="1:1" x14ac:dyDescent="0.25">
      <c r="A9" t="s">
        <v>2699</v>
      </c>
    </row>
    <row r="11" spans="1:1" x14ac:dyDescent="0.25">
      <c r="A11" t="s">
        <v>2700</v>
      </c>
    </row>
    <row r="12" spans="1:1" x14ac:dyDescent="0.25">
      <c r="A12" t="s">
        <v>258</v>
      </c>
    </row>
    <row r="14" spans="1:1" x14ac:dyDescent="0.25">
      <c r="A14" t="s">
        <v>538</v>
      </c>
    </row>
    <row r="15" spans="1:1" x14ac:dyDescent="0.25">
      <c r="A15" t="s">
        <v>646</v>
      </c>
    </row>
    <row r="16" spans="1:1" x14ac:dyDescent="0.25">
      <c r="A16" t="s">
        <v>1394</v>
      </c>
    </row>
    <row r="17" spans="1:2" x14ac:dyDescent="0.25">
      <c r="A17" t="s">
        <v>2669</v>
      </c>
      <c r="B17" t="s">
        <v>2670</v>
      </c>
    </row>
    <row r="19" spans="1:2" x14ac:dyDescent="0.25">
      <c r="A19" t="s">
        <v>2671</v>
      </c>
    </row>
    <row r="21" spans="1:2" x14ac:dyDescent="0.25">
      <c r="A21" t="s">
        <v>2701</v>
      </c>
    </row>
    <row r="22" spans="1:2" x14ac:dyDescent="0.25">
      <c r="A22" t="s">
        <v>572</v>
      </c>
    </row>
    <row r="23" spans="1:2" x14ac:dyDescent="0.25">
      <c r="A23" t="s">
        <v>918</v>
      </c>
    </row>
    <row r="24" spans="1:2" x14ac:dyDescent="0.25">
      <c r="A24" t="s">
        <v>1580</v>
      </c>
    </row>
    <row r="25" spans="1:2" x14ac:dyDescent="0.25">
      <c r="A25" t="s">
        <v>589</v>
      </c>
    </row>
    <row r="26" spans="1:2" x14ac:dyDescent="0.25">
      <c r="A26" t="s">
        <v>2672</v>
      </c>
    </row>
    <row r="27" spans="1:2" x14ac:dyDescent="0.25">
      <c r="A27" t="s">
        <v>2673</v>
      </c>
    </row>
    <row r="28" spans="1:2" x14ac:dyDescent="0.25">
      <c r="A28" t="s">
        <v>2674</v>
      </c>
    </row>
    <row r="29" spans="1:2" x14ac:dyDescent="0.25">
      <c r="A29" t="s">
        <v>921</v>
      </c>
    </row>
    <row r="30" spans="1:2" x14ac:dyDescent="0.25">
      <c r="A30" t="s">
        <v>600</v>
      </c>
    </row>
    <row r="31" spans="1:2" x14ac:dyDescent="0.25">
      <c r="B31" t="s">
        <v>601</v>
      </c>
    </row>
    <row r="32" spans="1:2" x14ac:dyDescent="0.25">
      <c r="A32" t="s">
        <v>2675</v>
      </c>
    </row>
    <row r="33" spans="1:2" x14ac:dyDescent="0.25">
      <c r="B33" t="s">
        <v>2676</v>
      </c>
    </row>
    <row r="34" spans="1:2" x14ac:dyDescent="0.25">
      <c r="A34" t="s">
        <v>2677</v>
      </c>
    </row>
    <row r="35" spans="1:2" x14ac:dyDescent="0.25">
      <c r="A35" t="s">
        <v>254</v>
      </c>
    </row>
    <row r="36" spans="1:2" x14ac:dyDescent="0.25">
      <c r="A36" t="s">
        <v>2678</v>
      </c>
    </row>
    <row r="37" spans="1:2" x14ac:dyDescent="0.25">
      <c r="A37" t="s">
        <v>2679</v>
      </c>
    </row>
    <row r="38" spans="1:2" x14ac:dyDescent="0.25">
      <c r="A38" t="s">
        <v>258</v>
      </c>
    </row>
    <row r="40" spans="1:2" x14ac:dyDescent="0.25">
      <c r="A40" t="s">
        <v>572</v>
      </c>
    </row>
    <row r="41" spans="1:2" x14ac:dyDescent="0.25">
      <c r="A41" t="s">
        <v>2680</v>
      </c>
    </row>
    <row r="42" spans="1:2" x14ac:dyDescent="0.25">
      <c r="A42" t="s">
        <v>2681</v>
      </c>
    </row>
    <row r="43" spans="1:2" x14ac:dyDescent="0.25">
      <c r="A43" t="s">
        <v>2682</v>
      </c>
    </row>
    <row r="44" spans="1:2" x14ac:dyDescent="0.25">
      <c r="A44" t="s">
        <v>2683</v>
      </c>
    </row>
    <row r="45" spans="1:2" x14ac:dyDescent="0.25">
      <c r="A45" t="s">
        <v>2684</v>
      </c>
    </row>
    <row r="46" spans="1:2" x14ac:dyDescent="0.25">
      <c r="B46" t="s">
        <v>2685</v>
      </c>
    </row>
    <row r="47" spans="1:2" x14ac:dyDescent="0.25">
      <c r="A47" t="s">
        <v>2686</v>
      </c>
    </row>
    <row r="49" spans="1:2" x14ac:dyDescent="0.25">
      <c r="A49" t="s">
        <v>2702</v>
      </c>
    </row>
    <row r="50" spans="1:2" x14ac:dyDescent="0.25">
      <c r="A50" t="s">
        <v>2687</v>
      </c>
    </row>
    <row r="52" spans="1:2" x14ac:dyDescent="0.25">
      <c r="A52" t="s">
        <v>2153</v>
      </c>
    </row>
    <row r="53" spans="1:2" x14ac:dyDescent="0.25">
      <c r="A53" t="s">
        <v>2154</v>
      </c>
    </row>
    <row r="54" spans="1:2" x14ac:dyDescent="0.25">
      <c r="A54" t="s">
        <v>2155</v>
      </c>
    </row>
    <row r="55" spans="1:2" x14ac:dyDescent="0.25">
      <c r="B55" t="s">
        <v>2688</v>
      </c>
    </row>
    <row r="56" spans="1:2" x14ac:dyDescent="0.25">
      <c r="A56" t="s">
        <v>2157</v>
      </c>
    </row>
    <row r="57" spans="1:2" x14ac:dyDescent="0.25">
      <c r="A57" t="s">
        <v>2158</v>
      </c>
    </row>
    <row r="59" spans="1:2" x14ac:dyDescent="0.25">
      <c r="A59" t="s">
        <v>2703</v>
      </c>
    </row>
    <row r="60" spans="1:2" x14ac:dyDescent="0.25">
      <c r="A60" t="s">
        <v>2689</v>
      </c>
    </row>
    <row r="61" spans="1:2" x14ac:dyDescent="0.25">
      <c r="B61" t="s">
        <v>2690</v>
      </c>
    </row>
    <row r="62" spans="1:2" x14ac:dyDescent="0.25">
      <c r="A62" t="s">
        <v>2002</v>
      </c>
    </row>
    <row r="63" spans="1:2" x14ac:dyDescent="0.25">
      <c r="A63" t="s">
        <v>2161</v>
      </c>
    </row>
    <row r="64" spans="1:2" x14ac:dyDescent="0.25">
      <c r="A64" t="s">
        <v>2162</v>
      </c>
    </row>
    <row r="65" spans="1:2" x14ac:dyDescent="0.25">
      <c r="A65" t="s">
        <v>2163</v>
      </c>
    </row>
    <row r="66" spans="1:2" x14ac:dyDescent="0.25">
      <c r="A66" t="s">
        <v>2008</v>
      </c>
    </row>
    <row r="68" spans="1:2" x14ac:dyDescent="0.25">
      <c r="A68" t="s">
        <v>2704</v>
      </c>
    </row>
    <row r="69" spans="1:2" x14ac:dyDescent="0.25">
      <c r="A69" t="s">
        <v>2164</v>
      </c>
    </row>
    <row r="70" spans="1:2" x14ac:dyDescent="0.25">
      <c r="A70" t="s">
        <v>2165</v>
      </c>
    </row>
    <row r="71" spans="1:2" x14ac:dyDescent="0.25">
      <c r="B71" t="s">
        <v>2166</v>
      </c>
    </row>
    <row r="72" spans="1:2" x14ac:dyDescent="0.25">
      <c r="A72" t="s">
        <v>2167</v>
      </c>
    </row>
    <row r="73" spans="1:2" x14ac:dyDescent="0.25">
      <c r="A73" t="s">
        <v>2168</v>
      </c>
    </row>
    <row r="74" spans="1:2" x14ac:dyDescent="0.25">
      <c r="A74" t="s">
        <v>2169</v>
      </c>
    </row>
    <row r="75" spans="1:2" x14ac:dyDescent="0.25">
      <c r="A75" t="s">
        <v>2170</v>
      </c>
    </row>
    <row r="76" spans="1:2" x14ac:dyDescent="0.25">
      <c r="A76" t="s">
        <v>2095</v>
      </c>
    </row>
    <row r="77" spans="1:2" x14ac:dyDescent="0.25">
      <c r="A77" t="s">
        <v>2171</v>
      </c>
    </row>
    <row r="78" spans="1:2" x14ac:dyDescent="0.25">
      <c r="B78" t="s">
        <v>2166</v>
      </c>
    </row>
    <row r="79" spans="1:2" x14ac:dyDescent="0.25">
      <c r="A79" t="s">
        <v>2167</v>
      </c>
    </row>
    <row r="80" spans="1:2" x14ac:dyDescent="0.25">
      <c r="A80" t="s">
        <v>2168</v>
      </c>
    </row>
    <row r="81" spans="1:2" x14ac:dyDescent="0.25">
      <c r="A81" t="s">
        <v>2172</v>
      </c>
    </row>
    <row r="82" spans="1:2" x14ac:dyDescent="0.25">
      <c r="A82" t="s">
        <v>2173</v>
      </c>
    </row>
    <row r="83" spans="1:2" x14ac:dyDescent="0.25">
      <c r="B83" t="s">
        <v>2174</v>
      </c>
    </row>
    <row r="84" spans="1:2" x14ac:dyDescent="0.25">
      <c r="B84" t="s">
        <v>2167</v>
      </c>
    </row>
    <row r="85" spans="1:2" x14ac:dyDescent="0.25">
      <c r="B85" t="s">
        <v>2169</v>
      </c>
    </row>
    <row r="86" spans="1:2" x14ac:dyDescent="0.25">
      <c r="B86" t="s">
        <v>2175</v>
      </c>
    </row>
    <row r="87" spans="1:2" x14ac:dyDescent="0.25">
      <c r="B87" t="s">
        <v>698</v>
      </c>
    </row>
    <row r="88" spans="1:2" x14ac:dyDescent="0.25">
      <c r="A88" t="s">
        <v>2176</v>
      </c>
    </row>
    <row r="90" spans="1:2" x14ac:dyDescent="0.25">
      <c r="A90" t="s">
        <v>2691</v>
      </c>
    </row>
    <row r="91" spans="1:2" x14ac:dyDescent="0.25">
      <c r="A91" t="s">
        <v>2692</v>
      </c>
    </row>
    <row r="92" spans="1:2" x14ac:dyDescent="0.25">
      <c r="B92" t="s">
        <v>2693</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workbookViewId="0"/>
  </sheetViews>
  <sheetFormatPr defaultRowHeight="15" x14ac:dyDescent="0.25"/>
  <sheetData>
    <row r="1" spans="1:3" x14ac:dyDescent="0.25">
      <c r="A1" t="s">
        <v>538</v>
      </c>
    </row>
    <row r="2" spans="1:3" x14ac:dyDescent="0.25">
      <c r="A2" t="s">
        <v>3786</v>
      </c>
    </row>
    <row r="3" spans="1:3" x14ac:dyDescent="0.25">
      <c r="A3" t="s">
        <v>604</v>
      </c>
    </row>
    <row r="4" spans="1:3" x14ac:dyDescent="0.25">
      <c r="A4" t="s">
        <v>706</v>
      </c>
    </row>
    <row r="5" spans="1:3" x14ac:dyDescent="0.25">
      <c r="A5" t="s">
        <v>697</v>
      </c>
    </row>
    <row r="6" spans="1:3" x14ac:dyDescent="0.25">
      <c r="B6" t="s">
        <v>572</v>
      </c>
    </row>
    <row r="7" spans="1:3" x14ac:dyDescent="0.25">
      <c r="B7" t="s">
        <v>539</v>
      </c>
    </row>
    <row r="8" spans="1:3" x14ac:dyDescent="0.25">
      <c r="B8" t="s">
        <v>1625</v>
      </c>
    </row>
    <row r="9" spans="1:3" x14ac:dyDescent="0.25">
      <c r="B9" t="s">
        <v>3787</v>
      </c>
    </row>
    <row r="10" spans="1:3" x14ac:dyDescent="0.25">
      <c r="B10" t="s">
        <v>1635</v>
      </c>
    </row>
    <row r="11" spans="1:3" x14ac:dyDescent="0.25">
      <c r="C11" t="s">
        <v>3788</v>
      </c>
    </row>
    <row r="12" spans="1:3" x14ac:dyDescent="0.25">
      <c r="B12" t="s">
        <v>624</v>
      </c>
    </row>
    <row r="13" spans="1:3" x14ac:dyDescent="0.25">
      <c r="C13" t="s">
        <v>3789</v>
      </c>
    </row>
    <row r="14" spans="1:3" x14ac:dyDescent="0.25">
      <c r="A14" t="s">
        <v>3790</v>
      </c>
    </row>
    <row r="15" spans="1:3" x14ac:dyDescent="0.25">
      <c r="B15" t="s">
        <v>3791</v>
      </c>
    </row>
    <row r="16" spans="1:3" x14ac:dyDescent="0.25">
      <c r="B16" t="s">
        <v>3792</v>
      </c>
    </row>
    <row r="17" spans="1:3" x14ac:dyDescent="0.25">
      <c r="A17" t="s">
        <v>3793</v>
      </c>
    </row>
    <row r="19" spans="1:3" x14ac:dyDescent="0.25">
      <c r="A19" t="s">
        <v>538</v>
      </c>
    </row>
    <row r="20" spans="1:3" x14ac:dyDescent="0.25">
      <c r="A20" t="s">
        <v>3794</v>
      </c>
    </row>
    <row r="21" spans="1:3" x14ac:dyDescent="0.25">
      <c r="A21" t="s">
        <v>1289</v>
      </c>
    </row>
    <row r="22" spans="1:3" x14ac:dyDescent="0.25">
      <c r="A22" t="s">
        <v>706</v>
      </c>
    </row>
    <row r="23" spans="1:3" x14ac:dyDescent="0.25">
      <c r="A23" t="s">
        <v>697</v>
      </c>
    </row>
    <row r="24" spans="1:3" x14ac:dyDescent="0.25">
      <c r="B24" t="s">
        <v>572</v>
      </c>
    </row>
    <row r="25" spans="1:3" x14ac:dyDescent="0.25">
      <c r="B25" t="s">
        <v>539</v>
      </c>
    </row>
    <row r="26" spans="1:3" x14ac:dyDescent="0.25">
      <c r="B26" t="s">
        <v>1420</v>
      </c>
    </row>
    <row r="27" spans="1:3" x14ac:dyDescent="0.25">
      <c r="B27" t="s">
        <v>3795</v>
      </c>
    </row>
    <row r="28" spans="1:3" x14ac:dyDescent="0.25">
      <c r="B28" t="s">
        <v>624</v>
      </c>
    </row>
    <row r="29" spans="1:3" x14ac:dyDescent="0.25">
      <c r="C29" t="s">
        <v>3789</v>
      </c>
    </row>
    <row r="30" spans="1:3" x14ac:dyDescent="0.25">
      <c r="B30" t="s">
        <v>813</v>
      </c>
    </row>
    <row r="31" spans="1:3" x14ac:dyDescent="0.25">
      <c r="C31" t="s">
        <v>3796</v>
      </c>
    </row>
    <row r="32" spans="1:3" x14ac:dyDescent="0.25">
      <c r="A32" t="s">
        <v>3790</v>
      </c>
    </row>
    <row r="33" spans="1:2" x14ac:dyDescent="0.25">
      <c r="B33" t="s">
        <v>3797</v>
      </c>
    </row>
    <row r="34" spans="1:2" x14ac:dyDescent="0.25">
      <c r="B34" t="s">
        <v>3798</v>
      </c>
    </row>
    <row r="37" spans="1:2" x14ac:dyDescent="0.25">
      <c r="A37" t="s">
        <v>3799</v>
      </c>
    </row>
    <row r="39" spans="1:2" x14ac:dyDescent="0.25">
      <c r="A39" t="s">
        <v>3800</v>
      </c>
    </row>
    <row r="40" spans="1:2" x14ac:dyDescent="0.25">
      <c r="A40" t="s">
        <v>3801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3"/>
  <sheetViews>
    <sheetView workbookViewId="0"/>
  </sheetViews>
  <sheetFormatPr defaultRowHeight="15" x14ac:dyDescent="0.25"/>
  <sheetData>
    <row r="1" spans="1:2" x14ac:dyDescent="0.25">
      <c r="A1" t="s">
        <v>467</v>
      </c>
    </row>
    <row r="2" spans="1:2" x14ac:dyDescent="0.25">
      <c r="A2" t="s">
        <v>3076</v>
      </c>
    </row>
    <row r="3" spans="1:2" x14ac:dyDescent="0.25">
      <c r="A3" t="s">
        <v>3077</v>
      </c>
    </row>
    <row r="4" spans="1:2" x14ac:dyDescent="0.25">
      <c r="A4" t="s">
        <v>2546</v>
      </c>
    </row>
    <row r="5" spans="1:2" x14ac:dyDescent="0.25">
      <c r="A5" t="s">
        <v>2562</v>
      </c>
    </row>
    <row r="6" spans="1:2" x14ac:dyDescent="0.25">
      <c r="B6" t="s">
        <v>3078</v>
      </c>
    </row>
    <row r="7" spans="1:2" x14ac:dyDescent="0.25">
      <c r="A7" t="s">
        <v>3079</v>
      </c>
    </row>
    <row r="8" spans="1:2" x14ac:dyDescent="0.25">
      <c r="B8" t="s">
        <v>1514</v>
      </c>
    </row>
    <row r="9" spans="1:2" x14ac:dyDescent="0.25">
      <c r="A9" t="s">
        <v>3080</v>
      </c>
    </row>
    <row r="11" spans="1:2" x14ac:dyDescent="0.25">
      <c r="A11" t="s">
        <v>572</v>
      </c>
    </row>
    <row r="12" spans="1:2" x14ac:dyDescent="0.25">
      <c r="A12" t="s">
        <v>3081</v>
      </c>
    </row>
    <row r="13" spans="1:2" x14ac:dyDescent="0.25">
      <c r="A13" t="s">
        <v>1371</v>
      </c>
    </row>
    <row r="14" spans="1:2" x14ac:dyDescent="0.25">
      <c r="A14" t="s">
        <v>559</v>
      </c>
    </row>
    <row r="15" spans="1:2" x14ac:dyDescent="0.25">
      <c r="A15" t="s">
        <v>1376</v>
      </c>
    </row>
    <row r="16" spans="1:2" x14ac:dyDescent="0.25">
      <c r="B16" t="s">
        <v>3082</v>
      </c>
    </row>
    <row r="17" spans="1:1" x14ac:dyDescent="0.25">
      <c r="A17" t="s">
        <v>3083</v>
      </c>
    </row>
    <row r="19" spans="1:1" x14ac:dyDescent="0.25">
      <c r="A19" t="s">
        <v>794</v>
      </c>
    </row>
    <row r="20" spans="1:1" x14ac:dyDescent="0.25">
      <c r="A20" t="s">
        <v>3084</v>
      </c>
    </row>
    <row r="21" spans="1:1" x14ac:dyDescent="0.25">
      <c r="A21" t="s">
        <v>3085</v>
      </c>
    </row>
    <row r="23" spans="1:1" x14ac:dyDescent="0.25">
      <c r="A23" t="s">
        <v>572</v>
      </c>
    </row>
    <row r="24" spans="1:1" x14ac:dyDescent="0.25">
      <c r="A24" t="s">
        <v>646</v>
      </c>
    </row>
    <row r="25" spans="1:1" x14ac:dyDescent="0.25">
      <c r="A25" t="s">
        <v>3086</v>
      </c>
    </row>
    <row r="26" spans="1:1" x14ac:dyDescent="0.25">
      <c r="A26" t="s">
        <v>3087</v>
      </c>
    </row>
    <row r="27" spans="1:1" x14ac:dyDescent="0.25">
      <c r="A27" t="s">
        <v>3088</v>
      </c>
    </row>
    <row r="32" spans="1:1" x14ac:dyDescent="0.25">
      <c r="A32" t="s">
        <v>572</v>
      </c>
    </row>
    <row r="33" spans="1:2" x14ac:dyDescent="0.25">
      <c r="A33" t="s">
        <v>3081</v>
      </c>
    </row>
    <row r="34" spans="1:2" x14ac:dyDescent="0.25">
      <c r="A34" t="s">
        <v>3089</v>
      </c>
    </row>
    <row r="35" spans="1:2" x14ac:dyDescent="0.25">
      <c r="A35" t="s">
        <v>559</v>
      </c>
    </row>
    <row r="36" spans="1:2" x14ac:dyDescent="0.25">
      <c r="A36" t="s">
        <v>3090</v>
      </c>
    </row>
    <row r="37" spans="1:2" x14ac:dyDescent="0.25">
      <c r="B37" t="s">
        <v>3091</v>
      </c>
    </row>
    <row r="38" spans="1:2" x14ac:dyDescent="0.25">
      <c r="A38" t="s">
        <v>3092</v>
      </c>
    </row>
    <row r="40" spans="1:2" x14ac:dyDescent="0.25">
      <c r="A40" t="s">
        <v>572</v>
      </c>
    </row>
    <row r="41" spans="1:2" x14ac:dyDescent="0.25">
      <c r="A41" t="s">
        <v>646</v>
      </c>
    </row>
    <row r="42" spans="1:2" x14ac:dyDescent="0.25">
      <c r="A42" t="s">
        <v>611</v>
      </c>
    </row>
    <row r="43" spans="1:2" x14ac:dyDescent="0.25">
      <c r="A43" t="s">
        <v>3093</v>
      </c>
    </row>
    <row r="45" spans="1:2" x14ac:dyDescent="0.25">
      <c r="A45" t="s">
        <v>3094</v>
      </c>
    </row>
    <row r="47" spans="1:2" x14ac:dyDescent="0.25">
      <c r="A47" t="s">
        <v>254</v>
      </c>
    </row>
    <row r="48" spans="1:2" x14ac:dyDescent="0.25">
      <c r="A48" t="s">
        <v>3095</v>
      </c>
    </row>
    <row r="49" spans="1:1" x14ac:dyDescent="0.25">
      <c r="A49" t="s">
        <v>3096</v>
      </c>
    </row>
    <row r="50" spans="1:1" x14ac:dyDescent="0.25">
      <c r="A50" t="s">
        <v>3097</v>
      </c>
    </row>
    <row r="51" spans="1:1" x14ac:dyDescent="0.25">
      <c r="A51" t="s">
        <v>3093</v>
      </c>
    </row>
    <row r="53" spans="1:1" x14ac:dyDescent="0.25">
      <c r="A53" t="s">
        <v>3098</v>
      </c>
    </row>
    <row r="54" spans="1:1" x14ac:dyDescent="0.25">
      <c r="A54" t="s">
        <v>3099</v>
      </c>
    </row>
    <row r="55" spans="1:1" x14ac:dyDescent="0.25">
      <c r="A55" t="s">
        <v>3100</v>
      </c>
    </row>
    <row r="56" spans="1:1" x14ac:dyDescent="0.25">
      <c r="A56" t="s">
        <v>258</v>
      </c>
    </row>
    <row r="58" spans="1:1" x14ac:dyDescent="0.25">
      <c r="A58" t="s">
        <v>572</v>
      </c>
    </row>
    <row r="59" spans="1:1" x14ac:dyDescent="0.25">
      <c r="A59" t="s">
        <v>646</v>
      </c>
    </row>
    <row r="60" spans="1:1" x14ac:dyDescent="0.25">
      <c r="A60" t="s">
        <v>533</v>
      </c>
    </row>
    <row r="61" spans="1:1" x14ac:dyDescent="0.25">
      <c r="A61" t="s">
        <v>3093</v>
      </c>
    </row>
    <row r="65" spans="1:2" x14ac:dyDescent="0.25">
      <c r="A65" t="s">
        <v>3098</v>
      </c>
    </row>
    <row r="66" spans="1:2" x14ac:dyDescent="0.25">
      <c r="A66" t="s">
        <v>3101</v>
      </c>
    </row>
    <row r="67" spans="1:2" x14ac:dyDescent="0.25">
      <c r="A67" t="s">
        <v>3093</v>
      </c>
    </row>
    <row r="69" spans="1:2" x14ac:dyDescent="0.25">
      <c r="A69" t="s">
        <v>572</v>
      </c>
    </row>
    <row r="70" spans="1:2" x14ac:dyDescent="0.25">
      <c r="A70" t="s">
        <v>3081</v>
      </c>
    </row>
    <row r="71" spans="1:2" x14ac:dyDescent="0.25">
      <c r="A71" t="s">
        <v>1371</v>
      </c>
    </row>
    <row r="72" spans="1:2" x14ac:dyDescent="0.25">
      <c r="A72" t="s">
        <v>559</v>
      </c>
    </row>
    <row r="73" spans="1:2" x14ac:dyDescent="0.25">
      <c r="A73" t="s">
        <v>1376</v>
      </c>
    </row>
    <row r="74" spans="1:2" x14ac:dyDescent="0.25">
      <c r="B74" t="s">
        <v>3082</v>
      </c>
    </row>
    <row r="75" spans="1:2" x14ac:dyDescent="0.25">
      <c r="A75" t="s">
        <v>3102</v>
      </c>
    </row>
    <row r="78" spans="1:2" x14ac:dyDescent="0.25">
      <c r="A78" t="s">
        <v>3103</v>
      </c>
    </row>
    <row r="79" spans="1:2" x14ac:dyDescent="0.25">
      <c r="A79" t="s">
        <v>645</v>
      </c>
    </row>
    <row r="80" spans="1:2" x14ac:dyDescent="0.25">
      <c r="A80" t="s">
        <v>646</v>
      </c>
    </row>
    <row r="81" spans="1:2" x14ac:dyDescent="0.25">
      <c r="A81" t="s">
        <v>3086</v>
      </c>
    </row>
    <row r="82" spans="1:2" x14ac:dyDescent="0.25">
      <c r="A82" t="s">
        <v>3104</v>
      </c>
    </row>
    <row r="83" spans="1:2" x14ac:dyDescent="0.25">
      <c r="A83" t="s">
        <v>3105</v>
      </c>
    </row>
    <row r="84" spans="1:2" x14ac:dyDescent="0.25">
      <c r="B84" t="s">
        <v>3106</v>
      </c>
    </row>
    <row r="85" spans="1:2" x14ac:dyDescent="0.25">
      <c r="A85" t="s">
        <v>1393</v>
      </c>
    </row>
    <row r="87" spans="1:2" x14ac:dyDescent="0.25">
      <c r="A87" t="s">
        <v>645</v>
      </c>
    </row>
    <row r="88" spans="1:2" x14ac:dyDescent="0.25">
      <c r="A88" t="s">
        <v>646</v>
      </c>
    </row>
    <row r="89" spans="1:2" x14ac:dyDescent="0.25">
      <c r="A89" t="s">
        <v>3086</v>
      </c>
    </row>
    <row r="90" spans="1:2" x14ac:dyDescent="0.25">
      <c r="A90" t="s">
        <v>3107</v>
      </c>
    </row>
    <row r="91" spans="1:2" x14ac:dyDescent="0.25">
      <c r="A91" t="s">
        <v>1393</v>
      </c>
    </row>
    <row r="93" spans="1:2" x14ac:dyDescent="0.25">
      <c r="A93" t="s">
        <v>254</v>
      </c>
    </row>
    <row r="94" spans="1:2" x14ac:dyDescent="0.25">
      <c r="A94" t="s">
        <v>3108</v>
      </c>
    </row>
    <row r="95" spans="1:2" x14ac:dyDescent="0.25">
      <c r="A95" t="s">
        <v>3109</v>
      </c>
    </row>
    <row r="96" spans="1:2" x14ac:dyDescent="0.25">
      <c r="A96" t="s">
        <v>258</v>
      </c>
    </row>
    <row r="97" spans="1:3" x14ac:dyDescent="0.25">
      <c r="A97" t="s">
        <v>240</v>
      </c>
    </row>
    <row r="98" spans="1:3" x14ac:dyDescent="0.25">
      <c r="A98" t="s">
        <v>3110</v>
      </c>
    </row>
    <row r="100" spans="1:3" x14ac:dyDescent="0.25">
      <c r="A100" t="s">
        <v>572</v>
      </c>
    </row>
    <row r="101" spans="1:3" x14ac:dyDescent="0.25">
      <c r="A101" t="s">
        <v>1265</v>
      </c>
    </row>
    <row r="102" spans="1:3" x14ac:dyDescent="0.25">
      <c r="A102" t="s">
        <v>3111</v>
      </c>
    </row>
    <row r="103" spans="1:3" x14ac:dyDescent="0.25">
      <c r="A103" t="s">
        <v>2053</v>
      </c>
    </row>
    <row r="104" spans="1:3" x14ac:dyDescent="0.25">
      <c r="A104" t="s">
        <v>3112</v>
      </c>
      <c r="C104">
        <v>300571265</v>
      </c>
    </row>
    <row r="105" spans="1:3" x14ac:dyDescent="0.25">
      <c r="A105" t="s">
        <v>611</v>
      </c>
    </row>
    <row r="106" spans="1:3" x14ac:dyDescent="0.25">
      <c r="A106" t="s">
        <v>3093</v>
      </c>
    </row>
    <row r="108" spans="1:3" x14ac:dyDescent="0.25">
      <c r="A108" t="s">
        <v>572</v>
      </c>
    </row>
    <row r="109" spans="1:3" x14ac:dyDescent="0.25">
      <c r="A109" t="s">
        <v>1265</v>
      </c>
    </row>
    <row r="110" spans="1:3" x14ac:dyDescent="0.25">
      <c r="A110" t="s">
        <v>1009</v>
      </c>
    </row>
    <row r="111" spans="1:3" x14ac:dyDescent="0.25">
      <c r="A111" t="s">
        <v>1079</v>
      </c>
    </row>
    <row r="112" spans="1:3" x14ac:dyDescent="0.25">
      <c r="A112" t="s">
        <v>1010</v>
      </c>
    </row>
    <row r="113" spans="1:3" x14ac:dyDescent="0.25">
      <c r="A113" t="s">
        <v>3111</v>
      </c>
    </row>
    <row r="114" spans="1:3" x14ac:dyDescent="0.25">
      <c r="A114" t="s">
        <v>2053</v>
      </c>
    </row>
    <row r="115" spans="1:3" x14ac:dyDescent="0.25">
      <c r="A115" t="s">
        <v>3113</v>
      </c>
    </row>
    <row r="116" spans="1:3" x14ac:dyDescent="0.25">
      <c r="A116" t="s">
        <v>3093</v>
      </c>
    </row>
    <row r="119" spans="1:3" x14ac:dyDescent="0.25">
      <c r="A119" t="s">
        <v>254</v>
      </c>
    </row>
    <row r="120" spans="1:3" x14ac:dyDescent="0.25">
      <c r="A120" t="s">
        <v>3114</v>
      </c>
    </row>
    <row r="121" spans="1:3" x14ac:dyDescent="0.25">
      <c r="A121" t="s">
        <v>3115</v>
      </c>
      <c r="B121" t="s">
        <v>3116</v>
      </c>
      <c r="C121">
        <v>300571265</v>
      </c>
    </row>
    <row r="122" spans="1:3" x14ac:dyDescent="0.25">
      <c r="A122" t="s">
        <v>82</v>
      </c>
    </row>
    <row r="123" spans="1:3" x14ac:dyDescent="0.25">
      <c r="A123" t="s">
        <v>3117</v>
      </c>
    </row>
    <row r="124" spans="1:3" x14ac:dyDescent="0.25">
      <c r="A124" t="s">
        <v>3118</v>
      </c>
    </row>
    <row r="125" spans="1:3" x14ac:dyDescent="0.25">
      <c r="A125" t="s">
        <v>3119</v>
      </c>
    </row>
    <row r="126" spans="1:3" x14ac:dyDescent="0.25">
      <c r="A126" t="s">
        <v>3120</v>
      </c>
    </row>
    <row r="127" spans="1:3" x14ac:dyDescent="0.25">
      <c r="A127" t="s">
        <v>3121</v>
      </c>
    </row>
    <row r="128" spans="1:3" x14ac:dyDescent="0.25">
      <c r="A128" t="s">
        <v>3122</v>
      </c>
    </row>
    <row r="130" spans="1:2" x14ac:dyDescent="0.25">
      <c r="A130" t="s">
        <v>3114</v>
      </c>
    </row>
    <row r="131" spans="1:2" x14ac:dyDescent="0.25">
      <c r="A131" t="s">
        <v>3123</v>
      </c>
    </row>
    <row r="132" spans="1:2" x14ac:dyDescent="0.25">
      <c r="A132" t="s">
        <v>3118</v>
      </c>
    </row>
    <row r="133" spans="1:2" x14ac:dyDescent="0.25">
      <c r="A133" t="s">
        <v>3124</v>
      </c>
      <c r="B133" t="s">
        <v>3125</v>
      </c>
    </row>
    <row r="134" spans="1:2" x14ac:dyDescent="0.25">
      <c r="A134" t="s">
        <v>1734</v>
      </c>
    </row>
    <row r="135" spans="1:2" x14ac:dyDescent="0.25">
      <c r="A135" t="s">
        <v>258</v>
      </c>
    </row>
    <row r="137" spans="1:2" x14ac:dyDescent="0.25">
      <c r="A137" t="e">
        <v>#NAME?</v>
      </c>
    </row>
    <row r="138" spans="1:2" x14ac:dyDescent="0.25">
      <c r="A138" t="s">
        <v>467</v>
      </c>
    </row>
    <row r="139" spans="1:2" x14ac:dyDescent="0.25">
      <c r="A139" t="s">
        <v>3076</v>
      </c>
    </row>
    <row r="140" spans="1:2" x14ac:dyDescent="0.25">
      <c r="A140" t="s">
        <v>3077</v>
      </c>
    </row>
    <row r="141" spans="1:2" x14ac:dyDescent="0.25">
      <c r="A141" t="s">
        <v>2546</v>
      </c>
    </row>
    <row r="142" spans="1:2" x14ac:dyDescent="0.25">
      <c r="A142" t="s">
        <v>2562</v>
      </c>
    </row>
    <row r="143" spans="1:2" x14ac:dyDescent="0.25">
      <c r="B143" t="s">
        <v>3078</v>
      </c>
    </row>
    <row r="144" spans="1:2" x14ac:dyDescent="0.25">
      <c r="A144" t="s">
        <v>3126</v>
      </c>
    </row>
    <row r="145" spans="1:2" x14ac:dyDescent="0.25">
      <c r="B145" t="s">
        <v>3127</v>
      </c>
    </row>
    <row r="146" spans="1:2" x14ac:dyDescent="0.25">
      <c r="B146" t="s">
        <v>3128</v>
      </c>
    </row>
    <row r="147" spans="1:2" x14ac:dyDescent="0.25">
      <c r="B147" t="s">
        <v>3129</v>
      </c>
    </row>
    <row r="148" spans="1:2" x14ac:dyDescent="0.25">
      <c r="B148" t="s">
        <v>3130</v>
      </c>
    </row>
    <row r="149" spans="1:2" x14ac:dyDescent="0.25">
      <c r="A149" t="s">
        <v>3080</v>
      </c>
    </row>
    <row r="151" spans="1:2" x14ac:dyDescent="0.25">
      <c r="A151" t="s">
        <v>254</v>
      </c>
    </row>
    <row r="152" spans="1:2" x14ac:dyDescent="0.25">
      <c r="B152" t="s">
        <v>3491</v>
      </c>
    </row>
    <row r="153" spans="1:2" x14ac:dyDescent="0.25">
      <c r="A153" t="s">
        <v>258</v>
      </c>
    </row>
    <row r="155" spans="1:2" x14ac:dyDescent="0.25">
      <c r="A155" t="s">
        <v>3492</v>
      </c>
    </row>
    <row r="156" spans="1:2" x14ac:dyDescent="0.25">
      <c r="A156" t="s">
        <v>572</v>
      </c>
    </row>
    <row r="157" spans="1:2" x14ac:dyDescent="0.25">
      <c r="A157" t="s">
        <v>646</v>
      </c>
    </row>
    <row r="158" spans="1:2" x14ac:dyDescent="0.25">
      <c r="A158" t="s">
        <v>3493</v>
      </c>
    </row>
    <row r="159" spans="1:2" x14ac:dyDescent="0.25">
      <c r="A159" t="s">
        <v>3086</v>
      </c>
    </row>
    <row r="160" spans="1:2" x14ac:dyDescent="0.25">
      <c r="A160" t="s">
        <v>3494</v>
      </c>
    </row>
    <row r="161" spans="1:2" x14ac:dyDescent="0.25">
      <c r="B161" t="s">
        <v>3106</v>
      </c>
    </row>
    <row r="162" spans="1:2" x14ac:dyDescent="0.25">
      <c r="A162" t="s">
        <v>3495</v>
      </c>
    </row>
    <row r="164" spans="1:2" x14ac:dyDescent="0.25">
      <c r="A164" t="s">
        <v>3496</v>
      </c>
    </row>
    <row r="165" spans="1:2" x14ac:dyDescent="0.25">
      <c r="A165" t="s">
        <v>572</v>
      </c>
    </row>
    <row r="166" spans="1:2" x14ac:dyDescent="0.25">
      <c r="A166" t="s">
        <v>646</v>
      </c>
    </row>
    <row r="167" spans="1:2" x14ac:dyDescent="0.25">
      <c r="A167" t="s">
        <v>3497</v>
      </c>
    </row>
    <row r="168" spans="1:2" x14ac:dyDescent="0.25">
      <c r="A168" t="s">
        <v>3086</v>
      </c>
    </row>
    <row r="169" spans="1:2" x14ac:dyDescent="0.25">
      <c r="A169" t="s">
        <v>279</v>
      </c>
    </row>
    <row r="170" spans="1:2" x14ac:dyDescent="0.25">
      <c r="B170" t="s">
        <v>3106</v>
      </c>
    </row>
    <row r="171" spans="1:2" x14ac:dyDescent="0.25">
      <c r="A171" t="s">
        <v>3495</v>
      </c>
    </row>
    <row r="173" spans="1:2" x14ac:dyDescent="0.25">
      <c r="A173" t="s">
        <v>3498</v>
      </c>
    </row>
    <row r="174" spans="1:2" x14ac:dyDescent="0.25">
      <c r="A174" t="s">
        <v>572</v>
      </c>
    </row>
    <row r="175" spans="1:2" x14ac:dyDescent="0.25">
      <c r="A175" t="s">
        <v>3499</v>
      </c>
    </row>
    <row r="176" spans="1:2" x14ac:dyDescent="0.25">
      <c r="A176" t="s">
        <v>3500</v>
      </c>
    </row>
    <row r="177" spans="1:2" x14ac:dyDescent="0.25">
      <c r="A177" t="s">
        <v>3501</v>
      </c>
    </row>
    <row r="178" spans="1:2" x14ac:dyDescent="0.25">
      <c r="A178" t="s">
        <v>3502</v>
      </c>
    </row>
    <row r="179" spans="1:2" x14ac:dyDescent="0.25">
      <c r="A179" t="s">
        <v>3503</v>
      </c>
    </row>
    <row r="180" spans="1:2" x14ac:dyDescent="0.25">
      <c r="B180" t="s">
        <v>3504</v>
      </c>
    </row>
    <row r="181" spans="1:2" x14ac:dyDescent="0.25">
      <c r="B181" t="s">
        <v>3505</v>
      </c>
    </row>
    <row r="182" spans="1:2" x14ac:dyDescent="0.25">
      <c r="A182" t="s">
        <v>3506</v>
      </c>
    </row>
    <row r="184" spans="1:2" x14ac:dyDescent="0.25">
      <c r="A184" t="s">
        <v>3507</v>
      </c>
    </row>
    <row r="185" spans="1:2" x14ac:dyDescent="0.25">
      <c r="A185" t="s">
        <v>572</v>
      </c>
    </row>
    <row r="186" spans="1:2" x14ac:dyDescent="0.25">
      <c r="A186" t="s">
        <v>3081</v>
      </c>
    </row>
    <row r="187" spans="1:2" x14ac:dyDescent="0.25">
      <c r="A187" t="s">
        <v>3508</v>
      </c>
    </row>
    <row r="188" spans="1:2" x14ac:dyDescent="0.25">
      <c r="A188" t="s">
        <v>3509</v>
      </c>
    </row>
    <row r="189" spans="1:2" x14ac:dyDescent="0.25">
      <c r="A189" t="s">
        <v>706</v>
      </c>
    </row>
    <row r="190" spans="1:2" x14ac:dyDescent="0.25">
      <c r="A190" t="s">
        <v>697</v>
      </c>
    </row>
    <row r="191" spans="1:2" x14ac:dyDescent="0.25">
      <c r="B191" t="s">
        <v>572</v>
      </c>
    </row>
    <row r="192" spans="1:2" x14ac:dyDescent="0.25">
      <c r="B192" t="s">
        <v>646</v>
      </c>
    </row>
    <row r="193" spans="1:2" x14ac:dyDescent="0.25">
      <c r="B193" t="s">
        <v>3510</v>
      </c>
    </row>
    <row r="194" spans="1:2" x14ac:dyDescent="0.25">
      <c r="A194" t="s">
        <v>1577</v>
      </c>
    </row>
    <row r="195" spans="1:2" x14ac:dyDescent="0.25">
      <c r="B195" t="s">
        <v>3511</v>
      </c>
    </row>
    <row r="196" spans="1:2" x14ac:dyDescent="0.25">
      <c r="B196" t="s">
        <v>3512</v>
      </c>
    </row>
    <row r="197" spans="1:2" x14ac:dyDescent="0.25">
      <c r="A197" t="s">
        <v>672</v>
      </c>
    </row>
    <row r="198" spans="1:2" x14ac:dyDescent="0.25">
      <c r="A198" t="s">
        <v>3513</v>
      </c>
    </row>
    <row r="199" spans="1:2" x14ac:dyDescent="0.25">
      <c r="A199" t="s">
        <v>3514</v>
      </c>
    </row>
    <row r="201" spans="1:2" x14ac:dyDescent="0.25">
      <c r="A201" t="s">
        <v>3515</v>
      </c>
    </row>
    <row r="203" spans="1:2" x14ac:dyDescent="0.25">
      <c r="A203" t="s">
        <v>467</v>
      </c>
    </row>
    <row r="204" spans="1:2" x14ac:dyDescent="0.25">
      <c r="A204" t="s">
        <v>3076</v>
      </c>
    </row>
    <row r="205" spans="1:2" x14ac:dyDescent="0.25">
      <c r="A205" t="s">
        <v>3077</v>
      </c>
    </row>
    <row r="206" spans="1:2" x14ac:dyDescent="0.25">
      <c r="A206" t="s">
        <v>2546</v>
      </c>
    </row>
    <row r="207" spans="1:2" x14ac:dyDescent="0.25">
      <c r="A207" t="s">
        <v>2562</v>
      </c>
    </row>
    <row r="208" spans="1:2" x14ac:dyDescent="0.25">
      <c r="B208" t="s">
        <v>3078</v>
      </c>
    </row>
    <row r="209" spans="1:3" x14ac:dyDescent="0.25">
      <c r="A209" t="s">
        <v>3516</v>
      </c>
    </row>
    <row r="210" spans="1:3" x14ac:dyDescent="0.25">
      <c r="B210" t="s">
        <v>3517</v>
      </c>
    </row>
    <row r="211" spans="1:3" x14ac:dyDescent="0.25">
      <c r="C211" t="s">
        <v>3518</v>
      </c>
    </row>
    <row r="212" spans="1:3" x14ac:dyDescent="0.25">
      <c r="B212" t="s">
        <v>698</v>
      </c>
    </row>
    <row r="213" spans="1:3" x14ac:dyDescent="0.25">
      <c r="B213" t="s">
        <v>3519</v>
      </c>
    </row>
    <row r="214" spans="1:3" x14ac:dyDescent="0.25">
      <c r="A214" t="s">
        <v>672</v>
      </c>
    </row>
    <row r="215" spans="1:3" x14ac:dyDescent="0.25">
      <c r="A215" t="s">
        <v>3520</v>
      </c>
    </row>
    <row r="218" spans="1:3" x14ac:dyDescent="0.25">
      <c r="A218" t="s">
        <v>572</v>
      </c>
    </row>
    <row r="219" spans="1:3" x14ac:dyDescent="0.25">
      <c r="A219" t="s">
        <v>646</v>
      </c>
    </row>
    <row r="220" spans="1:3" x14ac:dyDescent="0.25">
      <c r="A220" t="s">
        <v>3521</v>
      </c>
    </row>
    <row r="221" spans="1:3" x14ac:dyDescent="0.25">
      <c r="A221" t="s">
        <v>3522</v>
      </c>
    </row>
    <row r="223" spans="1:3" x14ac:dyDescent="0.25">
      <c r="A223" t="s">
        <v>1303</v>
      </c>
    </row>
    <row r="224" spans="1:3" x14ac:dyDescent="0.25">
      <c r="A224" t="s">
        <v>646</v>
      </c>
    </row>
    <row r="225" spans="1:2" x14ac:dyDescent="0.25">
      <c r="A225" t="s">
        <v>3086</v>
      </c>
    </row>
    <row r="226" spans="1:2" x14ac:dyDescent="0.25">
      <c r="A226" t="s">
        <v>3522</v>
      </c>
    </row>
    <row r="227" spans="1:2" x14ac:dyDescent="0.25">
      <c r="B227" t="s">
        <v>3523</v>
      </c>
    </row>
    <row r="228" spans="1:2" x14ac:dyDescent="0.25">
      <c r="A228" t="s">
        <v>1393</v>
      </c>
    </row>
    <row r="230" spans="1:2" x14ac:dyDescent="0.25">
      <c r="A230" t="s">
        <v>572</v>
      </c>
    </row>
    <row r="231" spans="1:2" x14ac:dyDescent="0.25">
      <c r="A231" t="s">
        <v>646</v>
      </c>
    </row>
    <row r="232" spans="1:2" x14ac:dyDescent="0.25">
      <c r="A232" t="s">
        <v>611</v>
      </c>
    </row>
    <row r="233" spans="1:2" x14ac:dyDescent="0.25">
      <c r="A233" t="s">
        <v>3524</v>
      </c>
    </row>
    <row r="235" spans="1:2" x14ac:dyDescent="0.25">
      <c r="A235" t="s">
        <v>3118</v>
      </c>
    </row>
    <row r="236" spans="1:2" x14ac:dyDescent="0.25">
      <c r="A236" t="s">
        <v>3525</v>
      </c>
    </row>
    <row r="237" spans="1:2" x14ac:dyDescent="0.25">
      <c r="A237" t="e">
        <f>-- Set ProviderTypeID  = 1</f>
        <v>#NAME?</v>
      </c>
    </row>
    <row r="238" spans="1:2" x14ac:dyDescent="0.25">
      <c r="A238" t="s">
        <v>3526</v>
      </c>
    </row>
    <row r="239" spans="1:2" x14ac:dyDescent="0.25">
      <c r="A239" t="e">
        <f>-- Set</f>
        <v>#NAME?</v>
      </c>
      <c r="B239" t="s">
        <v>3527</v>
      </c>
    </row>
    <row r="240" spans="1:2" x14ac:dyDescent="0.25">
      <c r="A240" t="s">
        <v>3528</v>
      </c>
    </row>
    <row r="241" spans="1:1" x14ac:dyDescent="0.25">
      <c r="A241" t="s">
        <v>3529</v>
      </c>
    </row>
    <row r="242" spans="1:1" x14ac:dyDescent="0.25">
      <c r="A242" t="s">
        <v>3524</v>
      </c>
    </row>
    <row r="244" spans="1:1" x14ac:dyDescent="0.25">
      <c r="A244" t="s">
        <v>3530</v>
      </c>
    </row>
    <row r="245" spans="1:1" x14ac:dyDescent="0.25">
      <c r="A245" t="s">
        <v>3531</v>
      </c>
    </row>
    <row r="246" spans="1:1" x14ac:dyDescent="0.25">
      <c r="A246" t="s">
        <v>3532</v>
      </c>
    </row>
    <row r="247" spans="1:1" x14ac:dyDescent="0.25">
      <c r="A247" t="s">
        <v>3533</v>
      </c>
    </row>
    <row r="248" spans="1:1" x14ac:dyDescent="0.25">
      <c r="A248" t="s">
        <v>3534</v>
      </c>
    </row>
    <row r="249" spans="1:1" x14ac:dyDescent="0.25">
      <c r="A249" t="s">
        <v>3535</v>
      </c>
    </row>
    <row r="250" spans="1:1" x14ac:dyDescent="0.25">
      <c r="A250" t="s">
        <v>3536</v>
      </c>
    </row>
    <row r="251" spans="1:1" x14ac:dyDescent="0.25">
      <c r="A251" t="s">
        <v>3537</v>
      </c>
    </row>
    <row r="253" spans="1:1" x14ac:dyDescent="0.25">
      <c r="A253" t="s">
        <v>3538</v>
      </c>
    </row>
    <row r="254" spans="1:1" x14ac:dyDescent="0.25">
      <c r="A254" t="s">
        <v>572</v>
      </c>
    </row>
    <row r="255" spans="1:1" x14ac:dyDescent="0.25">
      <c r="A255" t="s">
        <v>646</v>
      </c>
    </row>
    <row r="256" spans="1:1" x14ac:dyDescent="0.25">
      <c r="A256" t="s">
        <v>3539</v>
      </c>
    </row>
    <row r="257" spans="1:1" x14ac:dyDescent="0.25">
      <c r="A257" t="s">
        <v>3086</v>
      </c>
    </row>
    <row r="258" spans="1:1" x14ac:dyDescent="0.25">
      <c r="A258" t="s">
        <v>279</v>
      </c>
    </row>
    <row r="259" spans="1:1" x14ac:dyDescent="0.25">
      <c r="A259" t="s">
        <v>3495</v>
      </c>
    </row>
    <row r="261" spans="1:1" x14ac:dyDescent="0.25">
      <c r="A261" t="s">
        <v>467</v>
      </c>
    </row>
    <row r="262" spans="1:1" x14ac:dyDescent="0.25">
      <c r="A262" t="s">
        <v>3540</v>
      </c>
    </row>
    <row r="263" spans="1:1" x14ac:dyDescent="0.25">
      <c r="A263" t="s">
        <v>3541</v>
      </c>
    </row>
    <row r="264" spans="1:1" x14ac:dyDescent="0.25">
      <c r="A264" t="s">
        <v>3542</v>
      </c>
    </row>
    <row r="265" spans="1:1" x14ac:dyDescent="0.25">
      <c r="A265" t="s">
        <v>3543</v>
      </c>
    </row>
    <row r="266" spans="1:1" x14ac:dyDescent="0.25">
      <c r="A266" t="s">
        <v>3544</v>
      </c>
    </row>
    <row r="267" spans="1:1" x14ac:dyDescent="0.25">
      <c r="A267" t="s">
        <v>3545</v>
      </c>
    </row>
    <row r="268" spans="1:1" x14ac:dyDescent="0.25">
      <c r="A268" t="s">
        <v>3546</v>
      </c>
    </row>
    <row r="269" spans="1:1" x14ac:dyDescent="0.25">
      <c r="A269" t="s">
        <v>1467</v>
      </c>
    </row>
    <row r="270" spans="1:1" x14ac:dyDescent="0.25">
      <c r="A270" t="s">
        <v>1468</v>
      </c>
    </row>
    <row r="271" spans="1:1" x14ac:dyDescent="0.25">
      <c r="A271" t="s">
        <v>1371</v>
      </c>
    </row>
    <row r="272" spans="1:1" x14ac:dyDescent="0.25">
      <c r="A272" t="s">
        <v>3547</v>
      </c>
    </row>
    <row r="273" spans="1:2" x14ac:dyDescent="0.25">
      <c r="A273" t="s">
        <v>3548</v>
      </c>
    </row>
    <row r="274" spans="1:2" x14ac:dyDescent="0.25">
      <c r="A274" t="s">
        <v>3549</v>
      </c>
    </row>
    <row r="275" spans="1:2" x14ac:dyDescent="0.25">
      <c r="B275" t="s">
        <v>3550</v>
      </c>
    </row>
    <row r="276" spans="1:2" x14ac:dyDescent="0.25">
      <c r="A276" t="s">
        <v>1544</v>
      </c>
    </row>
    <row r="277" spans="1:2" x14ac:dyDescent="0.25">
      <c r="B277" t="s">
        <v>3551</v>
      </c>
    </row>
    <row r="278" spans="1:2" x14ac:dyDescent="0.25">
      <c r="A278" t="s">
        <v>1542</v>
      </c>
    </row>
    <row r="279" spans="1:2" x14ac:dyDescent="0.25">
      <c r="B279" t="s">
        <v>3552</v>
      </c>
    </row>
    <row r="280" spans="1:2" x14ac:dyDescent="0.25">
      <c r="A280" t="s">
        <v>3553</v>
      </c>
    </row>
    <row r="281" spans="1:2" x14ac:dyDescent="0.25">
      <c r="B281" t="s">
        <v>3554</v>
      </c>
    </row>
    <row r="282" spans="1:2" x14ac:dyDescent="0.25">
      <c r="A282" t="s">
        <v>1376</v>
      </c>
    </row>
    <row r="283" spans="1:2" x14ac:dyDescent="0.25">
      <c r="B283" t="s">
        <v>3555</v>
      </c>
    </row>
    <row r="284" spans="1:2" x14ac:dyDescent="0.25">
      <c r="A284" t="s">
        <v>696</v>
      </c>
    </row>
    <row r="285" spans="1:2" x14ac:dyDescent="0.25">
      <c r="A285" t="s">
        <v>697</v>
      </c>
    </row>
    <row r="286" spans="1:2" x14ac:dyDescent="0.25">
      <c r="B286" t="s">
        <v>572</v>
      </c>
    </row>
    <row r="287" spans="1:2" x14ac:dyDescent="0.25">
      <c r="B287" t="s">
        <v>646</v>
      </c>
    </row>
    <row r="288" spans="1:2" x14ac:dyDescent="0.25">
      <c r="B288" t="s">
        <v>3521</v>
      </c>
    </row>
    <row r="289" spans="1:2" x14ac:dyDescent="0.25">
      <c r="B289" t="s">
        <v>3556</v>
      </c>
    </row>
    <row r="290" spans="1:2" x14ac:dyDescent="0.25">
      <c r="A290" t="s">
        <v>3557</v>
      </c>
    </row>
    <row r="291" spans="1:2" x14ac:dyDescent="0.25">
      <c r="B291" t="s">
        <v>3558</v>
      </c>
    </row>
    <row r="292" spans="1:2" x14ac:dyDescent="0.25">
      <c r="A292" t="s">
        <v>3559</v>
      </c>
    </row>
    <row r="293" spans="1:2" x14ac:dyDescent="0.25">
      <c r="B293" t="s">
        <v>3560</v>
      </c>
    </row>
    <row r="294" spans="1:2" x14ac:dyDescent="0.25">
      <c r="A294" t="s">
        <v>634</v>
      </c>
    </row>
    <row r="295" spans="1:2" x14ac:dyDescent="0.25">
      <c r="A295" t="s">
        <v>3561</v>
      </c>
    </row>
    <row r="296" spans="1:2" x14ac:dyDescent="0.25">
      <c r="A296" t="s">
        <v>3562</v>
      </c>
    </row>
    <row r="297" spans="1:2" x14ac:dyDescent="0.25">
      <c r="A297" t="s">
        <v>3541</v>
      </c>
    </row>
    <row r="299" spans="1:2" x14ac:dyDescent="0.25">
      <c r="A299" t="s">
        <v>3563</v>
      </c>
    </row>
    <row r="300" spans="1:2" x14ac:dyDescent="0.25">
      <c r="A300" t="s">
        <v>572</v>
      </c>
    </row>
    <row r="301" spans="1:2" x14ac:dyDescent="0.25">
      <c r="A301" t="s">
        <v>646</v>
      </c>
    </row>
    <row r="302" spans="1:2" x14ac:dyDescent="0.25">
      <c r="A302" t="s">
        <v>3564</v>
      </c>
    </row>
    <row r="303" spans="1:2" x14ac:dyDescent="0.25">
      <c r="A303" t="s">
        <v>576</v>
      </c>
    </row>
    <row r="305" spans="1:1" x14ac:dyDescent="0.25">
      <c r="A305" t="s">
        <v>572</v>
      </c>
    </row>
    <row r="306" spans="1:1" x14ac:dyDescent="0.25">
      <c r="A306" t="s">
        <v>1455</v>
      </c>
    </row>
    <row r="307" spans="1:1" x14ac:dyDescent="0.25">
      <c r="A307" t="s">
        <v>3565</v>
      </c>
    </row>
    <row r="308" spans="1:1" x14ac:dyDescent="0.25">
      <c r="A308" t="s">
        <v>3564</v>
      </c>
    </row>
    <row r="309" spans="1:1" x14ac:dyDescent="0.25">
      <c r="A309" t="s">
        <v>576</v>
      </c>
    </row>
    <row r="310" spans="1:1" x14ac:dyDescent="0.25">
      <c r="A310" t="s">
        <v>3566</v>
      </c>
    </row>
    <row r="311" spans="1:1" x14ac:dyDescent="0.25">
      <c r="A311" t="s">
        <v>671</v>
      </c>
    </row>
    <row r="312" spans="1:1" x14ac:dyDescent="0.25">
      <c r="A312" t="s">
        <v>1455</v>
      </c>
    </row>
    <row r="313" spans="1:1" x14ac:dyDescent="0.25">
      <c r="A313" t="s">
        <v>447</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workbookViewId="0">
      <selection sqref="A1:B64"/>
    </sheetView>
  </sheetViews>
  <sheetFormatPr defaultRowHeight="15" x14ac:dyDescent="0.25"/>
  <sheetData>
    <row r="1" spans="1:2" x14ac:dyDescent="0.25">
      <c r="A1" t="s">
        <v>572</v>
      </c>
    </row>
    <row r="2" spans="1:2" x14ac:dyDescent="0.25">
      <c r="A2" t="s">
        <v>3131</v>
      </c>
    </row>
    <row r="3" spans="1:2" x14ac:dyDescent="0.25">
      <c r="A3" t="s">
        <v>1371</v>
      </c>
    </row>
    <row r="4" spans="1:2" x14ac:dyDescent="0.25">
      <c r="A4" t="s">
        <v>1658</v>
      </c>
    </row>
    <row r="5" spans="1:2" x14ac:dyDescent="0.25">
      <c r="A5" t="s">
        <v>1376</v>
      </c>
    </row>
    <row r="6" spans="1:2" x14ac:dyDescent="0.25">
      <c r="B6" t="s">
        <v>3132</v>
      </c>
    </row>
    <row r="7" spans="1:2" x14ac:dyDescent="0.25">
      <c r="A7" t="s">
        <v>3133</v>
      </c>
    </row>
    <row r="9" spans="1:2" x14ac:dyDescent="0.25">
      <c r="A9" t="s">
        <v>572</v>
      </c>
    </row>
    <row r="10" spans="1:2" x14ac:dyDescent="0.25">
      <c r="A10" t="s">
        <v>646</v>
      </c>
    </row>
    <row r="11" spans="1:2" x14ac:dyDescent="0.25">
      <c r="A11" t="s">
        <v>924</v>
      </c>
    </row>
    <row r="12" spans="1:2" x14ac:dyDescent="0.25">
      <c r="A12" t="s">
        <v>3134</v>
      </c>
    </row>
    <row r="15" spans="1:2" x14ac:dyDescent="0.25">
      <c r="A15" t="s">
        <v>3135</v>
      </c>
    </row>
    <row r="17" spans="1:1" x14ac:dyDescent="0.25">
      <c r="A17" t="s">
        <v>244</v>
      </c>
    </row>
    <row r="18" spans="1:1" x14ac:dyDescent="0.25">
      <c r="A18" t="s">
        <v>3136</v>
      </c>
    </row>
    <row r="19" spans="1:1" x14ac:dyDescent="0.25">
      <c r="A19" t="s">
        <v>3137</v>
      </c>
    </row>
    <row r="20" spans="1:1" x14ac:dyDescent="0.25">
      <c r="A20" t="s">
        <v>3138</v>
      </c>
    </row>
    <row r="22" spans="1:1" x14ac:dyDescent="0.25">
      <c r="A22" t="s">
        <v>572</v>
      </c>
    </row>
    <row r="23" spans="1:1" x14ac:dyDescent="0.25">
      <c r="A23" t="s">
        <v>646</v>
      </c>
    </row>
    <row r="24" spans="1:1" x14ac:dyDescent="0.25">
      <c r="A24" t="s">
        <v>3139</v>
      </c>
    </row>
    <row r="25" spans="1:1" x14ac:dyDescent="0.25">
      <c r="A25" t="s">
        <v>3140</v>
      </c>
    </row>
    <row r="27" spans="1:1" x14ac:dyDescent="0.25">
      <c r="A27" t="s">
        <v>572</v>
      </c>
    </row>
    <row r="28" spans="1:1" x14ac:dyDescent="0.25">
      <c r="A28" t="s">
        <v>646</v>
      </c>
    </row>
    <row r="29" spans="1:1" x14ac:dyDescent="0.25">
      <c r="A29" t="s">
        <v>3141</v>
      </c>
    </row>
    <row r="30" spans="1:1" x14ac:dyDescent="0.25">
      <c r="A30" t="s">
        <v>3142</v>
      </c>
    </row>
    <row r="34" spans="1:1" x14ac:dyDescent="0.25">
      <c r="A34" t="s">
        <v>244</v>
      </c>
    </row>
    <row r="35" spans="1:1" x14ac:dyDescent="0.25">
      <c r="A35" t="s">
        <v>2132</v>
      </c>
    </row>
    <row r="36" spans="1:1" x14ac:dyDescent="0.25">
      <c r="A36" t="s">
        <v>3137</v>
      </c>
    </row>
    <row r="39" spans="1:1" x14ac:dyDescent="0.25">
      <c r="A39" t="s">
        <v>254</v>
      </c>
    </row>
    <row r="40" spans="1:1" x14ac:dyDescent="0.25">
      <c r="A40" t="s">
        <v>3143</v>
      </c>
    </row>
    <row r="41" spans="1:1" x14ac:dyDescent="0.25">
      <c r="A41" t="s">
        <v>3144</v>
      </c>
    </row>
    <row r="42" spans="1:1" x14ac:dyDescent="0.25">
      <c r="A42" t="s">
        <v>3145</v>
      </c>
    </row>
    <row r="44" spans="1:1" x14ac:dyDescent="0.25">
      <c r="A44" t="e">
        <f>-- DELETE all workflow information for process = 4492</f>
        <v>#NAME?</v>
      </c>
    </row>
    <row r="46" spans="1:1" x14ac:dyDescent="0.25">
      <c r="A46" t="s">
        <v>258</v>
      </c>
    </row>
    <row r="47" spans="1:1" x14ac:dyDescent="0.25">
      <c r="A47" t="s">
        <v>3146</v>
      </c>
    </row>
    <row r="48" spans="1:1" x14ac:dyDescent="0.25">
      <c r="A48" t="s">
        <v>3147</v>
      </c>
    </row>
    <row r="49" spans="1:2" x14ac:dyDescent="0.25">
      <c r="A49" t="s">
        <v>3148</v>
      </c>
    </row>
    <row r="50" spans="1:2" x14ac:dyDescent="0.25">
      <c r="A50" t="s">
        <v>3149</v>
      </c>
    </row>
    <row r="53" spans="1:2" x14ac:dyDescent="0.25">
      <c r="A53" t="s">
        <v>3150</v>
      </c>
    </row>
    <row r="55" spans="1:2" x14ac:dyDescent="0.25">
      <c r="A55" t="e">
        <f>-- Steps that were actually executed</f>
        <v>#NAME?</v>
      </c>
    </row>
    <row r="56" spans="1:2" x14ac:dyDescent="0.25">
      <c r="A56" t="s">
        <v>2689</v>
      </c>
    </row>
    <row r="57" spans="1:2" x14ac:dyDescent="0.25">
      <c r="B57" t="s">
        <v>2690</v>
      </c>
    </row>
    <row r="58" spans="1:2" x14ac:dyDescent="0.25">
      <c r="A58" t="s">
        <v>2002</v>
      </c>
    </row>
    <row r="59" spans="1:2" x14ac:dyDescent="0.25">
      <c r="A59" t="s">
        <v>2161</v>
      </c>
    </row>
    <row r="60" spans="1:2" x14ac:dyDescent="0.25">
      <c r="A60" t="s">
        <v>2162</v>
      </c>
    </row>
    <row r="61" spans="1:2" x14ac:dyDescent="0.25">
      <c r="A61" t="s">
        <v>2163</v>
      </c>
    </row>
    <row r="62" spans="1:2" x14ac:dyDescent="0.25">
      <c r="A62" t="s">
        <v>2008</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
  <sheetViews>
    <sheetView workbookViewId="0">
      <selection activeCell="A6" sqref="A6"/>
    </sheetView>
  </sheetViews>
  <sheetFormatPr defaultRowHeight="15" x14ac:dyDescent="0.25"/>
  <sheetData>
    <row r="1" spans="1:2" x14ac:dyDescent="0.25">
      <c r="A1" t="s">
        <v>3151</v>
      </c>
    </row>
    <row r="2" spans="1:2" x14ac:dyDescent="0.25">
      <c r="A2" t="s">
        <v>3152</v>
      </c>
    </row>
    <row r="3" spans="1:2" x14ac:dyDescent="0.25">
      <c r="A3" t="s">
        <v>3153</v>
      </c>
    </row>
    <row r="4" spans="1:2" x14ac:dyDescent="0.25">
      <c r="A4" t="s">
        <v>3154</v>
      </c>
    </row>
    <row r="5" spans="1:2" x14ac:dyDescent="0.25">
      <c r="A5" t="s">
        <v>3155</v>
      </c>
    </row>
    <row r="7" spans="1:2" x14ac:dyDescent="0.25">
      <c r="A7" t="e">
        <f>-- Steps that were actually executed</f>
        <v>#NAME?</v>
      </c>
    </row>
    <row r="8" spans="1:2" x14ac:dyDescent="0.25">
      <c r="A8" t="s">
        <v>2689</v>
      </c>
    </row>
    <row r="9" spans="1:2" x14ac:dyDescent="0.25">
      <c r="B9" t="s">
        <v>2690</v>
      </c>
    </row>
    <row r="10" spans="1:2" x14ac:dyDescent="0.25">
      <c r="A10" t="s">
        <v>2002</v>
      </c>
    </row>
    <row r="11" spans="1:2" x14ac:dyDescent="0.25">
      <c r="A11" t="s">
        <v>2161</v>
      </c>
    </row>
    <row r="12" spans="1:2" x14ac:dyDescent="0.25">
      <c r="A12" t="s">
        <v>2162</v>
      </c>
    </row>
    <row r="13" spans="1:2" x14ac:dyDescent="0.25">
      <c r="A13" t="s">
        <v>3156</v>
      </c>
    </row>
    <row r="14" spans="1:2" x14ac:dyDescent="0.25">
      <c r="A14" t="s">
        <v>2008</v>
      </c>
    </row>
    <row r="16" spans="1:2" x14ac:dyDescent="0.25">
      <c r="A16" t="s">
        <v>3157</v>
      </c>
    </row>
    <row r="17" spans="1:1" x14ac:dyDescent="0.25">
      <c r="A17" t="s">
        <v>572</v>
      </c>
    </row>
    <row r="18" spans="1:1" x14ac:dyDescent="0.25">
      <c r="A18" t="s">
        <v>1265</v>
      </c>
    </row>
    <row r="19" spans="1:1" x14ac:dyDescent="0.25">
      <c r="A19" t="s">
        <v>1009</v>
      </c>
    </row>
    <row r="20" spans="1:1" x14ac:dyDescent="0.25">
      <c r="A20" t="s">
        <v>3158</v>
      </c>
    </row>
    <row r="21" spans="1:1" x14ac:dyDescent="0.25">
      <c r="A21" t="s">
        <v>3159</v>
      </c>
    </row>
    <row r="22" spans="1:1" x14ac:dyDescent="0.25">
      <c r="A22" t="s">
        <v>3113</v>
      </c>
    </row>
    <row r="24" spans="1:1" x14ac:dyDescent="0.25">
      <c r="A24" t="s">
        <v>3160</v>
      </c>
    </row>
    <row r="25" spans="1:1" x14ac:dyDescent="0.25">
      <c r="A25" t="s">
        <v>572</v>
      </c>
    </row>
    <row r="26" spans="1:1" x14ac:dyDescent="0.25">
      <c r="A26" t="s">
        <v>3161</v>
      </c>
    </row>
    <row r="27" spans="1:1" x14ac:dyDescent="0.25">
      <c r="A27" t="s">
        <v>3162</v>
      </c>
    </row>
    <row r="28" spans="1:1" x14ac:dyDescent="0.25">
      <c r="A28" t="s">
        <v>3163</v>
      </c>
    </row>
    <row r="29" spans="1:1" x14ac:dyDescent="0.25">
      <c r="A29" t="s">
        <v>1881</v>
      </c>
    </row>
    <row r="30" spans="1:1" x14ac:dyDescent="0.25">
      <c r="A30" t="s">
        <v>895</v>
      </c>
    </row>
    <row r="31" spans="1:1" x14ac:dyDescent="0.25">
      <c r="A31" t="s">
        <v>2461</v>
      </c>
    </row>
    <row r="32" spans="1:1" x14ac:dyDescent="0.25">
      <c r="A32" t="s">
        <v>2463</v>
      </c>
    </row>
    <row r="33" spans="1:2" x14ac:dyDescent="0.25">
      <c r="A33" t="s">
        <v>3164</v>
      </c>
    </row>
    <row r="34" spans="1:2" x14ac:dyDescent="0.25">
      <c r="A34" t="s">
        <v>2903</v>
      </c>
    </row>
    <row r="35" spans="1:2" x14ac:dyDescent="0.25">
      <c r="A35" t="s">
        <v>3165</v>
      </c>
    </row>
    <row r="36" spans="1:2" x14ac:dyDescent="0.25">
      <c r="A36" t="s">
        <v>3166</v>
      </c>
    </row>
    <row r="37" spans="1:2" x14ac:dyDescent="0.25">
      <c r="A37" t="s">
        <v>3167</v>
      </c>
    </row>
    <row r="38" spans="1:2" x14ac:dyDescent="0.25">
      <c r="A38" t="s">
        <v>696</v>
      </c>
    </row>
    <row r="39" spans="1:2" x14ac:dyDescent="0.25">
      <c r="A39" t="s">
        <v>697</v>
      </c>
    </row>
    <row r="40" spans="1:2" x14ac:dyDescent="0.25">
      <c r="B40" t="s">
        <v>572</v>
      </c>
    </row>
    <row r="41" spans="1:2" x14ac:dyDescent="0.25">
      <c r="B41" t="s">
        <v>384</v>
      </c>
    </row>
    <row r="42" spans="1:2" x14ac:dyDescent="0.25">
      <c r="B42" t="s">
        <v>3168</v>
      </c>
    </row>
    <row r="43" spans="1:2" x14ac:dyDescent="0.25">
      <c r="B43" t="s">
        <v>2132</v>
      </c>
    </row>
    <row r="44" spans="1:2" x14ac:dyDescent="0.25">
      <c r="B44" t="s">
        <v>671</v>
      </c>
    </row>
    <row r="45" spans="1:2" x14ac:dyDescent="0.25">
      <c r="B45" t="s">
        <v>384</v>
      </c>
    </row>
    <row r="46" spans="1:2" x14ac:dyDescent="0.25">
      <c r="A46" t="s">
        <v>3169</v>
      </c>
    </row>
    <row r="47" spans="1:2" x14ac:dyDescent="0.25">
      <c r="B47" t="s">
        <v>3170</v>
      </c>
    </row>
    <row r="48" spans="1:2" x14ac:dyDescent="0.25">
      <c r="A48" t="s">
        <v>1106</v>
      </c>
    </row>
    <row r="49" spans="1:2" x14ac:dyDescent="0.25">
      <c r="A49" t="s">
        <v>697</v>
      </c>
    </row>
    <row r="50" spans="1:2" x14ac:dyDescent="0.25">
      <c r="B50" t="s">
        <v>572</v>
      </c>
    </row>
    <row r="51" spans="1:2" x14ac:dyDescent="0.25">
      <c r="B51" t="s">
        <v>2427</v>
      </c>
    </row>
    <row r="52" spans="1:2" x14ac:dyDescent="0.25">
      <c r="B52" t="s">
        <v>3171</v>
      </c>
    </row>
    <row r="53" spans="1:2" x14ac:dyDescent="0.25">
      <c r="B53" t="s">
        <v>2708</v>
      </c>
    </row>
    <row r="54" spans="1:2" x14ac:dyDescent="0.25">
      <c r="B54" t="s">
        <v>3172</v>
      </c>
    </row>
    <row r="55" spans="1:2" x14ac:dyDescent="0.25">
      <c r="B55" t="s">
        <v>671</v>
      </c>
    </row>
    <row r="56" spans="1:2" x14ac:dyDescent="0.25">
      <c r="B56" t="s">
        <v>2427</v>
      </c>
    </row>
    <row r="57" spans="1:2" x14ac:dyDescent="0.25">
      <c r="A57" t="s">
        <v>3173</v>
      </c>
    </row>
    <row r="58" spans="1:2" x14ac:dyDescent="0.25">
      <c r="B58" t="s">
        <v>3174</v>
      </c>
    </row>
    <row r="59" spans="1:2" x14ac:dyDescent="0.25">
      <c r="A59" t="s">
        <v>696</v>
      </c>
    </row>
    <row r="60" spans="1:2" x14ac:dyDescent="0.25">
      <c r="A60" t="s">
        <v>697</v>
      </c>
    </row>
    <row r="61" spans="1:2" x14ac:dyDescent="0.25">
      <c r="B61" t="s">
        <v>572</v>
      </c>
    </row>
    <row r="62" spans="1:2" x14ac:dyDescent="0.25">
      <c r="B62" t="s">
        <v>1265</v>
      </c>
    </row>
    <row r="63" spans="1:2" x14ac:dyDescent="0.25">
      <c r="B63" t="s">
        <v>3175</v>
      </c>
    </row>
    <row r="64" spans="1:2" x14ac:dyDescent="0.25">
      <c r="B64" t="s">
        <v>668</v>
      </c>
    </row>
    <row r="65" spans="1:3" x14ac:dyDescent="0.25">
      <c r="B65" t="s">
        <v>669</v>
      </c>
    </row>
    <row r="66" spans="1:3" x14ac:dyDescent="0.25">
      <c r="B66" t="s">
        <v>1767</v>
      </c>
    </row>
    <row r="67" spans="1:3" x14ac:dyDescent="0.25">
      <c r="C67" t="s">
        <v>1025</v>
      </c>
    </row>
    <row r="68" spans="1:3" x14ac:dyDescent="0.25">
      <c r="B68" t="s">
        <v>671</v>
      </c>
    </row>
    <row r="69" spans="1:3" x14ac:dyDescent="0.25">
      <c r="B69" t="s">
        <v>1265</v>
      </c>
    </row>
    <row r="70" spans="1:3" x14ac:dyDescent="0.25">
      <c r="A70" t="s">
        <v>1269</v>
      </c>
    </row>
    <row r="71" spans="1:3" x14ac:dyDescent="0.25">
      <c r="B71" t="s">
        <v>3176</v>
      </c>
    </row>
    <row r="72" spans="1:3" x14ac:dyDescent="0.25">
      <c r="A72" t="s">
        <v>624</v>
      </c>
    </row>
    <row r="73" spans="1:3" x14ac:dyDescent="0.25">
      <c r="B73" t="s">
        <v>3177</v>
      </c>
    </row>
    <row r="74" spans="1:3" x14ac:dyDescent="0.25">
      <c r="A74" t="s">
        <v>3178</v>
      </c>
    </row>
    <row r="75" spans="1:3" x14ac:dyDescent="0.25">
      <c r="B75" t="s">
        <v>3179</v>
      </c>
    </row>
    <row r="76" spans="1:3" x14ac:dyDescent="0.25">
      <c r="A76" t="s">
        <v>3180</v>
      </c>
    </row>
    <row r="77" spans="1:3" x14ac:dyDescent="0.25">
      <c r="B77" t="s">
        <v>3181</v>
      </c>
    </row>
    <row r="79" spans="1:3" x14ac:dyDescent="0.25">
      <c r="A79" t="s">
        <v>3182</v>
      </c>
    </row>
    <row r="80" spans="1:3" x14ac:dyDescent="0.25">
      <c r="A80" t="s">
        <v>572</v>
      </c>
    </row>
    <row r="81" spans="1:2" x14ac:dyDescent="0.25">
      <c r="A81" t="s">
        <v>3161</v>
      </c>
    </row>
    <row r="82" spans="1:2" x14ac:dyDescent="0.25">
      <c r="A82" t="s">
        <v>3162</v>
      </c>
    </row>
    <row r="83" spans="1:2" x14ac:dyDescent="0.25">
      <c r="A83" t="s">
        <v>3163</v>
      </c>
    </row>
    <row r="84" spans="1:2" x14ac:dyDescent="0.25">
      <c r="A84" t="s">
        <v>1881</v>
      </c>
    </row>
    <row r="85" spans="1:2" x14ac:dyDescent="0.25">
      <c r="A85" t="s">
        <v>895</v>
      </c>
    </row>
    <row r="86" spans="1:2" x14ac:dyDescent="0.25">
      <c r="A86" t="s">
        <v>2461</v>
      </c>
    </row>
    <row r="87" spans="1:2" x14ac:dyDescent="0.25">
      <c r="A87" t="s">
        <v>2463</v>
      </c>
    </row>
    <row r="88" spans="1:2" x14ac:dyDescent="0.25">
      <c r="A88" t="s">
        <v>3164</v>
      </c>
    </row>
    <row r="89" spans="1:2" x14ac:dyDescent="0.25">
      <c r="A89" t="s">
        <v>3183</v>
      </c>
    </row>
    <row r="90" spans="1:2" x14ac:dyDescent="0.25">
      <c r="A90" t="s">
        <v>3165</v>
      </c>
    </row>
    <row r="91" spans="1:2" x14ac:dyDescent="0.25">
      <c r="A91" t="s">
        <v>3184</v>
      </c>
    </row>
    <row r="92" spans="1:2" x14ac:dyDescent="0.25">
      <c r="A92" t="s">
        <v>3167</v>
      </c>
    </row>
    <row r="93" spans="1:2" x14ac:dyDescent="0.25">
      <c r="A93" t="s">
        <v>3185</v>
      </c>
    </row>
    <row r="94" spans="1:2" x14ac:dyDescent="0.25">
      <c r="B94" t="s">
        <v>3174</v>
      </c>
    </row>
    <row r="95" spans="1:2" x14ac:dyDescent="0.25">
      <c r="A95" t="s">
        <v>696</v>
      </c>
    </row>
    <row r="96" spans="1:2" x14ac:dyDescent="0.25">
      <c r="A96" t="s">
        <v>697</v>
      </c>
    </row>
    <row r="97" spans="1:3" x14ac:dyDescent="0.25">
      <c r="B97" t="s">
        <v>572</v>
      </c>
    </row>
    <row r="98" spans="1:3" x14ac:dyDescent="0.25">
      <c r="B98" t="s">
        <v>1265</v>
      </c>
    </row>
    <row r="99" spans="1:3" x14ac:dyDescent="0.25">
      <c r="B99" t="s">
        <v>668</v>
      </c>
    </row>
    <row r="100" spans="1:3" x14ac:dyDescent="0.25">
      <c r="B100" t="s">
        <v>669</v>
      </c>
    </row>
    <row r="101" spans="1:3" x14ac:dyDescent="0.25">
      <c r="B101" t="s">
        <v>1767</v>
      </c>
    </row>
    <row r="102" spans="1:3" x14ac:dyDescent="0.25">
      <c r="C102" t="s">
        <v>1025</v>
      </c>
    </row>
    <row r="103" spans="1:3" x14ac:dyDescent="0.25">
      <c r="B103" t="s">
        <v>671</v>
      </c>
    </row>
    <row r="104" spans="1:3" x14ac:dyDescent="0.25">
      <c r="B104" t="s">
        <v>1265</v>
      </c>
    </row>
    <row r="105" spans="1:3" x14ac:dyDescent="0.25">
      <c r="A105" t="s">
        <v>1269</v>
      </c>
    </row>
    <row r="106" spans="1:3" x14ac:dyDescent="0.25">
      <c r="B106" t="s">
        <v>3176</v>
      </c>
    </row>
    <row r="107" spans="1:3" x14ac:dyDescent="0.25">
      <c r="A107" t="s">
        <v>624</v>
      </c>
    </row>
    <row r="108" spans="1:3" x14ac:dyDescent="0.25">
      <c r="B108" t="s">
        <v>3177</v>
      </c>
    </row>
    <row r="109" spans="1:3" x14ac:dyDescent="0.25">
      <c r="A109" t="s">
        <v>3178</v>
      </c>
    </row>
    <row r="110" spans="1:3" x14ac:dyDescent="0.25">
      <c r="B110" t="s">
        <v>3179</v>
      </c>
    </row>
    <row r="111" spans="1:3" x14ac:dyDescent="0.25">
      <c r="A111" t="s">
        <v>3186</v>
      </c>
    </row>
    <row r="112" spans="1:3" x14ac:dyDescent="0.25">
      <c r="B112" t="s">
        <v>3187</v>
      </c>
    </row>
    <row r="113" spans="1:2" x14ac:dyDescent="0.25">
      <c r="B113" t="s">
        <v>3188</v>
      </c>
    </row>
    <row r="115" spans="1:2" x14ac:dyDescent="0.25">
      <c r="A115" t="s">
        <v>3189</v>
      </c>
    </row>
    <row r="116" spans="1:2" x14ac:dyDescent="0.25">
      <c r="A116" t="s">
        <v>572</v>
      </c>
    </row>
    <row r="117" spans="1:2" x14ac:dyDescent="0.25">
      <c r="A117" t="s">
        <v>703</v>
      </c>
    </row>
    <row r="118" spans="1:2" x14ac:dyDescent="0.25">
      <c r="A118" t="s">
        <v>1881</v>
      </c>
    </row>
    <row r="119" spans="1:2" x14ac:dyDescent="0.25">
      <c r="A119" t="s">
        <v>895</v>
      </c>
    </row>
    <row r="120" spans="1:2" x14ac:dyDescent="0.25">
      <c r="A120" t="s">
        <v>2904</v>
      </c>
    </row>
    <row r="121" spans="1:2" x14ac:dyDescent="0.25">
      <c r="A121" t="s">
        <v>3190</v>
      </c>
    </row>
    <row r="122" spans="1:2" x14ac:dyDescent="0.25">
      <c r="A122" t="s">
        <v>3191</v>
      </c>
    </row>
    <row r="123" spans="1:2" x14ac:dyDescent="0.25">
      <c r="A123" t="s">
        <v>647</v>
      </c>
    </row>
    <row r="124" spans="1:2" x14ac:dyDescent="0.25">
      <c r="A124" t="s">
        <v>624</v>
      </c>
    </row>
    <row r="125" spans="1:2" x14ac:dyDescent="0.25">
      <c r="B125" t="s">
        <v>1926</v>
      </c>
    </row>
    <row r="126" spans="1:2" x14ac:dyDescent="0.25">
      <c r="A126" t="s">
        <v>16</v>
      </c>
    </row>
    <row r="127" spans="1:2" x14ac:dyDescent="0.25">
      <c r="B127" t="s">
        <v>3192</v>
      </c>
    </row>
    <row r="128" spans="1:2" x14ac:dyDescent="0.25">
      <c r="B128" t="s">
        <v>712</v>
      </c>
    </row>
    <row r="129" spans="1:2" x14ac:dyDescent="0.25">
      <c r="B129" t="s">
        <v>1471</v>
      </c>
    </row>
    <row r="130" spans="1:2" x14ac:dyDescent="0.25">
      <c r="B130" t="s">
        <v>3193</v>
      </c>
    </row>
    <row r="131" spans="1:2" x14ac:dyDescent="0.25">
      <c r="B131" t="s">
        <v>3194</v>
      </c>
    </row>
    <row r="132" spans="1:2" x14ac:dyDescent="0.25">
      <c r="A132" t="s">
        <v>3195</v>
      </c>
    </row>
    <row r="134" spans="1:2" x14ac:dyDescent="0.25">
      <c r="A134" t="s">
        <v>3196</v>
      </c>
    </row>
    <row r="136" spans="1:2" x14ac:dyDescent="0.25">
      <c r="A136" t="s">
        <v>254</v>
      </c>
    </row>
    <row r="137" spans="1:2" x14ac:dyDescent="0.25">
      <c r="A137" t="s">
        <v>572</v>
      </c>
    </row>
    <row r="138" spans="1:2" x14ac:dyDescent="0.25">
      <c r="A138" t="s">
        <v>3197</v>
      </c>
    </row>
    <row r="139" spans="1:2" x14ac:dyDescent="0.25">
      <c r="A139" t="s">
        <v>3198</v>
      </c>
    </row>
    <row r="140" spans="1:2" x14ac:dyDescent="0.25">
      <c r="A140" t="s">
        <v>3199</v>
      </c>
    </row>
    <row r="141" spans="1:2" x14ac:dyDescent="0.25">
      <c r="A141" t="s">
        <v>671</v>
      </c>
    </row>
    <row r="142" spans="1:2" x14ac:dyDescent="0.25">
      <c r="A142" t="s">
        <v>666</v>
      </c>
    </row>
    <row r="143" spans="1:2" x14ac:dyDescent="0.25">
      <c r="A143" t="s">
        <v>258</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workbookViewId="0"/>
  </sheetViews>
  <sheetFormatPr defaultRowHeight="15" x14ac:dyDescent="0.25"/>
  <sheetData>
    <row r="1" spans="1:2" x14ac:dyDescent="0.25">
      <c r="A1" t="s">
        <v>3200</v>
      </c>
    </row>
    <row r="2" spans="1:2" x14ac:dyDescent="0.25">
      <c r="A2" t="s">
        <v>572</v>
      </c>
    </row>
    <row r="3" spans="1:2" x14ac:dyDescent="0.25">
      <c r="A3" t="s">
        <v>1985</v>
      </c>
    </row>
    <row r="4" spans="1:2" x14ac:dyDescent="0.25">
      <c r="A4" t="s">
        <v>636</v>
      </c>
    </row>
    <row r="5" spans="1:2" x14ac:dyDescent="0.25">
      <c r="A5" t="s">
        <v>585</v>
      </c>
    </row>
    <row r="6" spans="1:2" x14ac:dyDescent="0.25">
      <c r="A6" t="s">
        <v>3201</v>
      </c>
    </row>
    <row r="7" spans="1:2" x14ac:dyDescent="0.25">
      <c r="A7" t="s">
        <v>3202</v>
      </c>
    </row>
    <row r="8" spans="1:2" x14ac:dyDescent="0.25">
      <c r="A8" t="s">
        <v>3203</v>
      </c>
    </row>
    <row r="9" spans="1:2" x14ac:dyDescent="0.25">
      <c r="A9" t="s">
        <v>813</v>
      </c>
    </row>
    <row r="10" spans="1:2" x14ac:dyDescent="0.25">
      <c r="B10" t="s">
        <v>3204</v>
      </c>
    </row>
    <row r="11" spans="1:2" x14ac:dyDescent="0.25">
      <c r="A11" t="s">
        <v>3205</v>
      </c>
    </row>
    <row r="12" spans="1:2" x14ac:dyDescent="0.25">
      <c r="A12" t="s">
        <v>3206</v>
      </c>
    </row>
    <row r="14" spans="1:2" x14ac:dyDescent="0.25">
      <c r="A14" t="s">
        <v>2812</v>
      </c>
    </row>
    <row r="15" spans="1:2" x14ac:dyDescent="0.25">
      <c r="A15" t="s">
        <v>646</v>
      </c>
    </row>
    <row r="16" spans="1:2" x14ac:dyDescent="0.25">
      <c r="A16" t="s">
        <v>3207</v>
      </c>
    </row>
    <row r="17" spans="1:2" x14ac:dyDescent="0.25">
      <c r="A17" t="s">
        <v>3208</v>
      </c>
      <c r="B17" t="s">
        <v>3209</v>
      </c>
    </row>
    <row r="19" spans="1:2" x14ac:dyDescent="0.25">
      <c r="A19" t="s">
        <v>2812</v>
      </c>
    </row>
    <row r="20" spans="1:2" x14ac:dyDescent="0.25">
      <c r="A20" t="s">
        <v>646</v>
      </c>
    </row>
    <row r="21" spans="1:2" x14ac:dyDescent="0.25">
      <c r="A21" t="s">
        <v>3210</v>
      </c>
    </row>
    <row r="22" spans="1:2" x14ac:dyDescent="0.25">
      <c r="A22" t="s">
        <v>3211</v>
      </c>
    </row>
    <row r="24" spans="1:2" x14ac:dyDescent="0.25">
      <c r="A24" t="s">
        <v>3212</v>
      </c>
    </row>
    <row r="26" spans="1:2" x14ac:dyDescent="0.25">
      <c r="A26" t="s">
        <v>2812</v>
      </c>
    </row>
    <row r="27" spans="1:2" x14ac:dyDescent="0.25">
      <c r="A27" t="s">
        <v>646</v>
      </c>
    </row>
    <row r="28" spans="1:2" x14ac:dyDescent="0.25">
      <c r="A28" t="s">
        <v>3213</v>
      </c>
    </row>
    <row r="29" spans="1:2" x14ac:dyDescent="0.25">
      <c r="A29" t="s">
        <v>3208</v>
      </c>
      <c r="B29" t="s">
        <v>698</v>
      </c>
    </row>
    <row r="30" spans="1:2" x14ac:dyDescent="0.25">
      <c r="A30" t="s">
        <v>2819</v>
      </c>
    </row>
    <row r="32" spans="1:2" x14ac:dyDescent="0.25">
      <c r="A32" t="s">
        <v>572</v>
      </c>
    </row>
    <row r="33" spans="1:2" x14ac:dyDescent="0.25">
      <c r="A33" t="s">
        <v>646</v>
      </c>
    </row>
    <row r="34" spans="1:2" x14ac:dyDescent="0.25">
      <c r="A34" t="s">
        <v>3203</v>
      </c>
    </row>
    <row r="35" spans="1:2" x14ac:dyDescent="0.25">
      <c r="A35" t="s">
        <v>3214</v>
      </c>
    </row>
    <row r="36" spans="1:2" x14ac:dyDescent="0.25">
      <c r="A36" t="s">
        <v>1624</v>
      </c>
    </row>
    <row r="38" spans="1:2" x14ac:dyDescent="0.25">
      <c r="A38" t="s">
        <v>572</v>
      </c>
    </row>
    <row r="39" spans="1:2" x14ac:dyDescent="0.25">
      <c r="A39" t="s">
        <v>3215</v>
      </c>
    </row>
    <row r="40" spans="1:2" x14ac:dyDescent="0.25">
      <c r="A40" t="s">
        <v>1371</v>
      </c>
    </row>
    <row r="41" spans="1:2" x14ac:dyDescent="0.25">
      <c r="A41" t="s">
        <v>2681</v>
      </c>
    </row>
    <row r="42" spans="1:2" x14ac:dyDescent="0.25">
      <c r="A42" t="s">
        <v>3216</v>
      </c>
    </row>
    <row r="43" spans="1:2" x14ac:dyDescent="0.25">
      <c r="A43" t="s">
        <v>3217</v>
      </c>
    </row>
    <row r="44" spans="1:2" x14ac:dyDescent="0.25">
      <c r="A44" t="s">
        <v>3218</v>
      </c>
    </row>
    <row r="45" spans="1:2" x14ac:dyDescent="0.25">
      <c r="B45" t="s">
        <v>3219</v>
      </c>
    </row>
    <row r="46" spans="1:2" x14ac:dyDescent="0.25">
      <c r="A46" t="s">
        <v>2684</v>
      </c>
    </row>
    <row r="47" spans="1:2" x14ac:dyDescent="0.25">
      <c r="B47" t="s">
        <v>2685</v>
      </c>
    </row>
    <row r="48" spans="1:2" x14ac:dyDescent="0.25">
      <c r="A48" t="s">
        <v>3220</v>
      </c>
    </row>
    <row r="49" spans="1:3" x14ac:dyDescent="0.25">
      <c r="B49" t="s">
        <v>3221</v>
      </c>
      <c r="C49" t="e">
        <f>-- Essentials</f>
        <v>#NAME?</v>
      </c>
    </row>
    <row r="50" spans="1:3" x14ac:dyDescent="0.25">
      <c r="B50" t="s">
        <v>3222</v>
      </c>
      <c r="C50" t="e">
        <f>-- dmcknight19692</f>
        <v>#NAME?</v>
      </c>
    </row>
    <row r="51" spans="1:3" x14ac:dyDescent="0.25">
      <c r="A51" t="s">
        <v>698</v>
      </c>
    </row>
    <row r="53" spans="1:3" x14ac:dyDescent="0.25">
      <c r="A53" t="s">
        <v>572</v>
      </c>
    </row>
    <row r="54" spans="1:3" x14ac:dyDescent="0.25">
      <c r="A54" t="s">
        <v>646</v>
      </c>
    </row>
    <row r="55" spans="1:3" x14ac:dyDescent="0.25">
      <c r="A55" t="s">
        <v>1310</v>
      </c>
    </row>
    <row r="56" spans="1:3" x14ac:dyDescent="0.25">
      <c r="A56" t="s">
        <v>3223</v>
      </c>
    </row>
    <row r="57" spans="1:3" x14ac:dyDescent="0.25">
      <c r="B57" t="s">
        <v>3224</v>
      </c>
    </row>
    <row r="58" spans="1:3" x14ac:dyDescent="0.25">
      <c r="A58" t="s">
        <v>698</v>
      </c>
    </row>
    <row r="59" spans="1:3" x14ac:dyDescent="0.25">
      <c r="A59" t="s">
        <v>3225</v>
      </c>
      <c r="B59" t="e">
        <f>-- Essentials</f>
        <v>#NAME?</v>
      </c>
    </row>
    <row r="60" spans="1:3" x14ac:dyDescent="0.25">
      <c r="A60" t="s">
        <v>3226</v>
      </c>
    </row>
    <row r="63" spans="1:3" x14ac:dyDescent="0.25">
      <c r="A63" t="s">
        <v>2153</v>
      </c>
    </row>
    <row r="64" spans="1:3" x14ac:dyDescent="0.25">
      <c r="A64" t="s">
        <v>2154</v>
      </c>
    </row>
    <row r="65" spans="1:2" x14ac:dyDescent="0.25">
      <c r="A65" t="s">
        <v>2155</v>
      </c>
    </row>
    <row r="66" spans="1:2" x14ac:dyDescent="0.25">
      <c r="B66" t="s">
        <v>2688</v>
      </c>
    </row>
    <row r="67" spans="1:2" x14ac:dyDescent="0.25">
      <c r="A67" t="s">
        <v>2157</v>
      </c>
    </row>
    <row r="68" spans="1:2" x14ac:dyDescent="0.25">
      <c r="A68" t="s">
        <v>3227</v>
      </c>
    </row>
    <row r="69" spans="1:2" x14ac:dyDescent="0.25">
      <c r="B69" t="s">
        <v>572</v>
      </c>
    </row>
    <row r="70" spans="1:2" x14ac:dyDescent="0.25">
      <c r="B70" t="s">
        <v>2427</v>
      </c>
    </row>
    <row r="71" spans="1:2" x14ac:dyDescent="0.25">
      <c r="B71" t="s">
        <v>3203</v>
      </c>
    </row>
    <row r="72" spans="1:2" x14ac:dyDescent="0.25">
      <c r="B72" t="s">
        <v>3214</v>
      </c>
    </row>
    <row r="73" spans="1:2" x14ac:dyDescent="0.25">
      <c r="A73" t="s">
        <v>698</v>
      </c>
    </row>
    <row r="75" spans="1:2" x14ac:dyDescent="0.25">
      <c r="A75" t="e">
        <f>-- Steps that were actually executed</f>
        <v>#NAME?</v>
      </c>
    </row>
    <row r="76" spans="1:2" x14ac:dyDescent="0.25">
      <c r="A76" t="s">
        <v>3228</v>
      </c>
    </row>
    <row r="77" spans="1:2" x14ac:dyDescent="0.25">
      <c r="B77" t="s">
        <v>2690</v>
      </c>
    </row>
    <row r="78" spans="1:2" x14ac:dyDescent="0.25">
      <c r="A78" t="s">
        <v>2002</v>
      </c>
    </row>
    <row r="79" spans="1:2" x14ac:dyDescent="0.25">
      <c r="A79" t="s">
        <v>2161</v>
      </c>
    </row>
    <row r="80" spans="1:2" x14ac:dyDescent="0.25">
      <c r="A80" t="s">
        <v>2162</v>
      </c>
    </row>
    <row r="81" spans="1:2" x14ac:dyDescent="0.25">
      <c r="A81" t="s">
        <v>3229</v>
      </c>
    </row>
    <row r="82" spans="1:2" x14ac:dyDescent="0.25">
      <c r="B82" t="s">
        <v>572</v>
      </c>
    </row>
    <row r="83" spans="1:2" x14ac:dyDescent="0.25">
      <c r="B83" t="s">
        <v>2427</v>
      </c>
    </row>
    <row r="84" spans="1:2" x14ac:dyDescent="0.25">
      <c r="B84" t="s">
        <v>3203</v>
      </c>
    </row>
    <row r="85" spans="1:2" x14ac:dyDescent="0.25">
      <c r="B85" t="s">
        <v>3214</v>
      </c>
    </row>
    <row r="86" spans="1:2" x14ac:dyDescent="0.25">
      <c r="A86" t="s">
        <v>698</v>
      </c>
    </row>
    <row r="87" spans="1:2" x14ac:dyDescent="0.25">
      <c r="A87" t="s">
        <v>3230</v>
      </c>
    </row>
    <row r="89" spans="1:2" x14ac:dyDescent="0.25">
      <c r="A89" t="s">
        <v>254</v>
      </c>
    </row>
    <row r="90" spans="1:2" x14ac:dyDescent="0.25">
      <c r="A90" t="s">
        <v>572</v>
      </c>
    </row>
    <row r="91" spans="1:2" x14ac:dyDescent="0.25">
      <c r="A91" t="s">
        <v>3231</v>
      </c>
    </row>
    <row r="92" spans="1:2" x14ac:dyDescent="0.25">
      <c r="A92" t="s">
        <v>642</v>
      </c>
    </row>
    <row r="93" spans="1:2" x14ac:dyDescent="0.25">
      <c r="A93" t="s">
        <v>2132</v>
      </c>
    </row>
    <row r="94" spans="1:2" x14ac:dyDescent="0.25">
      <c r="A94" t="s">
        <v>671</v>
      </c>
    </row>
    <row r="95" spans="1:2" x14ac:dyDescent="0.25">
      <c r="A95" t="s">
        <v>3231</v>
      </c>
    </row>
    <row r="96" spans="1:2" x14ac:dyDescent="0.25">
      <c r="A96" t="s">
        <v>447</v>
      </c>
    </row>
    <row r="97" spans="1:2" x14ac:dyDescent="0.25">
      <c r="A97" t="s">
        <v>258</v>
      </c>
    </row>
    <row r="98" spans="1:2" x14ac:dyDescent="0.25">
      <c r="A98" t="s">
        <v>244</v>
      </c>
    </row>
    <row r="99" spans="1:2" x14ac:dyDescent="0.25">
      <c r="A99" t="s">
        <v>3232</v>
      </c>
    </row>
    <row r="100" spans="1:2" x14ac:dyDescent="0.25">
      <c r="A100" t="s">
        <v>3233</v>
      </c>
    </row>
    <row r="101" spans="1:2" x14ac:dyDescent="0.25">
      <c r="B101" t="s">
        <v>3234</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election sqref="A1:B29"/>
    </sheetView>
  </sheetViews>
  <sheetFormatPr defaultRowHeight="15" x14ac:dyDescent="0.25"/>
  <sheetData>
    <row r="1" spans="1:2" x14ac:dyDescent="0.25">
      <c r="A1" t="s">
        <v>572</v>
      </c>
    </row>
    <row r="2" spans="1:2" x14ac:dyDescent="0.25">
      <c r="A2" t="s">
        <v>646</v>
      </c>
    </row>
    <row r="3" spans="1:2" x14ac:dyDescent="0.25">
      <c r="A3" t="s">
        <v>611</v>
      </c>
    </row>
    <row r="4" spans="1:2" x14ac:dyDescent="0.25">
      <c r="A4" t="s">
        <v>3235</v>
      </c>
    </row>
    <row r="6" spans="1:2" x14ac:dyDescent="0.25">
      <c r="A6" t="s">
        <v>244</v>
      </c>
    </row>
    <row r="7" spans="1:2" x14ac:dyDescent="0.25">
      <c r="A7" t="s">
        <v>1327</v>
      </c>
    </row>
    <row r="8" spans="1:2" x14ac:dyDescent="0.25">
      <c r="A8" t="s">
        <v>3236</v>
      </c>
    </row>
    <row r="10" spans="1:2" x14ac:dyDescent="0.25">
      <c r="A10" t="s">
        <v>572</v>
      </c>
    </row>
    <row r="11" spans="1:2" x14ac:dyDescent="0.25">
      <c r="A11" t="s">
        <v>646</v>
      </c>
    </row>
    <row r="12" spans="1:2" x14ac:dyDescent="0.25">
      <c r="A12" t="s">
        <v>3237</v>
      </c>
    </row>
    <row r="13" spans="1:2" x14ac:dyDescent="0.25">
      <c r="A13" t="s">
        <v>3238</v>
      </c>
    </row>
    <row r="14" spans="1:2" x14ac:dyDescent="0.25">
      <c r="B14" t="s">
        <v>2829</v>
      </c>
    </row>
    <row r="15" spans="1:2" x14ac:dyDescent="0.25">
      <c r="A15" t="s">
        <v>3239</v>
      </c>
    </row>
    <row r="17" spans="1:2" x14ac:dyDescent="0.25">
      <c r="A17" t="s">
        <v>572</v>
      </c>
    </row>
    <row r="18" spans="1:2" x14ac:dyDescent="0.25">
      <c r="A18" t="s">
        <v>646</v>
      </c>
    </row>
    <row r="19" spans="1:2" x14ac:dyDescent="0.25">
      <c r="A19" t="s">
        <v>669</v>
      </c>
    </row>
    <row r="20" spans="1:2" x14ac:dyDescent="0.25">
      <c r="A20" t="s">
        <v>3240</v>
      </c>
    </row>
    <row r="22" spans="1:2" x14ac:dyDescent="0.25">
      <c r="A22" t="s">
        <v>572</v>
      </c>
    </row>
    <row r="23" spans="1:2" x14ac:dyDescent="0.25">
      <c r="A23" t="s">
        <v>1956</v>
      </c>
    </row>
    <row r="24" spans="1:2" x14ac:dyDescent="0.25">
      <c r="A24" t="s">
        <v>2813</v>
      </c>
    </row>
    <row r="25" spans="1:2" x14ac:dyDescent="0.25">
      <c r="A25" t="s">
        <v>3241</v>
      </c>
    </row>
    <row r="26" spans="1:2" x14ac:dyDescent="0.25">
      <c r="A26" t="s">
        <v>1376</v>
      </c>
    </row>
    <row r="27" spans="1:2" x14ac:dyDescent="0.25">
      <c r="B27" t="s">
        <v>3242</v>
      </c>
    </row>
    <row r="28" spans="1:2" x14ac:dyDescent="0.25">
      <c r="A28" t="s">
        <v>3243</v>
      </c>
    </row>
    <row r="29" spans="1:2" x14ac:dyDescent="0.25">
      <c r="A29" t="s">
        <v>3244</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9"/>
  <sheetViews>
    <sheetView workbookViewId="0">
      <selection sqref="A1:C249"/>
    </sheetView>
  </sheetViews>
  <sheetFormatPr defaultRowHeight="15" x14ac:dyDescent="0.25"/>
  <sheetData>
    <row r="1" spans="1:1" x14ac:dyDescent="0.25">
      <c r="A1" t="s">
        <v>1447</v>
      </c>
    </row>
    <row r="2" spans="1:1" x14ac:dyDescent="0.25">
      <c r="A2" t="s">
        <v>2739</v>
      </c>
    </row>
    <row r="4" spans="1:1" x14ac:dyDescent="0.25">
      <c r="A4" t="s">
        <v>2740</v>
      </c>
    </row>
    <row r="6" spans="1:1" x14ac:dyDescent="0.25">
      <c r="A6" t="s">
        <v>2741</v>
      </c>
    </row>
    <row r="7" spans="1:1" x14ac:dyDescent="0.25">
      <c r="A7" t="s">
        <v>2742</v>
      </c>
    </row>
    <row r="9" spans="1:1" x14ac:dyDescent="0.25">
      <c r="A9" t="s">
        <v>2743</v>
      </c>
    </row>
    <row r="11" spans="1:1" x14ac:dyDescent="0.25">
      <c r="A11" t="s">
        <v>2744</v>
      </c>
    </row>
    <row r="12" spans="1:1" x14ac:dyDescent="0.25">
      <c r="A12" t="s">
        <v>2745</v>
      </c>
    </row>
    <row r="14" spans="1:1" x14ac:dyDescent="0.25">
      <c r="A14" t="s">
        <v>258</v>
      </c>
    </row>
    <row r="15" spans="1:1" x14ac:dyDescent="0.25">
      <c r="A15" t="s">
        <v>572</v>
      </c>
    </row>
    <row r="16" spans="1:1" x14ac:dyDescent="0.25">
      <c r="A16" t="s">
        <v>539</v>
      </c>
    </row>
    <row r="17" spans="1:3" x14ac:dyDescent="0.25">
      <c r="A17" t="s">
        <v>895</v>
      </c>
    </row>
    <row r="18" spans="1:3" x14ac:dyDescent="0.25">
      <c r="A18" t="s">
        <v>542</v>
      </c>
    </row>
    <row r="19" spans="1:3" x14ac:dyDescent="0.25">
      <c r="A19" t="s">
        <v>540</v>
      </c>
    </row>
    <row r="20" spans="1:3" x14ac:dyDescent="0.25">
      <c r="A20" t="s">
        <v>541</v>
      </c>
    </row>
    <row r="21" spans="1:3" x14ac:dyDescent="0.25">
      <c r="A21" t="s">
        <v>809</v>
      </c>
    </row>
    <row r="22" spans="1:3" x14ac:dyDescent="0.25">
      <c r="A22" t="s">
        <v>576</v>
      </c>
    </row>
    <row r="23" spans="1:3" x14ac:dyDescent="0.25">
      <c r="A23" t="s">
        <v>2746</v>
      </c>
    </row>
    <row r="24" spans="1:3" x14ac:dyDescent="0.25">
      <c r="B24" t="s">
        <v>2747</v>
      </c>
    </row>
    <row r="25" spans="1:3" x14ac:dyDescent="0.25">
      <c r="B25" t="s">
        <v>2748</v>
      </c>
      <c r="C25" t="s">
        <v>2749</v>
      </c>
    </row>
    <row r="26" spans="1:3" x14ac:dyDescent="0.25">
      <c r="B26" t="s">
        <v>2750</v>
      </c>
      <c r="C26" t="s">
        <v>2751</v>
      </c>
    </row>
    <row r="27" spans="1:3" x14ac:dyDescent="0.25">
      <c r="B27" t="s">
        <v>2752</v>
      </c>
      <c r="C27" t="s">
        <v>2753</v>
      </c>
    </row>
    <row r="28" spans="1:3" x14ac:dyDescent="0.25">
      <c r="B28" t="s">
        <v>698</v>
      </c>
    </row>
    <row r="29" spans="1:3" x14ac:dyDescent="0.25">
      <c r="B29" t="s">
        <v>2754</v>
      </c>
    </row>
    <row r="31" spans="1:3" x14ac:dyDescent="0.25">
      <c r="A31" t="s">
        <v>572</v>
      </c>
    </row>
    <row r="32" spans="1:3" x14ac:dyDescent="0.25">
      <c r="A32" t="s">
        <v>2755</v>
      </c>
    </row>
    <row r="33" spans="1:2" x14ac:dyDescent="0.25">
      <c r="A33" t="s">
        <v>2756</v>
      </c>
    </row>
    <row r="34" spans="1:2" x14ac:dyDescent="0.25">
      <c r="A34" t="s">
        <v>647</v>
      </c>
    </row>
    <row r="35" spans="1:2" x14ac:dyDescent="0.25">
      <c r="A35" t="s">
        <v>1936</v>
      </c>
    </row>
    <row r="36" spans="1:2" x14ac:dyDescent="0.25">
      <c r="B36" t="s">
        <v>2757</v>
      </c>
    </row>
    <row r="37" spans="1:2" x14ac:dyDescent="0.25">
      <c r="A37" t="s">
        <v>2758</v>
      </c>
    </row>
    <row r="38" spans="1:2" x14ac:dyDescent="0.25">
      <c r="B38">
        <v>129797</v>
      </c>
    </row>
    <row r="39" spans="1:2" x14ac:dyDescent="0.25">
      <c r="A39" t="s">
        <v>698</v>
      </c>
    </row>
    <row r="40" spans="1:2" x14ac:dyDescent="0.25">
      <c r="B40" t="s">
        <v>1471</v>
      </c>
    </row>
    <row r="41" spans="1:2" x14ac:dyDescent="0.25">
      <c r="B41" t="s">
        <v>2759</v>
      </c>
    </row>
    <row r="42" spans="1:2" x14ac:dyDescent="0.25">
      <c r="A42" t="s">
        <v>2760</v>
      </c>
    </row>
    <row r="44" spans="1:2" x14ac:dyDescent="0.25">
      <c r="A44" t="s">
        <v>244</v>
      </c>
    </row>
    <row r="45" spans="1:2" x14ac:dyDescent="0.25">
      <c r="A45" t="s">
        <v>734</v>
      </c>
    </row>
    <row r="46" spans="1:2" x14ac:dyDescent="0.25">
      <c r="A46" t="s">
        <v>2761</v>
      </c>
    </row>
    <row r="48" spans="1:2" x14ac:dyDescent="0.25">
      <c r="A48" t="s">
        <v>244</v>
      </c>
    </row>
    <row r="49" spans="1:2" x14ac:dyDescent="0.25">
      <c r="A49" t="s">
        <v>578</v>
      </c>
    </row>
    <row r="50" spans="1:2" x14ac:dyDescent="0.25">
      <c r="A50" t="s">
        <v>2762</v>
      </c>
    </row>
    <row r="52" spans="1:2" x14ac:dyDescent="0.25">
      <c r="A52" t="s">
        <v>244</v>
      </c>
    </row>
    <row r="53" spans="1:2" x14ac:dyDescent="0.25">
      <c r="A53" t="s">
        <v>533</v>
      </c>
    </row>
    <row r="54" spans="1:2" x14ac:dyDescent="0.25">
      <c r="A54" t="s">
        <v>2763</v>
      </c>
    </row>
    <row r="56" spans="1:2" x14ac:dyDescent="0.25">
      <c r="A56" t="s">
        <v>244</v>
      </c>
    </row>
    <row r="57" spans="1:2" x14ac:dyDescent="0.25">
      <c r="A57" t="s">
        <v>2764</v>
      </c>
    </row>
    <row r="58" spans="1:2" x14ac:dyDescent="0.25">
      <c r="A58" t="s">
        <v>2765</v>
      </c>
    </row>
    <row r="59" spans="1:2" x14ac:dyDescent="0.25">
      <c r="B59" t="s">
        <v>2766</v>
      </c>
    </row>
    <row r="61" spans="1:2" x14ac:dyDescent="0.25">
      <c r="A61" t="s">
        <v>2767</v>
      </c>
    </row>
    <row r="64" spans="1:2" x14ac:dyDescent="0.25">
      <c r="A64" t="e">
        <f>-- Steps that were actually executed</f>
        <v>#NAME?</v>
      </c>
    </row>
    <row r="65" spans="1:2" x14ac:dyDescent="0.25">
      <c r="A65" t="s">
        <v>2689</v>
      </c>
    </row>
    <row r="66" spans="1:2" x14ac:dyDescent="0.25">
      <c r="B66" t="s">
        <v>2690</v>
      </c>
    </row>
    <row r="67" spans="1:2" x14ac:dyDescent="0.25">
      <c r="A67" t="s">
        <v>2002</v>
      </c>
    </row>
    <row r="68" spans="1:2" x14ac:dyDescent="0.25">
      <c r="A68" t="s">
        <v>2161</v>
      </c>
    </row>
    <row r="69" spans="1:2" x14ac:dyDescent="0.25">
      <c r="A69" t="s">
        <v>2162</v>
      </c>
    </row>
    <row r="70" spans="1:2" x14ac:dyDescent="0.25">
      <c r="A70" t="s">
        <v>2768</v>
      </c>
    </row>
    <row r="71" spans="1:2" x14ac:dyDescent="0.25">
      <c r="A71" t="s">
        <v>2008</v>
      </c>
    </row>
    <row r="73" spans="1:2" x14ac:dyDescent="0.25">
      <c r="A73" t="s">
        <v>2769</v>
      </c>
    </row>
    <row r="75" spans="1:2" x14ac:dyDescent="0.25">
      <c r="A75" t="s">
        <v>2770</v>
      </c>
    </row>
    <row r="76" spans="1:2" x14ac:dyDescent="0.25">
      <c r="A76" t="s">
        <v>2771</v>
      </c>
    </row>
    <row r="78" spans="1:2" x14ac:dyDescent="0.25">
      <c r="A78" t="s">
        <v>2772</v>
      </c>
    </row>
    <row r="79" spans="1:2" x14ac:dyDescent="0.25">
      <c r="A79" t="s">
        <v>2773</v>
      </c>
    </row>
    <row r="81" spans="1:1" x14ac:dyDescent="0.25">
      <c r="A81" t="s">
        <v>254</v>
      </c>
    </row>
    <row r="82" spans="1:1" x14ac:dyDescent="0.25">
      <c r="A82" t="s">
        <v>607</v>
      </c>
    </row>
    <row r="83" spans="1:1" x14ac:dyDescent="0.25">
      <c r="A83" t="s">
        <v>1912</v>
      </c>
    </row>
    <row r="84" spans="1:1" x14ac:dyDescent="0.25">
      <c r="A84" t="s">
        <v>2774</v>
      </c>
    </row>
    <row r="85" spans="1:1" x14ac:dyDescent="0.25">
      <c r="A85" t="s">
        <v>258</v>
      </c>
    </row>
    <row r="87" spans="1:1" x14ac:dyDescent="0.25">
      <c r="A87" t="s">
        <v>254</v>
      </c>
    </row>
    <row r="88" spans="1:1" x14ac:dyDescent="0.25">
      <c r="A88" t="s">
        <v>2775</v>
      </c>
    </row>
    <row r="90" spans="1:1" x14ac:dyDescent="0.25">
      <c r="A90" t="s">
        <v>2776</v>
      </c>
    </row>
    <row r="91" spans="1:1" x14ac:dyDescent="0.25">
      <c r="A91" t="s">
        <v>2777</v>
      </c>
    </row>
    <row r="92" spans="1:1" x14ac:dyDescent="0.25">
      <c r="A92" t="s">
        <v>2778</v>
      </c>
    </row>
    <row r="93" spans="1:1" x14ac:dyDescent="0.25">
      <c r="A93" t="s">
        <v>2779</v>
      </c>
    </row>
    <row r="95" spans="1:1" x14ac:dyDescent="0.25">
      <c r="A95" t="s">
        <v>2780</v>
      </c>
    </row>
    <row r="96" spans="1:1" x14ac:dyDescent="0.25">
      <c r="A96" t="s">
        <v>2781</v>
      </c>
    </row>
    <row r="97" spans="1:1" x14ac:dyDescent="0.25">
      <c r="A97" t="s">
        <v>2782</v>
      </c>
    </row>
    <row r="99" spans="1:1" x14ac:dyDescent="0.25">
      <c r="A99" t="s">
        <v>2783</v>
      </c>
    </row>
    <row r="100" spans="1:1" x14ac:dyDescent="0.25">
      <c r="A100" t="s">
        <v>2784</v>
      </c>
    </row>
    <row r="101" spans="1:1" x14ac:dyDescent="0.25">
      <c r="A101" t="s">
        <v>2785</v>
      </c>
    </row>
    <row r="103" spans="1:1" x14ac:dyDescent="0.25">
      <c r="A103" t="s">
        <v>2786</v>
      </c>
    </row>
    <row r="104" spans="1:1" x14ac:dyDescent="0.25">
      <c r="A104" t="s">
        <v>2787</v>
      </c>
    </row>
    <row r="106" spans="1:1" x14ac:dyDescent="0.25">
      <c r="A106" t="s">
        <v>2788</v>
      </c>
    </row>
    <row r="107" spans="1:1" x14ac:dyDescent="0.25">
      <c r="A107" t="s">
        <v>2789</v>
      </c>
    </row>
    <row r="108" spans="1:1" x14ac:dyDescent="0.25">
      <c r="A108" t="s">
        <v>258</v>
      </c>
    </row>
    <row r="111" spans="1:1" x14ac:dyDescent="0.25">
      <c r="A111">
        <f>-- 12292807</f>
        <v>12292807</v>
      </c>
    </row>
    <row r="112" spans="1:1" x14ac:dyDescent="0.25">
      <c r="A112" t="s">
        <v>2790</v>
      </c>
    </row>
    <row r="113" spans="1:2" x14ac:dyDescent="0.25">
      <c r="A113" t="s">
        <v>2791</v>
      </c>
    </row>
    <row r="114" spans="1:2" x14ac:dyDescent="0.25">
      <c r="A114" t="s">
        <v>2792</v>
      </c>
      <c r="B114" t="s">
        <v>2793</v>
      </c>
    </row>
    <row r="116" spans="1:2" x14ac:dyDescent="0.25">
      <c r="A116" t="s">
        <v>2790</v>
      </c>
    </row>
    <row r="117" spans="1:2" x14ac:dyDescent="0.25">
      <c r="A117" t="s">
        <v>2794</v>
      </c>
    </row>
    <row r="119" spans="1:2" x14ac:dyDescent="0.25">
      <c r="A119">
        <f>-- 34</f>
        <v>34</v>
      </c>
    </row>
    <row r="120" spans="1:2" x14ac:dyDescent="0.25">
      <c r="A120" t="s">
        <v>794</v>
      </c>
    </row>
    <row r="121" spans="1:2" x14ac:dyDescent="0.25">
      <c r="A121" t="s">
        <v>2795</v>
      </c>
    </row>
    <row r="122" spans="1:2" x14ac:dyDescent="0.25">
      <c r="A122" t="s">
        <v>2796</v>
      </c>
    </row>
    <row r="123" spans="1:2" x14ac:dyDescent="0.25">
      <c r="B123" t="s">
        <v>2797</v>
      </c>
    </row>
    <row r="124" spans="1:2" x14ac:dyDescent="0.25">
      <c r="A124" t="s">
        <v>2798</v>
      </c>
    </row>
    <row r="125" spans="1:2" x14ac:dyDescent="0.25">
      <c r="B125" t="s">
        <v>2799</v>
      </c>
    </row>
    <row r="126" spans="1:2" x14ac:dyDescent="0.25">
      <c r="B126" t="s">
        <v>2800</v>
      </c>
    </row>
    <row r="128" spans="1:2" x14ac:dyDescent="0.25">
      <c r="A128" t="s">
        <v>2801</v>
      </c>
    </row>
    <row r="130" spans="1:2" x14ac:dyDescent="0.25">
      <c r="A130" t="s">
        <v>2802</v>
      </c>
    </row>
    <row r="132" spans="1:2" x14ac:dyDescent="0.25">
      <c r="A132" t="s">
        <v>572</v>
      </c>
    </row>
    <row r="133" spans="1:2" x14ac:dyDescent="0.25">
      <c r="A133" t="s">
        <v>646</v>
      </c>
    </row>
    <row r="134" spans="1:2" x14ac:dyDescent="0.25">
      <c r="A134" t="s">
        <v>611</v>
      </c>
    </row>
    <row r="135" spans="1:2" x14ac:dyDescent="0.25">
      <c r="A135" t="s">
        <v>2803</v>
      </c>
    </row>
    <row r="136" spans="1:2" x14ac:dyDescent="0.25">
      <c r="A136" t="s">
        <v>697</v>
      </c>
    </row>
    <row r="137" spans="1:2" x14ac:dyDescent="0.25">
      <c r="B137" t="s">
        <v>538</v>
      </c>
    </row>
    <row r="138" spans="1:2" x14ac:dyDescent="0.25">
      <c r="B138" t="s">
        <v>2804</v>
      </c>
    </row>
    <row r="139" spans="1:2" x14ac:dyDescent="0.25">
      <c r="B139" t="s">
        <v>611</v>
      </c>
    </row>
    <row r="140" spans="1:2" x14ac:dyDescent="0.25">
      <c r="B140" t="s">
        <v>2805</v>
      </c>
    </row>
    <row r="141" spans="1:2" x14ac:dyDescent="0.25">
      <c r="B141" t="s">
        <v>671</v>
      </c>
    </row>
    <row r="142" spans="1:2" x14ac:dyDescent="0.25">
      <c r="B142" t="s">
        <v>2804</v>
      </c>
    </row>
    <row r="143" spans="1:2" x14ac:dyDescent="0.25">
      <c r="B143" t="s">
        <v>447</v>
      </c>
    </row>
    <row r="144" spans="1:2" x14ac:dyDescent="0.25">
      <c r="A144" t="s">
        <v>698</v>
      </c>
    </row>
    <row r="145" spans="1:1" x14ac:dyDescent="0.25">
      <c r="A145" t="s">
        <v>634</v>
      </c>
    </row>
    <row r="146" spans="1:1" x14ac:dyDescent="0.25">
      <c r="A146" t="s">
        <v>2804</v>
      </c>
    </row>
    <row r="148" spans="1:1" x14ac:dyDescent="0.25">
      <c r="A148" t="s">
        <v>254</v>
      </c>
    </row>
    <row r="149" spans="1:1" x14ac:dyDescent="0.25">
      <c r="A149" t="s">
        <v>2806</v>
      </c>
    </row>
    <row r="150" spans="1:1" x14ac:dyDescent="0.25">
      <c r="A150" t="s">
        <v>2807</v>
      </c>
    </row>
    <row r="152" spans="1:1" x14ac:dyDescent="0.25">
      <c r="A152" t="e">
        <f>- open P8 report AND no individual service Location Txn</f>
        <v>#NAME?</v>
      </c>
    </row>
    <row r="154" spans="1:1" x14ac:dyDescent="0.25">
      <c r="A154" t="s">
        <v>2808</v>
      </c>
    </row>
    <row r="156" spans="1:1" x14ac:dyDescent="0.25">
      <c r="A156" t="s">
        <v>2809</v>
      </c>
    </row>
    <row r="158" spans="1:1" x14ac:dyDescent="0.25">
      <c r="A158" t="s">
        <v>2810</v>
      </c>
    </row>
    <row r="160" spans="1:1" x14ac:dyDescent="0.25">
      <c r="A160" t="s">
        <v>258</v>
      </c>
    </row>
    <row r="162" spans="1:2" x14ac:dyDescent="0.25">
      <c r="A162" t="s">
        <v>2811</v>
      </c>
    </row>
    <row r="164" spans="1:2" x14ac:dyDescent="0.25">
      <c r="A164" t="s">
        <v>2812</v>
      </c>
    </row>
    <row r="165" spans="1:2" x14ac:dyDescent="0.25">
      <c r="A165" t="s">
        <v>1956</v>
      </c>
    </row>
    <row r="166" spans="1:2" x14ac:dyDescent="0.25">
      <c r="A166" t="s">
        <v>2813</v>
      </c>
    </row>
    <row r="167" spans="1:2" x14ac:dyDescent="0.25">
      <c r="A167" t="s">
        <v>2814</v>
      </c>
    </row>
    <row r="168" spans="1:2" x14ac:dyDescent="0.25">
      <c r="A168" t="s">
        <v>1376</v>
      </c>
    </row>
    <row r="169" spans="1:2" x14ac:dyDescent="0.25">
      <c r="B169" t="s">
        <v>2815</v>
      </c>
    </row>
    <row r="170" spans="1:2" x14ac:dyDescent="0.25">
      <c r="A170" t="s">
        <v>2816</v>
      </c>
    </row>
    <row r="172" spans="1:2" x14ac:dyDescent="0.25">
      <c r="A172" t="s">
        <v>2817</v>
      </c>
    </row>
    <row r="173" spans="1:2" x14ac:dyDescent="0.25">
      <c r="A173" t="s">
        <v>2818</v>
      </c>
    </row>
    <row r="174" spans="1:2" x14ac:dyDescent="0.25">
      <c r="A174" t="s">
        <v>2819</v>
      </c>
    </row>
    <row r="176" spans="1:2" x14ac:dyDescent="0.25">
      <c r="A176" t="e">
        <f>-- service locations with no txns AND no medicaid Id</f>
        <v>#NAME?</v>
      </c>
    </row>
    <row r="177" spans="1:2" x14ac:dyDescent="0.25">
      <c r="A177" t="s">
        <v>572</v>
      </c>
    </row>
    <row r="178" spans="1:2" x14ac:dyDescent="0.25">
      <c r="A178" t="s">
        <v>539</v>
      </c>
    </row>
    <row r="179" spans="1:2" x14ac:dyDescent="0.25">
      <c r="A179" t="s">
        <v>542</v>
      </c>
    </row>
    <row r="180" spans="1:2" x14ac:dyDescent="0.25">
      <c r="A180" t="s">
        <v>895</v>
      </c>
    </row>
    <row r="181" spans="1:2" x14ac:dyDescent="0.25">
      <c r="A181" t="s">
        <v>540</v>
      </c>
    </row>
    <row r="182" spans="1:2" x14ac:dyDescent="0.25">
      <c r="A182" t="s">
        <v>541</v>
      </c>
    </row>
    <row r="183" spans="1:2" x14ac:dyDescent="0.25">
      <c r="A183" t="s">
        <v>842</v>
      </c>
    </row>
    <row r="184" spans="1:2" x14ac:dyDescent="0.25">
      <c r="A184" t="s">
        <v>2820</v>
      </c>
    </row>
    <row r="185" spans="1:2" x14ac:dyDescent="0.25">
      <c r="A185" t="s">
        <v>897</v>
      </c>
    </row>
    <row r="186" spans="1:2" x14ac:dyDescent="0.25">
      <c r="A186" t="s">
        <v>2821</v>
      </c>
    </row>
    <row r="187" spans="1:2" x14ac:dyDescent="0.25">
      <c r="A187" t="s">
        <v>2822</v>
      </c>
    </row>
    <row r="188" spans="1:2" x14ac:dyDescent="0.25">
      <c r="A188" t="s">
        <v>2823</v>
      </c>
    </row>
    <row r="189" spans="1:2" x14ac:dyDescent="0.25">
      <c r="A189" t="s">
        <v>1044</v>
      </c>
    </row>
    <row r="190" spans="1:2" x14ac:dyDescent="0.25">
      <c r="A190" t="s">
        <v>624</v>
      </c>
    </row>
    <row r="191" spans="1:2" x14ac:dyDescent="0.25">
      <c r="B191" t="s">
        <v>2824</v>
      </c>
    </row>
    <row r="192" spans="1:2" x14ac:dyDescent="0.25">
      <c r="A192" t="s">
        <v>625</v>
      </c>
    </row>
    <row r="193" spans="1:3" x14ac:dyDescent="0.25">
      <c r="B193" t="s">
        <v>1058</v>
      </c>
    </row>
    <row r="194" spans="1:3" x14ac:dyDescent="0.25">
      <c r="A194" t="s">
        <v>939</v>
      </c>
    </row>
    <row r="195" spans="1:3" x14ac:dyDescent="0.25">
      <c r="A195" t="s">
        <v>697</v>
      </c>
    </row>
    <row r="196" spans="1:3" x14ac:dyDescent="0.25">
      <c r="B196" t="s">
        <v>572</v>
      </c>
    </row>
    <row r="197" spans="1:3" x14ac:dyDescent="0.25">
      <c r="B197" t="s">
        <v>573</v>
      </c>
    </row>
    <row r="198" spans="1:3" x14ac:dyDescent="0.25">
      <c r="B198" t="s">
        <v>1569</v>
      </c>
    </row>
    <row r="199" spans="1:3" x14ac:dyDescent="0.25">
      <c r="B199" t="s">
        <v>669</v>
      </c>
    </row>
    <row r="200" spans="1:3" x14ac:dyDescent="0.25">
      <c r="B200" t="s">
        <v>1767</v>
      </c>
    </row>
    <row r="201" spans="1:3" x14ac:dyDescent="0.25">
      <c r="C201" t="s">
        <v>1025</v>
      </c>
    </row>
    <row r="202" spans="1:3" x14ac:dyDescent="0.25">
      <c r="B202" t="s">
        <v>671</v>
      </c>
    </row>
    <row r="203" spans="1:3" x14ac:dyDescent="0.25">
      <c r="B203" t="s">
        <v>573</v>
      </c>
    </row>
    <row r="204" spans="1:3" x14ac:dyDescent="0.25">
      <c r="A204" t="s">
        <v>1269</v>
      </c>
    </row>
    <row r="205" spans="1:3" x14ac:dyDescent="0.25">
      <c r="B205" t="s">
        <v>1270</v>
      </c>
    </row>
    <row r="206" spans="1:3" x14ac:dyDescent="0.25">
      <c r="A206" t="s">
        <v>1271</v>
      </c>
    </row>
    <row r="207" spans="1:3" x14ac:dyDescent="0.25">
      <c r="B207" t="s">
        <v>2825</v>
      </c>
    </row>
    <row r="208" spans="1:3" x14ac:dyDescent="0.25">
      <c r="B208" t="s">
        <v>2826</v>
      </c>
    </row>
    <row r="209" spans="1:2" x14ac:dyDescent="0.25">
      <c r="B209" t="s">
        <v>2827</v>
      </c>
    </row>
    <row r="212" spans="1:2" x14ac:dyDescent="0.25">
      <c r="A212" t="s">
        <v>244</v>
      </c>
    </row>
    <row r="213" spans="1:2" x14ac:dyDescent="0.25">
      <c r="A213" t="s">
        <v>1424</v>
      </c>
    </row>
    <row r="214" spans="1:2" x14ac:dyDescent="0.25">
      <c r="A214" t="s">
        <v>2828</v>
      </c>
    </row>
    <row r="215" spans="1:2" x14ac:dyDescent="0.25">
      <c r="B215" t="s">
        <v>2829</v>
      </c>
    </row>
    <row r="217" spans="1:2" x14ac:dyDescent="0.25">
      <c r="A217" t="s">
        <v>244</v>
      </c>
    </row>
    <row r="218" spans="1:2" x14ac:dyDescent="0.25">
      <c r="A218" t="s">
        <v>2830</v>
      </c>
    </row>
    <row r="219" spans="1:2" x14ac:dyDescent="0.25">
      <c r="A219" t="s">
        <v>2831</v>
      </c>
    </row>
    <row r="220" spans="1:2" x14ac:dyDescent="0.25">
      <c r="B220" t="s">
        <v>2829</v>
      </c>
    </row>
    <row r="222" spans="1:2" x14ac:dyDescent="0.25">
      <c r="A222" t="s">
        <v>572</v>
      </c>
    </row>
    <row r="223" spans="1:2" x14ac:dyDescent="0.25">
      <c r="A223" t="s">
        <v>646</v>
      </c>
    </row>
    <row r="224" spans="1:2" x14ac:dyDescent="0.25">
      <c r="A224" t="s">
        <v>611</v>
      </c>
    </row>
    <row r="225" spans="1:1" x14ac:dyDescent="0.25">
      <c r="A225" t="s">
        <v>2832</v>
      </c>
    </row>
    <row r="227" spans="1:1" x14ac:dyDescent="0.25">
      <c r="A227" t="s">
        <v>244</v>
      </c>
    </row>
    <row r="228" spans="1:1" x14ac:dyDescent="0.25">
      <c r="A228" t="s">
        <v>669</v>
      </c>
    </row>
    <row r="229" spans="1:1" x14ac:dyDescent="0.25">
      <c r="A229" t="s">
        <v>2833</v>
      </c>
    </row>
    <row r="231" spans="1:1" x14ac:dyDescent="0.25">
      <c r="A231" t="s">
        <v>244</v>
      </c>
    </row>
    <row r="232" spans="1:1" x14ac:dyDescent="0.25">
      <c r="A232" t="s">
        <v>2834</v>
      </c>
    </row>
    <row r="233" spans="1:1" x14ac:dyDescent="0.25">
      <c r="A233" t="s">
        <v>2831</v>
      </c>
    </row>
    <row r="235" spans="1:1" x14ac:dyDescent="0.25">
      <c r="A235" t="s">
        <v>244</v>
      </c>
    </row>
    <row r="236" spans="1:1" x14ac:dyDescent="0.25">
      <c r="A236" t="s">
        <v>734</v>
      </c>
    </row>
    <row r="237" spans="1:1" x14ac:dyDescent="0.25">
      <c r="A237" t="s">
        <v>2831</v>
      </c>
    </row>
    <row r="240" spans="1:1" x14ac:dyDescent="0.25">
      <c r="A240" t="s">
        <v>572</v>
      </c>
    </row>
    <row r="241" spans="1:2" x14ac:dyDescent="0.25">
      <c r="A241" t="s">
        <v>646</v>
      </c>
    </row>
    <row r="242" spans="1:2" x14ac:dyDescent="0.25">
      <c r="A242" t="s">
        <v>245</v>
      </c>
    </row>
    <row r="243" spans="1:2" x14ac:dyDescent="0.25">
      <c r="A243" t="s">
        <v>2835</v>
      </c>
    </row>
    <row r="244" spans="1:2" x14ac:dyDescent="0.25">
      <c r="B244" t="s">
        <v>2836</v>
      </c>
    </row>
    <row r="245" spans="1:2" x14ac:dyDescent="0.25">
      <c r="A245" t="s">
        <v>254</v>
      </c>
    </row>
    <row r="246" spans="1:2" x14ac:dyDescent="0.25">
      <c r="A246" t="s">
        <v>2837</v>
      </c>
    </row>
    <row r="247" spans="1:2" x14ac:dyDescent="0.25">
      <c r="B247" t="s">
        <v>2838</v>
      </c>
    </row>
    <row r="248" spans="1:2" x14ac:dyDescent="0.25">
      <c r="B248" t="s">
        <v>2839</v>
      </c>
    </row>
    <row r="249" spans="1:2" x14ac:dyDescent="0.25">
      <c r="A249" t="s">
        <v>258</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
  <sheetViews>
    <sheetView workbookViewId="0">
      <selection activeCell="A75" sqref="A75"/>
    </sheetView>
  </sheetViews>
  <sheetFormatPr defaultRowHeight="15" x14ac:dyDescent="0.25"/>
  <sheetData>
    <row r="1" spans="1:1" x14ac:dyDescent="0.25">
      <c r="A1" t="s">
        <v>572</v>
      </c>
    </row>
    <row r="2" spans="1:1" x14ac:dyDescent="0.25">
      <c r="A2" t="s">
        <v>646</v>
      </c>
    </row>
    <row r="3" spans="1:1" x14ac:dyDescent="0.25">
      <c r="A3" t="s">
        <v>611</v>
      </c>
    </row>
    <row r="5" spans="1:1" x14ac:dyDescent="0.25">
      <c r="A5">
        <f>-- 496</f>
        <v>496</v>
      </c>
    </row>
    <row r="6" spans="1:1" x14ac:dyDescent="0.25">
      <c r="A6" t="s">
        <v>2998</v>
      </c>
    </row>
    <row r="7" spans="1:1" x14ac:dyDescent="0.25">
      <c r="A7" t="s">
        <v>572</v>
      </c>
    </row>
    <row r="8" spans="1:1" x14ac:dyDescent="0.25">
      <c r="A8" t="s">
        <v>2901</v>
      </c>
    </row>
    <row r="9" spans="1:1" x14ac:dyDescent="0.25">
      <c r="A9" t="s">
        <v>2902</v>
      </c>
    </row>
    <row r="10" spans="1:1" x14ac:dyDescent="0.25">
      <c r="A10" t="s">
        <v>2903</v>
      </c>
    </row>
    <row r="11" spans="1:1" x14ac:dyDescent="0.25">
      <c r="A11" t="s">
        <v>2904</v>
      </c>
    </row>
    <row r="12" spans="1:1" x14ac:dyDescent="0.25">
      <c r="A12" t="s">
        <v>2905</v>
      </c>
    </row>
    <row r="13" spans="1:1" x14ac:dyDescent="0.25">
      <c r="A13" t="s">
        <v>2906</v>
      </c>
    </row>
    <row r="14" spans="1:1" x14ac:dyDescent="0.25">
      <c r="A14" t="s">
        <v>2907</v>
      </c>
    </row>
    <row r="15" spans="1:1" x14ac:dyDescent="0.25">
      <c r="A15" t="s">
        <v>647</v>
      </c>
    </row>
    <row r="16" spans="1:1" x14ac:dyDescent="0.25">
      <c r="A16" t="s">
        <v>2908</v>
      </c>
    </row>
    <row r="17" spans="1:2" x14ac:dyDescent="0.25">
      <c r="B17" t="s">
        <v>2909</v>
      </c>
    </row>
    <row r="18" spans="1:2" x14ac:dyDescent="0.25">
      <c r="A18" t="s">
        <v>2910</v>
      </c>
    </row>
    <row r="19" spans="1:2" x14ac:dyDescent="0.25">
      <c r="B19" t="s">
        <v>2911</v>
      </c>
    </row>
    <row r="20" spans="1:2" x14ac:dyDescent="0.25">
      <c r="A20" t="s">
        <v>2912</v>
      </c>
    </row>
    <row r="21" spans="1:2" x14ac:dyDescent="0.25">
      <c r="B21" t="s">
        <v>2913</v>
      </c>
    </row>
    <row r="22" spans="1:2" x14ac:dyDescent="0.25">
      <c r="B22" t="s">
        <v>712</v>
      </c>
    </row>
    <row r="24" spans="1:2" x14ac:dyDescent="0.25">
      <c r="A24" t="s">
        <v>2914</v>
      </c>
    </row>
    <row r="25" spans="1:2" x14ac:dyDescent="0.25">
      <c r="B25" t="s">
        <v>2915</v>
      </c>
    </row>
    <row r="27" spans="1:2" x14ac:dyDescent="0.25">
      <c r="A27" t="s">
        <v>2916</v>
      </c>
    </row>
    <row r="28" spans="1:2" x14ac:dyDescent="0.25">
      <c r="A28" t="s">
        <v>2917</v>
      </c>
    </row>
    <row r="29" spans="1:2" x14ac:dyDescent="0.25">
      <c r="A29" t="s">
        <v>2918</v>
      </c>
    </row>
    <row r="30" spans="1:2" x14ac:dyDescent="0.25">
      <c r="A30" t="s">
        <v>2919</v>
      </c>
    </row>
    <row r="32" spans="1:2" x14ac:dyDescent="0.25">
      <c r="A32" t="s">
        <v>2920</v>
      </c>
    </row>
    <row r="34" spans="1:2" x14ac:dyDescent="0.25">
      <c r="A34">
        <f>-- 1829</f>
        <v>1829</v>
      </c>
    </row>
    <row r="35" spans="1:2" x14ac:dyDescent="0.25">
      <c r="A35" t="s">
        <v>572</v>
      </c>
    </row>
    <row r="36" spans="1:2" x14ac:dyDescent="0.25">
      <c r="A36" t="s">
        <v>2921</v>
      </c>
    </row>
    <row r="37" spans="1:2" x14ac:dyDescent="0.25">
      <c r="A37" t="s">
        <v>647</v>
      </c>
    </row>
    <row r="38" spans="1:2" x14ac:dyDescent="0.25">
      <c r="A38" t="s">
        <v>2922</v>
      </c>
    </row>
    <row r="39" spans="1:2" x14ac:dyDescent="0.25">
      <c r="B39" t="s">
        <v>2923</v>
      </c>
    </row>
    <row r="40" spans="1:2" x14ac:dyDescent="0.25">
      <c r="A40" t="s">
        <v>2924</v>
      </c>
    </row>
    <row r="42" spans="1:2" x14ac:dyDescent="0.25">
      <c r="A42" t="s">
        <v>2925</v>
      </c>
    </row>
    <row r="44" spans="1:2" x14ac:dyDescent="0.25">
      <c r="A44" t="s">
        <v>2999</v>
      </c>
    </row>
    <row r="45" spans="1:2" x14ac:dyDescent="0.25">
      <c r="A45" t="s">
        <v>572</v>
      </c>
    </row>
    <row r="46" spans="1:2" x14ac:dyDescent="0.25">
      <c r="A46" t="s">
        <v>2926</v>
      </c>
    </row>
    <row r="47" spans="1:2" x14ac:dyDescent="0.25">
      <c r="A47" t="s">
        <v>2927</v>
      </c>
    </row>
    <row r="48" spans="1:2" x14ac:dyDescent="0.25">
      <c r="A48" t="s">
        <v>2922</v>
      </c>
    </row>
    <row r="49" spans="1:2" x14ac:dyDescent="0.25">
      <c r="B49" t="s">
        <v>2928</v>
      </c>
    </row>
    <row r="50" spans="1:2" x14ac:dyDescent="0.25">
      <c r="A50" t="s">
        <v>2929</v>
      </c>
    </row>
    <row r="51" spans="1:2" x14ac:dyDescent="0.25">
      <c r="B51" t="s">
        <v>2930</v>
      </c>
    </row>
    <row r="52" spans="1:2" x14ac:dyDescent="0.25">
      <c r="A52" t="s">
        <v>2931</v>
      </c>
    </row>
    <row r="53" spans="1:2" x14ac:dyDescent="0.25">
      <c r="B53" t="s">
        <v>2932</v>
      </c>
    </row>
    <row r="54" spans="1:2" x14ac:dyDescent="0.25">
      <c r="B54" t="s">
        <v>2933</v>
      </c>
    </row>
    <row r="56" spans="1:2" x14ac:dyDescent="0.25">
      <c r="A56" t="s">
        <v>2934</v>
      </c>
    </row>
    <row r="58" spans="1:2" x14ac:dyDescent="0.25">
      <c r="A58" t="s">
        <v>3000</v>
      </c>
    </row>
    <row r="59" spans="1:2" x14ac:dyDescent="0.25">
      <c r="A59" t="s">
        <v>572</v>
      </c>
    </row>
    <row r="60" spans="1:2" x14ac:dyDescent="0.25">
      <c r="A60" t="s">
        <v>2901</v>
      </c>
    </row>
    <row r="61" spans="1:2" x14ac:dyDescent="0.25">
      <c r="A61" t="s">
        <v>2902</v>
      </c>
    </row>
    <row r="62" spans="1:2" x14ac:dyDescent="0.25">
      <c r="A62" t="s">
        <v>2903</v>
      </c>
    </row>
    <row r="63" spans="1:2" x14ac:dyDescent="0.25">
      <c r="A63" t="s">
        <v>2904</v>
      </c>
    </row>
    <row r="64" spans="1:2" x14ac:dyDescent="0.25">
      <c r="A64" t="s">
        <v>2905</v>
      </c>
    </row>
    <row r="65" spans="1:2" x14ac:dyDescent="0.25">
      <c r="A65" t="s">
        <v>647</v>
      </c>
    </row>
    <row r="66" spans="1:2" x14ac:dyDescent="0.25">
      <c r="A66" t="s">
        <v>2908</v>
      </c>
    </row>
    <row r="67" spans="1:2" x14ac:dyDescent="0.25">
      <c r="B67" t="s">
        <v>2909</v>
      </c>
    </row>
    <row r="68" spans="1:2" x14ac:dyDescent="0.25">
      <c r="A68" t="s">
        <v>2910</v>
      </c>
    </row>
    <row r="69" spans="1:2" x14ac:dyDescent="0.25">
      <c r="B69" t="s">
        <v>2911</v>
      </c>
    </row>
    <row r="70" spans="1:2" x14ac:dyDescent="0.25">
      <c r="A70" t="s">
        <v>2935</v>
      </c>
    </row>
    <row r="71" spans="1:2" x14ac:dyDescent="0.25">
      <c r="B71" t="s">
        <v>2913</v>
      </c>
    </row>
    <row r="72" spans="1:2" x14ac:dyDescent="0.25">
      <c r="B72" t="s">
        <v>2936</v>
      </c>
    </row>
    <row r="74" spans="1:2" x14ac:dyDescent="0.25">
      <c r="A74" t="s">
        <v>3000</v>
      </c>
    </row>
    <row r="75" spans="1:2" x14ac:dyDescent="0.25">
      <c r="A75" t="s">
        <v>572</v>
      </c>
    </row>
    <row r="76" spans="1:2" x14ac:dyDescent="0.25">
      <c r="A76" t="s">
        <v>2901</v>
      </c>
    </row>
    <row r="77" spans="1:2" x14ac:dyDescent="0.25">
      <c r="A77" t="s">
        <v>2902</v>
      </c>
    </row>
    <row r="78" spans="1:2" x14ac:dyDescent="0.25">
      <c r="A78" t="s">
        <v>2903</v>
      </c>
    </row>
    <row r="79" spans="1:2" x14ac:dyDescent="0.25">
      <c r="A79" t="s">
        <v>2904</v>
      </c>
    </row>
    <row r="80" spans="1:2" x14ac:dyDescent="0.25">
      <c r="A80" t="s">
        <v>2905</v>
      </c>
    </row>
    <row r="81" spans="1:2" x14ac:dyDescent="0.25">
      <c r="A81" t="s">
        <v>647</v>
      </c>
    </row>
    <row r="82" spans="1:2" x14ac:dyDescent="0.25">
      <c r="A82" t="s">
        <v>2908</v>
      </c>
    </row>
    <row r="83" spans="1:2" x14ac:dyDescent="0.25">
      <c r="B83" t="s">
        <v>2909</v>
      </c>
    </row>
    <row r="84" spans="1:2" x14ac:dyDescent="0.25">
      <c r="A84" t="s">
        <v>2910</v>
      </c>
    </row>
    <row r="85" spans="1:2" x14ac:dyDescent="0.25">
      <c r="B85" t="s">
        <v>2911</v>
      </c>
    </row>
    <row r="86" spans="1:2" x14ac:dyDescent="0.25">
      <c r="A86" t="s">
        <v>2935</v>
      </c>
    </row>
    <row r="87" spans="1:2" x14ac:dyDescent="0.25">
      <c r="B87" t="s">
        <v>2913</v>
      </c>
    </row>
    <row r="88" spans="1:2" x14ac:dyDescent="0.25">
      <c r="B88" t="s">
        <v>2936</v>
      </c>
    </row>
    <row r="90" spans="1:2" x14ac:dyDescent="0.25">
      <c r="A90" t="s">
        <v>2937</v>
      </c>
    </row>
    <row r="92" spans="1:2" x14ac:dyDescent="0.25">
      <c r="B92" t="s">
        <v>572</v>
      </c>
    </row>
    <row r="93" spans="1:2" x14ac:dyDescent="0.25">
      <c r="B93" t="s">
        <v>2938</v>
      </c>
    </row>
    <row r="94" spans="1:2" x14ac:dyDescent="0.25">
      <c r="B94" t="s">
        <v>2939</v>
      </c>
    </row>
    <row r="95" spans="1:2" x14ac:dyDescent="0.25">
      <c r="B95" t="s">
        <v>704</v>
      </c>
    </row>
    <row r="96" spans="1:2" x14ac:dyDescent="0.25">
      <c r="B96" t="s">
        <v>2940</v>
      </c>
    </row>
    <row r="97" spans="2:4" x14ac:dyDescent="0.25">
      <c r="B97" t="s">
        <v>2927</v>
      </c>
    </row>
    <row r="98" spans="2:4" x14ac:dyDescent="0.25">
      <c r="B98" t="s">
        <v>2941</v>
      </c>
    </row>
    <row r="99" spans="2:4" x14ac:dyDescent="0.25">
      <c r="C99" t="s">
        <v>2928</v>
      </c>
    </row>
    <row r="100" spans="2:4" x14ac:dyDescent="0.25">
      <c r="B100" t="s">
        <v>706</v>
      </c>
    </row>
    <row r="101" spans="2:4" x14ac:dyDescent="0.25">
      <c r="B101" t="s">
        <v>697</v>
      </c>
    </row>
    <row r="102" spans="2:4" x14ac:dyDescent="0.25">
      <c r="C102" t="s">
        <v>572</v>
      </c>
    </row>
    <row r="103" spans="2:4" x14ac:dyDescent="0.25">
      <c r="C103" t="s">
        <v>2942</v>
      </c>
    </row>
    <row r="104" spans="2:4" x14ac:dyDescent="0.25">
      <c r="C104" t="s">
        <v>2943</v>
      </c>
    </row>
    <row r="105" spans="2:4" x14ac:dyDescent="0.25">
      <c r="C105" t="s">
        <v>2944</v>
      </c>
    </row>
    <row r="106" spans="2:4" x14ac:dyDescent="0.25">
      <c r="C106" t="s">
        <v>2945</v>
      </c>
    </row>
    <row r="107" spans="2:4" x14ac:dyDescent="0.25">
      <c r="C107" t="s">
        <v>2929</v>
      </c>
    </row>
    <row r="108" spans="2:4" x14ac:dyDescent="0.25">
      <c r="D108" t="s">
        <v>2946</v>
      </c>
    </row>
    <row r="109" spans="2:4" x14ac:dyDescent="0.25">
      <c r="C109" t="s">
        <v>2947</v>
      </c>
    </row>
    <row r="110" spans="2:4" x14ac:dyDescent="0.25">
      <c r="D110" t="s">
        <v>2948</v>
      </c>
    </row>
    <row r="111" spans="2:4" x14ac:dyDescent="0.25">
      <c r="D111" t="e">
        <f>-- AND s.PartyID is not NULL</f>
        <v>#NAME?</v>
      </c>
    </row>
    <row r="112" spans="2:4" x14ac:dyDescent="0.25">
      <c r="D112" t="s">
        <v>2606</v>
      </c>
    </row>
    <row r="113" spans="1:3" x14ac:dyDescent="0.25">
      <c r="B113" t="s">
        <v>1269</v>
      </c>
    </row>
    <row r="114" spans="1:3" x14ac:dyDescent="0.25">
      <c r="C114" t="s">
        <v>2949</v>
      </c>
    </row>
    <row r="115" spans="1:3" x14ac:dyDescent="0.25">
      <c r="B115" t="s">
        <v>2950</v>
      </c>
    </row>
    <row r="117" spans="1:3" x14ac:dyDescent="0.25">
      <c r="A117" t="e">
        <f>-- P3 count looks correct (usp_SearchErrors)</f>
        <v>#NAME?</v>
      </c>
    </row>
    <row r="119" spans="1:3" x14ac:dyDescent="0.25">
      <c r="A119" t="e">
        <f>-- undone, finish query to look at current caqh status</f>
        <v>#NAME?</v>
      </c>
    </row>
    <row r="120" spans="1:3" x14ac:dyDescent="0.25">
      <c r="A120" t="s">
        <v>247</v>
      </c>
      <c r="C120" t="s">
        <v>2951</v>
      </c>
    </row>
    <row r="121" spans="1:3" x14ac:dyDescent="0.25">
      <c r="A121" t="s">
        <v>247</v>
      </c>
      <c r="C121" t="s">
        <v>2952</v>
      </c>
    </row>
    <row r="122" spans="1:3" x14ac:dyDescent="0.25">
      <c r="A122" t="s">
        <v>247</v>
      </c>
      <c r="C122" t="s">
        <v>2953</v>
      </c>
    </row>
    <row r="123" spans="1:3" x14ac:dyDescent="0.25">
      <c r="A123" t="e">
        <f>-- P3 - P7 which should have been sent an email</f>
        <v>#NAME?</v>
      </c>
    </row>
    <row r="124" spans="1:3" x14ac:dyDescent="0.25">
      <c r="A124" t="s">
        <v>572</v>
      </c>
    </row>
    <row r="125" spans="1:3" x14ac:dyDescent="0.25">
      <c r="A125" t="s">
        <v>539</v>
      </c>
    </row>
    <row r="126" spans="1:3" x14ac:dyDescent="0.25">
      <c r="A126" t="s">
        <v>542</v>
      </c>
    </row>
    <row r="127" spans="1:3" x14ac:dyDescent="0.25">
      <c r="A127" t="s">
        <v>895</v>
      </c>
    </row>
    <row r="128" spans="1:3" x14ac:dyDescent="0.25">
      <c r="A128" t="s">
        <v>2954</v>
      </c>
    </row>
    <row r="129" spans="1:2" x14ac:dyDescent="0.25">
      <c r="A129" t="s">
        <v>2904</v>
      </c>
    </row>
    <row r="130" spans="1:2" x14ac:dyDescent="0.25">
      <c r="A130" t="s">
        <v>675</v>
      </c>
    </row>
    <row r="131" spans="1:2" x14ac:dyDescent="0.25">
      <c r="A131" t="s">
        <v>2955</v>
      </c>
    </row>
    <row r="132" spans="1:2" x14ac:dyDescent="0.25">
      <c r="A132" t="s">
        <v>576</v>
      </c>
    </row>
    <row r="133" spans="1:2" x14ac:dyDescent="0.25">
      <c r="A133" t="s">
        <v>656</v>
      </c>
    </row>
    <row r="134" spans="1:2" x14ac:dyDescent="0.25">
      <c r="B134" t="s">
        <v>2956</v>
      </c>
    </row>
    <row r="135" spans="1:2" x14ac:dyDescent="0.25">
      <c r="A135" t="s">
        <v>2957</v>
      </c>
    </row>
    <row r="136" spans="1:2" x14ac:dyDescent="0.25">
      <c r="B136" t="s">
        <v>1270</v>
      </c>
    </row>
    <row r="137" spans="1:2" x14ac:dyDescent="0.25">
      <c r="A137" t="s">
        <v>2908</v>
      </c>
    </row>
    <row r="138" spans="1:2" x14ac:dyDescent="0.25">
      <c r="B138" t="s">
        <v>2909</v>
      </c>
    </row>
    <row r="139" spans="1:2" x14ac:dyDescent="0.25">
      <c r="A139" t="s">
        <v>2910</v>
      </c>
    </row>
    <row r="140" spans="1:2" x14ac:dyDescent="0.25">
      <c r="B140" t="s">
        <v>2911</v>
      </c>
    </row>
    <row r="141" spans="1:2" x14ac:dyDescent="0.25">
      <c r="A141" t="s">
        <v>2958</v>
      </c>
    </row>
    <row r="142" spans="1:2" x14ac:dyDescent="0.25">
      <c r="B142" t="s">
        <v>2959</v>
      </c>
    </row>
    <row r="145" spans="1:2" x14ac:dyDescent="0.25">
      <c r="A145" t="s">
        <v>2960</v>
      </c>
    </row>
    <row r="147" spans="1:2" x14ac:dyDescent="0.25">
      <c r="A147" t="s">
        <v>572</v>
      </c>
    </row>
    <row r="148" spans="1:2" x14ac:dyDescent="0.25">
      <c r="A148" t="s">
        <v>646</v>
      </c>
    </row>
    <row r="149" spans="1:2" x14ac:dyDescent="0.25">
      <c r="A149" t="s">
        <v>643</v>
      </c>
    </row>
    <row r="150" spans="1:2" x14ac:dyDescent="0.25">
      <c r="A150" t="s">
        <v>2961</v>
      </c>
    </row>
    <row r="151" spans="1:2" x14ac:dyDescent="0.25">
      <c r="A151" t="s">
        <v>2962</v>
      </c>
    </row>
    <row r="153" spans="1:2" x14ac:dyDescent="0.25">
      <c r="A153" t="e">
        <f>--cst.ERROR_TYPE_ID is NULL</f>
        <v>#NAME?</v>
      </c>
    </row>
    <row r="154" spans="1:2" x14ac:dyDescent="0.25">
      <c r="A154" t="s">
        <v>247</v>
      </c>
      <c r="B154" t="s">
        <v>2963</v>
      </c>
    </row>
    <row r="155" spans="1:2" x14ac:dyDescent="0.25">
      <c r="A155" t="s">
        <v>247</v>
      </c>
      <c r="B155" t="s">
        <v>2963</v>
      </c>
    </row>
    <row r="157" spans="1:2" x14ac:dyDescent="0.25">
      <c r="A157" t="e">
        <f>--JOIN ERROR e</f>
        <v>#NAME?</v>
      </c>
    </row>
    <row r="159" spans="1:2" x14ac:dyDescent="0.25">
      <c r="A159" t="s">
        <v>2964</v>
      </c>
    </row>
    <row r="161" spans="1:2" x14ac:dyDescent="0.25">
      <c r="A161" t="s">
        <v>2965</v>
      </c>
    </row>
    <row r="162" spans="1:2" x14ac:dyDescent="0.25">
      <c r="A162" t="s">
        <v>2966</v>
      </c>
    </row>
    <row r="163" spans="1:2" x14ac:dyDescent="0.25">
      <c r="A163" t="s">
        <v>2967</v>
      </c>
    </row>
    <row r="164" spans="1:2" x14ac:dyDescent="0.25">
      <c r="A164" t="s">
        <v>2968</v>
      </c>
    </row>
    <row r="166" spans="1:2" x14ac:dyDescent="0.25">
      <c r="A166" t="s">
        <v>254</v>
      </c>
    </row>
    <row r="167" spans="1:2" x14ac:dyDescent="0.25">
      <c r="A167" t="s">
        <v>607</v>
      </c>
    </row>
    <row r="168" spans="1:2" x14ac:dyDescent="0.25">
      <c r="A168" t="s">
        <v>1912</v>
      </c>
    </row>
    <row r="169" spans="1:2" x14ac:dyDescent="0.25">
      <c r="A169" t="s">
        <v>2969</v>
      </c>
    </row>
    <row r="171" spans="1:2" x14ac:dyDescent="0.25">
      <c r="A171" t="s">
        <v>1913</v>
      </c>
    </row>
    <row r="172" spans="1:2" x14ac:dyDescent="0.25">
      <c r="B172">
        <v>130074</v>
      </c>
    </row>
    <row r="173" spans="1:2" x14ac:dyDescent="0.25">
      <c r="B173" t="s">
        <v>2970</v>
      </c>
    </row>
    <row r="174" spans="1:2" x14ac:dyDescent="0.25">
      <c r="B174" t="s">
        <v>1039</v>
      </c>
    </row>
    <row r="175" spans="1:2" x14ac:dyDescent="0.25">
      <c r="B175" t="s">
        <v>1036</v>
      </c>
    </row>
    <row r="176" spans="1:2" x14ac:dyDescent="0.25">
      <c r="B176" t="s">
        <v>1915</v>
      </c>
    </row>
    <row r="178" spans="1:3" x14ac:dyDescent="0.25">
      <c r="A178" t="s">
        <v>258</v>
      </c>
    </row>
    <row r="179" spans="1:3" x14ac:dyDescent="0.25">
      <c r="B179" t="s">
        <v>2971</v>
      </c>
    </row>
    <row r="180" spans="1:3" x14ac:dyDescent="0.25">
      <c r="B180" t="s">
        <v>2972</v>
      </c>
    </row>
    <row r="181" spans="1:3" x14ac:dyDescent="0.25">
      <c r="B181" t="s">
        <v>572</v>
      </c>
    </row>
    <row r="182" spans="1:3" x14ac:dyDescent="0.25">
      <c r="B182" t="s">
        <v>2938</v>
      </c>
    </row>
    <row r="183" spans="1:3" x14ac:dyDescent="0.25">
      <c r="B183" t="s">
        <v>2902</v>
      </c>
    </row>
    <row r="184" spans="1:3" x14ac:dyDescent="0.25">
      <c r="B184" t="s">
        <v>704</v>
      </c>
    </row>
    <row r="185" spans="1:3" x14ac:dyDescent="0.25">
      <c r="B185" t="s">
        <v>2940</v>
      </c>
    </row>
    <row r="186" spans="1:3" x14ac:dyDescent="0.25">
      <c r="B186" t="s">
        <v>2927</v>
      </c>
    </row>
    <row r="187" spans="1:3" x14ac:dyDescent="0.25">
      <c r="B187" t="s">
        <v>2941</v>
      </c>
    </row>
    <row r="188" spans="1:3" x14ac:dyDescent="0.25">
      <c r="C188" t="s">
        <v>2928</v>
      </c>
    </row>
    <row r="189" spans="1:3" x14ac:dyDescent="0.25">
      <c r="B189" t="s">
        <v>706</v>
      </c>
    </row>
    <row r="190" spans="1:3" x14ac:dyDescent="0.25">
      <c r="B190" t="s">
        <v>697</v>
      </c>
    </row>
    <row r="191" spans="1:3" x14ac:dyDescent="0.25">
      <c r="C191" t="s">
        <v>572</v>
      </c>
    </row>
    <row r="192" spans="1:3" x14ac:dyDescent="0.25">
      <c r="C192" t="s">
        <v>2942</v>
      </c>
    </row>
    <row r="193" spans="1:4" x14ac:dyDescent="0.25">
      <c r="C193" t="s">
        <v>2943</v>
      </c>
    </row>
    <row r="194" spans="1:4" x14ac:dyDescent="0.25">
      <c r="C194" t="s">
        <v>2944</v>
      </c>
    </row>
    <row r="195" spans="1:4" x14ac:dyDescent="0.25">
      <c r="C195" t="s">
        <v>2945</v>
      </c>
    </row>
    <row r="196" spans="1:4" x14ac:dyDescent="0.25">
      <c r="C196" t="s">
        <v>2929</v>
      </c>
    </row>
    <row r="197" spans="1:4" x14ac:dyDescent="0.25">
      <c r="D197" t="s">
        <v>2946</v>
      </c>
    </row>
    <row r="198" spans="1:4" x14ac:dyDescent="0.25">
      <c r="C198" t="s">
        <v>2947</v>
      </c>
    </row>
    <row r="199" spans="1:4" x14ac:dyDescent="0.25">
      <c r="D199" t="s">
        <v>2948</v>
      </c>
    </row>
    <row r="200" spans="1:4" x14ac:dyDescent="0.25">
      <c r="D200" t="s">
        <v>2606</v>
      </c>
    </row>
    <row r="201" spans="1:4" x14ac:dyDescent="0.25">
      <c r="B201" t="s">
        <v>1269</v>
      </c>
    </row>
    <row r="202" spans="1:4" x14ac:dyDescent="0.25">
      <c r="C202" t="s">
        <v>2949</v>
      </c>
    </row>
    <row r="203" spans="1:4" x14ac:dyDescent="0.25">
      <c r="B203" t="s">
        <v>2950</v>
      </c>
    </row>
    <row r="205" spans="1:4" x14ac:dyDescent="0.25">
      <c r="A205" t="e">
        <f>-- this should never happen</f>
        <v>#NAME?</v>
      </c>
    </row>
    <row r="206" spans="1:4" x14ac:dyDescent="0.25">
      <c r="A206" t="s">
        <v>572</v>
      </c>
    </row>
    <row r="207" spans="1:4" x14ac:dyDescent="0.25">
      <c r="A207" t="s">
        <v>646</v>
      </c>
    </row>
    <row r="208" spans="1:4" x14ac:dyDescent="0.25">
      <c r="A208" t="s">
        <v>643</v>
      </c>
    </row>
    <row r="209" spans="1:2" x14ac:dyDescent="0.25">
      <c r="A209" t="s">
        <v>2973</v>
      </c>
    </row>
    <row r="210" spans="1:2" x14ac:dyDescent="0.25">
      <c r="B210" t="s">
        <v>2974</v>
      </c>
    </row>
    <row r="212" spans="1:2" x14ac:dyDescent="0.25">
      <c r="A212" t="e">
        <f>-- report</f>
        <v>#NAME?</v>
      </c>
    </row>
    <row r="213" spans="1:2" x14ac:dyDescent="0.25">
      <c r="A213" t="s">
        <v>538</v>
      </c>
    </row>
    <row r="214" spans="1:2" x14ac:dyDescent="0.25">
      <c r="A214" t="s">
        <v>2458</v>
      </c>
    </row>
    <row r="215" spans="1:2" x14ac:dyDescent="0.25">
      <c r="A215" t="s">
        <v>542</v>
      </c>
    </row>
    <row r="216" spans="1:2" x14ac:dyDescent="0.25">
      <c r="A216" t="s">
        <v>540</v>
      </c>
    </row>
    <row r="217" spans="1:2" x14ac:dyDescent="0.25">
      <c r="A217" t="s">
        <v>541</v>
      </c>
    </row>
    <row r="218" spans="1:2" x14ac:dyDescent="0.25">
      <c r="A218" t="s">
        <v>2459</v>
      </c>
    </row>
    <row r="219" spans="1:2" x14ac:dyDescent="0.25">
      <c r="A219" t="s">
        <v>2462</v>
      </c>
    </row>
    <row r="220" spans="1:2" x14ac:dyDescent="0.25">
      <c r="A220" t="s">
        <v>2463</v>
      </c>
    </row>
    <row r="221" spans="1:2" x14ac:dyDescent="0.25">
      <c r="A221" t="s">
        <v>647</v>
      </c>
    </row>
    <row r="222" spans="1:2" x14ac:dyDescent="0.25">
      <c r="A222" t="s">
        <v>624</v>
      </c>
    </row>
    <row r="223" spans="1:2" x14ac:dyDescent="0.25">
      <c r="B223" t="s">
        <v>1926</v>
      </c>
    </row>
    <row r="224" spans="1:2" x14ac:dyDescent="0.25">
      <c r="A224" t="s">
        <v>962</v>
      </c>
    </row>
    <row r="225" spans="1:2" x14ac:dyDescent="0.25">
      <c r="B225" t="s">
        <v>2975</v>
      </c>
    </row>
    <row r="226" spans="1:2" x14ac:dyDescent="0.25">
      <c r="A226" t="s">
        <v>2976</v>
      </c>
    </row>
    <row r="227" spans="1:2" x14ac:dyDescent="0.25">
      <c r="B227" t="s">
        <v>712</v>
      </c>
    </row>
    <row r="229" spans="1:2" x14ac:dyDescent="0.25">
      <c r="A229" t="s">
        <v>572</v>
      </c>
    </row>
    <row r="230" spans="1:2" x14ac:dyDescent="0.25">
      <c r="A230" t="s">
        <v>646</v>
      </c>
    </row>
    <row r="231" spans="1:2" x14ac:dyDescent="0.25">
      <c r="A231" t="s">
        <v>647</v>
      </c>
    </row>
    <row r="232" spans="1:2" x14ac:dyDescent="0.25">
      <c r="A232" t="s">
        <v>2977</v>
      </c>
    </row>
    <row r="233" spans="1:2" x14ac:dyDescent="0.25">
      <c r="B233" t="s">
        <v>2913</v>
      </c>
    </row>
    <row r="234" spans="1:2" x14ac:dyDescent="0.25">
      <c r="B234" t="s">
        <v>712</v>
      </c>
    </row>
    <row r="236" spans="1:2" x14ac:dyDescent="0.25">
      <c r="A236" t="s">
        <v>794</v>
      </c>
    </row>
    <row r="237" spans="1:2" x14ac:dyDescent="0.25">
      <c r="A237" t="s">
        <v>647</v>
      </c>
    </row>
    <row r="238" spans="1:2" x14ac:dyDescent="0.25">
      <c r="A238" t="s">
        <v>2976</v>
      </c>
    </row>
    <row r="239" spans="1:2" x14ac:dyDescent="0.25">
      <c r="B239" t="s">
        <v>712</v>
      </c>
    </row>
    <row r="241" spans="1:4" x14ac:dyDescent="0.25">
      <c r="A241" t="s">
        <v>572</v>
      </c>
    </row>
    <row r="242" spans="1:4" x14ac:dyDescent="0.25">
      <c r="A242" t="s">
        <v>2978</v>
      </c>
    </row>
    <row r="243" spans="1:4" x14ac:dyDescent="0.25">
      <c r="A243" t="s">
        <v>669</v>
      </c>
    </row>
    <row r="244" spans="1:4" x14ac:dyDescent="0.25">
      <c r="A244" t="s">
        <v>2979</v>
      </c>
      <c r="B244" t="s">
        <v>2980</v>
      </c>
    </row>
    <row r="245" spans="1:4" x14ac:dyDescent="0.25">
      <c r="B245" t="s">
        <v>2981</v>
      </c>
      <c r="D245" t="s">
        <v>2982</v>
      </c>
    </row>
    <row r="248" spans="1:4" x14ac:dyDescent="0.25">
      <c r="A248" t="s">
        <v>2983</v>
      </c>
      <c r="B248" t="s">
        <v>2984</v>
      </c>
    </row>
    <row r="249" spans="1:4" x14ac:dyDescent="0.25">
      <c r="B249" t="s">
        <v>2985</v>
      </c>
      <c r="C249">
        <f>-- 364</f>
        <v>364</v>
      </c>
    </row>
    <row r="250" spans="1:4" x14ac:dyDescent="0.25">
      <c r="B250" t="s">
        <v>2981</v>
      </c>
      <c r="D250" t="s">
        <v>2986</v>
      </c>
    </row>
    <row r="252" spans="1:4" x14ac:dyDescent="0.25">
      <c r="A252" t="s">
        <v>2987</v>
      </c>
    </row>
    <row r="254" spans="1:4" x14ac:dyDescent="0.25">
      <c r="A254" t="s">
        <v>2988</v>
      </c>
    </row>
    <row r="257" spans="1:3" x14ac:dyDescent="0.25">
      <c r="A257" t="s">
        <v>2989</v>
      </c>
    </row>
    <row r="258" spans="1:3" x14ac:dyDescent="0.25">
      <c r="A258" t="s">
        <v>2990</v>
      </c>
    </row>
    <row r="259" spans="1:3" x14ac:dyDescent="0.25">
      <c r="A259" t="s">
        <v>2991</v>
      </c>
    </row>
    <row r="261" spans="1:3" x14ac:dyDescent="0.25">
      <c r="B261" t="s">
        <v>2992</v>
      </c>
    </row>
    <row r="262" spans="1:3" x14ac:dyDescent="0.25">
      <c r="C262" t="s">
        <v>2993</v>
      </c>
    </row>
    <row r="263" spans="1:3" x14ac:dyDescent="0.25">
      <c r="C263" t="s">
        <v>2994</v>
      </c>
    </row>
    <row r="265" spans="1:3" x14ac:dyDescent="0.25">
      <c r="B265" t="s">
        <v>2995</v>
      </c>
    </row>
    <row r="266" spans="1:3" x14ac:dyDescent="0.25">
      <c r="C266" t="s">
        <v>2996</v>
      </c>
    </row>
    <row r="267" spans="1:3" x14ac:dyDescent="0.25">
      <c r="C267" t="s">
        <v>2997</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Views>
    <sheetView workbookViewId="0">
      <selection sqref="A1:C141"/>
    </sheetView>
  </sheetViews>
  <sheetFormatPr defaultRowHeight="15" x14ac:dyDescent="0.25"/>
  <sheetData>
    <row r="1" spans="1:3" x14ac:dyDescent="0.25">
      <c r="A1" t="s">
        <v>254</v>
      </c>
    </row>
    <row r="2" spans="1:3" x14ac:dyDescent="0.25">
      <c r="A2" t="s">
        <v>2893</v>
      </c>
    </row>
    <row r="3" spans="1:3" x14ac:dyDescent="0.25">
      <c r="A3" t="s">
        <v>2894</v>
      </c>
    </row>
    <row r="4" spans="1:3" x14ac:dyDescent="0.25">
      <c r="A4" t="s">
        <v>2895</v>
      </c>
    </row>
    <row r="5" spans="1:3" x14ac:dyDescent="0.25">
      <c r="B5" t="s">
        <v>2840</v>
      </c>
    </row>
    <row r="6" spans="1:3" x14ac:dyDescent="0.25">
      <c r="C6" t="s">
        <v>2896</v>
      </c>
    </row>
    <row r="7" spans="1:3" x14ac:dyDescent="0.25">
      <c r="B7" t="s">
        <v>2841</v>
      </c>
    </row>
    <row r="8" spans="1:3" x14ac:dyDescent="0.25">
      <c r="B8" t="s">
        <v>2897</v>
      </c>
    </row>
    <row r="9" spans="1:3" x14ac:dyDescent="0.25">
      <c r="B9" t="s">
        <v>2898</v>
      </c>
    </row>
    <row r="10" spans="1:3" x14ac:dyDescent="0.25">
      <c r="A10" t="s">
        <v>258</v>
      </c>
    </row>
    <row r="11" spans="1:3" x14ac:dyDescent="0.25">
      <c r="A11" t="s">
        <v>2842</v>
      </c>
    </row>
    <row r="12" spans="1:3" x14ac:dyDescent="0.25">
      <c r="A12" t="s">
        <v>2843</v>
      </c>
    </row>
    <row r="13" spans="1:3" x14ac:dyDescent="0.25">
      <c r="A13" t="s">
        <v>572</v>
      </c>
    </row>
    <row r="14" spans="1:3" x14ac:dyDescent="0.25">
      <c r="A14" t="s">
        <v>646</v>
      </c>
    </row>
    <row r="15" spans="1:3" x14ac:dyDescent="0.25">
      <c r="A15" t="s">
        <v>2844</v>
      </c>
    </row>
    <row r="16" spans="1:3" x14ac:dyDescent="0.25">
      <c r="A16" t="s">
        <v>533</v>
      </c>
    </row>
    <row r="17" spans="1:2" x14ac:dyDescent="0.25">
      <c r="A17" t="s">
        <v>534</v>
      </c>
    </row>
    <row r="18" spans="1:2" x14ac:dyDescent="0.25">
      <c r="B18" t="s">
        <v>2845</v>
      </c>
    </row>
    <row r="19" spans="1:2" x14ac:dyDescent="0.25">
      <c r="B19" t="s">
        <v>2846</v>
      </c>
    </row>
    <row r="20" spans="1:2" x14ac:dyDescent="0.25">
      <c r="A20" t="s">
        <v>2847</v>
      </c>
    </row>
    <row r="22" spans="1:2" x14ac:dyDescent="0.25">
      <c r="A22" t="s">
        <v>2848</v>
      </c>
    </row>
    <row r="23" spans="1:2" x14ac:dyDescent="0.25">
      <c r="A23" t="s">
        <v>572</v>
      </c>
    </row>
    <row r="24" spans="1:2" x14ac:dyDescent="0.25">
      <c r="A24" t="s">
        <v>2458</v>
      </c>
    </row>
    <row r="25" spans="1:2" x14ac:dyDescent="0.25">
      <c r="A25" t="s">
        <v>540</v>
      </c>
    </row>
    <row r="26" spans="1:2" x14ac:dyDescent="0.25">
      <c r="A26" t="s">
        <v>541</v>
      </c>
    </row>
    <row r="27" spans="1:2" x14ac:dyDescent="0.25">
      <c r="A27" t="s">
        <v>895</v>
      </c>
    </row>
    <row r="28" spans="1:2" x14ac:dyDescent="0.25">
      <c r="A28" t="s">
        <v>2849</v>
      </c>
    </row>
    <row r="29" spans="1:2" x14ac:dyDescent="0.25">
      <c r="A29" t="s">
        <v>842</v>
      </c>
    </row>
    <row r="30" spans="1:2" x14ac:dyDescent="0.25">
      <c r="A30" t="s">
        <v>2850</v>
      </c>
    </row>
    <row r="31" spans="1:2" x14ac:dyDescent="0.25">
      <c r="A31" t="s">
        <v>2851</v>
      </c>
    </row>
    <row r="32" spans="1:2" x14ac:dyDescent="0.25">
      <c r="A32" t="s">
        <v>2820</v>
      </c>
    </row>
    <row r="33" spans="1:2" x14ac:dyDescent="0.25">
      <c r="A33" t="s">
        <v>2821</v>
      </c>
    </row>
    <row r="34" spans="1:2" x14ac:dyDescent="0.25">
      <c r="A34" t="s">
        <v>897</v>
      </c>
    </row>
    <row r="35" spans="1:2" x14ac:dyDescent="0.25">
      <c r="A35" t="s">
        <v>2852</v>
      </c>
    </row>
    <row r="36" spans="1:2" x14ac:dyDescent="0.25">
      <c r="A36" t="s">
        <v>898</v>
      </c>
    </row>
    <row r="37" spans="1:2" x14ac:dyDescent="0.25">
      <c r="A37" t="s">
        <v>2853</v>
      </c>
    </row>
    <row r="38" spans="1:2" x14ac:dyDescent="0.25">
      <c r="A38" t="s">
        <v>2854</v>
      </c>
    </row>
    <row r="39" spans="1:2" x14ac:dyDescent="0.25">
      <c r="A39" t="s">
        <v>2855</v>
      </c>
    </row>
    <row r="40" spans="1:2" x14ac:dyDescent="0.25">
      <c r="A40" t="s">
        <v>2856</v>
      </c>
    </row>
    <row r="41" spans="1:2" x14ac:dyDescent="0.25">
      <c r="A41" t="s">
        <v>2857</v>
      </c>
    </row>
    <row r="42" spans="1:2" x14ac:dyDescent="0.25">
      <c r="A42" t="s">
        <v>2858</v>
      </c>
    </row>
    <row r="43" spans="1:2" x14ac:dyDescent="0.25">
      <c r="A43" t="s">
        <v>1542</v>
      </c>
    </row>
    <row r="44" spans="1:2" x14ac:dyDescent="0.25">
      <c r="B44" t="s">
        <v>1543</v>
      </c>
    </row>
    <row r="45" spans="1:2" x14ac:dyDescent="0.25">
      <c r="A45" t="s">
        <v>1106</v>
      </c>
    </row>
    <row r="46" spans="1:2" x14ac:dyDescent="0.25">
      <c r="A46" t="s">
        <v>697</v>
      </c>
    </row>
    <row r="47" spans="1:2" x14ac:dyDescent="0.25">
      <c r="B47" t="s">
        <v>794</v>
      </c>
    </row>
    <row r="48" spans="1:2" x14ac:dyDescent="0.25">
      <c r="B48" t="s">
        <v>1424</v>
      </c>
    </row>
    <row r="49" spans="1:3" x14ac:dyDescent="0.25">
      <c r="B49" t="s">
        <v>2859</v>
      </c>
    </row>
    <row r="50" spans="1:3" x14ac:dyDescent="0.25">
      <c r="A50" t="s">
        <v>2860</v>
      </c>
    </row>
    <row r="51" spans="1:3" x14ac:dyDescent="0.25">
      <c r="B51" t="s">
        <v>2861</v>
      </c>
    </row>
    <row r="52" spans="1:3" x14ac:dyDescent="0.25">
      <c r="A52" t="s">
        <v>939</v>
      </c>
    </row>
    <row r="53" spans="1:3" x14ac:dyDescent="0.25">
      <c r="A53" t="s">
        <v>697</v>
      </c>
    </row>
    <row r="54" spans="1:3" x14ac:dyDescent="0.25">
      <c r="B54" t="s">
        <v>572</v>
      </c>
    </row>
    <row r="55" spans="1:3" x14ac:dyDescent="0.25">
      <c r="B55" t="s">
        <v>1265</v>
      </c>
    </row>
    <row r="56" spans="1:3" x14ac:dyDescent="0.25">
      <c r="B56" t="s">
        <v>1009</v>
      </c>
    </row>
    <row r="57" spans="1:3" x14ac:dyDescent="0.25">
      <c r="B57" t="s">
        <v>2862</v>
      </c>
    </row>
    <row r="58" spans="1:3" x14ac:dyDescent="0.25">
      <c r="B58" t="s">
        <v>669</v>
      </c>
    </row>
    <row r="59" spans="1:3" x14ac:dyDescent="0.25">
      <c r="B59" t="s">
        <v>1268</v>
      </c>
    </row>
    <row r="60" spans="1:3" x14ac:dyDescent="0.25">
      <c r="C60" t="s">
        <v>1026</v>
      </c>
    </row>
    <row r="61" spans="1:3" x14ac:dyDescent="0.25">
      <c r="B61" t="s">
        <v>671</v>
      </c>
    </row>
    <row r="62" spans="1:3" x14ac:dyDescent="0.25">
      <c r="B62" t="s">
        <v>1265</v>
      </c>
    </row>
    <row r="63" spans="1:3" x14ac:dyDescent="0.25">
      <c r="B63" t="s">
        <v>1009</v>
      </c>
    </row>
    <row r="64" spans="1:3" x14ac:dyDescent="0.25">
      <c r="A64" t="s">
        <v>2863</v>
      </c>
    </row>
    <row r="65" spans="1:3" x14ac:dyDescent="0.25">
      <c r="B65" t="s">
        <v>2864</v>
      </c>
    </row>
    <row r="66" spans="1:3" x14ac:dyDescent="0.25">
      <c r="A66" t="s">
        <v>939</v>
      </c>
    </row>
    <row r="67" spans="1:3" x14ac:dyDescent="0.25">
      <c r="A67" t="s">
        <v>697</v>
      </c>
    </row>
    <row r="68" spans="1:3" x14ac:dyDescent="0.25">
      <c r="B68" t="s">
        <v>572</v>
      </c>
    </row>
    <row r="69" spans="1:3" x14ac:dyDescent="0.25">
      <c r="B69" t="s">
        <v>1265</v>
      </c>
    </row>
    <row r="70" spans="1:3" x14ac:dyDescent="0.25">
      <c r="B70" t="s">
        <v>2865</v>
      </c>
    </row>
    <row r="71" spans="1:3" x14ac:dyDescent="0.25">
      <c r="B71" t="s">
        <v>669</v>
      </c>
    </row>
    <row r="72" spans="1:3" x14ac:dyDescent="0.25">
      <c r="B72" t="s">
        <v>1268</v>
      </c>
    </row>
    <row r="73" spans="1:3" x14ac:dyDescent="0.25">
      <c r="C73" t="s">
        <v>1026</v>
      </c>
    </row>
    <row r="74" spans="1:3" x14ac:dyDescent="0.25">
      <c r="C74" t="s">
        <v>2866</v>
      </c>
    </row>
    <row r="75" spans="1:3" x14ac:dyDescent="0.25">
      <c r="B75" t="s">
        <v>671</v>
      </c>
    </row>
    <row r="76" spans="1:3" x14ac:dyDescent="0.25">
      <c r="B76" t="s">
        <v>1265</v>
      </c>
    </row>
    <row r="77" spans="1:3" x14ac:dyDescent="0.25">
      <c r="A77" t="s">
        <v>2867</v>
      </c>
    </row>
    <row r="78" spans="1:3" x14ac:dyDescent="0.25">
      <c r="B78" t="s">
        <v>2868</v>
      </c>
    </row>
    <row r="79" spans="1:3" x14ac:dyDescent="0.25">
      <c r="A79" t="s">
        <v>624</v>
      </c>
    </row>
    <row r="80" spans="1:3" x14ac:dyDescent="0.25">
      <c r="B80" t="s">
        <v>2869</v>
      </c>
    </row>
    <row r="81" spans="1:2" x14ac:dyDescent="0.25">
      <c r="A81" t="s">
        <v>2870</v>
      </c>
    </row>
    <row r="82" spans="1:2" x14ac:dyDescent="0.25">
      <c r="B82" t="s">
        <v>2871</v>
      </c>
    </row>
    <row r="83" spans="1:2" x14ac:dyDescent="0.25">
      <c r="B83" t="s">
        <v>698</v>
      </c>
    </row>
    <row r="84" spans="1:2" x14ac:dyDescent="0.25">
      <c r="A84" t="s">
        <v>2872</v>
      </c>
    </row>
    <row r="85" spans="1:2" x14ac:dyDescent="0.25">
      <c r="A85" t="s">
        <v>254</v>
      </c>
    </row>
    <row r="86" spans="1:2" x14ac:dyDescent="0.25">
      <c r="A86" t="s">
        <v>2899</v>
      </c>
    </row>
    <row r="87" spans="1:2" x14ac:dyDescent="0.25">
      <c r="A87" t="s">
        <v>572</v>
      </c>
    </row>
    <row r="88" spans="1:2" x14ac:dyDescent="0.25">
      <c r="A88" t="s">
        <v>1265</v>
      </c>
    </row>
    <row r="89" spans="1:2" x14ac:dyDescent="0.25">
      <c r="A89" t="s">
        <v>1205</v>
      </c>
    </row>
    <row r="90" spans="1:2" x14ac:dyDescent="0.25">
      <c r="A90" t="s">
        <v>1206</v>
      </c>
    </row>
    <row r="91" spans="1:2" x14ac:dyDescent="0.25">
      <c r="A91" t="s">
        <v>575</v>
      </c>
    </row>
    <row r="92" spans="1:2" x14ac:dyDescent="0.25">
      <c r="A92" t="s">
        <v>1009</v>
      </c>
    </row>
    <row r="93" spans="1:2" x14ac:dyDescent="0.25">
      <c r="A93" t="s">
        <v>2873</v>
      </c>
    </row>
    <row r="94" spans="1:2" x14ac:dyDescent="0.25">
      <c r="A94" t="s">
        <v>2874</v>
      </c>
    </row>
    <row r="95" spans="1:2" x14ac:dyDescent="0.25">
      <c r="A95" t="s">
        <v>1079</v>
      </c>
    </row>
    <row r="96" spans="1:2" x14ac:dyDescent="0.25">
      <c r="A96" t="s">
        <v>2875</v>
      </c>
    </row>
    <row r="97" spans="1:1" x14ac:dyDescent="0.25">
      <c r="A97" t="s">
        <v>2876</v>
      </c>
    </row>
    <row r="100" spans="1:1" x14ac:dyDescent="0.25">
      <c r="A100" t="s">
        <v>572</v>
      </c>
    </row>
    <row r="101" spans="1:1" x14ac:dyDescent="0.25">
      <c r="A101" t="s">
        <v>646</v>
      </c>
    </row>
    <row r="102" spans="1:1" x14ac:dyDescent="0.25">
      <c r="A102" t="s">
        <v>2875</v>
      </c>
    </row>
    <row r="103" spans="1:1" x14ac:dyDescent="0.25">
      <c r="A103" t="s">
        <v>2877</v>
      </c>
    </row>
    <row r="105" spans="1:1" x14ac:dyDescent="0.25">
      <c r="A105" t="s">
        <v>572</v>
      </c>
    </row>
    <row r="106" spans="1:1" x14ac:dyDescent="0.25">
      <c r="A106" t="s">
        <v>646</v>
      </c>
    </row>
    <row r="107" spans="1:1" x14ac:dyDescent="0.25">
      <c r="A107" t="s">
        <v>1081</v>
      </c>
    </row>
    <row r="108" spans="1:1" x14ac:dyDescent="0.25">
      <c r="A108" t="s">
        <v>2878</v>
      </c>
    </row>
    <row r="110" spans="1:1" x14ac:dyDescent="0.25">
      <c r="A110" t="s">
        <v>572</v>
      </c>
    </row>
    <row r="111" spans="1:1" x14ac:dyDescent="0.25">
      <c r="A111" t="s">
        <v>646</v>
      </c>
    </row>
    <row r="112" spans="1:1" x14ac:dyDescent="0.25">
      <c r="A112" t="s">
        <v>2879</v>
      </c>
    </row>
    <row r="113" spans="1:1" x14ac:dyDescent="0.25">
      <c r="A113" t="s">
        <v>2880</v>
      </c>
    </row>
    <row r="114" spans="1:1" x14ac:dyDescent="0.25">
      <c r="A114" t="s">
        <v>2881</v>
      </c>
    </row>
    <row r="115" spans="1:1" x14ac:dyDescent="0.25">
      <c r="A115" t="s">
        <v>258</v>
      </c>
    </row>
    <row r="117" spans="1:1" x14ac:dyDescent="0.25">
      <c r="A117" t="s">
        <v>2900</v>
      </c>
    </row>
    <row r="118" spans="1:1" x14ac:dyDescent="0.25">
      <c r="A118" t="s">
        <v>572</v>
      </c>
    </row>
    <row r="119" spans="1:1" x14ac:dyDescent="0.25">
      <c r="A119" t="s">
        <v>2458</v>
      </c>
    </row>
    <row r="120" spans="1:1" x14ac:dyDescent="0.25">
      <c r="A120" t="s">
        <v>540</v>
      </c>
    </row>
    <row r="121" spans="1:1" x14ac:dyDescent="0.25">
      <c r="A121" t="s">
        <v>541</v>
      </c>
    </row>
    <row r="122" spans="1:1" x14ac:dyDescent="0.25">
      <c r="A122" t="s">
        <v>895</v>
      </c>
    </row>
    <row r="123" spans="1:1" x14ac:dyDescent="0.25">
      <c r="A123" t="s">
        <v>2459</v>
      </c>
    </row>
    <row r="124" spans="1:1" x14ac:dyDescent="0.25">
      <c r="A124" t="s">
        <v>2850</v>
      </c>
    </row>
    <row r="125" spans="1:1" x14ac:dyDescent="0.25">
      <c r="A125" t="s">
        <v>2462</v>
      </c>
    </row>
    <row r="126" spans="1:1" x14ac:dyDescent="0.25">
      <c r="A126" t="s">
        <v>2463</v>
      </c>
    </row>
    <row r="127" spans="1:1" x14ac:dyDescent="0.25">
      <c r="A127" t="s">
        <v>2882</v>
      </c>
    </row>
    <row r="128" spans="1:1" x14ac:dyDescent="0.25">
      <c r="A128" t="s">
        <v>899</v>
      </c>
    </row>
    <row r="129" spans="1:2" x14ac:dyDescent="0.25">
      <c r="A129" t="s">
        <v>576</v>
      </c>
    </row>
    <row r="130" spans="1:2" x14ac:dyDescent="0.25">
      <c r="A130" t="s">
        <v>619</v>
      </c>
    </row>
    <row r="131" spans="1:2" x14ac:dyDescent="0.25">
      <c r="B131" t="s">
        <v>2464</v>
      </c>
    </row>
    <row r="132" spans="1:2" x14ac:dyDescent="0.25">
      <c r="A132" t="s">
        <v>2883</v>
      </c>
    </row>
    <row r="133" spans="1:2" x14ac:dyDescent="0.25">
      <c r="B133" t="s">
        <v>2884</v>
      </c>
    </row>
    <row r="134" spans="1:2" x14ac:dyDescent="0.25">
      <c r="B134" t="s">
        <v>2885</v>
      </c>
    </row>
    <row r="135" spans="1:2" x14ac:dyDescent="0.25">
      <c r="B135" t="s">
        <v>2886</v>
      </c>
    </row>
    <row r="136" spans="1:2" x14ac:dyDescent="0.25">
      <c r="B136" t="s">
        <v>2887</v>
      </c>
    </row>
    <row r="137" spans="1:2" x14ac:dyDescent="0.25">
      <c r="B137" t="s">
        <v>2888</v>
      </c>
    </row>
    <row r="138" spans="1:2" x14ac:dyDescent="0.25">
      <c r="B138" t="s">
        <v>2889</v>
      </c>
    </row>
    <row r="139" spans="1:2" x14ac:dyDescent="0.25">
      <c r="B139" t="s">
        <v>2890</v>
      </c>
    </row>
    <row r="140" spans="1:2" x14ac:dyDescent="0.25">
      <c r="B140" t="s">
        <v>2891</v>
      </c>
    </row>
    <row r="141" spans="1:2" x14ac:dyDescent="0.25">
      <c r="A141" t="s">
        <v>2892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3"/>
  <sheetViews>
    <sheetView workbookViewId="0"/>
  </sheetViews>
  <sheetFormatPr defaultRowHeight="15" x14ac:dyDescent="0.25"/>
  <sheetData>
    <row r="1" spans="1:1" x14ac:dyDescent="0.25">
      <c r="A1" t="s">
        <v>794</v>
      </c>
    </row>
    <row r="2" spans="1:1" x14ac:dyDescent="0.25">
      <c r="A2" t="s">
        <v>908</v>
      </c>
    </row>
    <row r="3" spans="1:1" x14ac:dyDescent="0.25">
      <c r="A3" t="s">
        <v>3245</v>
      </c>
    </row>
    <row r="5" spans="1:1" x14ac:dyDescent="0.25">
      <c r="A5" t="s">
        <v>572</v>
      </c>
    </row>
    <row r="6" spans="1:1" x14ac:dyDescent="0.25">
      <c r="A6" t="s">
        <v>3246</v>
      </c>
    </row>
    <row r="7" spans="1:1" x14ac:dyDescent="0.25">
      <c r="A7" t="s">
        <v>3247</v>
      </c>
    </row>
    <row r="8" spans="1:1" x14ac:dyDescent="0.25">
      <c r="A8" t="s">
        <v>3248</v>
      </c>
    </row>
    <row r="9" spans="1:1" x14ac:dyDescent="0.25">
      <c r="A9" t="s">
        <v>3249</v>
      </c>
    </row>
    <row r="10" spans="1:1" x14ac:dyDescent="0.25">
      <c r="A10" t="s">
        <v>1832</v>
      </c>
    </row>
    <row r="11" spans="1:1" x14ac:dyDescent="0.25">
      <c r="A11" t="s">
        <v>1015</v>
      </c>
    </row>
    <row r="12" spans="1:1" x14ac:dyDescent="0.25">
      <c r="A12" t="s">
        <v>575</v>
      </c>
    </row>
    <row r="13" spans="1:1" x14ac:dyDescent="0.25">
      <c r="A13" t="s">
        <v>3250</v>
      </c>
    </row>
    <row r="14" spans="1:1" x14ac:dyDescent="0.25">
      <c r="A14" t="s">
        <v>3251</v>
      </c>
    </row>
    <row r="15" spans="1:1" x14ac:dyDescent="0.25">
      <c r="A15" t="s">
        <v>3252</v>
      </c>
    </row>
    <row r="16" spans="1:1" x14ac:dyDescent="0.25">
      <c r="A16" t="s">
        <v>792</v>
      </c>
    </row>
    <row r="17" spans="1:2" x14ac:dyDescent="0.25">
      <c r="A17" t="s">
        <v>3253</v>
      </c>
    </row>
    <row r="18" spans="1:2" x14ac:dyDescent="0.25">
      <c r="A18" t="s">
        <v>1189</v>
      </c>
    </row>
    <row r="20" spans="1:2" x14ac:dyDescent="0.25">
      <c r="A20" t="s">
        <v>572</v>
      </c>
    </row>
    <row r="21" spans="1:2" x14ac:dyDescent="0.25">
      <c r="A21" t="s">
        <v>3254</v>
      </c>
    </row>
    <row r="22" spans="1:2" x14ac:dyDescent="0.25">
      <c r="A22" t="s">
        <v>2674</v>
      </c>
    </row>
    <row r="23" spans="1:2" x14ac:dyDescent="0.25">
      <c r="A23" t="s">
        <v>589</v>
      </c>
    </row>
    <row r="24" spans="1:2" x14ac:dyDescent="0.25">
      <c r="A24" t="s">
        <v>3255</v>
      </c>
    </row>
    <row r="25" spans="1:2" x14ac:dyDescent="0.25">
      <c r="A25" t="s">
        <v>921</v>
      </c>
    </row>
    <row r="26" spans="1:2" x14ac:dyDescent="0.25">
      <c r="A26" t="s">
        <v>2675</v>
      </c>
    </row>
    <row r="27" spans="1:2" x14ac:dyDescent="0.25">
      <c r="B27" t="s">
        <v>2676</v>
      </c>
    </row>
    <row r="28" spans="1:2" x14ac:dyDescent="0.25">
      <c r="A28" t="s">
        <v>600</v>
      </c>
    </row>
    <row r="29" spans="1:2" x14ac:dyDescent="0.25">
      <c r="B29" t="s">
        <v>601</v>
      </c>
    </row>
    <row r="30" spans="1:2" x14ac:dyDescent="0.25">
      <c r="A30" t="s">
        <v>3256</v>
      </c>
    </row>
    <row r="32" spans="1:2" x14ac:dyDescent="0.25">
      <c r="A32" t="s">
        <v>3257</v>
      </c>
    </row>
    <row r="34" spans="1:2" x14ac:dyDescent="0.25">
      <c r="A34" t="s">
        <v>3258</v>
      </c>
    </row>
    <row r="35" spans="1:2" x14ac:dyDescent="0.25">
      <c r="A35" t="s">
        <v>3259</v>
      </c>
    </row>
    <row r="37" spans="1:2" x14ac:dyDescent="0.25">
      <c r="A37" t="s">
        <v>572</v>
      </c>
    </row>
    <row r="38" spans="1:2" x14ac:dyDescent="0.25">
      <c r="A38" t="s">
        <v>646</v>
      </c>
    </row>
    <row r="39" spans="1:2" x14ac:dyDescent="0.25">
      <c r="A39" t="s">
        <v>1350</v>
      </c>
    </row>
    <row r="40" spans="1:2" x14ac:dyDescent="0.25">
      <c r="A40" t="s">
        <v>3260</v>
      </c>
    </row>
    <row r="41" spans="1:2" x14ac:dyDescent="0.25">
      <c r="A41" t="s">
        <v>1189</v>
      </c>
    </row>
    <row r="43" spans="1:2" x14ac:dyDescent="0.25">
      <c r="A43" t="s">
        <v>572</v>
      </c>
    </row>
    <row r="44" spans="1:2" x14ac:dyDescent="0.25">
      <c r="A44" t="s">
        <v>646</v>
      </c>
    </row>
    <row r="45" spans="1:2" x14ac:dyDescent="0.25">
      <c r="A45" t="e">
        <f>--FROM registration</f>
        <v>#NAME?</v>
      </c>
    </row>
    <row r="46" spans="1:2" x14ac:dyDescent="0.25">
      <c r="A46" t="s">
        <v>3261</v>
      </c>
    </row>
    <row r="47" spans="1:2" x14ac:dyDescent="0.25">
      <c r="A47" t="s">
        <v>2523</v>
      </c>
    </row>
    <row r="48" spans="1:2" x14ac:dyDescent="0.25">
      <c r="B48" t="s">
        <v>3262</v>
      </c>
    </row>
    <row r="49" spans="1:2" x14ac:dyDescent="0.25">
      <c r="B49" t="s">
        <v>908</v>
      </c>
    </row>
    <row r="50" spans="1:2" x14ac:dyDescent="0.25">
      <c r="B50" t="s">
        <v>3263</v>
      </c>
    </row>
    <row r="51" spans="1:2" x14ac:dyDescent="0.25">
      <c r="B51" t="s">
        <v>698</v>
      </c>
    </row>
    <row r="52" spans="1:2" x14ac:dyDescent="0.25">
      <c r="A52" t="s">
        <v>3264</v>
      </c>
    </row>
    <row r="54" spans="1:2" x14ac:dyDescent="0.25">
      <c r="A54" t="s">
        <v>572</v>
      </c>
    </row>
    <row r="55" spans="1:2" x14ac:dyDescent="0.25">
      <c r="A55" t="s">
        <v>1956</v>
      </c>
    </row>
    <row r="56" spans="1:2" x14ac:dyDescent="0.25">
      <c r="A56" t="s">
        <v>1650</v>
      </c>
    </row>
    <row r="57" spans="1:2" x14ac:dyDescent="0.25">
      <c r="A57" t="s">
        <v>455</v>
      </c>
    </row>
    <row r="58" spans="1:2" x14ac:dyDescent="0.25">
      <c r="A58" t="s">
        <v>1376</v>
      </c>
    </row>
    <row r="59" spans="1:2" x14ac:dyDescent="0.25">
      <c r="B59" t="s">
        <v>3265</v>
      </c>
    </row>
    <row r="60" spans="1:2" x14ac:dyDescent="0.25">
      <c r="A60" t="s">
        <v>3266</v>
      </c>
    </row>
    <row r="61" spans="1:2" x14ac:dyDescent="0.25">
      <c r="B61" t="s">
        <v>3262</v>
      </c>
    </row>
    <row r="62" spans="1:2" x14ac:dyDescent="0.25">
      <c r="B62" t="s">
        <v>908</v>
      </c>
    </row>
    <row r="63" spans="1:2" x14ac:dyDescent="0.25">
      <c r="B63" t="s">
        <v>3263</v>
      </c>
    </row>
    <row r="64" spans="1:2" x14ac:dyDescent="0.25">
      <c r="B64" t="s">
        <v>698</v>
      </c>
    </row>
    <row r="65" spans="1:2" x14ac:dyDescent="0.25">
      <c r="A65" t="s">
        <v>3267</v>
      </c>
    </row>
    <row r="67" spans="1:2" x14ac:dyDescent="0.25">
      <c r="A67" t="s">
        <v>572</v>
      </c>
    </row>
    <row r="68" spans="1:2" x14ac:dyDescent="0.25">
      <c r="A68" t="s">
        <v>1956</v>
      </c>
    </row>
    <row r="69" spans="1:2" x14ac:dyDescent="0.25">
      <c r="A69" t="s">
        <v>2179</v>
      </c>
    </row>
    <row r="70" spans="1:2" x14ac:dyDescent="0.25">
      <c r="A70" t="s">
        <v>1662</v>
      </c>
    </row>
    <row r="71" spans="1:2" x14ac:dyDescent="0.25">
      <c r="A71" t="s">
        <v>1376</v>
      </c>
    </row>
    <row r="72" spans="1:2" x14ac:dyDescent="0.25">
      <c r="B72" t="s">
        <v>3268</v>
      </c>
    </row>
    <row r="73" spans="1:2" x14ac:dyDescent="0.25">
      <c r="A73" t="s">
        <v>2523</v>
      </c>
    </row>
    <row r="74" spans="1:2" x14ac:dyDescent="0.25">
      <c r="B74" t="s">
        <v>3262</v>
      </c>
    </row>
    <row r="75" spans="1:2" x14ac:dyDescent="0.25">
      <c r="B75" t="s">
        <v>908</v>
      </c>
    </row>
    <row r="76" spans="1:2" x14ac:dyDescent="0.25">
      <c r="B76" t="s">
        <v>3263</v>
      </c>
    </row>
    <row r="77" spans="1:2" x14ac:dyDescent="0.25">
      <c r="B77" t="s">
        <v>698</v>
      </c>
    </row>
    <row r="78" spans="1:2" x14ac:dyDescent="0.25">
      <c r="A78" t="s">
        <v>3269</v>
      </c>
    </row>
    <row r="80" spans="1:2" x14ac:dyDescent="0.25">
      <c r="A80" t="s">
        <v>572</v>
      </c>
    </row>
    <row r="81" spans="1:2" x14ac:dyDescent="0.25">
      <c r="A81" t="s">
        <v>3231</v>
      </c>
    </row>
    <row r="82" spans="1:2" x14ac:dyDescent="0.25">
      <c r="A82" t="s">
        <v>3270</v>
      </c>
    </row>
    <row r="83" spans="1:2" x14ac:dyDescent="0.25">
      <c r="A83" t="s">
        <v>3271</v>
      </c>
    </row>
    <row r="84" spans="1:2" x14ac:dyDescent="0.25">
      <c r="A84" t="s">
        <v>1656</v>
      </c>
    </row>
    <row r="85" spans="1:2" x14ac:dyDescent="0.25">
      <c r="A85" t="s">
        <v>3272</v>
      </c>
    </row>
    <row r="86" spans="1:2" x14ac:dyDescent="0.25">
      <c r="A86" t="s">
        <v>575</v>
      </c>
    </row>
    <row r="87" spans="1:2" x14ac:dyDescent="0.25">
      <c r="A87" t="s">
        <v>3273</v>
      </c>
    </row>
    <row r="88" spans="1:2" x14ac:dyDescent="0.25">
      <c r="A88" t="s">
        <v>3274</v>
      </c>
    </row>
    <row r="89" spans="1:2" x14ac:dyDescent="0.25">
      <c r="A89" t="s">
        <v>3275</v>
      </c>
    </row>
    <row r="90" spans="1:2" x14ac:dyDescent="0.25">
      <c r="A90" t="s">
        <v>3276</v>
      </c>
    </row>
    <row r="91" spans="1:2" x14ac:dyDescent="0.25">
      <c r="A91" t="s">
        <v>1371</v>
      </c>
    </row>
    <row r="92" spans="1:2" x14ac:dyDescent="0.25">
      <c r="A92" t="s">
        <v>1822</v>
      </c>
    </row>
    <row r="93" spans="1:2" x14ac:dyDescent="0.25">
      <c r="A93" t="s">
        <v>1376</v>
      </c>
    </row>
    <row r="94" spans="1:2" x14ac:dyDescent="0.25">
      <c r="B94" t="s">
        <v>3277</v>
      </c>
    </row>
    <row r="95" spans="1:2" x14ac:dyDescent="0.25">
      <c r="A95" t="s">
        <v>3278</v>
      </c>
    </row>
    <row r="96" spans="1:2" x14ac:dyDescent="0.25">
      <c r="A96" t="s">
        <v>3279</v>
      </c>
    </row>
    <row r="98" spans="1:1" x14ac:dyDescent="0.25">
      <c r="A98" t="s">
        <v>3280</v>
      </c>
    </row>
    <row r="100" spans="1:1" x14ac:dyDescent="0.25">
      <c r="A100" t="e">
        <f>-- Khan: is current process putting term date on new registration affiliation?</f>
        <v>#NAME?</v>
      </c>
    </row>
    <row r="104" spans="1:1" x14ac:dyDescent="0.25">
      <c r="A104" t="s">
        <v>3281</v>
      </c>
    </row>
    <row r="105" spans="1:1" x14ac:dyDescent="0.25">
      <c r="A105" t="s">
        <v>3282</v>
      </c>
    </row>
    <row r="107" spans="1:1" x14ac:dyDescent="0.25">
      <c r="A107" t="s">
        <v>254</v>
      </c>
    </row>
    <row r="108" spans="1:1" x14ac:dyDescent="0.25">
      <c r="A108" t="s">
        <v>794</v>
      </c>
    </row>
    <row r="109" spans="1:1" x14ac:dyDescent="0.25">
      <c r="A109" t="s">
        <v>3136</v>
      </c>
    </row>
    <row r="110" spans="1:1" x14ac:dyDescent="0.25">
      <c r="A110" t="s">
        <v>3283</v>
      </c>
    </row>
    <row r="111" spans="1:1" x14ac:dyDescent="0.25">
      <c r="A111" t="s">
        <v>3284</v>
      </c>
    </row>
    <row r="112" spans="1:1" x14ac:dyDescent="0.25">
      <c r="A112" t="s">
        <v>3285</v>
      </c>
    </row>
    <row r="113" spans="1:1" x14ac:dyDescent="0.25">
      <c r="A113" t="s">
        <v>3286</v>
      </c>
    </row>
    <row r="114" spans="1:1" x14ac:dyDescent="0.25">
      <c r="A114" t="s">
        <v>3287</v>
      </c>
    </row>
    <row r="115" spans="1:1" x14ac:dyDescent="0.25">
      <c r="A115" t="s">
        <v>258</v>
      </c>
    </row>
    <row r="117" spans="1:1" x14ac:dyDescent="0.25">
      <c r="A117" t="s">
        <v>3288</v>
      </c>
    </row>
    <row r="119" spans="1:1" x14ac:dyDescent="0.25">
      <c r="A119" t="s">
        <v>254</v>
      </c>
    </row>
    <row r="120" spans="1:1" x14ac:dyDescent="0.25">
      <c r="A120" t="s">
        <v>3289</v>
      </c>
    </row>
    <row r="121" spans="1:1" x14ac:dyDescent="0.25">
      <c r="A121" t="s">
        <v>3290</v>
      </c>
    </row>
    <row r="122" spans="1:1" x14ac:dyDescent="0.25">
      <c r="A122" t="s">
        <v>258</v>
      </c>
    </row>
    <row r="125" spans="1:1" x14ac:dyDescent="0.25">
      <c r="A125" t="s">
        <v>1303</v>
      </c>
    </row>
    <row r="126" spans="1:1" x14ac:dyDescent="0.25">
      <c r="A126" t="s">
        <v>584</v>
      </c>
    </row>
    <row r="127" spans="1:1" x14ac:dyDescent="0.25">
      <c r="A127" t="s">
        <v>1420</v>
      </c>
    </row>
    <row r="128" spans="1:1" x14ac:dyDescent="0.25">
      <c r="A128" t="s">
        <v>637</v>
      </c>
    </row>
    <row r="129" spans="1:2" x14ac:dyDescent="0.25">
      <c r="A129" t="s">
        <v>636</v>
      </c>
    </row>
    <row r="130" spans="1:2" x14ac:dyDescent="0.25">
      <c r="A130" t="s">
        <v>1371</v>
      </c>
    </row>
    <row r="131" spans="1:2" x14ac:dyDescent="0.25">
      <c r="A131" t="s">
        <v>3291</v>
      </c>
    </row>
    <row r="132" spans="1:2" x14ac:dyDescent="0.25">
      <c r="A132" t="s">
        <v>1370</v>
      </c>
    </row>
    <row r="133" spans="1:2" x14ac:dyDescent="0.25">
      <c r="A133" t="s">
        <v>1650</v>
      </c>
    </row>
    <row r="134" spans="1:2" x14ac:dyDescent="0.25">
      <c r="A134" t="s">
        <v>593</v>
      </c>
    </row>
    <row r="135" spans="1:2" x14ac:dyDescent="0.25">
      <c r="A135" t="s">
        <v>815</v>
      </c>
    </row>
    <row r="136" spans="1:2" x14ac:dyDescent="0.25">
      <c r="B136" t="s">
        <v>597</v>
      </c>
    </row>
    <row r="137" spans="1:2" x14ac:dyDescent="0.25">
      <c r="A137" t="s">
        <v>706</v>
      </c>
    </row>
    <row r="138" spans="1:2" x14ac:dyDescent="0.25">
      <c r="A138" t="s">
        <v>697</v>
      </c>
    </row>
    <row r="139" spans="1:2" x14ac:dyDescent="0.25">
      <c r="B139" t="s">
        <v>572</v>
      </c>
    </row>
    <row r="140" spans="1:2" x14ac:dyDescent="0.25">
      <c r="B140" t="s">
        <v>3231</v>
      </c>
    </row>
    <row r="141" spans="1:2" x14ac:dyDescent="0.25">
      <c r="B141" t="s">
        <v>665</v>
      </c>
    </row>
    <row r="142" spans="1:2" x14ac:dyDescent="0.25">
      <c r="B142" t="s">
        <v>3292</v>
      </c>
    </row>
    <row r="143" spans="1:2" x14ac:dyDescent="0.25">
      <c r="B143" t="s">
        <v>671</v>
      </c>
    </row>
    <row r="144" spans="1:2" x14ac:dyDescent="0.25">
      <c r="B144" t="s">
        <v>3231</v>
      </c>
    </row>
    <row r="145" spans="1:3" x14ac:dyDescent="0.25">
      <c r="B145" t="s">
        <v>3293</v>
      </c>
    </row>
    <row r="146" spans="1:3" x14ac:dyDescent="0.25">
      <c r="A146" t="s">
        <v>3294</v>
      </c>
    </row>
    <row r="147" spans="1:3" x14ac:dyDescent="0.25">
      <c r="B147" t="s">
        <v>3295</v>
      </c>
    </row>
    <row r="148" spans="1:3" x14ac:dyDescent="0.25">
      <c r="A148" t="s">
        <v>706</v>
      </c>
    </row>
    <row r="149" spans="1:3" x14ac:dyDescent="0.25">
      <c r="A149" t="s">
        <v>697</v>
      </c>
    </row>
    <row r="150" spans="1:3" x14ac:dyDescent="0.25">
      <c r="B150" t="s">
        <v>572</v>
      </c>
    </row>
    <row r="151" spans="1:3" x14ac:dyDescent="0.25">
      <c r="B151" t="s">
        <v>3231</v>
      </c>
    </row>
    <row r="152" spans="1:3" x14ac:dyDescent="0.25">
      <c r="B152" t="s">
        <v>665</v>
      </c>
    </row>
    <row r="153" spans="1:3" x14ac:dyDescent="0.25">
      <c r="B153" t="s">
        <v>3292</v>
      </c>
    </row>
    <row r="154" spans="1:3" x14ac:dyDescent="0.25">
      <c r="B154" t="s">
        <v>3296</v>
      </c>
    </row>
    <row r="155" spans="1:3" x14ac:dyDescent="0.25">
      <c r="C155" t="s">
        <v>3297</v>
      </c>
    </row>
    <row r="156" spans="1:3" x14ac:dyDescent="0.25">
      <c r="B156" t="s">
        <v>671</v>
      </c>
    </row>
    <row r="157" spans="1:3" x14ac:dyDescent="0.25">
      <c r="B157" t="s">
        <v>3231</v>
      </c>
    </row>
    <row r="158" spans="1:3" x14ac:dyDescent="0.25">
      <c r="B158" t="s">
        <v>3298</v>
      </c>
    </row>
    <row r="159" spans="1:3" x14ac:dyDescent="0.25">
      <c r="A159" t="s">
        <v>3299</v>
      </c>
    </row>
    <row r="160" spans="1:3" x14ac:dyDescent="0.25">
      <c r="B160" t="s">
        <v>3300</v>
      </c>
    </row>
    <row r="161" spans="1:2" x14ac:dyDescent="0.25">
      <c r="A161" t="s">
        <v>1663</v>
      </c>
    </row>
    <row r="162" spans="1:2" x14ac:dyDescent="0.25">
      <c r="B162" t="s">
        <v>3301</v>
      </c>
    </row>
    <row r="163" spans="1:2" x14ac:dyDescent="0.25">
      <c r="A163" t="s">
        <v>1376</v>
      </c>
    </row>
    <row r="164" spans="1:2" x14ac:dyDescent="0.25">
      <c r="B164" t="s">
        <v>3302</v>
      </c>
    </row>
    <row r="165" spans="1:2" x14ac:dyDescent="0.25">
      <c r="A165" t="s">
        <v>3303</v>
      </c>
    </row>
    <row r="166" spans="1:2" x14ac:dyDescent="0.25">
      <c r="B166" t="s">
        <v>3304</v>
      </c>
    </row>
    <row r="167" spans="1:2" x14ac:dyDescent="0.25">
      <c r="A167" t="s">
        <v>696</v>
      </c>
    </row>
    <row r="168" spans="1:2" x14ac:dyDescent="0.25">
      <c r="A168" t="s">
        <v>697</v>
      </c>
    </row>
    <row r="169" spans="1:2" x14ac:dyDescent="0.25">
      <c r="B169" t="s">
        <v>572</v>
      </c>
    </row>
    <row r="170" spans="1:2" x14ac:dyDescent="0.25">
      <c r="B170" t="s">
        <v>384</v>
      </c>
    </row>
    <row r="171" spans="1:2" x14ac:dyDescent="0.25">
      <c r="B171" t="s">
        <v>3305</v>
      </c>
    </row>
    <row r="172" spans="1:2" x14ac:dyDescent="0.25">
      <c r="B172" t="s">
        <v>908</v>
      </c>
    </row>
    <row r="173" spans="1:2" x14ac:dyDescent="0.25">
      <c r="B173" t="s">
        <v>671</v>
      </c>
    </row>
    <row r="174" spans="1:2" x14ac:dyDescent="0.25">
      <c r="B174" t="s">
        <v>384</v>
      </c>
    </row>
    <row r="175" spans="1:2" x14ac:dyDescent="0.25">
      <c r="A175" t="s">
        <v>3306</v>
      </c>
    </row>
    <row r="176" spans="1:2" x14ac:dyDescent="0.25">
      <c r="B176" t="s">
        <v>3307</v>
      </c>
    </row>
    <row r="177" spans="1:9" x14ac:dyDescent="0.25">
      <c r="A177" t="s">
        <v>594</v>
      </c>
    </row>
    <row r="178" spans="1:9" x14ac:dyDescent="0.25">
      <c r="B178" t="s">
        <v>3308</v>
      </c>
    </row>
    <row r="179" spans="1:9" x14ac:dyDescent="0.25">
      <c r="A179" t="s">
        <v>3309</v>
      </c>
    </row>
    <row r="180" spans="1:9" x14ac:dyDescent="0.25">
      <c r="A180" t="s">
        <v>3310</v>
      </c>
    </row>
    <row r="182" spans="1:9" x14ac:dyDescent="0.25">
      <c r="A182" t="s">
        <v>3311</v>
      </c>
    </row>
    <row r="184" spans="1:9" x14ac:dyDescent="0.25">
      <c r="A184" t="s">
        <v>254</v>
      </c>
    </row>
    <row r="186" spans="1:9" x14ac:dyDescent="0.25">
      <c r="A186" t="s">
        <v>3231</v>
      </c>
      <c r="B186" t="s">
        <v>384</v>
      </c>
      <c r="C186" t="s">
        <v>3312</v>
      </c>
      <c r="E186" t="s">
        <v>1455</v>
      </c>
      <c r="H186" t="s">
        <v>3313</v>
      </c>
      <c r="I186" t="s">
        <v>3314</v>
      </c>
    </row>
    <row r="187" spans="1:9" x14ac:dyDescent="0.25">
      <c r="A187">
        <v>8525</v>
      </c>
      <c r="B187">
        <v>127196</v>
      </c>
      <c r="D187">
        <v>463611049</v>
      </c>
      <c r="E187">
        <v>1063848968</v>
      </c>
      <c r="F187" t="s">
        <v>3315</v>
      </c>
      <c r="H187" t="s">
        <v>3316</v>
      </c>
    </row>
    <row r="188" spans="1:9" x14ac:dyDescent="0.25">
      <c r="A188" t="s">
        <v>3317</v>
      </c>
    </row>
    <row r="189" spans="1:9" x14ac:dyDescent="0.25">
      <c r="A189" t="s">
        <v>3317</v>
      </c>
    </row>
    <row r="190" spans="1:9" x14ac:dyDescent="0.25">
      <c r="A190" t="s">
        <v>3318</v>
      </c>
    </row>
    <row r="191" spans="1:9" x14ac:dyDescent="0.25">
      <c r="A191" t="s">
        <v>3319</v>
      </c>
    </row>
    <row r="194" spans="1:1" x14ac:dyDescent="0.25">
      <c r="A194" t="s">
        <v>258</v>
      </c>
    </row>
    <row r="196" spans="1:1" x14ac:dyDescent="0.25">
      <c r="A196" t="s">
        <v>794</v>
      </c>
    </row>
    <row r="197" spans="1:1" x14ac:dyDescent="0.25">
      <c r="A197" t="s">
        <v>3320</v>
      </c>
    </row>
    <row r="198" spans="1:1" x14ac:dyDescent="0.25">
      <c r="A198" t="s">
        <v>3321</v>
      </c>
    </row>
    <row r="199" spans="1:1" x14ac:dyDescent="0.25">
      <c r="A199" t="s">
        <v>1120</v>
      </c>
    </row>
    <row r="201" spans="1:1" x14ac:dyDescent="0.25">
      <c r="A201" t="s">
        <v>244</v>
      </c>
    </row>
    <row r="202" spans="1:1" x14ac:dyDescent="0.25">
      <c r="A202" t="s">
        <v>1183</v>
      </c>
    </row>
    <row r="203" spans="1:1" x14ac:dyDescent="0.25">
      <c r="A203" t="s">
        <v>3322</v>
      </c>
    </row>
    <row r="204" spans="1:1" x14ac:dyDescent="0.25">
      <c r="A204" t="s">
        <v>1120</v>
      </c>
    </row>
    <row r="206" spans="1:1" x14ac:dyDescent="0.25">
      <c r="A206" t="e">
        <f>-- needs to clear out medicaid Id</f>
        <v>#NAME?</v>
      </c>
    </row>
    <row r="207" spans="1:1" x14ac:dyDescent="0.25">
      <c r="A207" t="e">
        <f>-- needs to clear out effective date</f>
        <v>#NAME?</v>
      </c>
    </row>
    <row r="209" spans="1:2" x14ac:dyDescent="0.25">
      <c r="A209" t="s">
        <v>572</v>
      </c>
    </row>
    <row r="210" spans="1:2" x14ac:dyDescent="0.25">
      <c r="A210" t="s">
        <v>3231</v>
      </c>
    </row>
    <row r="211" spans="1:2" x14ac:dyDescent="0.25">
      <c r="A211" t="s">
        <v>3270</v>
      </c>
    </row>
    <row r="212" spans="1:2" x14ac:dyDescent="0.25">
      <c r="A212" t="s">
        <v>3271</v>
      </c>
    </row>
    <row r="213" spans="1:2" x14ac:dyDescent="0.25">
      <c r="A213" t="s">
        <v>1656</v>
      </c>
    </row>
    <row r="214" spans="1:2" x14ac:dyDescent="0.25">
      <c r="A214" t="s">
        <v>3272</v>
      </c>
    </row>
    <row r="215" spans="1:2" x14ac:dyDescent="0.25">
      <c r="A215" t="s">
        <v>575</v>
      </c>
    </row>
    <row r="216" spans="1:2" x14ac:dyDescent="0.25">
      <c r="A216" t="s">
        <v>3273</v>
      </c>
    </row>
    <row r="217" spans="1:2" x14ac:dyDescent="0.25">
      <c r="A217" t="s">
        <v>3274</v>
      </c>
    </row>
    <row r="218" spans="1:2" x14ac:dyDescent="0.25">
      <c r="A218" t="s">
        <v>3275</v>
      </c>
    </row>
    <row r="219" spans="1:2" x14ac:dyDescent="0.25">
      <c r="A219" t="s">
        <v>3276</v>
      </c>
    </row>
    <row r="220" spans="1:2" x14ac:dyDescent="0.25">
      <c r="A220" t="s">
        <v>1371</v>
      </c>
    </row>
    <row r="221" spans="1:2" x14ac:dyDescent="0.25">
      <c r="A221" t="s">
        <v>1822</v>
      </c>
    </row>
    <row r="222" spans="1:2" x14ac:dyDescent="0.25">
      <c r="A222" t="s">
        <v>1376</v>
      </c>
    </row>
    <row r="223" spans="1:2" x14ac:dyDescent="0.25">
      <c r="B223" t="s">
        <v>3277</v>
      </c>
    </row>
    <row r="224" spans="1:2" x14ac:dyDescent="0.25">
      <c r="A224" t="s">
        <v>624</v>
      </c>
    </row>
    <row r="225" spans="1:3" x14ac:dyDescent="0.25">
      <c r="B225" t="s">
        <v>3323</v>
      </c>
    </row>
    <row r="226" spans="1:3" x14ac:dyDescent="0.25">
      <c r="A226" t="s">
        <v>3324</v>
      </c>
    </row>
    <row r="227" spans="1:3" x14ac:dyDescent="0.25">
      <c r="A227" t="s">
        <v>3279</v>
      </c>
    </row>
    <row r="229" spans="1:3" x14ac:dyDescent="0.25">
      <c r="A229" t="e">
        <f>-- start</f>
        <v>#NAME?</v>
      </c>
    </row>
    <row r="230" spans="1:3" x14ac:dyDescent="0.25">
      <c r="A230" t="s">
        <v>247</v>
      </c>
      <c r="C230" t="s">
        <v>3325</v>
      </c>
    </row>
    <row r="231" spans="1:3" x14ac:dyDescent="0.25">
      <c r="A231" t="s">
        <v>247</v>
      </c>
      <c r="C231" t="s">
        <v>3326</v>
      </c>
    </row>
    <row r="232" spans="1:3" x14ac:dyDescent="0.25">
      <c r="A232" t="s">
        <v>247</v>
      </c>
      <c r="C232" t="s">
        <v>3327</v>
      </c>
    </row>
    <row r="233" spans="1:3" x14ac:dyDescent="0.25">
      <c r="A233" t="s">
        <v>247</v>
      </c>
      <c r="C233" t="s">
        <v>3328</v>
      </c>
    </row>
    <row r="234" spans="1:3" x14ac:dyDescent="0.25">
      <c r="A234" t="s">
        <v>247</v>
      </c>
      <c r="C234" t="s">
        <v>3329</v>
      </c>
    </row>
    <row r="235" spans="1:3" x14ac:dyDescent="0.25">
      <c r="A235" t="s">
        <v>247</v>
      </c>
      <c r="C235" t="s">
        <v>3330</v>
      </c>
    </row>
    <row r="238" spans="1:3" x14ac:dyDescent="0.25">
      <c r="A238" t="s">
        <v>538</v>
      </c>
    </row>
    <row r="239" spans="1:3" x14ac:dyDescent="0.25">
      <c r="A239" t="s">
        <v>584</v>
      </c>
    </row>
    <row r="240" spans="1:3" x14ac:dyDescent="0.25">
      <c r="A240" t="s">
        <v>919</v>
      </c>
    </row>
    <row r="241" spans="1:2" x14ac:dyDescent="0.25">
      <c r="A241" t="s">
        <v>590</v>
      </c>
    </row>
    <row r="242" spans="1:2" x14ac:dyDescent="0.25">
      <c r="A242" t="s">
        <v>632</v>
      </c>
    </row>
    <row r="243" spans="1:2" x14ac:dyDescent="0.25">
      <c r="A243" t="s">
        <v>593</v>
      </c>
    </row>
    <row r="244" spans="1:2" x14ac:dyDescent="0.25">
      <c r="A244" t="s">
        <v>815</v>
      </c>
    </row>
    <row r="245" spans="1:2" x14ac:dyDescent="0.25">
      <c r="B245" t="s">
        <v>597</v>
      </c>
    </row>
    <row r="246" spans="1:2" x14ac:dyDescent="0.25">
      <c r="A246" t="s">
        <v>624</v>
      </c>
    </row>
    <row r="247" spans="1:2" x14ac:dyDescent="0.25">
      <c r="B247" t="s">
        <v>1102</v>
      </c>
    </row>
    <row r="248" spans="1:2" x14ac:dyDescent="0.25">
      <c r="A248" t="s">
        <v>3331</v>
      </c>
    </row>
    <row r="249" spans="1:2" x14ac:dyDescent="0.25">
      <c r="A249" t="s">
        <v>1120</v>
      </c>
    </row>
    <row r="252" spans="1:2" x14ac:dyDescent="0.25">
      <c r="A252" t="s">
        <v>3332</v>
      </c>
    </row>
    <row r="253" spans="1:2" x14ac:dyDescent="0.25">
      <c r="A253" t="s">
        <v>3333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0"/>
  <sheetViews>
    <sheetView topLeftCell="A55" workbookViewId="0">
      <selection activeCell="A63" sqref="A63:C160"/>
    </sheetView>
  </sheetViews>
  <sheetFormatPr defaultRowHeight="15" x14ac:dyDescent="0.25"/>
  <sheetData>
    <row r="1" spans="1:1" x14ac:dyDescent="0.25">
      <c r="A1" t="s">
        <v>254</v>
      </c>
    </row>
    <row r="2" spans="1:1" x14ac:dyDescent="0.25">
      <c r="A2" t="s">
        <v>3802</v>
      </c>
    </row>
    <row r="3" spans="1:1" x14ac:dyDescent="0.25">
      <c r="A3" t="s">
        <v>3803</v>
      </c>
    </row>
    <row r="4" spans="1:1" x14ac:dyDescent="0.25">
      <c r="A4" t="s">
        <v>258</v>
      </c>
    </row>
    <row r="6" spans="1:1" x14ac:dyDescent="0.25">
      <c r="A6" t="e">
        <f>-- rae information should change after ownership change</f>
        <v>#NAME?</v>
      </c>
    </row>
    <row r="7" spans="1:1" x14ac:dyDescent="0.25">
      <c r="A7" t="s">
        <v>572</v>
      </c>
    </row>
    <row r="8" spans="1:1" x14ac:dyDescent="0.25">
      <c r="A8" t="s">
        <v>584</v>
      </c>
    </row>
    <row r="9" spans="1:1" x14ac:dyDescent="0.25">
      <c r="A9" t="s">
        <v>1420</v>
      </c>
    </row>
    <row r="10" spans="1:1" x14ac:dyDescent="0.25">
      <c r="A10" t="s">
        <v>585</v>
      </c>
    </row>
    <row r="11" spans="1:1" x14ac:dyDescent="0.25">
      <c r="A11" t="s">
        <v>636</v>
      </c>
    </row>
    <row r="12" spans="1:1" x14ac:dyDescent="0.25">
      <c r="A12" t="s">
        <v>637</v>
      </c>
    </row>
    <row r="13" spans="1:1" x14ac:dyDescent="0.25">
      <c r="A13" t="s">
        <v>3804</v>
      </c>
    </row>
    <row r="14" spans="1:1" x14ac:dyDescent="0.25">
      <c r="A14" t="s">
        <v>3805</v>
      </c>
    </row>
    <row r="15" spans="1:1" x14ac:dyDescent="0.25">
      <c r="A15" t="s">
        <v>3806</v>
      </c>
    </row>
    <row r="16" spans="1:1" x14ac:dyDescent="0.25">
      <c r="A16" t="s">
        <v>593</v>
      </c>
    </row>
    <row r="17" spans="1:1" x14ac:dyDescent="0.25">
      <c r="A17" t="s">
        <v>3807</v>
      </c>
    </row>
    <row r="18" spans="1:1" x14ac:dyDescent="0.25">
      <c r="A18" t="s">
        <v>3808</v>
      </c>
    </row>
    <row r="19" spans="1:1" x14ac:dyDescent="0.25">
      <c r="A19" t="s">
        <v>3809</v>
      </c>
    </row>
    <row r="21" spans="1:1" x14ac:dyDescent="0.25">
      <c r="A21" t="e">
        <f>-- also clear out rsl.MEDICAID_ID</f>
        <v>#NAME?</v>
      </c>
    </row>
    <row r="22" spans="1:1" x14ac:dyDescent="0.25">
      <c r="A22" t="s">
        <v>572</v>
      </c>
    </row>
    <row r="23" spans="1:1" x14ac:dyDescent="0.25">
      <c r="A23" t="s">
        <v>584</v>
      </c>
    </row>
    <row r="24" spans="1:1" x14ac:dyDescent="0.25">
      <c r="A24" t="s">
        <v>1420</v>
      </c>
    </row>
    <row r="25" spans="1:1" x14ac:dyDescent="0.25">
      <c r="A25" t="s">
        <v>585</v>
      </c>
    </row>
    <row r="26" spans="1:1" x14ac:dyDescent="0.25">
      <c r="A26" t="s">
        <v>636</v>
      </c>
    </row>
    <row r="27" spans="1:1" x14ac:dyDescent="0.25">
      <c r="A27" t="s">
        <v>637</v>
      </c>
    </row>
    <row r="28" spans="1:1" x14ac:dyDescent="0.25">
      <c r="A28" t="s">
        <v>1628</v>
      </c>
    </row>
    <row r="29" spans="1:1" x14ac:dyDescent="0.25">
      <c r="A29" t="s">
        <v>593</v>
      </c>
    </row>
    <row r="30" spans="1:1" x14ac:dyDescent="0.25">
      <c r="A30" t="s">
        <v>1635</v>
      </c>
    </row>
    <row r="31" spans="1:1" x14ac:dyDescent="0.25">
      <c r="A31" t="s">
        <v>3810</v>
      </c>
    </row>
    <row r="32" spans="1:1" x14ac:dyDescent="0.25">
      <c r="A32" t="s">
        <v>3809</v>
      </c>
    </row>
    <row r="36" spans="1:2" x14ac:dyDescent="0.25">
      <c r="A36" t="s">
        <v>3811</v>
      </c>
    </row>
    <row r="38" spans="1:2" x14ac:dyDescent="0.25">
      <c r="A38" t="s">
        <v>3812</v>
      </c>
    </row>
    <row r="41" spans="1:2" x14ac:dyDescent="0.25">
      <c r="A41" t="e">
        <f>-- Possible step actions that could have taken place with this process</f>
        <v>#NAME?</v>
      </c>
    </row>
    <row r="42" spans="1:2" x14ac:dyDescent="0.25">
      <c r="A42" t="s">
        <v>3813</v>
      </c>
    </row>
    <row r="43" spans="1:2" x14ac:dyDescent="0.25">
      <c r="A43" t="s">
        <v>2165</v>
      </c>
    </row>
    <row r="44" spans="1:2" x14ac:dyDescent="0.25">
      <c r="B44" t="s">
        <v>2166</v>
      </c>
    </row>
    <row r="45" spans="1:2" x14ac:dyDescent="0.25">
      <c r="A45" t="s">
        <v>2167</v>
      </c>
    </row>
    <row r="46" spans="1:2" x14ac:dyDescent="0.25">
      <c r="A46" t="s">
        <v>2168</v>
      </c>
    </row>
    <row r="47" spans="1:2" x14ac:dyDescent="0.25">
      <c r="A47" t="s">
        <v>2169</v>
      </c>
    </row>
    <row r="48" spans="1:2" x14ac:dyDescent="0.25">
      <c r="A48" t="s">
        <v>2170</v>
      </c>
    </row>
    <row r="49" spans="1:2" x14ac:dyDescent="0.25">
      <c r="A49" t="s">
        <v>2095</v>
      </c>
    </row>
    <row r="50" spans="1:2" x14ac:dyDescent="0.25">
      <c r="A50" t="s">
        <v>2171</v>
      </c>
    </row>
    <row r="51" spans="1:2" x14ac:dyDescent="0.25">
      <c r="B51" t="s">
        <v>2166</v>
      </c>
    </row>
    <row r="52" spans="1:2" x14ac:dyDescent="0.25">
      <c r="A52" t="s">
        <v>2167</v>
      </c>
    </row>
    <row r="53" spans="1:2" x14ac:dyDescent="0.25">
      <c r="A53" t="s">
        <v>2168</v>
      </c>
    </row>
    <row r="54" spans="1:2" x14ac:dyDescent="0.25">
      <c r="A54" t="s">
        <v>2172</v>
      </c>
    </row>
    <row r="55" spans="1:2" x14ac:dyDescent="0.25">
      <c r="A55" t="s">
        <v>2173</v>
      </c>
    </row>
    <row r="56" spans="1:2" x14ac:dyDescent="0.25">
      <c r="B56" t="s">
        <v>2174</v>
      </c>
    </row>
    <row r="57" spans="1:2" x14ac:dyDescent="0.25">
      <c r="B57" t="s">
        <v>2167</v>
      </c>
    </row>
    <row r="58" spans="1:2" x14ac:dyDescent="0.25">
      <c r="B58" t="s">
        <v>2169</v>
      </c>
    </row>
    <row r="59" spans="1:2" x14ac:dyDescent="0.25">
      <c r="B59" t="s">
        <v>2175</v>
      </c>
    </row>
    <row r="60" spans="1:2" x14ac:dyDescent="0.25">
      <c r="B60" t="s">
        <v>698</v>
      </c>
    </row>
    <row r="61" spans="1:2" x14ac:dyDescent="0.25">
      <c r="A61" t="s">
        <v>2176</v>
      </c>
    </row>
    <row r="63" spans="1:2" x14ac:dyDescent="0.25">
      <c r="A63" t="s">
        <v>3860</v>
      </c>
    </row>
    <row r="64" spans="1:2" x14ac:dyDescent="0.25">
      <c r="A64" t="s">
        <v>3861</v>
      </c>
    </row>
    <row r="66" spans="1:1" x14ac:dyDescent="0.25">
      <c r="A66" t="s">
        <v>3862</v>
      </c>
    </row>
    <row r="67" spans="1:1" x14ac:dyDescent="0.25">
      <c r="A67" t="s">
        <v>1408</v>
      </c>
    </row>
    <row r="68" spans="1:1" x14ac:dyDescent="0.25">
      <c r="A68" t="s">
        <v>3863</v>
      </c>
    </row>
    <row r="69" spans="1:1" x14ac:dyDescent="0.25">
      <c r="A69" t="s">
        <v>3864</v>
      </c>
    </row>
    <row r="70" spans="1:1" x14ac:dyDescent="0.25">
      <c r="A70" t="s">
        <v>3865</v>
      </c>
    </row>
    <row r="71" spans="1:1" x14ac:dyDescent="0.25">
      <c r="A71" t="s">
        <v>3866</v>
      </c>
    </row>
    <row r="72" spans="1:1" x14ac:dyDescent="0.25">
      <c r="A72" t="s">
        <v>3867</v>
      </c>
    </row>
    <row r="73" spans="1:1" x14ac:dyDescent="0.25">
      <c r="A73" t="s">
        <v>3868</v>
      </c>
    </row>
    <row r="74" spans="1:1" x14ac:dyDescent="0.25">
      <c r="A74" t="s">
        <v>593</v>
      </c>
    </row>
    <row r="75" spans="1:1" x14ac:dyDescent="0.25">
      <c r="A75" t="s">
        <v>3832</v>
      </c>
    </row>
    <row r="76" spans="1:1" x14ac:dyDescent="0.25">
      <c r="A76" t="s">
        <v>478</v>
      </c>
    </row>
    <row r="77" spans="1:1" x14ac:dyDescent="0.25">
      <c r="A77" t="s">
        <v>1127</v>
      </c>
    </row>
    <row r="78" spans="1:1" x14ac:dyDescent="0.25">
      <c r="A78" t="s">
        <v>3834</v>
      </c>
    </row>
    <row r="79" spans="1:1" x14ac:dyDescent="0.25">
      <c r="A79" t="s">
        <v>3835</v>
      </c>
    </row>
    <row r="80" spans="1:1" x14ac:dyDescent="0.25">
      <c r="A80" t="s">
        <v>1129</v>
      </c>
    </row>
    <row r="81" spans="1:3" x14ac:dyDescent="0.25">
      <c r="A81" t="s">
        <v>1130</v>
      </c>
    </row>
    <row r="82" spans="1:3" x14ac:dyDescent="0.25">
      <c r="A82" t="s">
        <v>1131</v>
      </c>
    </row>
    <row r="83" spans="1:3" x14ac:dyDescent="0.25">
      <c r="A83" t="s">
        <v>3836</v>
      </c>
    </row>
    <row r="84" spans="1:3" x14ac:dyDescent="0.25">
      <c r="A84" t="s">
        <v>3837</v>
      </c>
    </row>
    <row r="85" spans="1:3" x14ac:dyDescent="0.25">
      <c r="B85" t="s">
        <v>597</v>
      </c>
    </row>
    <row r="86" spans="1:3" x14ac:dyDescent="0.25">
      <c r="A86" t="s">
        <v>706</v>
      </c>
    </row>
    <row r="87" spans="1:3" x14ac:dyDescent="0.25">
      <c r="A87" t="s">
        <v>697</v>
      </c>
    </row>
    <row r="88" spans="1:3" x14ac:dyDescent="0.25">
      <c r="B88" t="s">
        <v>572</v>
      </c>
    </row>
    <row r="89" spans="1:3" x14ac:dyDescent="0.25">
      <c r="B89" t="s">
        <v>807</v>
      </c>
    </row>
    <row r="90" spans="1:3" x14ac:dyDescent="0.25">
      <c r="B90" t="s">
        <v>3869</v>
      </c>
    </row>
    <row r="91" spans="1:3" x14ac:dyDescent="0.25">
      <c r="B91" t="s">
        <v>921</v>
      </c>
    </row>
    <row r="92" spans="1:3" x14ac:dyDescent="0.25">
      <c r="B92" t="s">
        <v>813</v>
      </c>
    </row>
    <row r="93" spans="1:3" x14ac:dyDescent="0.25">
      <c r="C93" t="s">
        <v>1574</v>
      </c>
    </row>
    <row r="94" spans="1:3" x14ac:dyDescent="0.25">
      <c r="B94" t="s">
        <v>3309</v>
      </c>
    </row>
    <row r="95" spans="1:3" x14ac:dyDescent="0.25">
      <c r="B95" t="s">
        <v>671</v>
      </c>
    </row>
    <row r="96" spans="1:3" x14ac:dyDescent="0.25">
      <c r="B96" t="s">
        <v>807</v>
      </c>
    </row>
    <row r="97" spans="1:2" x14ac:dyDescent="0.25">
      <c r="A97" t="s">
        <v>3306</v>
      </c>
    </row>
    <row r="98" spans="1:2" x14ac:dyDescent="0.25">
      <c r="B98" t="s">
        <v>3307</v>
      </c>
    </row>
    <row r="99" spans="1:2" x14ac:dyDescent="0.25">
      <c r="A99" t="s">
        <v>3870</v>
      </c>
    </row>
    <row r="100" spans="1:2" x14ac:dyDescent="0.25">
      <c r="B100" t="s">
        <v>3871</v>
      </c>
    </row>
    <row r="101" spans="1:2" x14ac:dyDescent="0.25">
      <c r="A101" t="s">
        <v>3872</v>
      </c>
    </row>
    <row r="103" spans="1:2" x14ac:dyDescent="0.25">
      <c r="A103" t="s">
        <v>3873</v>
      </c>
    </row>
    <row r="104" spans="1:2" x14ac:dyDescent="0.25">
      <c r="A104" t="s">
        <v>3874</v>
      </c>
    </row>
    <row r="106" spans="1:2" x14ac:dyDescent="0.25">
      <c r="A106" t="s">
        <v>3875</v>
      </c>
    </row>
    <row r="107" spans="1:2" x14ac:dyDescent="0.25">
      <c r="A107" t="s">
        <v>3876</v>
      </c>
    </row>
    <row r="108" spans="1:2" x14ac:dyDescent="0.25">
      <c r="A108" t="s">
        <v>3877</v>
      </c>
    </row>
    <row r="109" spans="1:2" x14ac:dyDescent="0.25">
      <c r="A109" t="s">
        <v>3878</v>
      </c>
    </row>
    <row r="110" spans="1:2" x14ac:dyDescent="0.25">
      <c r="A110" t="s">
        <v>3879</v>
      </c>
    </row>
    <row r="111" spans="1:2" x14ac:dyDescent="0.25">
      <c r="A111" t="s">
        <v>3880</v>
      </c>
    </row>
    <row r="112" spans="1:2" x14ac:dyDescent="0.25">
      <c r="A112" t="s">
        <v>3881</v>
      </c>
    </row>
    <row r="113" spans="1:1" x14ac:dyDescent="0.25">
      <c r="A113" t="s">
        <v>3882</v>
      </c>
    </row>
    <row r="114" spans="1:1" x14ac:dyDescent="0.25">
      <c r="A114" t="s">
        <v>3883</v>
      </c>
    </row>
    <row r="116" spans="1:1" x14ac:dyDescent="0.25">
      <c r="A116" t="e">
        <f>--run ownership changed</f>
        <v>#NAME?</v>
      </c>
    </row>
    <row r="117" spans="1:1" x14ac:dyDescent="0.25">
      <c r="A117" t="s">
        <v>3884</v>
      </c>
    </row>
    <row r="118" spans="1:1" x14ac:dyDescent="0.25">
      <c r="A118" t="s">
        <v>3885</v>
      </c>
    </row>
    <row r="119" spans="1:1" x14ac:dyDescent="0.25">
      <c r="A119" t="s">
        <v>3886</v>
      </c>
    </row>
    <row r="120" spans="1:1" x14ac:dyDescent="0.25">
      <c r="A120" t="s">
        <v>3887</v>
      </c>
    </row>
    <row r="121" spans="1:1" x14ac:dyDescent="0.25">
      <c r="A121" t="s">
        <v>3888</v>
      </c>
    </row>
    <row r="122" spans="1:1" x14ac:dyDescent="0.25">
      <c r="A122" t="s">
        <v>3889</v>
      </c>
    </row>
    <row r="123" spans="1:1" x14ac:dyDescent="0.25">
      <c r="A123" t="s">
        <v>3890</v>
      </c>
    </row>
    <row r="124" spans="1:1" x14ac:dyDescent="0.25">
      <c r="A124" t="s">
        <v>3891</v>
      </c>
    </row>
    <row r="125" spans="1:1" x14ac:dyDescent="0.25">
      <c r="A125" t="s">
        <v>3892</v>
      </c>
    </row>
    <row r="126" spans="1:1" x14ac:dyDescent="0.25">
      <c r="A126" t="s">
        <v>3893</v>
      </c>
    </row>
    <row r="127" spans="1:1" x14ac:dyDescent="0.25">
      <c r="A127" t="s">
        <v>2522</v>
      </c>
    </row>
    <row r="128" spans="1:1" x14ac:dyDescent="0.25">
      <c r="A128" t="s">
        <v>3894</v>
      </c>
    </row>
    <row r="129" spans="1:1" x14ac:dyDescent="0.25">
      <c r="A129" t="s">
        <v>1648</v>
      </c>
    </row>
    <row r="131" spans="1:1" x14ac:dyDescent="0.25">
      <c r="A131" t="s">
        <v>3895</v>
      </c>
    </row>
    <row r="133" spans="1:1" x14ac:dyDescent="0.25">
      <c r="A133" t="s">
        <v>3896</v>
      </c>
    </row>
    <row r="135" spans="1:1" x14ac:dyDescent="0.25">
      <c r="A135" t="s">
        <v>3897</v>
      </c>
    </row>
    <row r="136" spans="1:1" x14ac:dyDescent="0.25">
      <c r="A136" t="s">
        <v>3898</v>
      </c>
    </row>
    <row r="138" spans="1:1" x14ac:dyDescent="0.25">
      <c r="A138" t="s">
        <v>3899</v>
      </c>
    </row>
    <row r="139" spans="1:1" x14ac:dyDescent="0.25">
      <c r="A139" t="e">
        <f>----transfer to Live now</f>
        <v>#NAME?</v>
      </c>
    </row>
    <row r="140" spans="1:1" x14ac:dyDescent="0.25">
      <c r="A140" t="s">
        <v>3900</v>
      </c>
    </row>
    <row r="142" spans="1:1" x14ac:dyDescent="0.25">
      <c r="A142" t="s">
        <v>3901</v>
      </c>
    </row>
    <row r="143" spans="1:1" x14ac:dyDescent="0.25">
      <c r="A143" t="s">
        <v>3902</v>
      </c>
    </row>
    <row r="144" spans="1:1" x14ac:dyDescent="0.25">
      <c r="A144" t="s">
        <v>3903</v>
      </c>
    </row>
    <row r="146" spans="1:2" x14ac:dyDescent="0.25">
      <c r="A146" t="s">
        <v>254</v>
      </c>
    </row>
    <row r="147" spans="1:2" x14ac:dyDescent="0.25">
      <c r="A147" t="s">
        <v>3904</v>
      </c>
    </row>
    <row r="148" spans="1:2" x14ac:dyDescent="0.25">
      <c r="A148" t="s">
        <v>3905</v>
      </c>
    </row>
    <row r="149" spans="1:2" x14ac:dyDescent="0.25">
      <c r="A149">
        <v>10674</v>
      </c>
    </row>
    <row r="150" spans="1:2" x14ac:dyDescent="0.25">
      <c r="A150" t="s">
        <v>3906</v>
      </c>
    </row>
    <row r="152" spans="1:2" x14ac:dyDescent="0.25">
      <c r="A152" t="s">
        <v>3907</v>
      </c>
    </row>
    <row r="154" spans="1:2" x14ac:dyDescent="0.25">
      <c r="A154" t="s">
        <v>3908</v>
      </c>
    </row>
    <row r="156" spans="1:2" x14ac:dyDescent="0.25">
      <c r="A156" t="s">
        <v>3909</v>
      </c>
    </row>
    <row r="157" spans="1:2" x14ac:dyDescent="0.25">
      <c r="A157" t="s">
        <v>3910</v>
      </c>
      <c r="B157" t="s">
        <v>3911</v>
      </c>
    </row>
    <row r="158" spans="1:2" x14ac:dyDescent="0.25">
      <c r="A158" t="s">
        <v>3912</v>
      </c>
    </row>
    <row r="159" spans="1:2" x14ac:dyDescent="0.25">
      <c r="A159" t="s">
        <v>3913</v>
      </c>
    </row>
    <row r="160" spans="1:2" x14ac:dyDescent="0.25">
      <c r="A160" t="s">
        <v>258</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6"/>
  <sheetViews>
    <sheetView workbookViewId="0"/>
  </sheetViews>
  <sheetFormatPr defaultRowHeight="15" x14ac:dyDescent="0.25"/>
  <sheetData>
    <row r="1" spans="1:5" x14ac:dyDescent="0.25">
      <c r="A1" t="s">
        <v>254</v>
      </c>
    </row>
    <row r="2" spans="1:5" x14ac:dyDescent="0.25">
      <c r="A2" t="s">
        <v>3334</v>
      </c>
      <c r="B2">
        <f>-- 21817</f>
        <v>21817</v>
      </c>
    </row>
    <row r="3" spans="1:5" x14ac:dyDescent="0.25">
      <c r="A3" t="s">
        <v>3335</v>
      </c>
      <c r="E3">
        <f>-- 21337</f>
        <v>21337</v>
      </c>
    </row>
    <row r="5" spans="1:5" x14ac:dyDescent="0.25">
      <c r="A5" t="s">
        <v>572</v>
      </c>
    </row>
    <row r="6" spans="1:5" x14ac:dyDescent="0.25">
      <c r="A6" t="s">
        <v>646</v>
      </c>
    </row>
    <row r="7" spans="1:5" x14ac:dyDescent="0.25">
      <c r="A7" t="s">
        <v>3336</v>
      </c>
      <c r="B7" t="s">
        <v>3337</v>
      </c>
    </row>
    <row r="8" spans="1:5" x14ac:dyDescent="0.25">
      <c r="A8" t="s">
        <v>3338</v>
      </c>
    </row>
    <row r="10" spans="1:5" x14ac:dyDescent="0.25">
      <c r="A10" t="s">
        <v>538</v>
      </c>
    </row>
    <row r="11" spans="1:5" x14ac:dyDescent="0.25">
      <c r="A11" t="s">
        <v>646</v>
      </c>
    </row>
    <row r="12" spans="1:5" x14ac:dyDescent="0.25">
      <c r="A12" t="s">
        <v>3339</v>
      </c>
    </row>
    <row r="13" spans="1:5" x14ac:dyDescent="0.25">
      <c r="A13" t="s">
        <v>3340</v>
      </c>
    </row>
    <row r="14" spans="1:5" x14ac:dyDescent="0.25">
      <c r="B14" t="s">
        <v>3341</v>
      </c>
    </row>
    <row r="15" spans="1:5" x14ac:dyDescent="0.25">
      <c r="B15" t="s">
        <v>3342</v>
      </c>
    </row>
    <row r="16" spans="1:5" x14ac:dyDescent="0.25">
      <c r="A16" t="s">
        <v>3343</v>
      </c>
    </row>
    <row r="18" spans="1:1" x14ac:dyDescent="0.25">
      <c r="A18" t="s">
        <v>258</v>
      </c>
    </row>
    <row r="20" spans="1:1" x14ac:dyDescent="0.25">
      <c r="A20" t="e">
        <f>-- validation queries</f>
        <v>#NAME?</v>
      </c>
    </row>
    <row r="21" spans="1:1" x14ac:dyDescent="0.25">
      <c r="A21" t="s">
        <v>3344</v>
      </c>
    </row>
    <row r="22" spans="1:1" x14ac:dyDescent="0.25">
      <c r="A22" t="s">
        <v>572</v>
      </c>
    </row>
    <row r="23" spans="1:1" x14ac:dyDescent="0.25">
      <c r="A23" t="s">
        <v>3345</v>
      </c>
    </row>
    <row r="24" spans="1:1" x14ac:dyDescent="0.25">
      <c r="A24" t="s">
        <v>642</v>
      </c>
    </row>
    <row r="25" spans="1:1" x14ac:dyDescent="0.25">
      <c r="A25" t="s">
        <v>3346</v>
      </c>
    </row>
    <row r="26" spans="1:1" x14ac:dyDescent="0.25">
      <c r="A26" t="s">
        <v>3347</v>
      </c>
    </row>
    <row r="27" spans="1:1" x14ac:dyDescent="0.25">
      <c r="A27" t="s">
        <v>447</v>
      </c>
    </row>
    <row r="29" spans="1:1" x14ac:dyDescent="0.25">
      <c r="A29" t="s">
        <v>3348</v>
      </c>
    </row>
    <row r="30" spans="1:1" x14ac:dyDescent="0.25">
      <c r="A30" t="s">
        <v>3349</v>
      </c>
    </row>
    <row r="31" spans="1:1" x14ac:dyDescent="0.25">
      <c r="A31" t="s">
        <v>3350</v>
      </c>
    </row>
    <row r="32" spans="1:1" x14ac:dyDescent="0.25">
      <c r="A32" t="s">
        <v>3351</v>
      </c>
    </row>
    <row r="33" spans="1:1" x14ac:dyDescent="0.25">
      <c r="A33" t="s">
        <v>572</v>
      </c>
    </row>
    <row r="34" spans="1:1" x14ac:dyDescent="0.25">
      <c r="A34" t="s">
        <v>3352</v>
      </c>
    </row>
    <row r="35" spans="1:1" x14ac:dyDescent="0.25">
      <c r="A35" t="s">
        <v>1569</v>
      </c>
    </row>
    <row r="36" spans="1:1" x14ac:dyDescent="0.25">
      <c r="A36" t="s">
        <v>3353</v>
      </c>
    </row>
    <row r="37" spans="1:1" x14ac:dyDescent="0.25">
      <c r="A37" t="s">
        <v>3354</v>
      </c>
    </row>
    <row r="38" spans="1:1" x14ac:dyDescent="0.25">
      <c r="A38" t="s">
        <v>447</v>
      </c>
    </row>
    <row r="40" spans="1:1" x14ac:dyDescent="0.25">
      <c r="A40" t="s">
        <v>3355</v>
      </c>
    </row>
    <row r="41" spans="1:1" x14ac:dyDescent="0.25">
      <c r="A41" t="s">
        <v>3356</v>
      </c>
    </row>
    <row r="42" spans="1:1" x14ac:dyDescent="0.25">
      <c r="A42" t="s">
        <v>3357</v>
      </c>
    </row>
    <row r="43" spans="1:1" x14ac:dyDescent="0.25">
      <c r="A43" t="s">
        <v>3358</v>
      </c>
    </row>
    <row r="44" spans="1:1" x14ac:dyDescent="0.25">
      <c r="A44" t="s">
        <v>3359</v>
      </c>
    </row>
    <row r="45" spans="1:1" x14ac:dyDescent="0.25">
      <c r="A45" t="s">
        <v>572</v>
      </c>
    </row>
    <row r="46" spans="1:1" x14ac:dyDescent="0.25">
      <c r="A46" t="s">
        <v>418</v>
      </c>
    </row>
    <row r="47" spans="1:1" x14ac:dyDescent="0.25">
      <c r="A47" t="s">
        <v>1569</v>
      </c>
    </row>
    <row r="48" spans="1:1" x14ac:dyDescent="0.25">
      <c r="A48" t="s">
        <v>3353</v>
      </c>
    </row>
    <row r="49" spans="1:2" x14ac:dyDescent="0.25">
      <c r="A49" t="s">
        <v>3360</v>
      </c>
    </row>
    <row r="50" spans="1:2" x14ac:dyDescent="0.25">
      <c r="A50" t="s">
        <v>3361</v>
      </c>
    </row>
    <row r="52" spans="1:2" x14ac:dyDescent="0.25">
      <c r="A52" t="s">
        <v>3362</v>
      </c>
    </row>
    <row r="54" spans="1:2" x14ac:dyDescent="0.25">
      <c r="A54" t="s">
        <v>572</v>
      </c>
    </row>
    <row r="55" spans="1:2" x14ac:dyDescent="0.25">
      <c r="A55" t="s">
        <v>646</v>
      </c>
    </row>
    <row r="56" spans="1:2" x14ac:dyDescent="0.25">
      <c r="A56" t="s">
        <v>3363</v>
      </c>
    </row>
    <row r="57" spans="1:2" x14ac:dyDescent="0.25">
      <c r="A57" t="s">
        <v>3364</v>
      </c>
    </row>
    <row r="59" spans="1:2" x14ac:dyDescent="0.25">
      <c r="A59" t="s">
        <v>572</v>
      </c>
    </row>
    <row r="60" spans="1:2" x14ac:dyDescent="0.25">
      <c r="A60" t="s">
        <v>3365</v>
      </c>
    </row>
    <row r="61" spans="1:2" x14ac:dyDescent="0.25">
      <c r="A61" t="s">
        <v>3366</v>
      </c>
    </row>
    <row r="62" spans="1:2" x14ac:dyDescent="0.25">
      <c r="A62" t="s">
        <v>2927</v>
      </c>
    </row>
    <row r="63" spans="1:2" x14ac:dyDescent="0.25">
      <c r="A63" t="s">
        <v>3367</v>
      </c>
    </row>
    <row r="64" spans="1:2" x14ac:dyDescent="0.25">
      <c r="B64" t="s">
        <v>3368</v>
      </c>
    </row>
    <row r="65" spans="1:2" x14ac:dyDescent="0.25">
      <c r="A65" t="s">
        <v>2929</v>
      </c>
    </row>
    <row r="66" spans="1:2" x14ac:dyDescent="0.25">
      <c r="B66" t="s">
        <v>3369</v>
      </c>
    </row>
    <row r="67" spans="1:2" x14ac:dyDescent="0.25">
      <c r="A67" t="s">
        <v>3370</v>
      </c>
    </row>
    <row r="68" spans="1:2" x14ac:dyDescent="0.25">
      <c r="B68" t="s">
        <v>3371</v>
      </c>
    </row>
    <row r="69" spans="1:2" x14ac:dyDescent="0.25">
      <c r="A69" t="s">
        <v>697</v>
      </c>
    </row>
    <row r="70" spans="1:2" x14ac:dyDescent="0.25">
      <c r="B70" t="s">
        <v>3372</v>
      </c>
    </row>
    <row r="71" spans="1:2" x14ac:dyDescent="0.25">
      <c r="B71" t="s">
        <v>3338</v>
      </c>
    </row>
    <row r="72" spans="1:2" x14ac:dyDescent="0.25">
      <c r="A72" t="s">
        <v>698</v>
      </c>
    </row>
    <row r="74" spans="1:2" x14ac:dyDescent="0.25">
      <c r="A74" t="s">
        <v>572</v>
      </c>
    </row>
    <row r="75" spans="1:2" x14ac:dyDescent="0.25">
      <c r="A75" t="s">
        <v>1922</v>
      </c>
    </row>
    <row r="76" spans="1:2" x14ac:dyDescent="0.25">
      <c r="A76" t="s">
        <v>1327</v>
      </c>
    </row>
    <row r="77" spans="1:2" x14ac:dyDescent="0.25">
      <c r="A77" t="s">
        <v>3373</v>
      </c>
    </row>
    <row r="79" spans="1:2" x14ac:dyDescent="0.25">
      <c r="A79" t="s">
        <v>538</v>
      </c>
    </row>
    <row r="80" spans="1:2" x14ac:dyDescent="0.25">
      <c r="A80" t="s">
        <v>3374</v>
      </c>
    </row>
    <row r="81" spans="1:2" x14ac:dyDescent="0.25">
      <c r="A81" t="s">
        <v>3375</v>
      </c>
    </row>
    <row r="82" spans="1:2" x14ac:dyDescent="0.25">
      <c r="A82" t="s">
        <v>643</v>
      </c>
    </row>
    <row r="83" spans="1:2" x14ac:dyDescent="0.25">
      <c r="A83" t="s">
        <v>3376</v>
      </c>
    </row>
    <row r="86" spans="1:2" x14ac:dyDescent="0.25">
      <c r="A86" t="s">
        <v>3377</v>
      </c>
    </row>
    <row r="87" spans="1:2" x14ac:dyDescent="0.25">
      <c r="A87" t="s">
        <v>3378</v>
      </c>
    </row>
    <row r="88" spans="1:2" x14ac:dyDescent="0.25">
      <c r="A88" t="s">
        <v>3379</v>
      </c>
    </row>
    <row r="89" spans="1:2" x14ac:dyDescent="0.25">
      <c r="A89" t="s">
        <v>3380</v>
      </c>
    </row>
    <row r="91" spans="1:2" x14ac:dyDescent="0.25">
      <c r="A91" t="s">
        <v>3381</v>
      </c>
    </row>
    <row r="93" spans="1:2" x14ac:dyDescent="0.25">
      <c r="A93" t="s">
        <v>3382</v>
      </c>
    </row>
    <row r="94" spans="1:2" x14ac:dyDescent="0.25">
      <c r="A94" t="s">
        <v>247</v>
      </c>
      <c r="B94" t="s">
        <v>3383</v>
      </c>
    </row>
    <row r="95" spans="1:2" x14ac:dyDescent="0.25">
      <c r="A95" t="s">
        <v>3382</v>
      </c>
    </row>
    <row r="96" spans="1:2" x14ac:dyDescent="0.25">
      <c r="A96" t="s">
        <v>3384</v>
      </c>
    </row>
    <row r="97" spans="1:2" x14ac:dyDescent="0.25">
      <c r="A97" t="s">
        <v>572</v>
      </c>
    </row>
    <row r="98" spans="1:2" x14ac:dyDescent="0.25">
      <c r="A98" t="s">
        <v>654</v>
      </c>
    </row>
    <row r="99" spans="1:2" x14ac:dyDescent="0.25">
      <c r="A99" t="s">
        <v>3385</v>
      </c>
    </row>
    <row r="100" spans="1:2" x14ac:dyDescent="0.25">
      <c r="A100" t="s">
        <v>3386</v>
      </c>
    </row>
    <row r="101" spans="1:2" x14ac:dyDescent="0.25">
      <c r="A101" t="s">
        <v>3387</v>
      </c>
    </row>
    <row r="102" spans="1:2" x14ac:dyDescent="0.25">
      <c r="A102" t="s">
        <v>254</v>
      </c>
    </row>
    <row r="103" spans="1:2" x14ac:dyDescent="0.25">
      <c r="B103" t="s">
        <v>3388</v>
      </c>
    </row>
    <row r="104" spans="1:2" x14ac:dyDescent="0.25">
      <c r="A104" t="s">
        <v>258</v>
      </c>
    </row>
    <row r="106" spans="1:2" x14ac:dyDescent="0.25">
      <c r="A106" t="s">
        <v>3389</v>
      </c>
    </row>
    <row r="107" spans="1:2" x14ac:dyDescent="0.25">
      <c r="A107" t="s">
        <v>572</v>
      </c>
    </row>
    <row r="108" spans="1:2" x14ac:dyDescent="0.25">
      <c r="A108" t="s">
        <v>654</v>
      </c>
    </row>
    <row r="109" spans="1:2" x14ac:dyDescent="0.25">
      <c r="A109" t="s">
        <v>3390</v>
      </c>
    </row>
    <row r="110" spans="1:2" x14ac:dyDescent="0.25">
      <c r="A110" t="s">
        <v>3386</v>
      </c>
    </row>
    <row r="111" spans="1:2" x14ac:dyDescent="0.25">
      <c r="A111" t="s">
        <v>696</v>
      </c>
    </row>
    <row r="112" spans="1:2" x14ac:dyDescent="0.25">
      <c r="A112" t="s">
        <v>697</v>
      </c>
    </row>
    <row r="113" spans="1:2" x14ac:dyDescent="0.25">
      <c r="B113" t="s">
        <v>572</v>
      </c>
    </row>
    <row r="114" spans="1:2" x14ac:dyDescent="0.25">
      <c r="B114" t="s">
        <v>415</v>
      </c>
    </row>
    <row r="115" spans="1:2" x14ac:dyDescent="0.25">
      <c r="B115" t="s">
        <v>3391</v>
      </c>
    </row>
    <row r="116" spans="1:2" x14ac:dyDescent="0.25">
      <c r="B116" t="s">
        <v>3386</v>
      </c>
    </row>
    <row r="117" spans="1:2" x14ac:dyDescent="0.25">
      <c r="B117" t="s">
        <v>3392</v>
      </c>
    </row>
    <row r="118" spans="1:2" x14ac:dyDescent="0.25">
      <c r="B118" t="s">
        <v>671</v>
      </c>
    </row>
    <row r="119" spans="1:2" x14ac:dyDescent="0.25">
      <c r="B119" t="s">
        <v>415</v>
      </c>
    </row>
    <row r="120" spans="1:2" x14ac:dyDescent="0.25">
      <c r="A120" t="s">
        <v>3393</v>
      </c>
    </row>
    <row r="121" spans="1:2" x14ac:dyDescent="0.25">
      <c r="B121" t="s">
        <v>3394</v>
      </c>
    </row>
    <row r="122" spans="1:2" x14ac:dyDescent="0.25">
      <c r="A122" t="s">
        <v>3392</v>
      </c>
    </row>
    <row r="123" spans="1:2" x14ac:dyDescent="0.25">
      <c r="B123" t="s">
        <v>3395</v>
      </c>
    </row>
    <row r="124" spans="1:2" x14ac:dyDescent="0.25">
      <c r="A124" t="s">
        <v>254</v>
      </c>
    </row>
    <row r="125" spans="1:2" x14ac:dyDescent="0.25">
      <c r="B125" t="s">
        <v>3396</v>
      </c>
    </row>
    <row r="126" spans="1:2" x14ac:dyDescent="0.25">
      <c r="A126" t="s">
        <v>258</v>
      </c>
    </row>
    <row r="128" spans="1:2" x14ac:dyDescent="0.25">
      <c r="A128" t="s">
        <v>572</v>
      </c>
    </row>
    <row r="129" spans="1:2" x14ac:dyDescent="0.25">
      <c r="A129" t="s">
        <v>3397</v>
      </c>
    </row>
    <row r="130" spans="1:2" x14ac:dyDescent="0.25">
      <c r="A130" t="s">
        <v>3398</v>
      </c>
    </row>
    <row r="131" spans="1:2" x14ac:dyDescent="0.25">
      <c r="A131" t="s">
        <v>3399</v>
      </c>
    </row>
    <row r="132" spans="1:2" x14ac:dyDescent="0.25">
      <c r="A132" t="s">
        <v>3400</v>
      </c>
    </row>
    <row r="133" spans="1:2" x14ac:dyDescent="0.25">
      <c r="A133" t="s">
        <v>3401</v>
      </c>
    </row>
    <row r="134" spans="1:2" x14ac:dyDescent="0.25">
      <c r="A134" t="s">
        <v>3402</v>
      </c>
    </row>
    <row r="135" spans="1:2" x14ac:dyDescent="0.25">
      <c r="A135" t="s">
        <v>3403</v>
      </c>
    </row>
    <row r="136" spans="1:2" x14ac:dyDescent="0.25">
      <c r="B136" t="s">
        <v>3404</v>
      </c>
    </row>
    <row r="137" spans="1:2" x14ac:dyDescent="0.25">
      <c r="A137" t="s">
        <v>3405</v>
      </c>
    </row>
    <row r="138" spans="1:2" x14ac:dyDescent="0.25">
      <c r="B138" t="s">
        <v>3406</v>
      </c>
    </row>
    <row r="139" spans="1:2" x14ac:dyDescent="0.25">
      <c r="A139" t="s">
        <v>3407</v>
      </c>
    </row>
    <row r="140" spans="1:2" x14ac:dyDescent="0.25">
      <c r="B140" t="s">
        <v>3408</v>
      </c>
    </row>
    <row r="141" spans="1:2" x14ac:dyDescent="0.25">
      <c r="A141" t="s">
        <v>3409</v>
      </c>
    </row>
    <row r="143" spans="1:2" x14ac:dyDescent="0.25">
      <c r="A143" t="s">
        <v>3410</v>
      </c>
    </row>
    <row r="144" spans="1:2" x14ac:dyDescent="0.25">
      <c r="A144" t="s">
        <v>3411</v>
      </c>
    </row>
    <row r="145" spans="1:2" x14ac:dyDescent="0.25">
      <c r="A145" t="s">
        <v>3412</v>
      </c>
    </row>
    <row r="146" spans="1:2" x14ac:dyDescent="0.25">
      <c r="A146" t="s">
        <v>3413</v>
      </c>
    </row>
    <row r="147" spans="1:2" x14ac:dyDescent="0.25">
      <c r="A147" t="s">
        <v>3414</v>
      </c>
    </row>
    <row r="150" spans="1:2" x14ac:dyDescent="0.25">
      <c r="A150" t="s">
        <v>572</v>
      </c>
    </row>
    <row r="151" spans="1:2" x14ac:dyDescent="0.25">
      <c r="A151" t="s">
        <v>3415</v>
      </c>
    </row>
    <row r="152" spans="1:2" x14ac:dyDescent="0.25">
      <c r="A152" t="s">
        <v>3399</v>
      </c>
    </row>
    <row r="153" spans="1:2" x14ac:dyDescent="0.25">
      <c r="A153" t="s">
        <v>3400</v>
      </c>
    </row>
    <row r="154" spans="1:2" x14ac:dyDescent="0.25">
      <c r="A154" t="s">
        <v>3401</v>
      </c>
    </row>
    <row r="155" spans="1:2" x14ac:dyDescent="0.25">
      <c r="A155" t="s">
        <v>3416</v>
      </c>
    </row>
    <row r="156" spans="1:2" x14ac:dyDescent="0.25">
      <c r="A156" t="s">
        <v>3402</v>
      </c>
    </row>
    <row r="157" spans="1:2" x14ac:dyDescent="0.25">
      <c r="A157" t="s">
        <v>3403</v>
      </c>
    </row>
    <row r="158" spans="1:2" x14ac:dyDescent="0.25">
      <c r="B158" t="s">
        <v>3404</v>
      </c>
    </row>
    <row r="159" spans="1:2" x14ac:dyDescent="0.25">
      <c r="A159" t="s">
        <v>3405</v>
      </c>
    </row>
    <row r="160" spans="1:2" x14ac:dyDescent="0.25">
      <c r="B160" t="s">
        <v>3406</v>
      </c>
    </row>
    <row r="161" spans="1:2" x14ac:dyDescent="0.25">
      <c r="A161" t="s">
        <v>3407</v>
      </c>
    </row>
    <row r="162" spans="1:2" x14ac:dyDescent="0.25">
      <c r="B162" t="s">
        <v>3408</v>
      </c>
    </row>
    <row r="163" spans="1:2" x14ac:dyDescent="0.25">
      <c r="A163" t="s">
        <v>3409</v>
      </c>
    </row>
    <row r="164" spans="1:2" x14ac:dyDescent="0.25">
      <c r="A164" t="s">
        <v>671</v>
      </c>
    </row>
    <row r="165" spans="1:2" x14ac:dyDescent="0.25">
      <c r="A165" t="s">
        <v>3415</v>
      </c>
    </row>
    <row r="166" spans="1:2" x14ac:dyDescent="0.25">
      <c r="A166" t="s">
        <v>3399</v>
      </c>
    </row>
    <row r="167" spans="1:2" x14ac:dyDescent="0.25">
      <c r="A167" t="s">
        <v>3400</v>
      </c>
    </row>
    <row r="168" spans="1:2" x14ac:dyDescent="0.25">
      <c r="A168" t="s">
        <v>3401</v>
      </c>
    </row>
    <row r="169" spans="1:2" x14ac:dyDescent="0.25">
      <c r="A169" t="s">
        <v>672</v>
      </c>
    </row>
    <row r="170" spans="1:2" x14ac:dyDescent="0.25">
      <c r="A170" t="s">
        <v>3417</v>
      </c>
    </row>
    <row r="171" spans="1:2" x14ac:dyDescent="0.25">
      <c r="A171" t="s">
        <v>3401</v>
      </c>
    </row>
    <row r="173" spans="1:2" x14ac:dyDescent="0.25">
      <c r="A173" t="s">
        <v>3418</v>
      </c>
    </row>
    <row r="174" spans="1:2" x14ac:dyDescent="0.25">
      <c r="A174" t="s">
        <v>3419</v>
      </c>
    </row>
    <row r="175" spans="1:2" x14ac:dyDescent="0.25">
      <c r="B175" t="s">
        <v>1025</v>
      </c>
    </row>
    <row r="176" spans="1:2" x14ac:dyDescent="0.25">
      <c r="B176" t="s">
        <v>3420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8"/>
  <sheetViews>
    <sheetView workbookViewId="0">
      <selection sqref="A1:XFD1048576"/>
    </sheetView>
  </sheetViews>
  <sheetFormatPr defaultRowHeight="15" x14ac:dyDescent="0.25"/>
  <sheetData>
    <row r="1" spans="1:2" x14ac:dyDescent="0.25">
      <c r="A1" t="s">
        <v>254</v>
      </c>
    </row>
    <row r="2" spans="1:2" x14ac:dyDescent="0.25">
      <c r="A2" t="s">
        <v>3814</v>
      </c>
    </row>
    <row r="3" spans="1:2" x14ac:dyDescent="0.25">
      <c r="A3" t="e">
        <f>+ show all previous affiliations with same NPI that have been</f>
        <v>#NAME?</v>
      </c>
    </row>
    <row r="4" spans="1:2" x14ac:dyDescent="0.25">
      <c r="B4" t="s">
        <v>3815</v>
      </c>
    </row>
    <row r="5" spans="1:2" x14ac:dyDescent="0.25">
      <c r="A5" t="e">
        <f>+ verify the start_date &gt; the highest term date for that affiliation NPI</f>
        <v>#NAME?</v>
      </c>
    </row>
    <row r="6" spans="1:2" x14ac:dyDescent="0.25">
      <c r="A6" t="e">
        <f>- only the latest affiliation for a specific NPI will be sent to the mmis</f>
        <v>#NAME?</v>
      </c>
    </row>
    <row r="7" spans="1:2" x14ac:dyDescent="0.25">
      <c r="A7" t="s">
        <v>3816</v>
      </c>
    </row>
    <row r="8" spans="1:2" x14ac:dyDescent="0.25">
      <c r="A8" t="s">
        <v>3817</v>
      </c>
    </row>
    <row r="9" spans="1:2" x14ac:dyDescent="0.25">
      <c r="A9" t="e">
        <f>- Sort all BY NPI then BY start date</f>
        <v>#NAME?</v>
      </c>
    </row>
    <row r="10" spans="1:2" x14ac:dyDescent="0.25">
      <c r="A10" t="e">
        <f>- Cannot unterm a confirmed termination</f>
        <v>#NAME?</v>
      </c>
    </row>
    <row r="11" spans="1:2" x14ac:dyDescent="0.25">
      <c r="A11" t="e">
        <f>- Give admin functionality to change the start date</f>
        <v>#NAME?</v>
      </c>
    </row>
    <row r="13" spans="1:2" x14ac:dyDescent="0.25">
      <c r="A13" t="s">
        <v>3818</v>
      </c>
    </row>
    <row r="14" spans="1:2" x14ac:dyDescent="0.25">
      <c r="A14" t="e">
        <f>-- changes to affiliation UI to allow same NPI multiple times</f>
        <v>#NAME?</v>
      </c>
    </row>
    <row r="15" spans="1:2" x14ac:dyDescent="0.25">
      <c r="A15" t="e">
        <f>-- changes to affilition UI to</f>
        <v>#NAME?</v>
      </c>
    </row>
    <row r="17" spans="1:1" x14ac:dyDescent="0.25">
      <c r="A17" t="s">
        <v>3819</v>
      </c>
    </row>
    <row r="18" spans="1:1" x14ac:dyDescent="0.25">
      <c r="A18" t="s">
        <v>3820</v>
      </c>
    </row>
    <row r="19" spans="1:1" x14ac:dyDescent="0.25">
      <c r="A19" t="s">
        <v>3821</v>
      </c>
    </row>
    <row r="20" spans="1:1" x14ac:dyDescent="0.25">
      <c r="A20" t="s">
        <v>3822</v>
      </c>
    </row>
    <row r="22" spans="1:1" x14ac:dyDescent="0.25">
      <c r="A22" t="e">
        <f>-- Remove NPI Check /Popup/Groupaffiliations.ascx.cx - (Validate_NPI_IsUnique)</f>
        <v>#NAME?</v>
      </c>
    </row>
    <row r="23" spans="1:1" x14ac:dyDescent="0.25">
      <c r="A23" t="e">
        <f>-- Add Check to not allow start date earlier than latest term date for the same NPI</f>
        <v>#NAME?</v>
      </c>
    </row>
    <row r="26" spans="1:1" x14ac:dyDescent="0.25">
      <c r="A26" t="e">
        <f>-- Remove proc call directly FROM UI</f>
        <v>#NAME?</v>
      </c>
    </row>
    <row r="27" spans="1:1" x14ac:dyDescent="0.25">
      <c r="A27" t="s">
        <v>3823</v>
      </c>
    </row>
    <row r="29" spans="1:1" x14ac:dyDescent="0.25">
      <c r="A29" t="s">
        <v>258</v>
      </c>
    </row>
    <row r="31" spans="1:1" x14ac:dyDescent="0.25">
      <c r="A31" t="s">
        <v>3824</v>
      </c>
    </row>
    <row r="32" spans="1:1" x14ac:dyDescent="0.25">
      <c r="A32" t="s">
        <v>572</v>
      </c>
    </row>
    <row r="33" spans="1:1" x14ac:dyDescent="0.25">
      <c r="A33" t="s">
        <v>584</v>
      </c>
    </row>
    <row r="34" spans="1:1" x14ac:dyDescent="0.25">
      <c r="A34" t="s">
        <v>585</v>
      </c>
    </row>
    <row r="35" spans="1:1" x14ac:dyDescent="0.25">
      <c r="A35" t="s">
        <v>587</v>
      </c>
    </row>
    <row r="36" spans="1:1" x14ac:dyDescent="0.25">
      <c r="A36" t="s">
        <v>586</v>
      </c>
    </row>
    <row r="37" spans="1:1" x14ac:dyDescent="0.25">
      <c r="A37" t="s">
        <v>3825</v>
      </c>
    </row>
    <row r="38" spans="1:1" x14ac:dyDescent="0.25">
      <c r="A38" t="s">
        <v>3826</v>
      </c>
    </row>
    <row r="39" spans="1:1" x14ac:dyDescent="0.25">
      <c r="A39" t="s">
        <v>1370</v>
      </c>
    </row>
    <row r="40" spans="1:1" x14ac:dyDescent="0.25">
      <c r="A40" t="s">
        <v>1371</v>
      </c>
    </row>
    <row r="41" spans="1:1" x14ac:dyDescent="0.25">
      <c r="A41" t="s">
        <v>3827</v>
      </c>
    </row>
    <row r="42" spans="1:1" x14ac:dyDescent="0.25">
      <c r="A42" t="s">
        <v>3828</v>
      </c>
    </row>
    <row r="43" spans="1:1" x14ac:dyDescent="0.25">
      <c r="A43" t="s">
        <v>3829</v>
      </c>
    </row>
    <row r="44" spans="1:1" x14ac:dyDescent="0.25">
      <c r="A44" t="s">
        <v>3830</v>
      </c>
    </row>
    <row r="45" spans="1:1" x14ac:dyDescent="0.25">
      <c r="A45" t="s">
        <v>3831</v>
      </c>
    </row>
    <row r="46" spans="1:1" x14ac:dyDescent="0.25">
      <c r="A46" t="s">
        <v>593</v>
      </c>
    </row>
    <row r="47" spans="1:1" x14ac:dyDescent="0.25">
      <c r="A47" t="s">
        <v>3832</v>
      </c>
    </row>
    <row r="48" spans="1:1" x14ac:dyDescent="0.25">
      <c r="A48" t="s">
        <v>3833</v>
      </c>
    </row>
    <row r="49" spans="1:2" x14ac:dyDescent="0.25">
      <c r="A49" t="s">
        <v>478</v>
      </c>
    </row>
    <row r="50" spans="1:2" x14ac:dyDescent="0.25">
      <c r="A50" t="s">
        <v>1127</v>
      </c>
    </row>
    <row r="51" spans="1:2" x14ac:dyDescent="0.25">
      <c r="A51" t="s">
        <v>3834</v>
      </c>
    </row>
    <row r="52" spans="1:2" x14ac:dyDescent="0.25">
      <c r="A52" t="s">
        <v>3835</v>
      </c>
    </row>
    <row r="53" spans="1:2" x14ac:dyDescent="0.25">
      <c r="A53" t="s">
        <v>1129</v>
      </c>
    </row>
    <row r="54" spans="1:2" x14ac:dyDescent="0.25">
      <c r="A54" t="s">
        <v>1130</v>
      </c>
    </row>
    <row r="55" spans="1:2" x14ac:dyDescent="0.25">
      <c r="A55" t="s">
        <v>1131</v>
      </c>
    </row>
    <row r="56" spans="1:2" x14ac:dyDescent="0.25">
      <c r="A56" t="s">
        <v>3836</v>
      </c>
    </row>
    <row r="57" spans="1:2" x14ac:dyDescent="0.25">
      <c r="A57" t="s">
        <v>3837</v>
      </c>
    </row>
    <row r="58" spans="1:2" x14ac:dyDescent="0.25">
      <c r="B58" t="s">
        <v>597</v>
      </c>
    </row>
    <row r="59" spans="1:2" x14ac:dyDescent="0.25">
      <c r="A59" t="s">
        <v>1106</v>
      </c>
    </row>
    <row r="60" spans="1:2" x14ac:dyDescent="0.25">
      <c r="A60" t="s">
        <v>697</v>
      </c>
    </row>
    <row r="61" spans="1:2" x14ac:dyDescent="0.25">
      <c r="B61" t="s">
        <v>572</v>
      </c>
    </row>
    <row r="62" spans="1:2" x14ac:dyDescent="0.25">
      <c r="B62" t="s">
        <v>3838</v>
      </c>
    </row>
    <row r="63" spans="1:2" x14ac:dyDescent="0.25">
      <c r="B63" t="s">
        <v>3839</v>
      </c>
    </row>
    <row r="64" spans="1:2" x14ac:dyDescent="0.25">
      <c r="B64" t="s">
        <v>3840</v>
      </c>
    </row>
    <row r="65" spans="1:3" x14ac:dyDescent="0.25">
      <c r="B65" t="s">
        <v>3841</v>
      </c>
    </row>
    <row r="66" spans="1:3" x14ac:dyDescent="0.25">
      <c r="C66" t="s">
        <v>3842</v>
      </c>
    </row>
    <row r="67" spans="1:3" x14ac:dyDescent="0.25">
      <c r="B67" t="s">
        <v>624</v>
      </c>
    </row>
    <row r="68" spans="1:3" x14ac:dyDescent="0.25">
      <c r="C68" t="s">
        <v>3843</v>
      </c>
    </row>
    <row r="69" spans="1:3" x14ac:dyDescent="0.25">
      <c r="B69" t="s">
        <v>3844</v>
      </c>
    </row>
    <row r="70" spans="1:3" x14ac:dyDescent="0.25">
      <c r="C70" t="s">
        <v>3845</v>
      </c>
    </row>
    <row r="71" spans="1:3" x14ac:dyDescent="0.25">
      <c r="C71" t="s">
        <v>3846</v>
      </c>
    </row>
    <row r="72" spans="1:3" x14ac:dyDescent="0.25">
      <c r="B72" t="s">
        <v>3847</v>
      </c>
    </row>
    <row r="73" spans="1:3" x14ac:dyDescent="0.25">
      <c r="B73" t="s">
        <v>671</v>
      </c>
    </row>
    <row r="74" spans="1:3" x14ac:dyDescent="0.25">
      <c r="B74" t="s">
        <v>3838</v>
      </c>
    </row>
    <row r="75" spans="1:3" x14ac:dyDescent="0.25">
      <c r="A75" t="s">
        <v>3848</v>
      </c>
    </row>
    <row r="76" spans="1:3" x14ac:dyDescent="0.25">
      <c r="B76" t="s">
        <v>3849</v>
      </c>
    </row>
    <row r="77" spans="1:3" x14ac:dyDescent="0.25">
      <c r="A77" t="s">
        <v>594</v>
      </c>
    </row>
    <row r="78" spans="1:3" x14ac:dyDescent="0.25">
      <c r="B78" t="s">
        <v>595</v>
      </c>
    </row>
    <row r="79" spans="1:3" x14ac:dyDescent="0.25">
      <c r="A79" t="s">
        <v>3850</v>
      </c>
    </row>
    <row r="80" spans="1:3" x14ac:dyDescent="0.25">
      <c r="B80" t="s">
        <v>3851</v>
      </c>
    </row>
    <row r="81" spans="1:2" x14ac:dyDescent="0.25">
      <c r="B81" t="s">
        <v>3852</v>
      </c>
    </row>
    <row r="82" spans="1:2" x14ac:dyDescent="0.25">
      <c r="A82" t="s">
        <v>634</v>
      </c>
    </row>
    <row r="83" spans="1:2" x14ac:dyDescent="0.25">
      <c r="A83" t="s">
        <v>3853</v>
      </c>
    </row>
    <row r="85" spans="1:2" x14ac:dyDescent="0.25">
      <c r="A85" t="s">
        <v>3854</v>
      </c>
    </row>
    <row r="87" spans="1:2" x14ac:dyDescent="0.25">
      <c r="A87" t="s">
        <v>3855</v>
      </c>
    </row>
    <row r="88" spans="1:2" x14ac:dyDescent="0.25">
      <c r="A88" t="e">
        <f>-- DELETE FROM REG_AFFILIATION WHERE REG_AFFILIATION_ID = 466042</f>
        <v>#NAME?</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1"/>
  <sheetViews>
    <sheetView workbookViewId="0">
      <selection sqref="A1:B61"/>
    </sheetView>
  </sheetViews>
  <sheetFormatPr defaultRowHeight="15" x14ac:dyDescent="0.25"/>
  <sheetData>
    <row r="1" spans="1:1" x14ac:dyDescent="0.25">
      <c r="A1" t="s">
        <v>572</v>
      </c>
    </row>
    <row r="2" spans="1:1" x14ac:dyDescent="0.25">
      <c r="A2" t="s">
        <v>646</v>
      </c>
    </row>
    <row r="3" spans="1:1" x14ac:dyDescent="0.25">
      <c r="A3" t="s">
        <v>908</v>
      </c>
    </row>
    <row r="4" spans="1:1" x14ac:dyDescent="0.25">
      <c r="A4" t="s">
        <v>3567</v>
      </c>
    </row>
    <row r="6" spans="1:1" x14ac:dyDescent="0.25">
      <c r="A6" t="s">
        <v>244</v>
      </c>
    </row>
    <row r="7" spans="1:1" x14ac:dyDescent="0.25">
      <c r="A7" t="s">
        <v>2132</v>
      </c>
    </row>
    <row r="8" spans="1:1" x14ac:dyDescent="0.25">
      <c r="A8" t="s">
        <v>3568</v>
      </c>
    </row>
    <row r="10" spans="1:1" x14ac:dyDescent="0.25">
      <c r="A10" t="s">
        <v>572</v>
      </c>
    </row>
    <row r="11" spans="1:1" x14ac:dyDescent="0.25">
      <c r="A11" t="s">
        <v>646</v>
      </c>
    </row>
    <row r="12" spans="1:1" x14ac:dyDescent="0.25">
      <c r="A12" t="s">
        <v>1310</v>
      </c>
    </row>
    <row r="13" spans="1:1" x14ac:dyDescent="0.25">
      <c r="A13" t="s">
        <v>3569</v>
      </c>
    </row>
    <row r="15" spans="1:1" x14ac:dyDescent="0.25">
      <c r="A15" t="s">
        <v>3570</v>
      </c>
    </row>
    <row r="16" spans="1:1" x14ac:dyDescent="0.25">
      <c r="A16" t="e">
        <f>-- Steps that were actually executed</f>
        <v>#NAME?</v>
      </c>
    </row>
    <row r="17" spans="1:2" x14ac:dyDescent="0.25">
      <c r="A17" t="s">
        <v>2689</v>
      </c>
    </row>
    <row r="18" spans="1:2" x14ac:dyDescent="0.25">
      <c r="B18" t="s">
        <v>2690</v>
      </c>
    </row>
    <row r="19" spans="1:2" x14ac:dyDescent="0.25">
      <c r="A19" t="s">
        <v>2002</v>
      </c>
    </row>
    <row r="20" spans="1:2" x14ac:dyDescent="0.25">
      <c r="A20" t="s">
        <v>2161</v>
      </c>
    </row>
    <row r="21" spans="1:2" x14ac:dyDescent="0.25">
      <c r="A21" t="s">
        <v>2162</v>
      </c>
    </row>
    <row r="22" spans="1:2" x14ac:dyDescent="0.25">
      <c r="A22" t="s">
        <v>2163</v>
      </c>
    </row>
    <row r="23" spans="1:2" x14ac:dyDescent="0.25">
      <c r="A23" t="s">
        <v>2008</v>
      </c>
    </row>
    <row r="25" spans="1:2" x14ac:dyDescent="0.25">
      <c r="A25" t="e">
        <f>-- Possible step actions that could have taken place with this process</f>
        <v>#NAME?</v>
      </c>
    </row>
    <row r="26" spans="1:2" x14ac:dyDescent="0.25">
      <c r="A26" t="s">
        <v>2164</v>
      </c>
    </row>
    <row r="27" spans="1:2" x14ac:dyDescent="0.25">
      <c r="A27" t="s">
        <v>2165</v>
      </c>
    </row>
    <row r="28" spans="1:2" x14ac:dyDescent="0.25">
      <c r="B28" t="s">
        <v>2166</v>
      </c>
    </row>
    <row r="29" spans="1:2" x14ac:dyDescent="0.25">
      <c r="A29" t="s">
        <v>2167</v>
      </c>
    </row>
    <row r="30" spans="1:2" x14ac:dyDescent="0.25">
      <c r="A30" t="s">
        <v>2168</v>
      </c>
    </row>
    <row r="31" spans="1:2" x14ac:dyDescent="0.25">
      <c r="A31" t="s">
        <v>2169</v>
      </c>
    </row>
    <row r="32" spans="1:2" x14ac:dyDescent="0.25">
      <c r="A32" t="s">
        <v>2170</v>
      </c>
    </row>
    <row r="33" spans="1:2" x14ac:dyDescent="0.25">
      <c r="A33" t="s">
        <v>2095</v>
      </c>
    </row>
    <row r="34" spans="1:2" x14ac:dyDescent="0.25">
      <c r="A34" t="s">
        <v>2171</v>
      </c>
    </row>
    <row r="35" spans="1:2" x14ac:dyDescent="0.25">
      <c r="B35" t="s">
        <v>2166</v>
      </c>
    </row>
    <row r="36" spans="1:2" x14ac:dyDescent="0.25">
      <c r="A36" t="s">
        <v>2167</v>
      </c>
    </row>
    <row r="37" spans="1:2" x14ac:dyDescent="0.25">
      <c r="A37" t="s">
        <v>2168</v>
      </c>
    </row>
    <row r="38" spans="1:2" x14ac:dyDescent="0.25">
      <c r="A38" t="s">
        <v>2172</v>
      </c>
    </row>
    <row r="39" spans="1:2" x14ac:dyDescent="0.25">
      <c r="A39" t="s">
        <v>2173</v>
      </c>
    </row>
    <row r="40" spans="1:2" x14ac:dyDescent="0.25">
      <c r="B40" t="s">
        <v>2174</v>
      </c>
    </row>
    <row r="41" spans="1:2" x14ac:dyDescent="0.25">
      <c r="B41" t="s">
        <v>2167</v>
      </c>
    </row>
    <row r="42" spans="1:2" x14ac:dyDescent="0.25">
      <c r="B42" t="s">
        <v>2169</v>
      </c>
    </row>
    <row r="43" spans="1:2" x14ac:dyDescent="0.25">
      <c r="B43" t="s">
        <v>2175</v>
      </c>
    </row>
    <row r="44" spans="1:2" x14ac:dyDescent="0.25">
      <c r="B44" t="s">
        <v>698</v>
      </c>
    </row>
    <row r="45" spans="1:2" x14ac:dyDescent="0.25">
      <c r="A45" t="s">
        <v>2176</v>
      </c>
    </row>
    <row r="47" spans="1:2" x14ac:dyDescent="0.25">
      <c r="A47" t="s">
        <v>3571</v>
      </c>
    </row>
    <row r="48" spans="1:2" x14ac:dyDescent="0.25">
      <c r="A48" t="s">
        <v>3572</v>
      </c>
    </row>
    <row r="50" spans="1:2" x14ac:dyDescent="0.25">
      <c r="A50" t="s">
        <v>3573</v>
      </c>
    </row>
    <row r="51" spans="1:2" x14ac:dyDescent="0.25">
      <c r="A51" t="s">
        <v>3574</v>
      </c>
    </row>
    <row r="53" spans="1:2" x14ac:dyDescent="0.25">
      <c r="A53" t="s">
        <v>254</v>
      </c>
    </row>
    <row r="54" spans="1:2" x14ac:dyDescent="0.25">
      <c r="A54" t="s">
        <v>3575</v>
      </c>
    </row>
    <row r="55" spans="1:2" x14ac:dyDescent="0.25">
      <c r="A55" t="s">
        <v>2711</v>
      </c>
    </row>
    <row r="56" spans="1:2" x14ac:dyDescent="0.25">
      <c r="A56" t="s">
        <v>3572</v>
      </c>
    </row>
    <row r="57" spans="1:2" x14ac:dyDescent="0.25">
      <c r="A57" t="s">
        <v>258</v>
      </c>
    </row>
    <row r="59" spans="1:2" x14ac:dyDescent="0.25">
      <c r="A59" t="s">
        <v>3576</v>
      </c>
    </row>
    <row r="60" spans="1:2" x14ac:dyDescent="0.25">
      <c r="A60" t="s">
        <v>3577</v>
      </c>
      <c r="B60" t="s">
        <v>3578</v>
      </c>
    </row>
    <row r="61" spans="1:2" x14ac:dyDescent="0.25">
      <c r="A61" t="s">
        <v>3579</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workbookViewId="0">
      <selection sqref="A1:B83"/>
    </sheetView>
  </sheetViews>
  <sheetFormatPr defaultRowHeight="15" x14ac:dyDescent="0.25"/>
  <sheetData>
    <row r="1" spans="1:1" x14ac:dyDescent="0.25">
      <c r="A1" t="s">
        <v>2453</v>
      </c>
    </row>
    <row r="2" spans="1:1" x14ac:dyDescent="0.25">
      <c r="A2" t="s">
        <v>3421</v>
      </c>
    </row>
    <row r="3" spans="1:1" x14ac:dyDescent="0.25">
      <c r="A3" t="s">
        <v>3422</v>
      </c>
    </row>
    <row r="4" spans="1:1" x14ac:dyDescent="0.25">
      <c r="A4" t="s">
        <v>538</v>
      </c>
    </row>
    <row r="5" spans="1:1" x14ac:dyDescent="0.25">
      <c r="A5" t="s">
        <v>3423</v>
      </c>
    </row>
    <row r="6" spans="1:1" x14ac:dyDescent="0.25">
      <c r="A6" t="s">
        <v>3424</v>
      </c>
    </row>
    <row r="7" spans="1:1" x14ac:dyDescent="0.25">
      <c r="A7" t="s">
        <v>611</v>
      </c>
    </row>
    <row r="8" spans="1:1" x14ac:dyDescent="0.25">
      <c r="A8" t="s">
        <v>3425</v>
      </c>
    </row>
    <row r="9" spans="1:1" x14ac:dyDescent="0.25">
      <c r="A9" t="s">
        <v>3426</v>
      </c>
    </row>
    <row r="10" spans="1:1" x14ac:dyDescent="0.25">
      <c r="A10" t="s">
        <v>3427</v>
      </c>
    </row>
    <row r="11" spans="1:1" x14ac:dyDescent="0.25">
      <c r="A11" t="s">
        <v>3428</v>
      </c>
    </row>
    <row r="13" spans="1:1" x14ac:dyDescent="0.25">
      <c r="A13" t="s">
        <v>254</v>
      </c>
    </row>
    <row r="14" spans="1:1" x14ac:dyDescent="0.25">
      <c r="A14" t="s">
        <v>3754</v>
      </c>
    </row>
    <row r="15" spans="1:1" x14ac:dyDescent="0.25">
      <c r="A15" t="s">
        <v>3755</v>
      </c>
    </row>
    <row r="16" spans="1:1" x14ac:dyDescent="0.25">
      <c r="A16" t="s">
        <v>3756</v>
      </c>
    </row>
    <row r="18" spans="1:2" x14ac:dyDescent="0.25">
      <c r="A18" t="s">
        <v>3429</v>
      </c>
    </row>
    <row r="19" spans="1:2" x14ac:dyDescent="0.25">
      <c r="A19" t="s">
        <v>3757</v>
      </c>
    </row>
    <row r="20" spans="1:2" x14ac:dyDescent="0.25">
      <c r="A20" t="s">
        <v>3430</v>
      </c>
    </row>
    <row r="21" spans="1:2" x14ac:dyDescent="0.25">
      <c r="A21" t="s">
        <v>258</v>
      </c>
    </row>
    <row r="23" spans="1:2" x14ac:dyDescent="0.25">
      <c r="A23" t="s">
        <v>572</v>
      </c>
    </row>
    <row r="24" spans="1:2" x14ac:dyDescent="0.25">
      <c r="A24" t="s">
        <v>3131</v>
      </c>
    </row>
    <row r="25" spans="1:2" x14ac:dyDescent="0.25">
      <c r="A25" t="s">
        <v>593</v>
      </c>
    </row>
    <row r="26" spans="1:2" x14ac:dyDescent="0.25">
      <c r="A26" t="s">
        <v>815</v>
      </c>
    </row>
    <row r="27" spans="1:2" x14ac:dyDescent="0.25">
      <c r="B27" t="s">
        <v>597</v>
      </c>
    </row>
    <row r="28" spans="1:2" x14ac:dyDescent="0.25">
      <c r="A28" t="s">
        <v>3431</v>
      </c>
    </row>
    <row r="29" spans="1:2" x14ac:dyDescent="0.25">
      <c r="B29" t="s">
        <v>3432</v>
      </c>
    </row>
    <row r="31" spans="1:2" x14ac:dyDescent="0.25">
      <c r="A31" t="s">
        <v>538</v>
      </c>
    </row>
    <row r="32" spans="1:2" x14ac:dyDescent="0.25">
      <c r="A32" t="s">
        <v>646</v>
      </c>
    </row>
    <row r="33" spans="1:2" x14ac:dyDescent="0.25">
      <c r="A33" t="s">
        <v>2764</v>
      </c>
    </row>
    <row r="34" spans="1:2" x14ac:dyDescent="0.25">
      <c r="A34" t="s">
        <v>3433</v>
      </c>
    </row>
    <row r="35" spans="1:2" x14ac:dyDescent="0.25">
      <c r="B35" t="s">
        <v>3434</v>
      </c>
    </row>
    <row r="37" spans="1:2" x14ac:dyDescent="0.25">
      <c r="A37" t="s">
        <v>572</v>
      </c>
    </row>
    <row r="38" spans="1:2" x14ac:dyDescent="0.25">
      <c r="A38" t="s">
        <v>646</v>
      </c>
    </row>
    <row r="39" spans="1:2" x14ac:dyDescent="0.25">
      <c r="A39" t="s">
        <v>734</v>
      </c>
    </row>
    <row r="40" spans="1:2" x14ac:dyDescent="0.25">
      <c r="A40" t="s">
        <v>3435</v>
      </c>
    </row>
    <row r="41" spans="1:2" x14ac:dyDescent="0.25">
      <c r="B41" t="s">
        <v>3436</v>
      </c>
    </row>
    <row r="43" spans="1:2" x14ac:dyDescent="0.25">
      <c r="A43" t="s">
        <v>254</v>
      </c>
    </row>
    <row r="44" spans="1:2" x14ac:dyDescent="0.25">
      <c r="A44" t="s">
        <v>3437</v>
      </c>
    </row>
    <row r="45" spans="1:2" x14ac:dyDescent="0.25">
      <c r="A45" t="s">
        <v>3438</v>
      </c>
    </row>
    <row r="46" spans="1:2" x14ac:dyDescent="0.25">
      <c r="A46" t="s">
        <v>608</v>
      </c>
    </row>
    <row r="47" spans="1:2" x14ac:dyDescent="0.25">
      <c r="B47">
        <v>110128</v>
      </c>
    </row>
    <row r="48" spans="1:2" x14ac:dyDescent="0.25">
      <c r="B48" t="s">
        <v>3439</v>
      </c>
    </row>
    <row r="49" spans="1:2" x14ac:dyDescent="0.25">
      <c r="B49" t="s">
        <v>1038</v>
      </c>
    </row>
    <row r="50" spans="1:2" x14ac:dyDescent="0.25">
      <c r="B50" t="s">
        <v>1039</v>
      </c>
    </row>
    <row r="51" spans="1:2" x14ac:dyDescent="0.25">
      <c r="B51" t="s">
        <v>1039</v>
      </c>
    </row>
    <row r="52" spans="1:2" x14ac:dyDescent="0.25">
      <c r="B52" t="s">
        <v>3440</v>
      </c>
    </row>
    <row r="53" spans="1:2" x14ac:dyDescent="0.25">
      <c r="B53" t="s">
        <v>3441</v>
      </c>
    </row>
    <row r="55" spans="1:2" x14ac:dyDescent="0.25">
      <c r="A55" t="s">
        <v>3442</v>
      </c>
    </row>
    <row r="56" spans="1:2" x14ac:dyDescent="0.25">
      <c r="A56" t="s">
        <v>3443</v>
      </c>
    </row>
    <row r="57" spans="1:2" x14ac:dyDescent="0.25">
      <c r="A57" t="s">
        <v>3444</v>
      </c>
    </row>
    <row r="58" spans="1:2" x14ac:dyDescent="0.25">
      <c r="B58">
        <v>123881</v>
      </c>
    </row>
    <row r="59" spans="1:2" x14ac:dyDescent="0.25">
      <c r="B59" t="s">
        <v>3445</v>
      </c>
    </row>
    <row r="60" spans="1:2" x14ac:dyDescent="0.25">
      <c r="B60" t="s">
        <v>3439</v>
      </c>
    </row>
    <row r="61" spans="1:2" x14ac:dyDescent="0.25">
      <c r="B61" t="s">
        <v>3446</v>
      </c>
    </row>
    <row r="62" spans="1:2" x14ac:dyDescent="0.25">
      <c r="B62" t="s">
        <v>3447</v>
      </c>
    </row>
    <row r="64" spans="1:2" x14ac:dyDescent="0.25">
      <c r="A64" t="s">
        <v>258</v>
      </c>
    </row>
    <row r="66" spans="1:2" x14ac:dyDescent="0.25">
      <c r="A66" t="s">
        <v>3448</v>
      </c>
    </row>
    <row r="68" spans="1:2" x14ac:dyDescent="0.25">
      <c r="A68" t="s">
        <v>3449</v>
      </c>
    </row>
    <row r="70" spans="1:2" x14ac:dyDescent="0.25">
      <c r="A70" t="s">
        <v>3450</v>
      </c>
    </row>
    <row r="72" spans="1:2" x14ac:dyDescent="0.25">
      <c r="A72" t="s">
        <v>572</v>
      </c>
    </row>
    <row r="73" spans="1:2" x14ac:dyDescent="0.25">
      <c r="A73" t="s">
        <v>646</v>
      </c>
    </row>
    <row r="74" spans="1:2" x14ac:dyDescent="0.25">
      <c r="A74" t="s">
        <v>1350</v>
      </c>
    </row>
    <row r="75" spans="1:2" x14ac:dyDescent="0.25">
      <c r="A75" t="s">
        <v>3451</v>
      </c>
    </row>
    <row r="76" spans="1:2" x14ac:dyDescent="0.25">
      <c r="B76" t="s">
        <v>3452</v>
      </c>
    </row>
    <row r="77" spans="1:2" x14ac:dyDescent="0.25">
      <c r="A77" t="s">
        <v>1189</v>
      </c>
      <c r="B77">
        <v>6960</v>
      </c>
    </row>
    <row r="79" spans="1:2" x14ac:dyDescent="0.25">
      <c r="A79" t="s">
        <v>572</v>
      </c>
    </row>
    <row r="80" spans="1:2" x14ac:dyDescent="0.25">
      <c r="A80" t="s">
        <v>646</v>
      </c>
    </row>
    <row r="81" spans="1:2" x14ac:dyDescent="0.25">
      <c r="A81" t="s">
        <v>245</v>
      </c>
    </row>
    <row r="82" spans="1:2" x14ac:dyDescent="0.25">
      <c r="A82" t="s">
        <v>3453</v>
      </c>
    </row>
    <row r="83" spans="1:2" x14ac:dyDescent="0.25">
      <c r="B83" t="s">
        <v>3454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Views>
    <sheetView workbookViewId="0">
      <selection sqref="A1:E91"/>
    </sheetView>
  </sheetViews>
  <sheetFormatPr defaultRowHeight="15" x14ac:dyDescent="0.25"/>
  <sheetData>
    <row r="1" spans="1:2" x14ac:dyDescent="0.25">
      <c r="A1" t="s">
        <v>572</v>
      </c>
    </row>
    <row r="2" spans="1:2" x14ac:dyDescent="0.25">
      <c r="A2" t="s">
        <v>573</v>
      </c>
    </row>
    <row r="3" spans="1:2" x14ac:dyDescent="0.25">
      <c r="A3" t="s">
        <v>2513</v>
      </c>
    </row>
    <row r="4" spans="1:2" x14ac:dyDescent="0.25">
      <c r="A4" t="s">
        <v>1569</v>
      </c>
    </row>
    <row r="5" spans="1:2" x14ac:dyDescent="0.25">
      <c r="A5" t="s">
        <v>2560</v>
      </c>
    </row>
    <row r="6" spans="1:2" x14ac:dyDescent="0.25">
      <c r="A6" t="s">
        <v>3758</v>
      </c>
    </row>
    <row r="7" spans="1:2" x14ac:dyDescent="0.25">
      <c r="B7" t="s">
        <v>4003</v>
      </c>
    </row>
    <row r="8" spans="1:2" x14ac:dyDescent="0.25">
      <c r="A8" t="s">
        <v>4004</v>
      </c>
    </row>
    <row r="9" spans="1:2" x14ac:dyDescent="0.25">
      <c r="B9" t="s">
        <v>4005</v>
      </c>
    </row>
    <row r="10" spans="1:2" x14ac:dyDescent="0.25">
      <c r="A10" t="s">
        <v>671</v>
      </c>
    </row>
    <row r="11" spans="1:2" x14ac:dyDescent="0.25">
      <c r="A11" t="s">
        <v>573</v>
      </c>
    </row>
    <row r="12" spans="1:2" x14ac:dyDescent="0.25">
      <c r="A12" t="s">
        <v>2513</v>
      </c>
    </row>
    <row r="13" spans="1:2" x14ac:dyDescent="0.25">
      <c r="A13" t="s">
        <v>447</v>
      </c>
    </row>
    <row r="14" spans="1:2" x14ac:dyDescent="0.25">
      <c r="A14" t="s">
        <v>4006</v>
      </c>
    </row>
    <row r="16" spans="1:2" x14ac:dyDescent="0.25">
      <c r="A16" t="s">
        <v>4007</v>
      </c>
    </row>
    <row r="17" spans="1:2" x14ac:dyDescent="0.25">
      <c r="A17" t="s">
        <v>1945</v>
      </c>
    </row>
    <row r="18" spans="1:2" x14ac:dyDescent="0.25">
      <c r="A18" t="s">
        <v>4004</v>
      </c>
    </row>
    <row r="19" spans="1:2" x14ac:dyDescent="0.25">
      <c r="B19" t="s">
        <v>4005</v>
      </c>
    </row>
    <row r="21" spans="1:2" x14ac:dyDescent="0.25">
      <c r="A21" t="s">
        <v>572</v>
      </c>
    </row>
    <row r="22" spans="1:2" x14ac:dyDescent="0.25">
      <c r="A22" t="s">
        <v>646</v>
      </c>
    </row>
    <row r="23" spans="1:2" x14ac:dyDescent="0.25">
      <c r="A23" t="s">
        <v>4008</v>
      </c>
    </row>
    <row r="24" spans="1:2" x14ac:dyDescent="0.25">
      <c r="A24" t="s">
        <v>4009</v>
      </c>
    </row>
    <row r="26" spans="1:2" x14ac:dyDescent="0.25">
      <c r="A26" t="s">
        <v>4010</v>
      </c>
    </row>
    <row r="28" spans="1:2" x14ac:dyDescent="0.25">
      <c r="A28" t="s">
        <v>4011</v>
      </c>
    </row>
    <row r="29" spans="1:2" x14ac:dyDescent="0.25">
      <c r="A29" t="s">
        <v>4012</v>
      </c>
    </row>
    <row r="31" spans="1:2" x14ac:dyDescent="0.25">
      <c r="A31" t="s">
        <v>538</v>
      </c>
    </row>
    <row r="32" spans="1:2" x14ac:dyDescent="0.25">
      <c r="A32" t="s">
        <v>646</v>
      </c>
    </row>
    <row r="33" spans="1:2" x14ac:dyDescent="0.25">
      <c r="A33" t="s">
        <v>4013</v>
      </c>
    </row>
    <row r="34" spans="1:2" x14ac:dyDescent="0.25">
      <c r="A34" t="s">
        <v>4014</v>
      </c>
    </row>
    <row r="35" spans="1:2" x14ac:dyDescent="0.25">
      <c r="B35" t="s">
        <v>4015</v>
      </c>
    </row>
    <row r="37" spans="1:2" x14ac:dyDescent="0.25">
      <c r="A37" t="s">
        <v>4016</v>
      </c>
    </row>
    <row r="39" spans="1:2" x14ac:dyDescent="0.25">
      <c r="A39" t="s">
        <v>254</v>
      </c>
    </row>
    <row r="40" spans="1:2" x14ac:dyDescent="0.25">
      <c r="A40" t="s">
        <v>607</v>
      </c>
    </row>
    <row r="41" spans="1:2" x14ac:dyDescent="0.25">
      <c r="A41" t="s">
        <v>4017</v>
      </c>
    </row>
    <row r="42" spans="1:2" x14ac:dyDescent="0.25">
      <c r="A42" t="s">
        <v>4018</v>
      </c>
    </row>
    <row r="43" spans="1:2" x14ac:dyDescent="0.25">
      <c r="A43" t="s">
        <v>4019</v>
      </c>
    </row>
    <row r="44" spans="1:2" x14ac:dyDescent="0.25">
      <c r="A44" t="s">
        <v>4020</v>
      </c>
    </row>
    <row r="46" spans="1:2" x14ac:dyDescent="0.25">
      <c r="A46" t="s">
        <v>4021</v>
      </c>
    </row>
    <row r="47" spans="1:2" x14ac:dyDescent="0.25">
      <c r="A47" t="s">
        <v>258</v>
      </c>
    </row>
    <row r="49" spans="1:3" x14ac:dyDescent="0.25">
      <c r="A49" t="s">
        <v>572</v>
      </c>
    </row>
    <row r="50" spans="1:3" x14ac:dyDescent="0.25">
      <c r="A50" t="s">
        <v>646</v>
      </c>
    </row>
    <row r="51" spans="1:3" x14ac:dyDescent="0.25">
      <c r="A51" t="s">
        <v>4022</v>
      </c>
    </row>
    <row r="52" spans="1:3" x14ac:dyDescent="0.25">
      <c r="A52" t="s">
        <v>4023</v>
      </c>
    </row>
    <row r="53" spans="1:3" x14ac:dyDescent="0.25">
      <c r="B53">
        <v>48797</v>
      </c>
      <c r="C53" t="s">
        <v>4024</v>
      </c>
    </row>
    <row r="54" spans="1:3" x14ac:dyDescent="0.25">
      <c r="B54" t="s">
        <v>4025</v>
      </c>
      <c r="C54" t="s">
        <v>4026</v>
      </c>
    </row>
    <row r="55" spans="1:3" x14ac:dyDescent="0.25">
      <c r="B55" t="s">
        <v>698</v>
      </c>
    </row>
    <row r="56" spans="1:3" x14ac:dyDescent="0.25">
      <c r="A56" t="s">
        <v>672</v>
      </c>
    </row>
    <row r="57" spans="1:3" x14ac:dyDescent="0.25">
      <c r="A57" t="s">
        <v>415</v>
      </c>
    </row>
    <row r="58" spans="1:3" x14ac:dyDescent="0.25">
      <c r="A58" t="s">
        <v>1656</v>
      </c>
    </row>
    <row r="60" spans="1:3" x14ac:dyDescent="0.25">
      <c r="A60" t="s">
        <v>572</v>
      </c>
    </row>
    <row r="61" spans="1:3" x14ac:dyDescent="0.25">
      <c r="A61" t="s">
        <v>646</v>
      </c>
    </row>
    <row r="62" spans="1:3" x14ac:dyDescent="0.25">
      <c r="A62" t="s">
        <v>1945</v>
      </c>
    </row>
    <row r="63" spans="1:3" x14ac:dyDescent="0.25">
      <c r="A63" t="s">
        <v>4027</v>
      </c>
    </row>
    <row r="67" spans="1:2" x14ac:dyDescent="0.25">
      <c r="A67" t="s">
        <v>572</v>
      </c>
    </row>
    <row r="68" spans="1:2" x14ac:dyDescent="0.25">
      <c r="A68" t="s">
        <v>3365</v>
      </c>
    </row>
    <row r="69" spans="1:2" x14ac:dyDescent="0.25">
      <c r="A69" t="s">
        <v>4028</v>
      </c>
    </row>
    <row r="70" spans="1:2" x14ac:dyDescent="0.25">
      <c r="A70" t="s">
        <v>4029</v>
      </c>
    </row>
    <row r="71" spans="1:2" x14ac:dyDescent="0.25">
      <c r="A71" t="s">
        <v>4030</v>
      </c>
    </row>
    <row r="72" spans="1:2" x14ac:dyDescent="0.25">
      <c r="A72" t="s">
        <v>4031</v>
      </c>
    </row>
    <row r="73" spans="1:2" x14ac:dyDescent="0.25">
      <c r="A73" t="s">
        <v>4032</v>
      </c>
    </row>
    <row r="74" spans="1:2" x14ac:dyDescent="0.25">
      <c r="A74" t="s">
        <v>4033</v>
      </c>
    </row>
    <row r="75" spans="1:2" x14ac:dyDescent="0.25">
      <c r="A75" t="s">
        <v>4034</v>
      </c>
    </row>
    <row r="76" spans="1:2" x14ac:dyDescent="0.25">
      <c r="B76" t="s">
        <v>4035</v>
      </c>
    </row>
    <row r="77" spans="1:2" x14ac:dyDescent="0.25">
      <c r="A77" t="s">
        <v>4036</v>
      </c>
    </row>
    <row r="79" spans="1:2" x14ac:dyDescent="0.25">
      <c r="A79" t="s">
        <v>4037</v>
      </c>
      <c r="B79">
        <f>-- 25970</f>
        <v>25970</v>
      </c>
    </row>
    <row r="81" spans="1:5" x14ac:dyDescent="0.25">
      <c r="A81" t="s">
        <v>4038</v>
      </c>
    </row>
    <row r="83" spans="1:5" x14ac:dyDescent="0.25">
      <c r="A83" t="s">
        <v>4039</v>
      </c>
    </row>
    <row r="84" spans="1:5" x14ac:dyDescent="0.25">
      <c r="B84">
        <v>134757</v>
      </c>
      <c r="C84" t="e">
        <f>-- WYATT</f>
        <v>#NAME?</v>
      </c>
      <c r="D84" t="s">
        <v>4040</v>
      </c>
      <c r="E84" t="s">
        <v>4041</v>
      </c>
    </row>
    <row r="85" spans="1:5" x14ac:dyDescent="0.25">
      <c r="B85" t="s">
        <v>4042</v>
      </c>
      <c r="C85" t="e">
        <f>-- David</f>
        <v>#NAME?</v>
      </c>
      <c r="D85" t="s">
        <v>4040</v>
      </c>
      <c r="E85" t="s">
        <v>4043</v>
      </c>
    </row>
    <row r="86" spans="1:5" x14ac:dyDescent="0.25">
      <c r="B86" t="s">
        <v>698</v>
      </c>
    </row>
    <row r="88" spans="1:5" x14ac:dyDescent="0.25">
      <c r="B88" t="s">
        <v>697</v>
      </c>
    </row>
    <row r="89" spans="1:5" x14ac:dyDescent="0.25">
      <c r="B89">
        <v>134461</v>
      </c>
      <c r="C89" t="e">
        <f>-- Samuel</f>
        <v>#NAME?</v>
      </c>
      <c r="D89" t="s">
        <v>4040</v>
      </c>
      <c r="E89" t="s">
        <v>4044</v>
      </c>
    </row>
    <row r="90" spans="1:5" x14ac:dyDescent="0.25">
      <c r="B90" t="s">
        <v>4045</v>
      </c>
      <c r="C90" t="e">
        <f>-- THUY</f>
        <v>#NAME?</v>
      </c>
      <c r="D90" t="s">
        <v>4046</v>
      </c>
      <c r="E90" t="s">
        <v>4047</v>
      </c>
    </row>
    <row r="91" spans="1:5" x14ac:dyDescent="0.25">
      <c r="B91" t="s">
        <v>698</v>
      </c>
    </row>
    <row r="92" spans="1:5" x14ac:dyDescent="0.25">
      <c r="A92" t="s">
        <v>572</v>
      </c>
    </row>
    <row r="93" spans="1:5" x14ac:dyDescent="0.25">
      <c r="A93" t="s">
        <v>3666</v>
      </c>
    </row>
    <row r="94" spans="1:5" x14ac:dyDescent="0.25">
      <c r="A94" t="s">
        <v>3667</v>
      </c>
    </row>
    <row r="95" spans="1:5" x14ac:dyDescent="0.25">
      <c r="A95" t="s">
        <v>3668</v>
      </c>
    </row>
    <row r="96" spans="1:5" x14ac:dyDescent="0.25">
      <c r="A96" t="s">
        <v>2560</v>
      </c>
    </row>
    <row r="97" spans="1:2" x14ac:dyDescent="0.25">
      <c r="A97" t="s">
        <v>3669</v>
      </c>
    </row>
    <row r="98" spans="1:2" x14ac:dyDescent="0.25">
      <c r="B98" t="s">
        <v>2606</v>
      </c>
    </row>
    <row r="99" spans="1:2" x14ac:dyDescent="0.25">
      <c r="A99" t="s">
        <v>671</v>
      </c>
    </row>
    <row r="100" spans="1:2" x14ac:dyDescent="0.25">
      <c r="A100" t="s">
        <v>3666</v>
      </c>
    </row>
    <row r="101" spans="1:2" x14ac:dyDescent="0.25">
      <c r="A101" t="s">
        <v>3670</v>
      </c>
    </row>
    <row r="104" spans="1:2" x14ac:dyDescent="0.25">
      <c r="A104" t="s">
        <v>3671</v>
      </c>
    </row>
    <row r="107" spans="1:2" x14ac:dyDescent="0.25">
      <c r="A107" t="s">
        <v>3672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8"/>
  <sheetViews>
    <sheetView workbookViewId="0">
      <selection sqref="A1:B138"/>
    </sheetView>
  </sheetViews>
  <sheetFormatPr defaultRowHeight="15" x14ac:dyDescent="0.25"/>
  <sheetData>
    <row r="1" spans="1:2" x14ac:dyDescent="0.25">
      <c r="A1" t="s">
        <v>4048</v>
      </c>
    </row>
    <row r="2" spans="1:2" x14ac:dyDescent="0.25">
      <c r="A2" t="s">
        <v>4049</v>
      </c>
    </row>
    <row r="4" spans="1:2" x14ac:dyDescent="0.25">
      <c r="A4" t="s">
        <v>4050</v>
      </c>
    </row>
    <row r="5" spans="1:2" x14ac:dyDescent="0.25">
      <c r="A5" t="s">
        <v>4051</v>
      </c>
    </row>
    <row r="7" spans="1:2" x14ac:dyDescent="0.25">
      <c r="A7" t="s">
        <v>4052</v>
      </c>
    </row>
    <row r="8" spans="1:2" x14ac:dyDescent="0.25">
      <c r="A8" t="s">
        <v>4053</v>
      </c>
    </row>
    <row r="9" spans="1:2" x14ac:dyDescent="0.25">
      <c r="B9" t="s">
        <v>4054</v>
      </c>
    </row>
    <row r="10" spans="1:2" x14ac:dyDescent="0.25">
      <c r="A10" t="s">
        <v>4055</v>
      </c>
    </row>
    <row r="12" spans="1:2" x14ac:dyDescent="0.25">
      <c r="A12" t="s">
        <v>4056</v>
      </c>
    </row>
    <row r="13" spans="1:2" x14ac:dyDescent="0.25">
      <c r="A13" t="s">
        <v>4057</v>
      </c>
    </row>
    <row r="15" spans="1:2" x14ac:dyDescent="0.25">
      <c r="A15" t="s">
        <v>607</v>
      </c>
    </row>
    <row r="16" spans="1:2" x14ac:dyDescent="0.25">
      <c r="A16" t="s">
        <v>1912</v>
      </c>
    </row>
    <row r="18" spans="1:1" x14ac:dyDescent="0.25">
      <c r="A18" t="s">
        <v>4058</v>
      </c>
    </row>
    <row r="19" spans="1:1" x14ac:dyDescent="0.25">
      <c r="A19" t="s">
        <v>4059</v>
      </c>
    </row>
    <row r="20" spans="1:1" x14ac:dyDescent="0.25">
      <c r="A20" t="s">
        <v>254</v>
      </c>
    </row>
    <row r="21" spans="1:1" x14ac:dyDescent="0.25">
      <c r="A21" t="s">
        <v>4060</v>
      </c>
    </row>
    <row r="22" spans="1:1" x14ac:dyDescent="0.25">
      <c r="A22" t="s">
        <v>4061</v>
      </c>
    </row>
    <row r="23" spans="1:1" x14ac:dyDescent="0.25">
      <c r="A23" t="s">
        <v>4062</v>
      </c>
    </row>
    <row r="24" spans="1:1" x14ac:dyDescent="0.25">
      <c r="A24" t="s">
        <v>258</v>
      </c>
    </row>
    <row r="26" spans="1:1" x14ac:dyDescent="0.25">
      <c r="A26" t="s">
        <v>4063</v>
      </c>
    </row>
    <row r="27" spans="1:1" x14ac:dyDescent="0.25">
      <c r="A27" t="s">
        <v>4063</v>
      </c>
    </row>
    <row r="29" spans="1:1" x14ac:dyDescent="0.25">
      <c r="A29" t="s">
        <v>538</v>
      </c>
    </row>
    <row r="30" spans="1:1" x14ac:dyDescent="0.25">
      <c r="A30" t="s">
        <v>4064</v>
      </c>
    </row>
    <row r="31" spans="1:1" x14ac:dyDescent="0.25">
      <c r="A31" t="s">
        <v>1569</v>
      </c>
    </row>
    <row r="32" spans="1:1" x14ac:dyDescent="0.25">
      <c r="A32" t="s">
        <v>2358</v>
      </c>
    </row>
    <row r="33" spans="1:1" x14ac:dyDescent="0.25">
      <c r="A33" t="s">
        <v>4065</v>
      </c>
    </row>
    <row r="34" spans="1:1" x14ac:dyDescent="0.25">
      <c r="A34" t="s">
        <v>671</v>
      </c>
    </row>
    <row r="35" spans="1:1" x14ac:dyDescent="0.25">
      <c r="A35" t="s">
        <v>4066</v>
      </c>
    </row>
    <row r="37" spans="1:1" x14ac:dyDescent="0.25">
      <c r="A37" t="s">
        <v>4067</v>
      </c>
    </row>
    <row r="40" spans="1:1" x14ac:dyDescent="0.25">
      <c r="A40" t="s">
        <v>4068</v>
      </c>
    </row>
    <row r="41" spans="1:1" x14ac:dyDescent="0.25">
      <c r="A41" t="s">
        <v>4069</v>
      </c>
    </row>
    <row r="42" spans="1:1" x14ac:dyDescent="0.25">
      <c r="A42" t="s">
        <v>4070</v>
      </c>
    </row>
    <row r="43" spans="1:1" x14ac:dyDescent="0.25">
      <c r="A43" t="e">
        <f>-- is a DCS Submission supposed to already have a medicaid Id</f>
        <v>#NAME?</v>
      </c>
    </row>
    <row r="45" spans="1:1" x14ac:dyDescent="0.25">
      <c r="A45" t="s">
        <v>4071</v>
      </c>
    </row>
    <row r="47" spans="1:1" x14ac:dyDescent="0.25">
      <c r="A47" t="s">
        <v>4072</v>
      </c>
    </row>
    <row r="48" spans="1:1" x14ac:dyDescent="0.25">
      <c r="A48" t="s">
        <v>4073</v>
      </c>
    </row>
    <row r="50" spans="1:2" x14ac:dyDescent="0.25">
      <c r="A50" t="s">
        <v>4074</v>
      </c>
      <c r="B50">
        <f>-- 63103</f>
        <v>63103</v>
      </c>
    </row>
    <row r="52" spans="1:2" x14ac:dyDescent="0.25">
      <c r="A52" t="s">
        <v>4075</v>
      </c>
    </row>
    <row r="53" spans="1:2" x14ac:dyDescent="0.25">
      <c r="A53" t="s">
        <v>2361</v>
      </c>
    </row>
    <row r="54" spans="1:2" x14ac:dyDescent="0.25">
      <c r="A54" t="s">
        <v>240</v>
      </c>
    </row>
    <row r="55" spans="1:2" x14ac:dyDescent="0.25">
      <c r="A55" t="s">
        <v>2361</v>
      </c>
    </row>
    <row r="56" spans="1:2" x14ac:dyDescent="0.25">
      <c r="B56" t="s">
        <v>4076</v>
      </c>
    </row>
    <row r="58" spans="1:2" x14ac:dyDescent="0.25">
      <c r="A58" t="s">
        <v>254</v>
      </c>
    </row>
    <row r="59" spans="1:2" x14ac:dyDescent="0.25">
      <c r="A59" t="s">
        <v>2371</v>
      </c>
    </row>
    <row r="60" spans="1:2" x14ac:dyDescent="0.25">
      <c r="A60" t="s">
        <v>2372</v>
      </c>
    </row>
    <row r="61" spans="1:2" x14ac:dyDescent="0.25">
      <c r="A61" t="s">
        <v>4077</v>
      </c>
    </row>
    <row r="62" spans="1:2" x14ac:dyDescent="0.25">
      <c r="A62" t="s">
        <v>4078</v>
      </c>
    </row>
    <row r="64" spans="1:2" x14ac:dyDescent="0.25">
      <c r="A64" t="s">
        <v>2371</v>
      </c>
    </row>
    <row r="65" spans="1:2" x14ac:dyDescent="0.25">
      <c r="A65" t="s">
        <v>4079</v>
      </c>
    </row>
    <row r="66" spans="1:2" x14ac:dyDescent="0.25">
      <c r="A66" t="s">
        <v>4077</v>
      </c>
    </row>
    <row r="67" spans="1:2" x14ac:dyDescent="0.25">
      <c r="A67" t="s">
        <v>4080</v>
      </c>
    </row>
    <row r="69" spans="1:2" x14ac:dyDescent="0.25">
      <c r="A69" t="s">
        <v>4081</v>
      </c>
    </row>
    <row r="70" spans="1:2" x14ac:dyDescent="0.25">
      <c r="A70" t="s">
        <v>4078</v>
      </c>
    </row>
    <row r="71" spans="1:2" x14ac:dyDescent="0.25">
      <c r="B71" t="s">
        <v>4082</v>
      </c>
    </row>
    <row r="72" spans="1:2" x14ac:dyDescent="0.25">
      <c r="A72" t="s">
        <v>258</v>
      </c>
    </row>
    <row r="74" spans="1:2" x14ac:dyDescent="0.25">
      <c r="A74" t="s">
        <v>4083</v>
      </c>
    </row>
    <row r="76" spans="1:2" x14ac:dyDescent="0.25">
      <c r="A76" t="s">
        <v>4084</v>
      </c>
    </row>
    <row r="78" spans="1:2" x14ac:dyDescent="0.25">
      <c r="A78" t="e">
        <f>-- DIDD</f>
        <v>#NAME?</v>
      </c>
    </row>
    <row r="79" spans="1:2" x14ac:dyDescent="0.25">
      <c r="A79" t="s">
        <v>4085</v>
      </c>
    </row>
    <row r="80" spans="1:2" x14ac:dyDescent="0.25">
      <c r="A80" t="s">
        <v>4086</v>
      </c>
    </row>
    <row r="82" spans="1:2" x14ac:dyDescent="0.25">
      <c r="A82" t="s">
        <v>4087</v>
      </c>
    </row>
    <row r="83" spans="1:2" x14ac:dyDescent="0.25">
      <c r="A83" t="e">
        <f>-- DIDD individual provider Review page, shows errors FROM individual (in this case their caqh ERROR)</f>
        <v>#NAME?</v>
      </c>
    </row>
    <row r="87" spans="1:2" x14ac:dyDescent="0.25">
      <c r="A87" t="s">
        <v>572</v>
      </c>
    </row>
    <row r="88" spans="1:2" x14ac:dyDescent="0.25">
      <c r="A88" t="s">
        <v>4088</v>
      </c>
    </row>
    <row r="89" spans="1:2" x14ac:dyDescent="0.25">
      <c r="A89" t="s">
        <v>2337</v>
      </c>
    </row>
    <row r="90" spans="1:2" x14ac:dyDescent="0.25">
      <c r="A90" t="s">
        <v>665</v>
      </c>
    </row>
    <row r="91" spans="1:2" x14ac:dyDescent="0.25">
      <c r="A91" t="s">
        <v>604</v>
      </c>
    </row>
    <row r="92" spans="1:2" x14ac:dyDescent="0.25">
      <c r="A92" t="s">
        <v>804</v>
      </c>
    </row>
    <row r="93" spans="1:2" x14ac:dyDescent="0.25">
      <c r="B93" t="s">
        <v>805</v>
      </c>
    </row>
    <row r="94" spans="1:2" x14ac:dyDescent="0.25">
      <c r="A94" t="s">
        <v>671</v>
      </c>
    </row>
    <row r="95" spans="1:2" x14ac:dyDescent="0.25">
      <c r="A95" t="s">
        <v>4088</v>
      </c>
    </row>
    <row r="96" spans="1:2" x14ac:dyDescent="0.25">
      <c r="A96" t="s">
        <v>2337</v>
      </c>
    </row>
    <row r="97" spans="1:1" x14ac:dyDescent="0.25">
      <c r="A97" t="s">
        <v>672</v>
      </c>
    </row>
    <row r="98" spans="1:1" x14ac:dyDescent="0.25">
      <c r="A98" t="s">
        <v>803</v>
      </c>
    </row>
    <row r="100" spans="1:1" x14ac:dyDescent="0.25">
      <c r="A100" t="s">
        <v>4089</v>
      </c>
    </row>
    <row r="102" spans="1:1" x14ac:dyDescent="0.25">
      <c r="A102" t="e">
        <f>-- JOB_ID_MMIS_DCS_ADD_SUBMIT_UPDATE_PROVIDER</f>
        <v>#NAME?</v>
      </c>
    </row>
    <row r="103" spans="1:1" x14ac:dyDescent="0.25">
      <c r="A103" t="s">
        <v>4090</v>
      </c>
    </row>
    <row r="104" spans="1:1" x14ac:dyDescent="0.25">
      <c r="A104" t="s">
        <v>4091</v>
      </c>
    </row>
    <row r="105" spans="1:1" x14ac:dyDescent="0.25">
      <c r="A105" t="s">
        <v>4092</v>
      </c>
    </row>
    <row r="106" spans="1:1" x14ac:dyDescent="0.25">
      <c r="A106" t="s">
        <v>4093</v>
      </c>
    </row>
    <row r="108" spans="1:1" x14ac:dyDescent="0.25">
      <c r="A108" t="s">
        <v>4094</v>
      </c>
    </row>
    <row r="109" spans="1:1" x14ac:dyDescent="0.25">
      <c r="A109" t="s">
        <v>4095</v>
      </c>
    </row>
    <row r="110" spans="1:1" x14ac:dyDescent="0.25">
      <c r="A110" t="s">
        <v>4096</v>
      </c>
    </row>
    <row r="111" spans="1:1" x14ac:dyDescent="0.25">
      <c r="A111" t="s">
        <v>4097</v>
      </c>
    </row>
    <row r="112" spans="1:1" x14ac:dyDescent="0.25">
      <c r="A112" t="s">
        <v>4098</v>
      </c>
    </row>
    <row r="114" spans="1:1" x14ac:dyDescent="0.25">
      <c r="A114" t="s">
        <v>4099</v>
      </c>
    </row>
    <row r="115" spans="1:1" x14ac:dyDescent="0.25">
      <c r="A115" t="s">
        <v>4100</v>
      </c>
    </row>
    <row r="116" spans="1:1" x14ac:dyDescent="0.25">
      <c r="A116" t="s">
        <v>4101</v>
      </c>
    </row>
    <row r="118" spans="1:1" x14ac:dyDescent="0.25">
      <c r="A118" t="s">
        <v>4102</v>
      </c>
    </row>
    <row r="119" spans="1:1" x14ac:dyDescent="0.25">
      <c r="A119" t="s">
        <v>4103</v>
      </c>
    </row>
    <row r="120" spans="1:1" x14ac:dyDescent="0.25">
      <c r="A120" t="s">
        <v>4104</v>
      </c>
    </row>
    <row r="122" spans="1:1" x14ac:dyDescent="0.25">
      <c r="A122" t="s">
        <v>254</v>
      </c>
    </row>
    <row r="123" spans="1:1" x14ac:dyDescent="0.25">
      <c r="A123" t="s">
        <v>4105</v>
      </c>
    </row>
    <row r="124" spans="1:1" x14ac:dyDescent="0.25">
      <c r="A124" t="s">
        <v>4106</v>
      </c>
    </row>
    <row r="125" spans="1:1" x14ac:dyDescent="0.25">
      <c r="A125" t="s">
        <v>4107</v>
      </c>
    </row>
    <row r="126" spans="1:1" x14ac:dyDescent="0.25">
      <c r="A126" t="s">
        <v>4108</v>
      </c>
    </row>
    <row r="127" spans="1:1" x14ac:dyDescent="0.25">
      <c r="A127" t="s">
        <v>258</v>
      </c>
    </row>
    <row r="129" spans="1:1" x14ac:dyDescent="0.25">
      <c r="A129" t="s">
        <v>572</v>
      </c>
    </row>
    <row r="130" spans="1:1" x14ac:dyDescent="0.25">
      <c r="A130" t="s">
        <v>646</v>
      </c>
    </row>
    <row r="131" spans="1:1" x14ac:dyDescent="0.25">
      <c r="A131" t="s">
        <v>611</v>
      </c>
    </row>
    <row r="132" spans="1:1" x14ac:dyDescent="0.25">
      <c r="A132" t="s">
        <v>4109</v>
      </c>
    </row>
    <row r="134" spans="1:1" x14ac:dyDescent="0.25">
      <c r="A134" t="s">
        <v>572</v>
      </c>
    </row>
    <row r="135" spans="1:1" x14ac:dyDescent="0.25">
      <c r="A135" t="s">
        <v>646</v>
      </c>
    </row>
    <row r="136" spans="1:1" x14ac:dyDescent="0.25">
      <c r="A136" t="s">
        <v>533</v>
      </c>
    </row>
    <row r="137" spans="1:1" x14ac:dyDescent="0.25">
      <c r="A137" t="s">
        <v>4109</v>
      </c>
    </row>
    <row r="138" spans="1:1" x14ac:dyDescent="0.25">
      <c r="A138">
        <f>-- 56048</f>
        <v>56048</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0"/>
  <sheetViews>
    <sheetView workbookViewId="0"/>
  </sheetViews>
  <sheetFormatPr defaultRowHeight="15" x14ac:dyDescent="0.25"/>
  <sheetData>
    <row r="1" spans="1:2" x14ac:dyDescent="0.25">
      <c r="A1" t="s">
        <v>3673</v>
      </c>
    </row>
    <row r="2" spans="1:2" x14ac:dyDescent="0.25">
      <c r="A2" t="s">
        <v>3674</v>
      </c>
    </row>
    <row r="5" spans="1:2" x14ac:dyDescent="0.25">
      <c r="A5" t="s">
        <v>3675</v>
      </c>
      <c r="B5">
        <f>-- 48595</f>
        <v>48595</v>
      </c>
    </row>
    <row r="7" spans="1:2" x14ac:dyDescent="0.25">
      <c r="A7" t="s">
        <v>2295</v>
      </c>
    </row>
    <row r="8" spans="1:2" x14ac:dyDescent="0.25">
      <c r="A8" t="s">
        <v>3676</v>
      </c>
    </row>
    <row r="9" spans="1:2" x14ac:dyDescent="0.25">
      <c r="A9" t="s">
        <v>792</v>
      </c>
    </row>
    <row r="10" spans="1:2" x14ac:dyDescent="0.25">
      <c r="A10" t="s">
        <v>3677</v>
      </c>
    </row>
    <row r="12" spans="1:2" x14ac:dyDescent="0.25">
      <c r="A12" t="s">
        <v>3678</v>
      </c>
    </row>
    <row r="13" spans="1:2" x14ac:dyDescent="0.25">
      <c r="A13" t="s">
        <v>3639</v>
      </c>
    </row>
    <row r="14" spans="1:2" x14ac:dyDescent="0.25">
      <c r="A14" t="s">
        <v>3679</v>
      </c>
    </row>
    <row r="15" spans="1:2" x14ac:dyDescent="0.25">
      <c r="A15" t="s">
        <v>3680</v>
      </c>
    </row>
    <row r="17" spans="1:2" x14ac:dyDescent="0.25">
      <c r="A17" t="s">
        <v>3681</v>
      </c>
    </row>
    <row r="18" spans="1:2" x14ac:dyDescent="0.25">
      <c r="A18" t="s">
        <v>3682</v>
      </c>
    </row>
    <row r="19" spans="1:2" x14ac:dyDescent="0.25">
      <c r="A19" t="s">
        <v>3683</v>
      </c>
    </row>
    <row r="20" spans="1:2" x14ac:dyDescent="0.25">
      <c r="B20" t="s">
        <v>3684</v>
      </c>
    </row>
    <row r="22" spans="1:2" x14ac:dyDescent="0.25">
      <c r="A22" t="s">
        <v>3685</v>
      </c>
    </row>
    <row r="23" spans="1:2" x14ac:dyDescent="0.25">
      <c r="A23" t="s">
        <v>3686</v>
      </c>
    </row>
    <row r="25" spans="1:2" x14ac:dyDescent="0.25">
      <c r="A25" t="s">
        <v>3687</v>
      </c>
    </row>
    <row r="26" spans="1:2" x14ac:dyDescent="0.25">
      <c r="A26" t="s">
        <v>3688</v>
      </c>
    </row>
    <row r="28" spans="1:2" x14ac:dyDescent="0.25">
      <c r="A28" t="s">
        <v>3689</v>
      </c>
    </row>
    <row r="29" spans="1:2" x14ac:dyDescent="0.25">
      <c r="A29" t="s">
        <v>3690</v>
      </c>
    </row>
    <row r="31" spans="1:2" x14ac:dyDescent="0.25">
      <c r="A31" t="s">
        <v>794</v>
      </c>
    </row>
    <row r="32" spans="1:2" x14ac:dyDescent="0.25">
      <c r="A32" t="s">
        <v>245</v>
      </c>
    </row>
    <row r="33" spans="1:2" x14ac:dyDescent="0.25">
      <c r="A33" t="s">
        <v>3691</v>
      </c>
    </row>
    <row r="34" spans="1:2" x14ac:dyDescent="0.25">
      <c r="B34" t="s">
        <v>3692</v>
      </c>
    </row>
    <row r="35" spans="1:2" x14ac:dyDescent="0.25">
      <c r="A35" t="s">
        <v>3693</v>
      </c>
    </row>
    <row r="36" spans="1:2" x14ac:dyDescent="0.25">
      <c r="A36" t="s">
        <v>247</v>
      </c>
      <c r="B36" t="s">
        <v>3694</v>
      </c>
    </row>
    <row r="38" spans="1:2" x14ac:dyDescent="0.25">
      <c r="A38" t="s">
        <v>3695</v>
      </c>
    </row>
    <row r="39" spans="1:2" x14ac:dyDescent="0.25">
      <c r="A39" t="s">
        <v>254</v>
      </c>
    </row>
    <row r="40" spans="1:2" x14ac:dyDescent="0.25">
      <c r="A40" s="22">
        <v>41864.76381689815</v>
      </c>
    </row>
    <row r="41" spans="1:2" x14ac:dyDescent="0.25">
      <c r="A41" s="22">
        <v>41864.764052743056</v>
      </c>
    </row>
    <row r="42" spans="1:2" x14ac:dyDescent="0.25">
      <c r="A42" s="22">
        <v>41865.135544178243</v>
      </c>
    </row>
    <row r="43" spans="1:2" x14ac:dyDescent="0.25">
      <c r="A43" t="s">
        <v>258</v>
      </c>
    </row>
    <row r="45" spans="1:2" x14ac:dyDescent="0.25">
      <c r="A45" t="s">
        <v>3696</v>
      </c>
    </row>
    <row r="46" spans="1:2" x14ac:dyDescent="0.25">
      <c r="A46" t="s">
        <v>3697</v>
      </c>
    </row>
    <row r="47" spans="1:2" x14ac:dyDescent="0.25">
      <c r="A47" t="s">
        <v>3698</v>
      </c>
    </row>
    <row r="49" spans="1:2" x14ac:dyDescent="0.25">
      <c r="A49" t="s">
        <v>3699</v>
      </c>
    </row>
    <row r="50" spans="1:2" x14ac:dyDescent="0.25">
      <c r="A50" t="s">
        <v>3700</v>
      </c>
    </row>
    <row r="52" spans="1:2" x14ac:dyDescent="0.25">
      <c r="A52" t="s">
        <v>538</v>
      </c>
    </row>
    <row r="53" spans="1:2" x14ac:dyDescent="0.25">
      <c r="A53" t="s">
        <v>3701</v>
      </c>
    </row>
    <row r="54" spans="1:2" x14ac:dyDescent="0.25">
      <c r="A54" t="s">
        <v>1881</v>
      </c>
    </row>
    <row r="55" spans="1:2" x14ac:dyDescent="0.25">
      <c r="A55" t="s">
        <v>895</v>
      </c>
    </row>
    <row r="56" spans="1:2" x14ac:dyDescent="0.25">
      <c r="A56" t="s">
        <v>3702</v>
      </c>
    </row>
    <row r="57" spans="1:2" x14ac:dyDescent="0.25">
      <c r="A57" t="s">
        <v>3703</v>
      </c>
    </row>
    <row r="58" spans="1:2" x14ac:dyDescent="0.25">
      <c r="A58" t="s">
        <v>3704</v>
      </c>
    </row>
    <row r="59" spans="1:2" x14ac:dyDescent="0.25">
      <c r="A59" t="s">
        <v>624</v>
      </c>
    </row>
    <row r="60" spans="1:2" x14ac:dyDescent="0.25">
      <c r="B60" t="s">
        <v>1716</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election sqref="A1:B68"/>
    </sheetView>
  </sheetViews>
  <sheetFormatPr defaultRowHeight="15" x14ac:dyDescent="0.25"/>
  <sheetData>
    <row r="1" spans="1:1" x14ac:dyDescent="0.25">
      <c r="A1" t="s">
        <v>244</v>
      </c>
    </row>
    <row r="2" spans="1:1" x14ac:dyDescent="0.25">
      <c r="A2" t="s">
        <v>908</v>
      </c>
    </row>
    <row r="3" spans="1:1" x14ac:dyDescent="0.25">
      <c r="A3" t="s">
        <v>3705</v>
      </c>
    </row>
    <row r="5" spans="1:1" x14ac:dyDescent="0.25">
      <c r="A5" t="s">
        <v>2678</v>
      </c>
    </row>
    <row r="6" spans="1:1" x14ac:dyDescent="0.25">
      <c r="A6" t="s">
        <v>572</v>
      </c>
    </row>
    <row r="7" spans="1:1" x14ac:dyDescent="0.25">
      <c r="A7" t="s">
        <v>646</v>
      </c>
    </row>
    <row r="8" spans="1:1" x14ac:dyDescent="0.25">
      <c r="A8" t="s">
        <v>3136</v>
      </c>
    </row>
    <row r="9" spans="1:1" x14ac:dyDescent="0.25">
      <c r="A9" t="s">
        <v>3706</v>
      </c>
    </row>
    <row r="11" spans="1:1" x14ac:dyDescent="0.25">
      <c r="A11" t="s">
        <v>244</v>
      </c>
    </row>
    <row r="12" spans="1:1" x14ac:dyDescent="0.25">
      <c r="A12" t="s">
        <v>3141</v>
      </c>
    </row>
    <row r="13" spans="1:1" x14ac:dyDescent="0.25">
      <c r="A13" t="s">
        <v>3707</v>
      </c>
    </row>
    <row r="15" spans="1:1" x14ac:dyDescent="0.25">
      <c r="A15" t="s">
        <v>3708</v>
      </c>
    </row>
    <row r="17" spans="1:2" x14ac:dyDescent="0.25">
      <c r="A17" t="s">
        <v>244</v>
      </c>
    </row>
    <row r="18" spans="1:2" x14ac:dyDescent="0.25">
      <c r="A18" t="s">
        <v>2132</v>
      </c>
    </row>
    <row r="19" spans="1:2" x14ac:dyDescent="0.25">
      <c r="A19" t="s">
        <v>3707</v>
      </c>
    </row>
    <row r="21" spans="1:2" x14ac:dyDescent="0.25">
      <c r="A21" t="s">
        <v>244</v>
      </c>
    </row>
    <row r="22" spans="1:2" x14ac:dyDescent="0.25">
      <c r="A22" t="s">
        <v>1310</v>
      </c>
    </row>
    <row r="23" spans="1:2" x14ac:dyDescent="0.25">
      <c r="A23" t="s">
        <v>3709</v>
      </c>
    </row>
    <row r="25" spans="1:2" x14ac:dyDescent="0.25">
      <c r="A25" t="e">
        <f>-- Steps that were actually executed</f>
        <v>#NAME?</v>
      </c>
    </row>
    <row r="26" spans="1:2" x14ac:dyDescent="0.25">
      <c r="A26" t="s">
        <v>2689</v>
      </c>
    </row>
    <row r="27" spans="1:2" x14ac:dyDescent="0.25">
      <c r="B27" t="s">
        <v>2690</v>
      </c>
    </row>
    <row r="28" spans="1:2" x14ac:dyDescent="0.25">
      <c r="A28" t="s">
        <v>2002</v>
      </c>
    </row>
    <row r="29" spans="1:2" x14ac:dyDescent="0.25">
      <c r="A29" t="s">
        <v>2161</v>
      </c>
    </row>
    <row r="30" spans="1:2" x14ac:dyDescent="0.25">
      <c r="A30" t="s">
        <v>2162</v>
      </c>
    </row>
    <row r="31" spans="1:2" x14ac:dyDescent="0.25">
      <c r="A31" t="s">
        <v>3710</v>
      </c>
    </row>
    <row r="32" spans="1:2" x14ac:dyDescent="0.25">
      <c r="A32" t="s">
        <v>2008</v>
      </c>
    </row>
    <row r="34" spans="1:2" x14ac:dyDescent="0.25">
      <c r="A34" t="e">
        <f>-- Possible step actions that could have taken place with this process</f>
        <v>#NAME?</v>
      </c>
    </row>
    <row r="35" spans="1:2" x14ac:dyDescent="0.25">
      <c r="A35" t="s">
        <v>3711</v>
      </c>
    </row>
    <row r="36" spans="1:2" x14ac:dyDescent="0.25">
      <c r="A36" t="s">
        <v>2164</v>
      </c>
    </row>
    <row r="37" spans="1:2" x14ac:dyDescent="0.25">
      <c r="A37" t="s">
        <v>2165</v>
      </c>
    </row>
    <row r="38" spans="1:2" x14ac:dyDescent="0.25">
      <c r="B38" t="s">
        <v>2166</v>
      </c>
    </row>
    <row r="39" spans="1:2" x14ac:dyDescent="0.25">
      <c r="A39" t="s">
        <v>2167</v>
      </c>
    </row>
    <row r="40" spans="1:2" x14ac:dyDescent="0.25">
      <c r="A40" t="s">
        <v>2168</v>
      </c>
    </row>
    <row r="41" spans="1:2" x14ac:dyDescent="0.25">
      <c r="A41" t="s">
        <v>2169</v>
      </c>
    </row>
    <row r="42" spans="1:2" x14ac:dyDescent="0.25">
      <c r="A42" t="s">
        <v>2170</v>
      </c>
    </row>
    <row r="43" spans="1:2" x14ac:dyDescent="0.25">
      <c r="A43" t="s">
        <v>2095</v>
      </c>
    </row>
    <row r="44" spans="1:2" x14ac:dyDescent="0.25">
      <c r="A44" t="s">
        <v>2171</v>
      </c>
    </row>
    <row r="45" spans="1:2" x14ac:dyDescent="0.25">
      <c r="B45" t="s">
        <v>2166</v>
      </c>
    </row>
    <row r="46" spans="1:2" x14ac:dyDescent="0.25">
      <c r="A46" t="s">
        <v>2167</v>
      </c>
    </row>
    <row r="47" spans="1:2" x14ac:dyDescent="0.25">
      <c r="A47" t="s">
        <v>2168</v>
      </c>
    </row>
    <row r="48" spans="1:2" x14ac:dyDescent="0.25">
      <c r="A48" t="s">
        <v>2172</v>
      </c>
    </row>
    <row r="49" spans="1:2" x14ac:dyDescent="0.25">
      <c r="A49" t="s">
        <v>2173</v>
      </c>
    </row>
    <row r="50" spans="1:2" x14ac:dyDescent="0.25">
      <c r="B50" t="s">
        <v>2174</v>
      </c>
    </row>
    <row r="51" spans="1:2" x14ac:dyDescent="0.25">
      <c r="B51" t="s">
        <v>2167</v>
      </c>
    </row>
    <row r="52" spans="1:2" x14ac:dyDescent="0.25">
      <c r="B52" t="s">
        <v>2169</v>
      </c>
    </row>
    <row r="53" spans="1:2" x14ac:dyDescent="0.25">
      <c r="B53" t="s">
        <v>2175</v>
      </c>
    </row>
    <row r="54" spans="1:2" x14ac:dyDescent="0.25">
      <c r="B54" t="s">
        <v>698</v>
      </c>
    </row>
    <row r="55" spans="1:2" x14ac:dyDescent="0.25">
      <c r="A55" t="s">
        <v>2176</v>
      </c>
    </row>
    <row r="57" spans="1:2" x14ac:dyDescent="0.25">
      <c r="A57" t="s">
        <v>467</v>
      </c>
    </row>
    <row r="58" spans="1:2" x14ac:dyDescent="0.25">
      <c r="A58" t="s">
        <v>3712</v>
      </c>
    </row>
    <row r="59" spans="1:2" x14ac:dyDescent="0.25">
      <c r="A59" t="s">
        <v>575</v>
      </c>
    </row>
    <row r="60" spans="1:2" x14ac:dyDescent="0.25">
      <c r="A60" t="s">
        <v>3713</v>
      </c>
    </row>
    <row r="61" spans="1:2" x14ac:dyDescent="0.25">
      <c r="A61" t="s">
        <v>908</v>
      </c>
    </row>
    <row r="62" spans="1:2" x14ac:dyDescent="0.25">
      <c r="A62" t="s">
        <v>3714</v>
      </c>
    </row>
    <row r="63" spans="1:2" x14ac:dyDescent="0.25">
      <c r="A63" t="s">
        <v>697</v>
      </c>
    </row>
    <row r="64" spans="1:2" x14ac:dyDescent="0.25">
      <c r="A64" t="s">
        <v>572</v>
      </c>
    </row>
    <row r="65" spans="1:1" x14ac:dyDescent="0.25">
      <c r="A65" t="s">
        <v>3231</v>
      </c>
    </row>
    <row r="66" spans="1:1" x14ac:dyDescent="0.25">
      <c r="A66" t="s">
        <v>2132</v>
      </c>
    </row>
    <row r="67" spans="1:1" x14ac:dyDescent="0.25">
      <c r="A67" t="s">
        <v>3715</v>
      </c>
    </row>
    <row r="68" spans="1:1" x14ac:dyDescent="0.25">
      <c r="A68" t="s">
        <v>698</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sheetViews>
  <sheetFormatPr defaultRowHeight="15" x14ac:dyDescent="0.25"/>
  <sheetData>
    <row r="1" spans="1:2" x14ac:dyDescent="0.25">
      <c r="A1" t="s">
        <v>572</v>
      </c>
    </row>
    <row r="2" spans="1:2" x14ac:dyDescent="0.25">
      <c r="A2" t="s">
        <v>646</v>
      </c>
    </row>
    <row r="3" spans="1:2" x14ac:dyDescent="0.25">
      <c r="A3" t="s">
        <v>2132</v>
      </c>
    </row>
    <row r="4" spans="1:2" x14ac:dyDescent="0.25">
      <c r="A4" t="s">
        <v>3856</v>
      </c>
    </row>
    <row r="6" spans="1:2" x14ac:dyDescent="0.25">
      <c r="A6" t="e">
        <f>-- Steps that were actually executed</f>
        <v>#NAME?</v>
      </c>
    </row>
    <row r="7" spans="1:2" x14ac:dyDescent="0.25">
      <c r="A7" t="s">
        <v>2689</v>
      </c>
    </row>
    <row r="8" spans="1:2" x14ac:dyDescent="0.25">
      <c r="B8" t="s">
        <v>2690</v>
      </c>
    </row>
    <row r="9" spans="1:2" x14ac:dyDescent="0.25">
      <c r="A9" t="s">
        <v>2002</v>
      </c>
    </row>
    <row r="10" spans="1:2" x14ac:dyDescent="0.25">
      <c r="A10" t="s">
        <v>2161</v>
      </c>
    </row>
    <row r="11" spans="1:2" x14ac:dyDescent="0.25">
      <c r="A11" t="s">
        <v>2162</v>
      </c>
    </row>
    <row r="12" spans="1:2" x14ac:dyDescent="0.25">
      <c r="A12" t="s">
        <v>3857</v>
      </c>
    </row>
    <row r="13" spans="1:2" x14ac:dyDescent="0.25">
      <c r="A13" t="s">
        <v>2008</v>
      </c>
    </row>
    <row r="15" spans="1:2" x14ac:dyDescent="0.25">
      <c r="A15" t="s">
        <v>645</v>
      </c>
    </row>
    <row r="16" spans="1:2" x14ac:dyDescent="0.25">
      <c r="A16" t="s">
        <v>646</v>
      </c>
    </row>
    <row r="17" spans="1:1" x14ac:dyDescent="0.25">
      <c r="A17" t="s">
        <v>245</v>
      </c>
    </row>
    <row r="18" spans="1:1" x14ac:dyDescent="0.25">
      <c r="A18" t="s">
        <v>251</v>
      </c>
    </row>
    <row r="20" spans="1:1" x14ac:dyDescent="0.25">
      <c r="A20" t="s">
        <v>254</v>
      </c>
    </row>
    <row r="21" spans="1:1" x14ac:dyDescent="0.25">
      <c r="A21" t="s">
        <v>244</v>
      </c>
    </row>
    <row r="22" spans="1:1" x14ac:dyDescent="0.25">
      <c r="A22" t="s">
        <v>2708</v>
      </c>
    </row>
    <row r="23" spans="1:1" x14ac:dyDescent="0.25">
      <c r="A23" t="s">
        <v>3858</v>
      </c>
    </row>
    <row r="25" spans="1:1" x14ac:dyDescent="0.25">
      <c r="A25" t="s">
        <v>2710</v>
      </c>
    </row>
    <row r="26" spans="1:1" x14ac:dyDescent="0.25">
      <c r="A26" t="s">
        <v>3859</v>
      </c>
    </row>
    <row r="27" spans="1:1" x14ac:dyDescent="0.25">
      <c r="A27" t="s">
        <v>3858</v>
      </c>
    </row>
    <row r="28" spans="1:1" x14ac:dyDescent="0.25">
      <c r="A28" t="s">
        <v>258</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Views>
    <sheetView workbookViewId="0">
      <selection sqref="A1:B75"/>
    </sheetView>
  </sheetViews>
  <sheetFormatPr defaultRowHeight="15" x14ac:dyDescent="0.25"/>
  <sheetData>
    <row r="1" spans="1:2" x14ac:dyDescent="0.25">
      <c r="A1" t="s">
        <v>244</v>
      </c>
    </row>
    <row r="2" spans="1:2" x14ac:dyDescent="0.25">
      <c r="A2" t="s">
        <v>908</v>
      </c>
    </row>
    <row r="3" spans="1:2" x14ac:dyDescent="0.25">
      <c r="A3" t="s">
        <v>3960</v>
      </c>
    </row>
    <row r="5" spans="1:2" x14ac:dyDescent="0.25">
      <c r="A5" t="s">
        <v>538</v>
      </c>
    </row>
    <row r="6" spans="1:2" x14ac:dyDescent="0.25">
      <c r="A6" t="s">
        <v>3961</v>
      </c>
    </row>
    <row r="7" spans="1:2" x14ac:dyDescent="0.25">
      <c r="A7" t="s">
        <v>3962</v>
      </c>
    </row>
    <row r="8" spans="1:2" x14ac:dyDescent="0.25">
      <c r="A8" t="s">
        <v>3963</v>
      </c>
    </row>
    <row r="9" spans="1:2" x14ac:dyDescent="0.25">
      <c r="A9" t="s">
        <v>3964</v>
      </c>
    </row>
    <row r="10" spans="1:2" x14ac:dyDescent="0.25">
      <c r="B10" t="s">
        <v>3965</v>
      </c>
    </row>
    <row r="11" spans="1:2" x14ac:dyDescent="0.25">
      <c r="A11" t="s">
        <v>3966</v>
      </c>
    </row>
    <row r="13" spans="1:2" x14ac:dyDescent="0.25">
      <c r="A13" t="s">
        <v>572</v>
      </c>
    </row>
    <row r="14" spans="1:2" x14ac:dyDescent="0.25">
      <c r="A14" t="s">
        <v>646</v>
      </c>
    </row>
    <row r="15" spans="1:2" x14ac:dyDescent="0.25">
      <c r="A15" t="s">
        <v>2132</v>
      </c>
    </row>
    <row r="16" spans="1:2" x14ac:dyDescent="0.25">
      <c r="A16" t="s">
        <v>3967</v>
      </c>
    </row>
    <row r="18" spans="1:2" x14ac:dyDescent="0.25">
      <c r="A18" t="e">
        <f>-- Steps that were actually executed</f>
        <v>#NAME?</v>
      </c>
    </row>
    <row r="19" spans="1:2" x14ac:dyDescent="0.25">
      <c r="A19" t="s">
        <v>2689</v>
      </c>
    </row>
    <row r="20" spans="1:2" x14ac:dyDescent="0.25">
      <c r="B20" t="s">
        <v>2690</v>
      </c>
    </row>
    <row r="21" spans="1:2" x14ac:dyDescent="0.25">
      <c r="A21" t="s">
        <v>2002</v>
      </c>
    </row>
    <row r="22" spans="1:2" x14ac:dyDescent="0.25">
      <c r="A22" t="s">
        <v>2161</v>
      </c>
    </row>
    <row r="23" spans="1:2" x14ac:dyDescent="0.25">
      <c r="A23" t="s">
        <v>2162</v>
      </c>
    </row>
    <row r="24" spans="1:2" x14ac:dyDescent="0.25">
      <c r="A24" t="s">
        <v>3968</v>
      </c>
    </row>
    <row r="25" spans="1:2" x14ac:dyDescent="0.25">
      <c r="A25" t="s">
        <v>2008</v>
      </c>
    </row>
    <row r="27" spans="1:2" x14ac:dyDescent="0.25">
      <c r="A27" t="s">
        <v>572</v>
      </c>
    </row>
    <row r="28" spans="1:2" x14ac:dyDescent="0.25">
      <c r="A28" t="s">
        <v>3969</v>
      </c>
    </row>
    <row r="29" spans="1:2" x14ac:dyDescent="0.25">
      <c r="A29" t="s">
        <v>3962</v>
      </c>
    </row>
    <row r="30" spans="1:2" x14ac:dyDescent="0.25">
      <c r="A30" t="s">
        <v>3970</v>
      </c>
    </row>
    <row r="31" spans="1:2" x14ac:dyDescent="0.25">
      <c r="A31" t="s">
        <v>3964</v>
      </c>
    </row>
    <row r="32" spans="1:2" x14ac:dyDescent="0.25">
      <c r="B32" t="s">
        <v>3971</v>
      </c>
    </row>
    <row r="33" spans="1:1" x14ac:dyDescent="0.25">
      <c r="A33" t="s">
        <v>3966</v>
      </c>
    </row>
    <row r="35" spans="1:1" x14ac:dyDescent="0.25">
      <c r="A35" t="s">
        <v>244</v>
      </c>
    </row>
    <row r="36" spans="1:1" x14ac:dyDescent="0.25">
      <c r="A36" t="s">
        <v>3972</v>
      </c>
    </row>
    <row r="37" spans="1:1" x14ac:dyDescent="0.25">
      <c r="A37" t="s">
        <v>3973</v>
      </c>
    </row>
    <row r="39" spans="1:1" x14ac:dyDescent="0.25">
      <c r="A39" t="s">
        <v>244</v>
      </c>
    </row>
    <row r="40" spans="1:1" x14ac:dyDescent="0.25">
      <c r="A40" t="s">
        <v>924</v>
      </c>
    </row>
    <row r="41" spans="1:1" x14ac:dyDescent="0.25">
      <c r="A41" t="s">
        <v>3966</v>
      </c>
    </row>
    <row r="44" spans="1:1" x14ac:dyDescent="0.25">
      <c r="A44" t="s">
        <v>538</v>
      </c>
    </row>
    <row r="45" spans="1:1" x14ac:dyDescent="0.25">
      <c r="A45" t="s">
        <v>3974</v>
      </c>
    </row>
    <row r="46" spans="1:1" x14ac:dyDescent="0.25">
      <c r="A46" t="s">
        <v>3975</v>
      </c>
    </row>
    <row r="47" spans="1:1" x14ac:dyDescent="0.25">
      <c r="A47" t="s">
        <v>3976</v>
      </c>
    </row>
    <row r="48" spans="1:1" x14ac:dyDescent="0.25">
      <c r="A48" t="s">
        <v>3977</v>
      </c>
    </row>
    <row r="49" spans="1:2" x14ac:dyDescent="0.25">
      <c r="A49" t="s">
        <v>3978</v>
      </c>
    </row>
    <row r="50" spans="1:2" x14ac:dyDescent="0.25">
      <c r="A50" t="s">
        <v>3979</v>
      </c>
    </row>
    <row r="51" spans="1:2" x14ac:dyDescent="0.25">
      <c r="A51" t="s">
        <v>3980</v>
      </c>
    </row>
    <row r="52" spans="1:2" x14ac:dyDescent="0.25">
      <c r="A52" t="s">
        <v>3981</v>
      </c>
    </row>
    <row r="53" spans="1:2" x14ac:dyDescent="0.25">
      <c r="A53" t="s">
        <v>3982</v>
      </c>
    </row>
    <row r="54" spans="1:2" x14ac:dyDescent="0.25">
      <c r="A54" t="s">
        <v>3983</v>
      </c>
    </row>
    <row r="55" spans="1:2" x14ac:dyDescent="0.25">
      <c r="A55" t="s">
        <v>3984</v>
      </c>
    </row>
    <row r="56" spans="1:2" x14ac:dyDescent="0.25">
      <c r="A56" t="s">
        <v>1371</v>
      </c>
    </row>
    <row r="57" spans="1:2" x14ac:dyDescent="0.25">
      <c r="A57" t="s">
        <v>593</v>
      </c>
    </row>
    <row r="58" spans="1:2" x14ac:dyDescent="0.25">
      <c r="A58" t="s">
        <v>594</v>
      </c>
    </row>
    <row r="59" spans="1:2" x14ac:dyDescent="0.25">
      <c r="B59" t="s">
        <v>595</v>
      </c>
    </row>
    <row r="60" spans="1:2" x14ac:dyDescent="0.25">
      <c r="A60" t="s">
        <v>1635</v>
      </c>
    </row>
    <row r="61" spans="1:2" x14ac:dyDescent="0.25">
      <c r="B61" t="s">
        <v>1636</v>
      </c>
    </row>
    <row r="62" spans="1:2" x14ac:dyDescent="0.25">
      <c r="A62" t="s">
        <v>3985</v>
      </c>
    </row>
    <row r="63" spans="1:2" x14ac:dyDescent="0.25">
      <c r="B63" t="s">
        <v>601</v>
      </c>
    </row>
    <row r="64" spans="1:2" x14ac:dyDescent="0.25">
      <c r="A64" t="s">
        <v>3986</v>
      </c>
    </row>
    <row r="65" spans="1:2" x14ac:dyDescent="0.25">
      <c r="B65" t="s">
        <v>2676</v>
      </c>
    </row>
    <row r="66" spans="1:2" x14ac:dyDescent="0.25">
      <c r="A66" t="s">
        <v>3987</v>
      </c>
    </row>
    <row r="67" spans="1:2" x14ac:dyDescent="0.25">
      <c r="B67" t="s">
        <v>3301</v>
      </c>
    </row>
    <row r="68" spans="1:2" x14ac:dyDescent="0.25">
      <c r="A68" t="s">
        <v>3988</v>
      </c>
    </row>
    <row r="69" spans="1:2" x14ac:dyDescent="0.25">
      <c r="B69" t="s">
        <v>3989</v>
      </c>
    </row>
    <row r="70" spans="1:2" x14ac:dyDescent="0.25">
      <c r="A70" t="s">
        <v>3990</v>
      </c>
    </row>
    <row r="72" spans="1:2" x14ac:dyDescent="0.25">
      <c r="A72" t="s">
        <v>538</v>
      </c>
    </row>
    <row r="73" spans="1:2" x14ac:dyDescent="0.25">
      <c r="A73" t="s">
        <v>646</v>
      </c>
    </row>
    <row r="74" spans="1:2" x14ac:dyDescent="0.25">
      <c r="A74" t="s">
        <v>3991</v>
      </c>
    </row>
    <row r="75" spans="1:2" x14ac:dyDescent="0.25">
      <c r="A75" t="s">
        <v>3992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selection sqref="A1:C41"/>
    </sheetView>
  </sheetViews>
  <sheetFormatPr defaultRowHeight="15" x14ac:dyDescent="0.25"/>
  <sheetData>
    <row r="1" spans="1:2" x14ac:dyDescent="0.25">
      <c r="A1" t="s">
        <v>4110</v>
      </c>
    </row>
    <row r="2" spans="1:2" x14ac:dyDescent="0.25">
      <c r="A2" t="s">
        <v>4111</v>
      </c>
    </row>
    <row r="3" spans="1:2" x14ac:dyDescent="0.25">
      <c r="A3" t="s">
        <v>4112</v>
      </c>
    </row>
    <row r="4" spans="1:2" x14ac:dyDescent="0.25">
      <c r="A4" t="s">
        <v>4113</v>
      </c>
    </row>
    <row r="6" spans="1:2" x14ac:dyDescent="0.25">
      <c r="A6" t="s">
        <v>244</v>
      </c>
    </row>
    <row r="7" spans="1:2" x14ac:dyDescent="0.25">
      <c r="A7" t="s">
        <v>2764</v>
      </c>
    </row>
    <row r="8" spans="1:2" x14ac:dyDescent="0.25">
      <c r="A8" t="s">
        <v>4114</v>
      </c>
    </row>
    <row r="9" spans="1:2" x14ac:dyDescent="0.25">
      <c r="B9" t="s">
        <v>4115</v>
      </c>
    </row>
    <row r="11" spans="1:2" x14ac:dyDescent="0.25">
      <c r="A11" t="s">
        <v>4116</v>
      </c>
    </row>
    <row r="12" spans="1:2" x14ac:dyDescent="0.25">
      <c r="A12" t="s">
        <v>4117</v>
      </c>
    </row>
    <row r="13" spans="1:2" x14ac:dyDescent="0.25">
      <c r="B13" t="s">
        <v>4118</v>
      </c>
    </row>
    <row r="15" spans="1:2" x14ac:dyDescent="0.25">
      <c r="A15" t="s">
        <v>2477</v>
      </c>
    </row>
    <row r="16" spans="1:2" x14ac:dyDescent="0.25">
      <c r="A16" t="s">
        <v>2478</v>
      </c>
    </row>
    <row r="17" spans="1:1" x14ac:dyDescent="0.25">
      <c r="A17" t="s">
        <v>2245</v>
      </c>
    </row>
    <row r="18" spans="1:1" x14ac:dyDescent="0.25">
      <c r="A18" t="s">
        <v>470</v>
      </c>
    </row>
    <row r="19" spans="1:1" x14ac:dyDescent="0.25">
      <c r="A19" t="s">
        <v>471</v>
      </c>
    </row>
    <row r="20" spans="1:1" x14ac:dyDescent="0.25">
      <c r="A20" t="s">
        <v>2246</v>
      </c>
    </row>
    <row r="21" spans="1:1" x14ac:dyDescent="0.25">
      <c r="A21" t="s">
        <v>469</v>
      </c>
    </row>
    <row r="22" spans="1:1" x14ac:dyDescent="0.25">
      <c r="A22" t="s">
        <v>2480</v>
      </c>
    </row>
    <row r="23" spans="1:1" x14ac:dyDescent="0.25">
      <c r="A23" t="s">
        <v>4119</v>
      </c>
    </row>
    <row r="24" spans="1:1" x14ac:dyDescent="0.25">
      <c r="A24" t="s">
        <v>2481</v>
      </c>
    </row>
    <row r="25" spans="1:1" x14ac:dyDescent="0.25">
      <c r="A25" t="s">
        <v>2482</v>
      </c>
    </row>
    <row r="26" spans="1:1" x14ac:dyDescent="0.25">
      <c r="A26" t="s">
        <v>2483</v>
      </c>
    </row>
    <row r="27" spans="1:1" x14ac:dyDescent="0.25">
      <c r="A27" t="s">
        <v>2247</v>
      </c>
    </row>
    <row r="28" spans="1:1" x14ac:dyDescent="0.25">
      <c r="A28" t="s">
        <v>2484</v>
      </c>
    </row>
    <row r="29" spans="1:1" x14ac:dyDescent="0.25">
      <c r="A29" t="s">
        <v>472</v>
      </c>
    </row>
    <row r="30" spans="1:1" x14ac:dyDescent="0.25">
      <c r="A30" t="s">
        <v>2485</v>
      </c>
    </row>
    <row r="31" spans="1:1" x14ac:dyDescent="0.25">
      <c r="A31" t="s">
        <v>2486</v>
      </c>
    </row>
    <row r="32" spans="1:1" x14ac:dyDescent="0.25">
      <c r="A32" t="s">
        <v>473</v>
      </c>
    </row>
    <row r="33" spans="1:2" x14ac:dyDescent="0.25">
      <c r="A33" t="s">
        <v>2487</v>
      </c>
    </row>
    <row r="34" spans="1:2" x14ac:dyDescent="0.25">
      <c r="A34" t="s">
        <v>474</v>
      </c>
    </row>
    <row r="35" spans="1:2" x14ac:dyDescent="0.25">
      <c r="A35" t="s">
        <v>1526</v>
      </c>
    </row>
    <row r="36" spans="1:2" x14ac:dyDescent="0.25">
      <c r="B36" t="s">
        <v>976</v>
      </c>
    </row>
    <row r="37" spans="1:2" x14ac:dyDescent="0.25">
      <c r="A37" t="s">
        <v>1527</v>
      </c>
    </row>
    <row r="38" spans="1:2" x14ac:dyDescent="0.25">
      <c r="B38" t="s">
        <v>978</v>
      </c>
    </row>
    <row r="39" spans="1:2" x14ac:dyDescent="0.25">
      <c r="A39" t="s">
        <v>1528</v>
      </c>
    </row>
    <row r="40" spans="1:2" x14ac:dyDescent="0.25">
      <c r="B40" t="s">
        <v>980</v>
      </c>
    </row>
    <row r="41" spans="1:2" x14ac:dyDescent="0.25">
      <c r="A41" t="s">
        <v>4117</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sqref="A1:B38"/>
    </sheetView>
  </sheetViews>
  <sheetFormatPr defaultRowHeight="15" x14ac:dyDescent="0.25"/>
  <sheetData>
    <row r="1" spans="1:2" x14ac:dyDescent="0.25">
      <c r="A1" t="s">
        <v>4120</v>
      </c>
    </row>
    <row r="2" spans="1:2" x14ac:dyDescent="0.25">
      <c r="A2" t="s">
        <v>538</v>
      </c>
    </row>
    <row r="3" spans="1:2" x14ac:dyDescent="0.25">
      <c r="A3" t="s">
        <v>4121</v>
      </c>
    </row>
    <row r="4" spans="1:2" x14ac:dyDescent="0.25">
      <c r="A4" t="s">
        <v>2104</v>
      </c>
    </row>
    <row r="5" spans="1:2" x14ac:dyDescent="0.25">
      <c r="A5" t="s">
        <v>2756</v>
      </c>
    </row>
    <row r="6" spans="1:2" x14ac:dyDescent="0.25">
      <c r="A6" t="s">
        <v>4122</v>
      </c>
    </row>
    <row r="7" spans="1:2" x14ac:dyDescent="0.25">
      <c r="A7" t="s">
        <v>1420</v>
      </c>
    </row>
    <row r="8" spans="1:2" x14ac:dyDescent="0.25">
      <c r="A8" t="s">
        <v>1816</v>
      </c>
    </row>
    <row r="9" spans="1:2" x14ac:dyDescent="0.25">
      <c r="A9" t="s">
        <v>4123</v>
      </c>
    </row>
    <row r="10" spans="1:2" x14ac:dyDescent="0.25">
      <c r="B10" t="s">
        <v>4124</v>
      </c>
    </row>
    <row r="11" spans="1:2" x14ac:dyDescent="0.25">
      <c r="A11" t="s">
        <v>4125</v>
      </c>
    </row>
    <row r="12" spans="1:2" x14ac:dyDescent="0.25">
      <c r="B12" t="s">
        <v>4126</v>
      </c>
    </row>
    <row r="13" spans="1:2" x14ac:dyDescent="0.25">
      <c r="A13" t="s">
        <v>2092</v>
      </c>
    </row>
    <row r="14" spans="1:2" x14ac:dyDescent="0.25">
      <c r="B14" t="s">
        <v>4127</v>
      </c>
    </row>
    <row r="15" spans="1:2" x14ac:dyDescent="0.25">
      <c r="A15" t="s">
        <v>4128</v>
      </c>
    </row>
    <row r="16" spans="1:2" x14ac:dyDescent="0.25">
      <c r="B16" t="s">
        <v>4129</v>
      </c>
    </row>
    <row r="17" spans="1:2" x14ac:dyDescent="0.25">
      <c r="B17" t="s">
        <v>3871</v>
      </c>
    </row>
    <row r="19" spans="1:2" x14ac:dyDescent="0.25">
      <c r="A19" t="s">
        <v>4130</v>
      </c>
    </row>
    <row r="20" spans="1:2" x14ac:dyDescent="0.25">
      <c r="A20" t="s">
        <v>538</v>
      </c>
    </row>
    <row r="21" spans="1:2" x14ac:dyDescent="0.25">
      <c r="A21" t="s">
        <v>4121</v>
      </c>
    </row>
    <row r="22" spans="1:2" x14ac:dyDescent="0.25">
      <c r="A22" t="s">
        <v>2104</v>
      </c>
    </row>
    <row r="23" spans="1:2" x14ac:dyDescent="0.25">
      <c r="A23" t="s">
        <v>2756</v>
      </c>
    </row>
    <row r="24" spans="1:2" x14ac:dyDescent="0.25">
      <c r="A24" t="s">
        <v>4122</v>
      </c>
    </row>
    <row r="25" spans="1:2" x14ac:dyDescent="0.25">
      <c r="A25" t="s">
        <v>1420</v>
      </c>
    </row>
    <row r="26" spans="1:2" x14ac:dyDescent="0.25">
      <c r="A26" t="s">
        <v>1580</v>
      </c>
    </row>
    <row r="27" spans="1:2" x14ac:dyDescent="0.25">
      <c r="A27" t="s">
        <v>1816</v>
      </c>
    </row>
    <row r="28" spans="1:2" x14ac:dyDescent="0.25">
      <c r="A28" t="s">
        <v>4123</v>
      </c>
    </row>
    <row r="29" spans="1:2" x14ac:dyDescent="0.25">
      <c r="B29" t="s">
        <v>4124</v>
      </c>
    </row>
    <row r="30" spans="1:2" x14ac:dyDescent="0.25">
      <c r="A30" t="s">
        <v>4125</v>
      </c>
    </row>
    <row r="31" spans="1:2" x14ac:dyDescent="0.25">
      <c r="B31" t="s">
        <v>4126</v>
      </c>
    </row>
    <row r="32" spans="1:2" x14ac:dyDescent="0.25">
      <c r="A32" t="s">
        <v>2092</v>
      </c>
    </row>
    <row r="33" spans="1:2" x14ac:dyDescent="0.25">
      <c r="B33" t="s">
        <v>4127</v>
      </c>
    </row>
    <row r="34" spans="1:2" x14ac:dyDescent="0.25">
      <c r="A34" t="s">
        <v>4131</v>
      </c>
    </row>
    <row r="35" spans="1:2" x14ac:dyDescent="0.25">
      <c r="B35" t="s">
        <v>595</v>
      </c>
    </row>
    <row r="36" spans="1:2" x14ac:dyDescent="0.25">
      <c r="A36" t="s">
        <v>4128</v>
      </c>
    </row>
    <row r="37" spans="1:2" x14ac:dyDescent="0.25">
      <c r="B37" t="s">
        <v>4129</v>
      </c>
    </row>
    <row r="38" spans="1:2" x14ac:dyDescent="0.25">
      <c r="B38" t="s">
        <v>4132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sqref="A1:A8"/>
    </sheetView>
  </sheetViews>
  <sheetFormatPr defaultRowHeight="15" x14ac:dyDescent="0.25"/>
  <sheetData>
    <row r="1" spans="1:1" x14ac:dyDescent="0.25">
      <c r="A1" t="s">
        <v>3914</v>
      </c>
    </row>
    <row r="2" spans="1:1" x14ac:dyDescent="0.25">
      <c r="A2" t="s">
        <v>3915</v>
      </c>
    </row>
    <row r="3" spans="1:1" x14ac:dyDescent="0.25">
      <c r="A3" t="s">
        <v>3916</v>
      </c>
    </row>
    <row r="4" spans="1:1" x14ac:dyDescent="0.25">
      <c r="A4" t="s">
        <v>3917</v>
      </c>
    </row>
    <row r="5" spans="1:1" x14ac:dyDescent="0.25">
      <c r="A5" t="s">
        <v>3918</v>
      </c>
    </row>
    <row r="6" spans="1:1" x14ac:dyDescent="0.25">
      <c r="A6" t="s">
        <v>3919</v>
      </c>
    </row>
    <row r="8" spans="1:1" x14ac:dyDescent="0.25">
      <c r="A8" t="s">
        <v>3772</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workbookViewId="0">
      <selection sqref="A1:I89"/>
    </sheetView>
  </sheetViews>
  <sheetFormatPr defaultRowHeight="15" x14ac:dyDescent="0.25"/>
  <sheetData>
    <row r="1" spans="1:2" x14ac:dyDescent="0.25">
      <c r="A1" t="s">
        <v>3920</v>
      </c>
    </row>
    <row r="2" spans="1:2" x14ac:dyDescent="0.25">
      <c r="A2" t="s">
        <v>3921</v>
      </c>
    </row>
    <row r="4" spans="1:2" x14ac:dyDescent="0.25">
      <c r="A4" t="s">
        <v>3922</v>
      </c>
    </row>
    <row r="6" spans="1:2" x14ac:dyDescent="0.25">
      <c r="A6" t="s">
        <v>572</v>
      </c>
    </row>
    <row r="7" spans="1:2" x14ac:dyDescent="0.25">
      <c r="A7" t="s">
        <v>646</v>
      </c>
    </row>
    <row r="8" spans="1:2" x14ac:dyDescent="0.25">
      <c r="A8" t="s">
        <v>2764</v>
      </c>
    </row>
    <row r="9" spans="1:2" x14ac:dyDescent="0.25">
      <c r="A9" t="s">
        <v>3923</v>
      </c>
    </row>
    <row r="11" spans="1:2" x14ac:dyDescent="0.25">
      <c r="A11" t="s">
        <v>572</v>
      </c>
    </row>
    <row r="12" spans="1:2" x14ac:dyDescent="0.25">
      <c r="A12" t="s">
        <v>646</v>
      </c>
    </row>
    <row r="13" spans="1:2" x14ac:dyDescent="0.25">
      <c r="A13" t="s">
        <v>1392</v>
      </c>
    </row>
    <row r="14" spans="1:2" x14ac:dyDescent="0.25">
      <c r="A14" t="s">
        <v>3924</v>
      </c>
    </row>
    <row r="15" spans="1:2" x14ac:dyDescent="0.25">
      <c r="B15" t="s">
        <v>3925</v>
      </c>
    </row>
    <row r="16" spans="1:2" x14ac:dyDescent="0.25">
      <c r="A16" t="s">
        <v>1483</v>
      </c>
    </row>
    <row r="20" spans="1:9" x14ac:dyDescent="0.25">
      <c r="A20" t="s">
        <v>572</v>
      </c>
    </row>
    <row r="21" spans="1:9" x14ac:dyDescent="0.25">
      <c r="A21" t="s">
        <v>646</v>
      </c>
    </row>
    <row r="22" spans="1:9" x14ac:dyDescent="0.25">
      <c r="A22" t="s">
        <v>734</v>
      </c>
    </row>
    <row r="23" spans="1:9" x14ac:dyDescent="0.25">
      <c r="A23" t="s">
        <v>3926</v>
      </c>
    </row>
    <row r="25" spans="1:9" x14ac:dyDescent="0.25">
      <c r="A25" t="s">
        <v>3927</v>
      </c>
    </row>
    <row r="26" spans="1:9" x14ac:dyDescent="0.25">
      <c r="A26" t="s">
        <v>646</v>
      </c>
    </row>
    <row r="27" spans="1:9" x14ac:dyDescent="0.25">
      <c r="A27" t="s">
        <v>1350</v>
      </c>
    </row>
    <row r="28" spans="1:9" x14ac:dyDescent="0.25">
      <c r="A28" t="s">
        <v>3928</v>
      </c>
      <c r="B28">
        <v>144107</v>
      </c>
    </row>
    <row r="30" spans="1:9" x14ac:dyDescent="0.25">
      <c r="A30" t="s">
        <v>254</v>
      </c>
    </row>
    <row r="31" spans="1:9" x14ac:dyDescent="0.25">
      <c r="A31" t="s">
        <v>3929</v>
      </c>
      <c r="H31" t="s">
        <v>3930</v>
      </c>
      <c r="I31" t="s">
        <v>3931</v>
      </c>
    </row>
    <row r="32" spans="1:9" x14ac:dyDescent="0.25">
      <c r="A32" t="s">
        <v>3932</v>
      </c>
      <c r="B32">
        <v>1912278805</v>
      </c>
      <c r="C32">
        <v>626000917</v>
      </c>
    </row>
    <row r="33" spans="1:6" x14ac:dyDescent="0.25">
      <c r="A33" t="s">
        <v>258</v>
      </c>
    </row>
    <row r="35" spans="1:6" x14ac:dyDescent="0.25">
      <c r="A35" t="s">
        <v>572</v>
      </c>
    </row>
    <row r="36" spans="1:6" x14ac:dyDescent="0.25">
      <c r="A36" t="s">
        <v>646</v>
      </c>
    </row>
    <row r="37" spans="1:6" x14ac:dyDescent="0.25">
      <c r="A37" t="s">
        <v>580</v>
      </c>
    </row>
    <row r="38" spans="1:6" x14ac:dyDescent="0.25">
      <c r="A38" t="s">
        <v>3926</v>
      </c>
    </row>
    <row r="40" spans="1:6" x14ac:dyDescent="0.25">
      <c r="A40" t="s">
        <v>3933</v>
      </c>
      <c r="F40">
        <v>1912278805</v>
      </c>
    </row>
    <row r="41" spans="1:6" x14ac:dyDescent="0.25">
      <c r="A41" t="s">
        <v>3934</v>
      </c>
      <c r="F41">
        <v>1144349523</v>
      </c>
    </row>
    <row r="42" spans="1:6" x14ac:dyDescent="0.25">
      <c r="A42" t="s">
        <v>3935</v>
      </c>
      <c r="E42" s="22">
        <v>41986.25296258102</v>
      </c>
    </row>
    <row r="43" spans="1:6" x14ac:dyDescent="0.25">
      <c r="A43" t="s">
        <v>3936</v>
      </c>
      <c r="B43" s="22">
        <v>41986.258221793978</v>
      </c>
    </row>
    <row r="44" spans="1:6" x14ac:dyDescent="0.25">
      <c r="A44" t="s">
        <v>3937</v>
      </c>
      <c r="C44" s="22">
        <v>41986.720246643519</v>
      </c>
    </row>
    <row r="45" spans="1:6" x14ac:dyDescent="0.25">
      <c r="A45" t="s">
        <v>3938</v>
      </c>
      <c r="F45" s="22">
        <v>41988.779394756944</v>
      </c>
    </row>
    <row r="46" spans="1:6" x14ac:dyDescent="0.25">
      <c r="A46" t="s">
        <v>3939</v>
      </c>
      <c r="E46" s="22">
        <v>41989.136341238423</v>
      </c>
    </row>
    <row r="47" spans="1:6" x14ac:dyDescent="0.25">
      <c r="A47" t="e">
        <f>-- Issue is the mmis returned NULL, affiliation letter sent but not marked confirmed</f>
        <v>#NAME?</v>
      </c>
    </row>
    <row r="50" spans="1:2" x14ac:dyDescent="0.25">
      <c r="A50" t="s">
        <v>3940</v>
      </c>
    </row>
    <row r="52" spans="1:2" x14ac:dyDescent="0.25">
      <c r="A52" t="s">
        <v>607</v>
      </c>
    </row>
    <row r="53" spans="1:2" x14ac:dyDescent="0.25">
      <c r="A53" t="s">
        <v>1912</v>
      </c>
    </row>
    <row r="54" spans="1:2" x14ac:dyDescent="0.25">
      <c r="A54" t="s">
        <v>3941</v>
      </c>
    </row>
    <row r="56" spans="1:2" x14ac:dyDescent="0.25">
      <c r="A56" t="s">
        <v>3942</v>
      </c>
    </row>
    <row r="57" spans="1:2" x14ac:dyDescent="0.25">
      <c r="B57" t="s">
        <v>3943</v>
      </c>
    </row>
    <row r="58" spans="1:2" x14ac:dyDescent="0.25">
      <c r="B58" t="s">
        <v>3046</v>
      </c>
    </row>
    <row r="59" spans="1:2" x14ac:dyDescent="0.25">
      <c r="B59" t="s">
        <v>3944</v>
      </c>
    </row>
    <row r="60" spans="1:2" x14ac:dyDescent="0.25">
      <c r="A60" t="s">
        <v>582</v>
      </c>
    </row>
    <row r="61" spans="1:2" x14ac:dyDescent="0.25">
      <c r="A61" t="s">
        <v>751</v>
      </c>
    </row>
    <row r="62" spans="1:2" x14ac:dyDescent="0.25">
      <c r="B62" t="s">
        <v>843</v>
      </c>
    </row>
    <row r="63" spans="1:2" x14ac:dyDescent="0.25">
      <c r="A63" t="s">
        <v>3945</v>
      </c>
    </row>
    <row r="64" spans="1:2" x14ac:dyDescent="0.25">
      <c r="B64" t="s">
        <v>754</v>
      </c>
    </row>
    <row r="65" spans="1:2" x14ac:dyDescent="0.25">
      <c r="A65" t="s">
        <v>3946</v>
      </c>
    </row>
    <row r="66" spans="1:2" x14ac:dyDescent="0.25">
      <c r="B66" t="s">
        <v>3947</v>
      </c>
    </row>
    <row r="67" spans="1:2" x14ac:dyDescent="0.25">
      <c r="A67" t="s">
        <v>3948</v>
      </c>
    </row>
    <row r="69" spans="1:2" x14ac:dyDescent="0.25">
      <c r="A69" t="s">
        <v>572</v>
      </c>
    </row>
    <row r="70" spans="1:2" x14ac:dyDescent="0.25">
      <c r="A70" t="s">
        <v>646</v>
      </c>
    </row>
    <row r="71" spans="1:2" x14ac:dyDescent="0.25">
      <c r="A71" t="s">
        <v>865</v>
      </c>
    </row>
    <row r="72" spans="1:2" x14ac:dyDescent="0.25">
      <c r="A72" t="s">
        <v>3949</v>
      </c>
    </row>
    <row r="73" spans="1:2" x14ac:dyDescent="0.25">
      <c r="B73" t="s">
        <v>3950</v>
      </c>
    </row>
    <row r="75" spans="1:2" x14ac:dyDescent="0.25">
      <c r="A75" t="s">
        <v>572</v>
      </c>
    </row>
    <row r="76" spans="1:2" x14ac:dyDescent="0.25">
      <c r="A76" t="s">
        <v>3951</v>
      </c>
    </row>
    <row r="77" spans="1:2" x14ac:dyDescent="0.25">
      <c r="A77" t="s">
        <v>3047</v>
      </c>
    </row>
    <row r="78" spans="1:2" x14ac:dyDescent="0.25">
      <c r="A78" t="s">
        <v>2068</v>
      </c>
    </row>
    <row r="79" spans="1:2" x14ac:dyDescent="0.25">
      <c r="A79" t="s">
        <v>1350</v>
      </c>
    </row>
    <row r="80" spans="1:2" x14ac:dyDescent="0.25">
      <c r="A80" t="s">
        <v>858</v>
      </c>
    </row>
    <row r="81" spans="1:2" x14ac:dyDescent="0.25">
      <c r="B81" t="s">
        <v>3952</v>
      </c>
    </row>
    <row r="82" spans="1:2" x14ac:dyDescent="0.25">
      <c r="B82" t="s">
        <v>3953</v>
      </c>
    </row>
    <row r="83" spans="1:2" x14ac:dyDescent="0.25">
      <c r="A83" t="s">
        <v>1352</v>
      </c>
    </row>
    <row r="84" spans="1:2" x14ac:dyDescent="0.25">
      <c r="B84" t="s">
        <v>3954</v>
      </c>
    </row>
    <row r="85" spans="1:2" x14ac:dyDescent="0.25">
      <c r="B85" t="s">
        <v>3955</v>
      </c>
    </row>
    <row r="86" spans="1:2" x14ac:dyDescent="0.25">
      <c r="B86" t="s">
        <v>3956</v>
      </c>
    </row>
    <row r="87" spans="1:2" x14ac:dyDescent="0.25">
      <c r="B87" t="s">
        <v>3957</v>
      </c>
    </row>
    <row r="88" spans="1:2" x14ac:dyDescent="0.25">
      <c r="B88" t="s">
        <v>3958</v>
      </c>
    </row>
    <row r="89" spans="1:2" x14ac:dyDescent="0.25">
      <c r="A89" t="s">
        <v>3959</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sqref="A1:A11"/>
    </sheetView>
  </sheetViews>
  <sheetFormatPr defaultRowHeight="15" x14ac:dyDescent="0.25"/>
  <sheetData>
    <row r="1" spans="1:1" x14ac:dyDescent="0.25">
      <c r="A1" t="s">
        <v>3993</v>
      </c>
    </row>
    <row r="2" spans="1:1" x14ac:dyDescent="0.25">
      <c r="A2" t="s">
        <v>2453</v>
      </c>
    </row>
    <row r="3" spans="1:1" x14ac:dyDescent="0.25">
      <c r="A3" t="s">
        <v>3994</v>
      </c>
    </row>
    <row r="4" spans="1:1" x14ac:dyDescent="0.25">
      <c r="A4" t="s">
        <v>3995</v>
      </c>
    </row>
    <row r="5" spans="1:1" x14ac:dyDescent="0.25">
      <c r="A5" t="s">
        <v>3996</v>
      </c>
    </row>
    <row r="7" spans="1:1" x14ac:dyDescent="0.25">
      <c r="A7" t="s">
        <v>2283</v>
      </c>
    </row>
    <row r="8" spans="1:1" x14ac:dyDescent="0.25">
      <c r="A8" t="s">
        <v>3997</v>
      </c>
    </row>
    <row r="10" spans="1:1" x14ac:dyDescent="0.25">
      <c r="A10" t="s">
        <v>3998</v>
      </c>
    </row>
    <row r="11" spans="1:1" x14ac:dyDescent="0.25">
      <c r="A11" t="s">
        <v>3999</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
  <sheetViews>
    <sheetView workbookViewId="0">
      <selection sqref="A1:C105"/>
    </sheetView>
  </sheetViews>
  <sheetFormatPr defaultRowHeight="15" x14ac:dyDescent="0.25"/>
  <sheetData>
    <row r="1" spans="1:2" x14ac:dyDescent="0.25">
      <c r="A1" t="s">
        <v>4133</v>
      </c>
    </row>
    <row r="2" spans="1:2" x14ac:dyDescent="0.25">
      <c r="A2" t="s">
        <v>4134</v>
      </c>
    </row>
    <row r="3" spans="1:2" x14ac:dyDescent="0.25">
      <c r="A3" t="s">
        <v>4135</v>
      </c>
    </row>
    <row r="4" spans="1:2" x14ac:dyDescent="0.25">
      <c r="A4" t="s">
        <v>4136</v>
      </c>
      <c r="B4">
        <f>-- 56646</f>
        <v>56646</v>
      </c>
    </row>
    <row r="6" spans="1:2" x14ac:dyDescent="0.25">
      <c r="A6" t="s">
        <v>4137</v>
      </c>
    </row>
    <row r="8" spans="1:2" x14ac:dyDescent="0.25">
      <c r="A8" t="s">
        <v>4138</v>
      </c>
    </row>
    <row r="10" spans="1:2" x14ac:dyDescent="0.25">
      <c r="A10" t="s">
        <v>4139</v>
      </c>
    </row>
    <row r="11" spans="1:2" x14ac:dyDescent="0.25">
      <c r="A11" t="e">
        <f>-- Steps that were actually executed</f>
        <v>#NAME?</v>
      </c>
    </row>
    <row r="12" spans="1:2" x14ac:dyDescent="0.25">
      <c r="A12" t="s">
        <v>2689</v>
      </c>
    </row>
    <row r="13" spans="1:2" x14ac:dyDescent="0.25">
      <c r="B13" t="s">
        <v>2690</v>
      </c>
    </row>
    <row r="14" spans="1:2" x14ac:dyDescent="0.25">
      <c r="A14" t="s">
        <v>2002</v>
      </c>
    </row>
    <row r="15" spans="1:2" x14ac:dyDescent="0.25">
      <c r="A15" t="s">
        <v>2161</v>
      </c>
    </row>
    <row r="16" spans="1:2" x14ac:dyDescent="0.25">
      <c r="A16" t="s">
        <v>2162</v>
      </c>
    </row>
    <row r="17" spans="1:2" x14ac:dyDescent="0.25">
      <c r="A17" t="s">
        <v>4140</v>
      </c>
    </row>
    <row r="18" spans="1:2" x14ac:dyDescent="0.25">
      <c r="A18" t="s">
        <v>2008</v>
      </c>
    </row>
    <row r="20" spans="1:2" x14ac:dyDescent="0.25">
      <c r="A20" t="s">
        <v>4141</v>
      </c>
    </row>
    <row r="22" spans="1:2" x14ac:dyDescent="0.25">
      <c r="A22" t="s">
        <v>4142</v>
      </c>
    </row>
    <row r="23" spans="1:2" x14ac:dyDescent="0.25">
      <c r="A23" t="s">
        <v>4143</v>
      </c>
    </row>
    <row r="24" spans="1:2" x14ac:dyDescent="0.25">
      <c r="A24" t="e">
        <f>-- Steps that were actually executed</f>
        <v>#NAME?</v>
      </c>
    </row>
    <row r="25" spans="1:2" x14ac:dyDescent="0.25">
      <c r="A25" t="s">
        <v>2689</v>
      </c>
    </row>
    <row r="26" spans="1:2" x14ac:dyDescent="0.25">
      <c r="B26" t="s">
        <v>2690</v>
      </c>
    </row>
    <row r="27" spans="1:2" x14ac:dyDescent="0.25">
      <c r="A27" t="s">
        <v>2002</v>
      </c>
    </row>
    <row r="28" spans="1:2" x14ac:dyDescent="0.25">
      <c r="A28" t="s">
        <v>2161</v>
      </c>
    </row>
    <row r="29" spans="1:2" x14ac:dyDescent="0.25">
      <c r="A29" t="s">
        <v>2162</v>
      </c>
    </row>
    <row r="30" spans="1:2" x14ac:dyDescent="0.25">
      <c r="A30" t="s">
        <v>2163</v>
      </c>
    </row>
    <row r="31" spans="1:2" x14ac:dyDescent="0.25">
      <c r="A31" t="s">
        <v>2008</v>
      </c>
    </row>
    <row r="33" spans="1:2" x14ac:dyDescent="0.25">
      <c r="A33" t="e">
        <f>-- Possible step actions that could have taken place with this process</f>
        <v>#NAME?</v>
      </c>
    </row>
    <row r="34" spans="1:2" x14ac:dyDescent="0.25">
      <c r="A34" t="s">
        <v>2164</v>
      </c>
    </row>
    <row r="35" spans="1:2" x14ac:dyDescent="0.25">
      <c r="A35" t="s">
        <v>2165</v>
      </c>
    </row>
    <row r="36" spans="1:2" x14ac:dyDescent="0.25">
      <c r="B36" t="s">
        <v>2166</v>
      </c>
    </row>
    <row r="37" spans="1:2" x14ac:dyDescent="0.25">
      <c r="A37" t="s">
        <v>2167</v>
      </c>
    </row>
    <row r="38" spans="1:2" x14ac:dyDescent="0.25">
      <c r="A38" t="s">
        <v>2168</v>
      </c>
    </row>
    <row r="39" spans="1:2" x14ac:dyDescent="0.25">
      <c r="A39" t="s">
        <v>2169</v>
      </c>
    </row>
    <row r="40" spans="1:2" x14ac:dyDescent="0.25">
      <c r="A40" t="s">
        <v>2170</v>
      </c>
    </row>
    <row r="41" spans="1:2" x14ac:dyDescent="0.25">
      <c r="A41" t="s">
        <v>2095</v>
      </c>
    </row>
    <row r="42" spans="1:2" x14ac:dyDescent="0.25">
      <c r="A42" t="s">
        <v>2171</v>
      </c>
    </row>
    <row r="43" spans="1:2" x14ac:dyDescent="0.25">
      <c r="B43" t="s">
        <v>2166</v>
      </c>
    </row>
    <row r="44" spans="1:2" x14ac:dyDescent="0.25">
      <c r="A44" t="s">
        <v>2167</v>
      </c>
    </row>
    <row r="45" spans="1:2" x14ac:dyDescent="0.25">
      <c r="A45" t="s">
        <v>2168</v>
      </c>
    </row>
    <row r="46" spans="1:2" x14ac:dyDescent="0.25">
      <c r="A46" t="s">
        <v>2172</v>
      </c>
    </row>
    <row r="47" spans="1:2" x14ac:dyDescent="0.25">
      <c r="A47" t="s">
        <v>2173</v>
      </c>
    </row>
    <row r="48" spans="1:2" x14ac:dyDescent="0.25">
      <c r="B48" t="s">
        <v>2174</v>
      </c>
    </row>
    <row r="49" spans="1:2" x14ac:dyDescent="0.25">
      <c r="B49" t="s">
        <v>2167</v>
      </c>
    </row>
    <row r="50" spans="1:2" x14ac:dyDescent="0.25">
      <c r="B50" t="s">
        <v>2169</v>
      </c>
    </row>
    <row r="51" spans="1:2" x14ac:dyDescent="0.25">
      <c r="B51" t="s">
        <v>2175</v>
      </c>
    </row>
    <row r="52" spans="1:2" x14ac:dyDescent="0.25">
      <c r="B52" t="s">
        <v>698</v>
      </c>
    </row>
    <row r="53" spans="1:2" x14ac:dyDescent="0.25">
      <c r="A53" t="s">
        <v>2176</v>
      </c>
    </row>
    <row r="55" spans="1:2" x14ac:dyDescent="0.25">
      <c r="A55" t="s">
        <v>4002</v>
      </c>
    </row>
    <row r="57" spans="1:2" x14ac:dyDescent="0.25">
      <c r="A57" t="s">
        <v>4144</v>
      </c>
    </row>
    <row r="58" spans="1:2" x14ac:dyDescent="0.25">
      <c r="A58">
        <v>905</v>
      </c>
    </row>
    <row r="60" spans="1:2" x14ac:dyDescent="0.25">
      <c r="A60" t="s">
        <v>4145</v>
      </c>
    </row>
    <row r="61" spans="1:2" x14ac:dyDescent="0.25">
      <c r="A61" t="s">
        <v>4146</v>
      </c>
    </row>
    <row r="62" spans="1:2" x14ac:dyDescent="0.25">
      <c r="A62" t="s">
        <v>4147</v>
      </c>
    </row>
    <row r="64" spans="1:2" x14ac:dyDescent="0.25">
      <c r="A64" t="s">
        <v>254</v>
      </c>
    </row>
    <row r="65" spans="1:3" x14ac:dyDescent="0.25">
      <c r="A65" t="s">
        <v>3231</v>
      </c>
      <c r="B65" t="s">
        <v>384</v>
      </c>
    </row>
    <row r="66" spans="1:3" x14ac:dyDescent="0.25">
      <c r="A66">
        <v>5695</v>
      </c>
      <c r="B66">
        <v>113513</v>
      </c>
    </row>
    <row r="67" spans="1:3" x14ac:dyDescent="0.25">
      <c r="A67" t="s">
        <v>258</v>
      </c>
    </row>
    <row r="69" spans="1:3" x14ac:dyDescent="0.25">
      <c r="A69" t="s">
        <v>572</v>
      </c>
    </row>
    <row r="70" spans="1:3" x14ac:dyDescent="0.25">
      <c r="A70" t="s">
        <v>1355</v>
      </c>
    </row>
    <row r="71" spans="1:3" x14ac:dyDescent="0.25">
      <c r="A71" t="s">
        <v>604</v>
      </c>
    </row>
    <row r="72" spans="1:3" x14ac:dyDescent="0.25">
      <c r="A72" t="s">
        <v>619</v>
      </c>
    </row>
    <row r="73" spans="1:3" x14ac:dyDescent="0.25">
      <c r="B73" t="s">
        <v>811</v>
      </c>
    </row>
    <row r="74" spans="1:3" x14ac:dyDescent="0.25">
      <c r="A74" t="s">
        <v>4148</v>
      </c>
    </row>
    <row r="75" spans="1:3" x14ac:dyDescent="0.25">
      <c r="A75" t="s">
        <v>697</v>
      </c>
    </row>
    <row r="76" spans="1:3" x14ac:dyDescent="0.25">
      <c r="B76" t="s">
        <v>572</v>
      </c>
    </row>
    <row r="77" spans="1:3" x14ac:dyDescent="0.25">
      <c r="B77" t="s">
        <v>4149</v>
      </c>
    </row>
    <row r="78" spans="1:3" x14ac:dyDescent="0.25">
      <c r="B78" t="s">
        <v>4150</v>
      </c>
    </row>
    <row r="79" spans="1:3" x14ac:dyDescent="0.25">
      <c r="B79" t="s">
        <v>1607</v>
      </c>
    </row>
    <row r="80" spans="1:3" x14ac:dyDescent="0.25">
      <c r="C80" t="s">
        <v>4151</v>
      </c>
    </row>
    <row r="81" spans="1:3" x14ac:dyDescent="0.25">
      <c r="B81" t="s">
        <v>4152</v>
      </c>
    </row>
    <row r="82" spans="1:3" x14ac:dyDescent="0.25">
      <c r="C82" t="s">
        <v>4153</v>
      </c>
    </row>
    <row r="83" spans="1:3" x14ac:dyDescent="0.25">
      <c r="A83" t="s">
        <v>698</v>
      </c>
    </row>
    <row r="84" spans="1:3" x14ac:dyDescent="0.25">
      <c r="A84" t="s">
        <v>4154</v>
      </c>
    </row>
    <row r="88" spans="1:3" x14ac:dyDescent="0.25">
      <c r="A88" t="s">
        <v>572</v>
      </c>
    </row>
    <row r="89" spans="1:3" x14ac:dyDescent="0.25">
      <c r="A89" t="s">
        <v>4155</v>
      </c>
    </row>
    <row r="90" spans="1:3" x14ac:dyDescent="0.25">
      <c r="A90" t="s">
        <v>4156</v>
      </c>
    </row>
    <row r="91" spans="1:3" x14ac:dyDescent="0.25">
      <c r="A91" t="s">
        <v>4157</v>
      </c>
    </row>
    <row r="92" spans="1:3" x14ac:dyDescent="0.25">
      <c r="A92" t="s">
        <v>4158</v>
      </c>
    </row>
    <row r="93" spans="1:3" x14ac:dyDescent="0.25">
      <c r="A93" t="s">
        <v>4159</v>
      </c>
    </row>
    <row r="94" spans="1:3" x14ac:dyDescent="0.25">
      <c r="A94" t="s">
        <v>4160</v>
      </c>
    </row>
    <row r="95" spans="1:3" x14ac:dyDescent="0.25">
      <c r="A95" t="s">
        <v>4161</v>
      </c>
    </row>
    <row r="96" spans="1:3" x14ac:dyDescent="0.25">
      <c r="A96" t="s">
        <v>4162</v>
      </c>
    </row>
    <row r="97" spans="1:2" x14ac:dyDescent="0.25">
      <c r="A97" t="s">
        <v>4163</v>
      </c>
    </row>
    <row r="98" spans="1:2" x14ac:dyDescent="0.25">
      <c r="A98" t="s">
        <v>4164</v>
      </c>
    </row>
    <row r="99" spans="1:2" x14ac:dyDescent="0.25">
      <c r="A99" t="s">
        <v>4165</v>
      </c>
    </row>
    <row r="100" spans="1:2" x14ac:dyDescent="0.25">
      <c r="A100" t="s">
        <v>4166</v>
      </c>
    </row>
    <row r="101" spans="1:2" x14ac:dyDescent="0.25">
      <c r="A101" t="s">
        <v>4167</v>
      </c>
    </row>
    <row r="102" spans="1:2" x14ac:dyDescent="0.25">
      <c r="A102" t="s">
        <v>4168</v>
      </c>
    </row>
    <row r="103" spans="1:2" x14ac:dyDescent="0.25">
      <c r="A103" t="s">
        <v>4169</v>
      </c>
    </row>
    <row r="104" spans="1:2" x14ac:dyDescent="0.25">
      <c r="A104" t="s">
        <v>2147</v>
      </c>
    </row>
    <row r="105" spans="1:2" x14ac:dyDescent="0.25">
      <c r="B105" t="s">
        <v>4170</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sqref="A1:A8"/>
    </sheetView>
  </sheetViews>
  <sheetFormatPr defaultRowHeight="15" x14ac:dyDescent="0.25"/>
  <sheetData>
    <row r="1" spans="1:1" x14ac:dyDescent="0.25">
      <c r="A1" t="s">
        <v>2453</v>
      </c>
    </row>
    <row r="3" spans="1:1" x14ac:dyDescent="0.25">
      <c r="A3" t="s">
        <v>4000</v>
      </c>
    </row>
    <row r="5" spans="1:1" x14ac:dyDescent="0.25">
      <c r="A5" t="s">
        <v>2283</v>
      </c>
    </row>
    <row r="6" spans="1:1" x14ac:dyDescent="0.25">
      <c r="A6" t="s">
        <v>4001</v>
      </c>
    </row>
    <row r="8" spans="1:1" x14ac:dyDescent="0.25">
      <c r="A8" t="s">
        <v>4002</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workbookViewId="0">
      <selection sqref="A1:B52"/>
    </sheetView>
  </sheetViews>
  <sheetFormatPr defaultRowHeight="15" x14ac:dyDescent="0.25"/>
  <sheetData>
    <row r="1" spans="1:2" x14ac:dyDescent="0.25">
      <c r="A1" t="s">
        <v>3772</v>
      </c>
    </row>
    <row r="3" spans="1:2" x14ac:dyDescent="0.25">
      <c r="A3" t="s">
        <v>4171</v>
      </c>
    </row>
    <row r="4" spans="1:2" x14ac:dyDescent="0.25">
      <c r="A4" t="s">
        <v>4172</v>
      </c>
    </row>
    <row r="5" spans="1:2" x14ac:dyDescent="0.25">
      <c r="A5" t="s">
        <v>4173</v>
      </c>
    </row>
    <row r="7" spans="1:2" x14ac:dyDescent="0.25">
      <c r="A7" t="e">
        <f>-- Steps that were actually executed</f>
        <v>#NAME?</v>
      </c>
    </row>
    <row r="8" spans="1:2" x14ac:dyDescent="0.25">
      <c r="A8" t="s">
        <v>2689</v>
      </c>
    </row>
    <row r="9" spans="1:2" x14ac:dyDescent="0.25">
      <c r="B9" t="s">
        <v>2690</v>
      </c>
    </row>
    <row r="10" spans="1:2" x14ac:dyDescent="0.25">
      <c r="A10" t="s">
        <v>2002</v>
      </c>
    </row>
    <row r="11" spans="1:2" x14ac:dyDescent="0.25">
      <c r="A11" t="s">
        <v>2161</v>
      </c>
    </row>
    <row r="12" spans="1:2" x14ac:dyDescent="0.25">
      <c r="A12" t="s">
        <v>2162</v>
      </c>
    </row>
    <row r="13" spans="1:2" x14ac:dyDescent="0.25">
      <c r="A13" t="s">
        <v>4174</v>
      </c>
    </row>
    <row r="14" spans="1:2" x14ac:dyDescent="0.25">
      <c r="A14" t="s">
        <v>2008</v>
      </c>
    </row>
    <row r="16" spans="1:2" x14ac:dyDescent="0.25">
      <c r="A16" t="s">
        <v>572</v>
      </c>
    </row>
    <row r="17" spans="1:1" x14ac:dyDescent="0.25">
      <c r="A17" t="s">
        <v>646</v>
      </c>
    </row>
    <row r="18" spans="1:1" x14ac:dyDescent="0.25">
      <c r="A18" t="s">
        <v>4175</v>
      </c>
    </row>
    <row r="19" spans="1:1" x14ac:dyDescent="0.25">
      <c r="A19" t="s">
        <v>4176</v>
      </c>
    </row>
    <row r="21" spans="1:1" x14ac:dyDescent="0.25">
      <c r="A21" t="s">
        <v>4177</v>
      </c>
    </row>
    <row r="22" spans="1:1" x14ac:dyDescent="0.25">
      <c r="A22" t="s">
        <v>4178</v>
      </c>
    </row>
    <row r="24" spans="1:1" x14ac:dyDescent="0.25">
      <c r="A24" t="s">
        <v>4179</v>
      </c>
    </row>
    <row r="26" spans="1:1" x14ac:dyDescent="0.25">
      <c r="A26" t="s">
        <v>254</v>
      </c>
    </row>
    <row r="27" spans="1:1" x14ac:dyDescent="0.25">
      <c r="A27" t="s">
        <v>4180</v>
      </c>
    </row>
    <row r="28" spans="1:1" x14ac:dyDescent="0.25">
      <c r="A28" t="s">
        <v>4181</v>
      </c>
    </row>
    <row r="29" spans="1:1" x14ac:dyDescent="0.25">
      <c r="A29" t="s">
        <v>4182</v>
      </c>
    </row>
    <row r="30" spans="1:1" x14ac:dyDescent="0.25">
      <c r="A30" t="s">
        <v>4183</v>
      </c>
    </row>
    <row r="31" spans="1:1" x14ac:dyDescent="0.25">
      <c r="A31" t="s">
        <v>4184</v>
      </c>
    </row>
    <row r="33" spans="1:1" x14ac:dyDescent="0.25">
      <c r="A33" t="s">
        <v>4185</v>
      </c>
    </row>
    <row r="34" spans="1:1" x14ac:dyDescent="0.25">
      <c r="A34" t="s">
        <v>4186</v>
      </c>
    </row>
    <row r="35" spans="1:1" x14ac:dyDescent="0.25">
      <c r="A35" t="s">
        <v>4187</v>
      </c>
    </row>
    <row r="36" spans="1:1" x14ac:dyDescent="0.25">
      <c r="A36" t="s">
        <v>258</v>
      </c>
    </row>
    <row r="38" spans="1:1" x14ac:dyDescent="0.25">
      <c r="A38" t="s">
        <v>572</v>
      </c>
    </row>
    <row r="39" spans="1:1" x14ac:dyDescent="0.25">
      <c r="A39" t="s">
        <v>646</v>
      </c>
    </row>
    <row r="40" spans="1:1" x14ac:dyDescent="0.25">
      <c r="A40" t="s">
        <v>924</v>
      </c>
    </row>
    <row r="41" spans="1:1" x14ac:dyDescent="0.25">
      <c r="A41" t="s">
        <v>4188</v>
      </c>
    </row>
    <row r="42" spans="1:1" x14ac:dyDescent="0.25">
      <c r="A42" t="s">
        <v>1604</v>
      </c>
    </row>
    <row r="45" spans="1:1" x14ac:dyDescent="0.25">
      <c r="A45" t="s">
        <v>254</v>
      </c>
    </row>
    <row r="46" spans="1:1" x14ac:dyDescent="0.25">
      <c r="A46" t="s">
        <v>4189</v>
      </c>
    </row>
    <row r="47" spans="1:1" x14ac:dyDescent="0.25">
      <c r="A47" t="s">
        <v>4190</v>
      </c>
    </row>
    <row r="49" spans="1:1" x14ac:dyDescent="0.25">
      <c r="A49" t="s">
        <v>4189</v>
      </c>
    </row>
    <row r="50" spans="1:1" x14ac:dyDescent="0.25">
      <c r="A50" t="s">
        <v>4190</v>
      </c>
    </row>
    <row r="51" spans="1:1" x14ac:dyDescent="0.25">
      <c r="A51" t="s">
        <v>258</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sqref="A1:B38"/>
    </sheetView>
  </sheetViews>
  <sheetFormatPr defaultRowHeight="15" x14ac:dyDescent="0.25"/>
  <sheetData>
    <row r="1" spans="1:2" x14ac:dyDescent="0.25">
      <c r="A1" t="s">
        <v>572</v>
      </c>
    </row>
    <row r="2" spans="1:2" x14ac:dyDescent="0.25">
      <c r="A2" t="s">
        <v>646</v>
      </c>
    </row>
    <row r="3" spans="1:2" x14ac:dyDescent="0.25">
      <c r="A3" t="s">
        <v>734</v>
      </c>
    </row>
    <row r="4" spans="1:2" x14ac:dyDescent="0.25">
      <c r="A4" t="s">
        <v>4191</v>
      </c>
    </row>
    <row r="5" spans="1:2" x14ac:dyDescent="0.25">
      <c r="B5" t="s">
        <v>4192</v>
      </c>
    </row>
    <row r="6" spans="1:2" x14ac:dyDescent="0.25">
      <c r="A6" t="s">
        <v>4193</v>
      </c>
    </row>
    <row r="8" spans="1:2" x14ac:dyDescent="0.25">
      <c r="A8" t="s">
        <v>572</v>
      </c>
    </row>
    <row r="9" spans="1:2" x14ac:dyDescent="0.25">
      <c r="A9" t="s">
        <v>646</v>
      </c>
    </row>
    <row r="10" spans="1:2" x14ac:dyDescent="0.25">
      <c r="A10" t="s">
        <v>1424</v>
      </c>
    </row>
    <row r="11" spans="1:2" x14ac:dyDescent="0.25">
      <c r="A11" t="s">
        <v>4194</v>
      </c>
      <c r="B11" t="s">
        <v>4195</v>
      </c>
    </row>
    <row r="13" spans="1:2" x14ac:dyDescent="0.25">
      <c r="A13" t="s">
        <v>572</v>
      </c>
    </row>
    <row r="14" spans="1:2" x14ac:dyDescent="0.25">
      <c r="A14" t="s">
        <v>646</v>
      </c>
    </row>
    <row r="15" spans="1:2" x14ac:dyDescent="0.25">
      <c r="A15" t="s">
        <v>1424</v>
      </c>
    </row>
    <row r="16" spans="1:2" x14ac:dyDescent="0.25">
      <c r="A16" t="s">
        <v>4196</v>
      </c>
    </row>
    <row r="17" spans="1:2" x14ac:dyDescent="0.25">
      <c r="A17" t="s">
        <v>4197</v>
      </c>
    </row>
    <row r="19" spans="1:2" x14ac:dyDescent="0.25">
      <c r="A19" t="s">
        <v>572</v>
      </c>
    </row>
    <row r="20" spans="1:2" x14ac:dyDescent="0.25">
      <c r="A20" t="s">
        <v>646</v>
      </c>
    </row>
    <row r="21" spans="1:2" x14ac:dyDescent="0.25">
      <c r="A21" t="s">
        <v>734</v>
      </c>
    </row>
    <row r="22" spans="1:2" x14ac:dyDescent="0.25">
      <c r="A22" t="s">
        <v>4198</v>
      </c>
    </row>
    <row r="23" spans="1:2" x14ac:dyDescent="0.25">
      <c r="B23" t="s">
        <v>4199</v>
      </c>
    </row>
    <row r="24" spans="1:2" x14ac:dyDescent="0.25">
      <c r="A24" t="s">
        <v>4200</v>
      </c>
    </row>
    <row r="26" spans="1:2" x14ac:dyDescent="0.25">
      <c r="A26" t="s">
        <v>572</v>
      </c>
    </row>
    <row r="27" spans="1:2" x14ac:dyDescent="0.25">
      <c r="A27" t="s">
        <v>573</v>
      </c>
    </row>
    <row r="28" spans="1:2" x14ac:dyDescent="0.25">
      <c r="A28" t="s">
        <v>1204</v>
      </c>
    </row>
    <row r="29" spans="1:2" x14ac:dyDescent="0.25">
      <c r="A29" t="s">
        <v>1009</v>
      </c>
    </row>
    <row r="30" spans="1:2" x14ac:dyDescent="0.25">
      <c r="A30" t="s">
        <v>4201</v>
      </c>
    </row>
    <row r="31" spans="1:2" x14ac:dyDescent="0.25">
      <c r="A31" t="s">
        <v>3763</v>
      </c>
    </row>
    <row r="32" spans="1:2" x14ac:dyDescent="0.25">
      <c r="A32" t="s">
        <v>3457</v>
      </c>
    </row>
    <row r="33" spans="1:1" x14ac:dyDescent="0.25">
      <c r="A33" t="s">
        <v>1010</v>
      </c>
    </row>
    <row r="34" spans="1:1" x14ac:dyDescent="0.25">
      <c r="A34" t="s">
        <v>533</v>
      </c>
    </row>
    <row r="35" spans="1:1" x14ac:dyDescent="0.25">
      <c r="A35" t="s">
        <v>3782</v>
      </c>
    </row>
    <row r="36" spans="1:1" x14ac:dyDescent="0.25">
      <c r="A36" s="24">
        <v>-6.5362139711374002E+56</v>
      </c>
    </row>
    <row r="37" spans="1:1" x14ac:dyDescent="0.25">
      <c r="A37" t="s">
        <v>634</v>
      </c>
    </row>
    <row r="38" spans="1:1" x14ac:dyDescent="0.25">
      <c r="A38" t="s">
        <v>4202</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7"/>
  <sheetViews>
    <sheetView workbookViewId="0">
      <selection sqref="A1:C137"/>
    </sheetView>
  </sheetViews>
  <sheetFormatPr defaultRowHeight="15" x14ac:dyDescent="0.25"/>
  <sheetData>
    <row r="1" spans="1:2" x14ac:dyDescent="0.25">
      <c r="A1" t="s">
        <v>254</v>
      </c>
    </row>
    <row r="2" spans="1:2" x14ac:dyDescent="0.25">
      <c r="A2" t="s">
        <v>4203</v>
      </c>
    </row>
    <row r="3" spans="1:2" x14ac:dyDescent="0.25">
      <c r="A3" t="s">
        <v>4204</v>
      </c>
    </row>
    <row r="5" spans="1:2" x14ac:dyDescent="0.25">
      <c r="A5" t="s">
        <v>258</v>
      </c>
    </row>
    <row r="7" spans="1:2" x14ac:dyDescent="0.25">
      <c r="A7" t="s">
        <v>4205</v>
      </c>
    </row>
    <row r="9" spans="1:2" x14ac:dyDescent="0.25">
      <c r="A9" t="e">
        <f>-- Steps that were actually executed</f>
        <v>#NAME?</v>
      </c>
    </row>
    <row r="10" spans="1:2" x14ac:dyDescent="0.25">
      <c r="A10" t="s">
        <v>2689</v>
      </c>
    </row>
    <row r="11" spans="1:2" x14ac:dyDescent="0.25">
      <c r="B11" t="s">
        <v>2690</v>
      </c>
    </row>
    <row r="12" spans="1:2" x14ac:dyDescent="0.25">
      <c r="A12" t="s">
        <v>2002</v>
      </c>
    </row>
    <row r="13" spans="1:2" x14ac:dyDescent="0.25">
      <c r="A13" t="s">
        <v>2161</v>
      </c>
    </row>
    <row r="14" spans="1:2" x14ac:dyDescent="0.25">
      <c r="A14" t="s">
        <v>2162</v>
      </c>
    </row>
    <row r="15" spans="1:2" x14ac:dyDescent="0.25">
      <c r="A15" t="s">
        <v>4206</v>
      </c>
    </row>
    <row r="16" spans="1:2" x14ac:dyDescent="0.25">
      <c r="A16" t="s">
        <v>2008</v>
      </c>
    </row>
    <row r="18" spans="1:2" x14ac:dyDescent="0.25">
      <c r="A18" t="s">
        <v>4207</v>
      </c>
    </row>
    <row r="20" spans="1:2" x14ac:dyDescent="0.25">
      <c r="A20" t="e">
        <f>-- Steps that were actually executed</f>
        <v>#NAME?</v>
      </c>
    </row>
    <row r="21" spans="1:2" x14ac:dyDescent="0.25">
      <c r="A21" t="s">
        <v>2689</v>
      </c>
    </row>
    <row r="22" spans="1:2" x14ac:dyDescent="0.25">
      <c r="B22" t="s">
        <v>2690</v>
      </c>
    </row>
    <row r="23" spans="1:2" x14ac:dyDescent="0.25">
      <c r="A23" t="s">
        <v>2002</v>
      </c>
    </row>
    <row r="24" spans="1:2" x14ac:dyDescent="0.25">
      <c r="A24" t="s">
        <v>2161</v>
      </c>
    </row>
    <row r="25" spans="1:2" x14ac:dyDescent="0.25">
      <c r="A25" t="s">
        <v>2162</v>
      </c>
    </row>
    <row r="26" spans="1:2" x14ac:dyDescent="0.25">
      <c r="A26" t="s">
        <v>4206</v>
      </c>
    </row>
    <row r="27" spans="1:2" x14ac:dyDescent="0.25">
      <c r="A27" t="s">
        <v>2008</v>
      </c>
    </row>
    <row r="29" spans="1:2" x14ac:dyDescent="0.25">
      <c r="A29" t="s">
        <v>4208</v>
      </c>
    </row>
    <row r="31" spans="1:2" x14ac:dyDescent="0.25">
      <c r="A31" t="s">
        <v>4209</v>
      </c>
    </row>
    <row r="33" spans="1:2" x14ac:dyDescent="0.25">
      <c r="A33" t="s">
        <v>4210</v>
      </c>
    </row>
    <row r="36" spans="1:2" x14ac:dyDescent="0.25">
      <c r="A36" t="s">
        <v>254</v>
      </c>
    </row>
    <row r="37" spans="1:2" x14ac:dyDescent="0.25">
      <c r="A37" t="s">
        <v>4203</v>
      </c>
    </row>
    <row r="38" spans="1:2" x14ac:dyDescent="0.25">
      <c r="A38" t="s">
        <v>4204</v>
      </c>
    </row>
    <row r="40" spans="1:2" x14ac:dyDescent="0.25">
      <c r="A40" t="s">
        <v>258</v>
      </c>
    </row>
    <row r="42" spans="1:2" x14ac:dyDescent="0.25">
      <c r="A42" t="s">
        <v>4205</v>
      </c>
    </row>
    <row r="44" spans="1:2" x14ac:dyDescent="0.25">
      <c r="A44" t="e">
        <f>-- Steps that were actually executed</f>
        <v>#NAME?</v>
      </c>
    </row>
    <row r="45" spans="1:2" x14ac:dyDescent="0.25">
      <c r="A45" t="s">
        <v>2689</v>
      </c>
    </row>
    <row r="46" spans="1:2" x14ac:dyDescent="0.25">
      <c r="B46" t="s">
        <v>2690</v>
      </c>
    </row>
    <row r="47" spans="1:2" x14ac:dyDescent="0.25">
      <c r="A47" t="s">
        <v>2002</v>
      </c>
    </row>
    <row r="48" spans="1:2" x14ac:dyDescent="0.25">
      <c r="A48" t="s">
        <v>2161</v>
      </c>
    </row>
    <row r="49" spans="1:1" x14ac:dyDescent="0.25">
      <c r="A49" t="s">
        <v>2162</v>
      </c>
    </row>
    <row r="50" spans="1:1" x14ac:dyDescent="0.25">
      <c r="A50" t="s">
        <v>4206</v>
      </c>
    </row>
    <row r="51" spans="1:1" x14ac:dyDescent="0.25">
      <c r="A51" t="s">
        <v>2008</v>
      </c>
    </row>
    <row r="53" spans="1:1" x14ac:dyDescent="0.25">
      <c r="A53" t="s">
        <v>572</v>
      </c>
    </row>
    <row r="54" spans="1:1" x14ac:dyDescent="0.25">
      <c r="A54" t="s">
        <v>4211</v>
      </c>
    </row>
    <row r="55" spans="1:1" x14ac:dyDescent="0.25">
      <c r="A55" t="s">
        <v>4212</v>
      </c>
    </row>
    <row r="56" spans="1:1" x14ac:dyDescent="0.25">
      <c r="A56" t="s">
        <v>4213</v>
      </c>
    </row>
    <row r="57" spans="1:1" x14ac:dyDescent="0.25">
      <c r="A57" t="s">
        <v>3320</v>
      </c>
    </row>
    <row r="58" spans="1:1" x14ac:dyDescent="0.25">
      <c r="A58" t="s">
        <v>4214</v>
      </c>
    </row>
    <row r="61" spans="1:1" x14ac:dyDescent="0.25">
      <c r="A61" t="s">
        <v>4209</v>
      </c>
    </row>
    <row r="63" spans="1:1" x14ac:dyDescent="0.25">
      <c r="A63" t="s">
        <v>4210</v>
      </c>
    </row>
    <row r="66" spans="1:2" x14ac:dyDescent="0.25">
      <c r="A66" t="s">
        <v>4215</v>
      </c>
    </row>
    <row r="67" spans="1:2" x14ac:dyDescent="0.25">
      <c r="A67" t="s">
        <v>4216</v>
      </c>
    </row>
    <row r="68" spans="1:2" x14ac:dyDescent="0.25">
      <c r="A68" t="s">
        <v>4217</v>
      </c>
    </row>
    <row r="69" spans="1:2" x14ac:dyDescent="0.25">
      <c r="A69" t="s">
        <v>4218</v>
      </c>
    </row>
    <row r="70" spans="1:2" x14ac:dyDescent="0.25">
      <c r="A70" t="s">
        <v>4219</v>
      </c>
    </row>
    <row r="71" spans="1:2" x14ac:dyDescent="0.25">
      <c r="A71" t="s">
        <v>4220</v>
      </c>
    </row>
    <row r="72" spans="1:2" x14ac:dyDescent="0.25">
      <c r="A72" t="s">
        <v>254</v>
      </c>
    </row>
    <row r="73" spans="1:2" x14ac:dyDescent="0.25">
      <c r="A73" t="s">
        <v>4221</v>
      </c>
    </row>
    <row r="74" spans="1:2" x14ac:dyDescent="0.25">
      <c r="A74">
        <v>146433</v>
      </c>
    </row>
    <row r="75" spans="1:2" x14ac:dyDescent="0.25">
      <c r="A75" t="s">
        <v>4221</v>
      </c>
    </row>
    <row r="76" spans="1:2" x14ac:dyDescent="0.25">
      <c r="A76" t="s">
        <v>258</v>
      </c>
    </row>
    <row r="78" spans="1:2" x14ac:dyDescent="0.25">
      <c r="A78" t="s">
        <v>4222</v>
      </c>
    </row>
    <row r="80" spans="1:2" x14ac:dyDescent="0.25">
      <c r="B80" t="s">
        <v>4223</v>
      </c>
    </row>
    <row r="81" spans="1:2" x14ac:dyDescent="0.25">
      <c r="A81" t="s">
        <v>697</v>
      </c>
    </row>
    <row r="82" spans="1:2" x14ac:dyDescent="0.25">
      <c r="B82" t="s">
        <v>4224</v>
      </c>
    </row>
    <row r="83" spans="1:2" x14ac:dyDescent="0.25">
      <c r="B83" t="s">
        <v>4225</v>
      </c>
    </row>
    <row r="84" spans="1:2" x14ac:dyDescent="0.25">
      <c r="B84" t="s">
        <v>4226</v>
      </c>
    </row>
    <row r="85" spans="1:2" x14ac:dyDescent="0.25">
      <c r="B85" t="s">
        <v>4227</v>
      </c>
    </row>
    <row r="86" spans="1:2" x14ac:dyDescent="0.25">
      <c r="B86" t="s">
        <v>4228</v>
      </c>
    </row>
    <row r="87" spans="1:2" x14ac:dyDescent="0.25">
      <c r="B87" t="s">
        <v>4229</v>
      </c>
    </row>
    <row r="88" spans="1:2" x14ac:dyDescent="0.25">
      <c r="B88" t="s">
        <v>4230</v>
      </c>
    </row>
    <row r="89" spans="1:2" x14ac:dyDescent="0.25">
      <c r="B89" t="s">
        <v>4231</v>
      </c>
    </row>
    <row r="90" spans="1:2" x14ac:dyDescent="0.25">
      <c r="B90" t="s">
        <v>4232</v>
      </c>
    </row>
    <row r="91" spans="1:2" x14ac:dyDescent="0.25">
      <c r="B91" t="s">
        <v>4233</v>
      </c>
    </row>
    <row r="92" spans="1:2" x14ac:dyDescent="0.25">
      <c r="B92" t="s">
        <v>4234</v>
      </c>
    </row>
    <row r="93" spans="1:2" x14ac:dyDescent="0.25">
      <c r="B93" t="s">
        <v>4235</v>
      </c>
    </row>
    <row r="94" spans="1:2" x14ac:dyDescent="0.25">
      <c r="B94" t="s">
        <v>4236</v>
      </c>
    </row>
    <row r="95" spans="1:2" x14ac:dyDescent="0.25">
      <c r="B95" t="s">
        <v>4237</v>
      </c>
    </row>
    <row r="96" spans="1:2" x14ac:dyDescent="0.25">
      <c r="B96" t="s">
        <v>4238</v>
      </c>
    </row>
    <row r="97" spans="1:2" x14ac:dyDescent="0.25">
      <c r="B97" t="s">
        <v>4239</v>
      </c>
    </row>
    <row r="98" spans="1:2" x14ac:dyDescent="0.25">
      <c r="B98" t="s">
        <v>4240</v>
      </c>
    </row>
    <row r="99" spans="1:2" x14ac:dyDescent="0.25">
      <c r="B99" t="s">
        <v>4241</v>
      </c>
    </row>
    <row r="100" spans="1:2" x14ac:dyDescent="0.25">
      <c r="B100" t="s">
        <v>4242</v>
      </c>
    </row>
    <row r="101" spans="1:2" x14ac:dyDescent="0.25">
      <c r="B101" t="s">
        <v>4243</v>
      </c>
    </row>
    <row r="102" spans="1:2" x14ac:dyDescent="0.25">
      <c r="B102" t="s">
        <v>4244</v>
      </c>
    </row>
    <row r="103" spans="1:2" x14ac:dyDescent="0.25">
      <c r="B103" t="s">
        <v>4245</v>
      </c>
    </row>
    <row r="104" spans="1:2" x14ac:dyDescent="0.25">
      <c r="B104" t="s">
        <v>4246</v>
      </c>
    </row>
    <row r="105" spans="1:2" x14ac:dyDescent="0.25">
      <c r="B105" t="s">
        <v>4247</v>
      </c>
    </row>
    <row r="106" spans="1:2" x14ac:dyDescent="0.25">
      <c r="B106" t="s">
        <v>4248</v>
      </c>
    </row>
    <row r="107" spans="1:2" x14ac:dyDescent="0.25">
      <c r="B107" t="s">
        <v>4249</v>
      </c>
    </row>
    <row r="108" spans="1:2" x14ac:dyDescent="0.25">
      <c r="A108" t="s">
        <v>698</v>
      </c>
    </row>
    <row r="109" spans="1:2" x14ac:dyDescent="0.25">
      <c r="A109" t="s">
        <v>538</v>
      </c>
    </row>
    <row r="110" spans="1:2" x14ac:dyDescent="0.25">
      <c r="B110" t="s">
        <v>4250</v>
      </c>
    </row>
    <row r="111" spans="1:2" x14ac:dyDescent="0.25">
      <c r="B111" t="s">
        <v>4251</v>
      </c>
    </row>
    <row r="112" spans="1:2" x14ac:dyDescent="0.25">
      <c r="B112" t="s">
        <v>4226</v>
      </c>
    </row>
    <row r="113" spans="2:2" x14ac:dyDescent="0.25">
      <c r="B113" t="s">
        <v>4252</v>
      </c>
    </row>
    <row r="114" spans="2:2" x14ac:dyDescent="0.25">
      <c r="B114" t="s">
        <v>4253</v>
      </c>
    </row>
    <row r="115" spans="2:2" x14ac:dyDescent="0.25">
      <c r="B115" t="s">
        <v>4254</v>
      </c>
    </row>
    <row r="116" spans="2:2" x14ac:dyDescent="0.25">
      <c r="B116" t="s">
        <v>4255</v>
      </c>
    </row>
    <row r="117" spans="2:2" x14ac:dyDescent="0.25">
      <c r="B117" t="s">
        <v>4256</v>
      </c>
    </row>
    <row r="118" spans="2:2" x14ac:dyDescent="0.25">
      <c r="B118" t="s">
        <v>4257</v>
      </c>
    </row>
    <row r="119" spans="2:2" x14ac:dyDescent="0.25">
      <c r="B119" t="s">
        <v>4258</v>
      </c>
    </row>
    <row r="120" spans="2:2" x14ac:dyDescent="0.25">
      <c r="B120" t="s">
        <v>4259</v>
      </c>
    </row>
    <row r="121" spans="2:2" x14ac:dyDescent="0.25">
      <c r="B121" t="s">
        <v>4260</v>
      </c>
    </row>
    <row r="122" spans="2:2" x14ac:dyDescent="0.25">
      <c r="B122" t="s">
        <v>4261</v>
      </c>
    </row>
    <row r="123" spans="2:2" x14ac:dyDescent="0.25">
      <c r="B123" t="s">
        <v>4262</v>
      </c>
    </row>
    <row r="124" spans="2:2" x14ac:dyDescent="0.25">
      <c r="B124" t="s">
        <v>4263</v>
      </c>
    </row>
    <row r="125" spans="2:2" x14ac:dyDescent="0.25">
      <c r="B125" t="s">
        <v>4264</v>
      </c>
    </row>
    <row r="126" spans="2:2" x14ac:dyDescent="0.25">
      <c r="B126" t="s">
        <v>4265</v>
      </c>
    </row>
    <row r="127" spans="2:2" x14ac:dyDescent="0.25">
      <c r="B127" t="s">
        <v>4266</v>
      </c>
    </row>
    <row r="128" spans="2:2" x14ac:dyDescent="0.25">
      <c r="B128" t="s">
        <v>4267</v>
      </c>
    </row>
    <row r="129" spans="1:2" x14ac:dyDescent="0.25">
      <c r="B129" t="s">
        <v>4268</v>
      </c>
    </row>
    <row r="130" spans="1:2" x14ac:dyDescent="0.25">
      <c r="B130" t="s">
        <v>4269</v>
      </c>
    </row>
    <row r="131" spans="1:2" x14ac:dyDescent="0.25">
      <c r="B131" t="s">
        <v>4270</v>
      </c>
    </row>
    <row r="132" spans="1:2" x14ac:dyDescent="0.25">
      <c r="B132" t="s">
        <v>4271</v>
      </c>
    </row>
    <row r="133" spans="1:2" x14ac:dyDescent="0.25">
      <c r="B133" t="s">
        <v>4272</v>
      </c>
    </row>
    <row r="134" spans="1:2" x14ac:dyDescent="0.25">
      <c r="B134" t="s">
        <v>4273</v>
      </c>
    </row>
    <row r="135" spans="1:2" x14ac:dyDescent="0.25">
      <c r="B135" t="s">
        <v>4274</v>
      </c>
    </row>
    <row r="136" spans="1:2" x14ac:dyDescent="0.25">
      <c r="A136" t="s">
        <v>4275</v>
      </c>
    </row>
    <row r="137" spans="1:2" x14ac:dyDescent="0.25">
      <c r="A137" t="s">
        <v>4276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sqref="A1:C36"/>
    </sheetView>
  </sheetViews>
  <sheetFormatPr defaultRowHeight="15" x14ac:dyDescent="0.25"/>
  <sheetData>
    <row r="1" spans="1:2" x14ac:dyDescent="0.25">
      <c r="A1" t="s">
        <v>4277</v>
      </c>
    </row>
    <row r="2" spans="1:2" x14ac:dyDescent="0.25">
      <c r="A2" t="s">
        <v>4278</v>
      </c>
    </row>
    <row r="3" spans="1:2" x14ac:dyDescent="0.25">
      <c r="A3" t="s">
        <v>251</v>
      </c>
    </row>
    <row r="4" spans="1:2" x14ac:dyDescent="0.25">
      <c r="A4" t="e">
        <f>--WHERE LogNumber &gt; 2172892 -- 2172892</f>
        <v>#NAME?</v>
      </c>
    </row>
    <row r="5" spans="1:2" x14ac:dyDescent="0.25">
      <c r="A5" t="s">
        <v>247</v>
      </c>
      <c r="B5" t="s">
        <v>4279</v>
      </c>
    </row>
    <row r="7" spans="1:2" x14ac:dyDescent="0.25">
      <c r="A7" t="s">
        <v>4280</v>
      </c>
    </row>
    <row r="10" spans="1:2" x14ac:dyDescent="0.25">
      <c r="A10" t="s">
        <v>4281</v>
      </c>
    </row>
    <row r="12" spans="1:2" x14ac:dyDescent="0.25">
      <c r="A12" t="s">
        <v>4282</v>
      </c>
    </row>
    <row r="14" spans="1:2" x14ac:dyDescent="0.25">
      <c r="A14" t="s">
        <v>4283</v>
      </c>
    </row>
    <row r="15" spans="1:2" x14ac:dyDescent="0.25">
      <c r="B15" t="s">
        <v>4284</v>
      </c>
    </row>
    <row r="16" spans="1:2" x14ac:dyDescent="0.25">
      <c r="B16" t="s">
        <v>4285</v>
      </c>
    </row>
    <row r="17" spans="2:3" x14ac:dyDescent="0.25">
      <c r="B17" t="s">
        <v>572</v>
      </c>
    </row>
    <row r="18" spans="2:3" x14ac:dyDescent="0.25">
      <c r="B18" t="s">
        <v>573</v>
      </c>
    </row>
    <row r="19" spans="2:3" x14ac:dyDescent="0.25">
      <c r="B19" t="s">
        <v>1009</v>
      </c>
    </row>
    <row r="20" spans="2:3" x14ac:dyDescent="0.25">
      <c r="B20" t="s">
        <v>4286</v>
      </c>
    </row>
    <row r="21" spans="2:3" x14ac:dyDescent="0.25">
      <c r="B21" t="s">
        <v>533</v>
      </c>
    </row>
    <row r="23" spans="2:3" x14ac:dyDescent="0.25">
      <c r="B23" t="s">
        <v>538</v>
      </c>
    </row>
    <row r="24" spans="2:3" x14ac:dyDescent="0.25">
      <c r="B24" t="s">
        <v>4287</v>
      </c>
    </row>
    <row r="25" spans="2:3" x14ac:dyDescent="0.25">
      <c r="B25" t="s">
        <v>4288</v>
      </c>
    </row>
    <row r="26" spans="2:3" x14ac:dyDescent="0.25">
      <c r="B26" t="s">
        <v>4289</v>
      </c>
    </row>
    <row r="27" spans="2:3" x14ac:dyDescent="0.25">
      <c r="B27" t="s">
        <v>873</v>
      </c>
    </row>
    <row r="28" spans="2:3" x14ac:dyDescent="0.25">
      <c r="B28" t="s">
        <v>4290</v>
      </c>
    </row>
    <row r="29" spans="2:3" x14ac:dyDescent="0.25">
      <c r="B29" t="s">
        <v>706</v>
      </c>
    </row>
    <row r="30" spans="2:3" x14ac:dyDescent="0.25">
      <c r="B30" t="s">
        <v>697</v>
      </c>
    </row>
    <row r="31" spans="2:3" x14ac:dyDescent="0.25">
      <c r="C31" t="s">
        <v>4291</v>
      </c>
    </row>
    <row r="32" spans="2:3" x14ac:dyDescent="0.25">
      <c r="C32" t="s">
        <v>593</v>
      </c>
    </row>
    <row r="33" spans="2:3" x14ac:dyDescent="0.25">
      <c r="C33" t="s">
        <v>4292</v>
      </c>
    </row>
    <row r="34" spans="2:3" x14ac:dyDescent="0.25">
      <c r="B34" t="s">
        <v>4293</v>
      </c>
    </row>
    <row r="35" spans="2:3" x14ac:dyDescent="0.25">
      <c r="B35" t="s">
        <v>4294</v>
      </c>
    </row>
    <row r="36" spans="2:3" x14ac:dyDescent="0.25">
      <c r="B36" t="s">
        <v>4295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sqref="A1:C25"/>
    </sheetView>
  </sheetViews>
  <sheetFormatPr defaultRowHeight="15" x14ac:dyDescent="0.25"/>
  <sheetData>
    <row r="1" spans="1:3" x14ac:dyDescent="0.25">
      <c r="A1" t="s">
        <v>572</v>
      </c>
    </row>
    <row r="2" spans="1:3" x14ac:dyDescent="0.25">
      <c r="A2" t="s">
        <v>646</v>
      </c>
    </row>
    <row r="3" spans="1:3" x14ac:dyDescent="0.25">
      <c r="A3" t="s">
        <v>1327</v>
      </c>
    </row>
    <row r="4" spans="1:3" x14ac:dyDescent="0.25">
      <c r="A4" t="s">
        <v>4296</v>
      </c>
    </row>
    <row r="5" spans="1:3" x14ac:dyDescent="0.25">
      <c r="B5" t="s">
        <v>4297</v>
      </c>
      <c r="C5" t="s">
        <v>4298</v>
      </c>
    </row>
    <row r="6" spans="1:3" x14ac:dyDescent="0.25">
      <c r="B6" t="s">
        <v>4299</v>
      </c>
      <c r="C6" t="s">
        <v>4300</v>
      </c>
    </row>
    <row r="7" spans="1:3" x14ac:dyDescent="0.25">
      <c r="B7" t="s">
        <v>698</v>
      </c>
    </row>
    <row r="9" spans="1:3" x14ac:dyDescent="0.25">
      <c r="A9" t="s">
        <v>572</v>
      </c>
    </row>
    <row r="10" spans="1:3" x14ac:dyDescent="0.25">
      <c r="A10" t="s">
        <v>646</v>
      </c>
    </row>
    <row r="11" spans="1:3" x14ac:dyDescent="0.25">
      <c r="A11" t="s">
        <v>1945</v>
      </c>
    </row>
    <row r="12" spans="1:3" x14ac:dyDescent="0.25">
      <c r="A12" t="s">
        <v>4301</v>
      </c>
    </row>
    <row r="14" spans="1:3" x14ac:dyDescent="0.25">
      <c r="A14" t="s">
        <v>572</v>
      </c>
    </row>
    <row r="15" spans="1:3" x14ac:dyDescent="0.25">
      <c r="A15" t="s">
        <v>646</v>
      </c>
    </row>
    <row r="16" spans="1:3" x14ac:dyDescent="0.25">
      <c r="A16" t="s">
        <v>611</v>
      </c>
    </row>
    <row r="17" spans="1:3" x14ac:dyDescent="0.25">
      <c r="A17" t="s">
        <v>2883</v>
      </c>
    </row>
    <row r="18" spans="1:3" x14ac:dyDescent="0.25">
      <c r="B18" t="s">
        <v>4297</v>
      </c>
      <c r="C18" t="s">
        <v>4302</v>
      </c>
    </row>
    <row r="19" spans="1:3" x14ac:dyDescent="0.25">
      <c r="B19" t="s">
        <v>4299</v>
      </c>
      <c r="C19" t="s">
        <v>4303</v>
      </c>
    </row>
    <row r="20" spans="1:3" x14ac:dyDescent="0.25">
      <c r="B20" t="s">
        <v>698</v>
      </c>
    </row>
    <row r="22" spans="1:3" x14ac:dyDescent="0.25">
      <c r="A22" t="s">
        <v>572</v>
      </c>
    </row>
    <row r="23" spans="1:3" x14ac:dyDescent="0.25">
      <c r="A23" t="s">
        <v>646</v>
      </c>
    </row>
    <row r="24" spans="1:3" x14ac:dyDescent="0.25">
      <c r="A24" t="s">
        <v>1512</v>
      </c>
    </row>
    <row r="25" spans="1:3" x14ac:dyDescent="0.25">
      <c r="A25" t="s">
        <v>4304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workbookViewId="0">
      <selection sqref="A1:E75"/>
    </sheetView>
  </sheetViews>
  <sheetFormatPr defaultRowHeight="15" x14ac:dyDescent="0.25"/>
  <sheetData>
    <row r="1" spans="1:2" x14ac:dyDescent="0.25">
      <c r="A1" t="s">
        <v>4305</v>
      </c>
    </row>
    <row r="3" spans="1:2" x14ac:dyDescent="0.25">
      <c r="A3" t="s">
        <v>3681</v>
      </c>
    </row>
    <row r="4" spans="1:2" x14ac:dyDescent="0.25">
      <c r="A4" t="s">
        <v>4306</v>
      </c>
    </row>
    <row r="5" spans="1:2" x14ac:dyDescent="0.25">
      <c r="A5" t="s">
        <v>4307</v>
      </c>
    </row>
    <row r="7" spans="1:2" x14ac:dyDescent="0.25">
      <c r="A7" t="s">
        <v>4308</v>
      </c>
    </row>
    <row r="8" spans="1:2" x14ac:dyDescent="0.25">
      <c r="A8" t="s">
        <v>467</v>
      </c>
    </row>
    <row r="9" spans="1:2" x14ac:dyDescent="0.25">
      <c r="A9" t="s">
        <v>4309</v>
      </c>
    </row>
    <row r="10" spans="1:2" x14ac:dyDescent="0.25">
      <c r="A10" t="s">
        <v>1882</v>
      </c>
    </row>
    <row r="11" spans="1:2" x14ac:dyDescent="0.25">
      <c r="A11" t="s">
        <v>1468</v>
      </c>
    </row>
    <row r="12" spans="1:2" x14ac:dyDescent="0.25">
      <c r="A12" t="s">
        <v>4310</v>
      </c>
    </row>
    <row r="13" spans="1:2" x14ac:dyDescent="0.25">
      <c r="A13" t="s">
        <v>1484</v>
      </c>
    </row>
    <row r="14" spans="1:2" x14ac:dyDescent="0.25">
      <c r="A14" t="s">
        <v>4311</v>
      </c>
    </row>
    <row r="15" spans="1:2" x14ac:dyDescent="0.25">
      <c r="B15" t="s">
        <v>4312</v>
      </c>
    </row>
    <row r="16" spans="1:2" x14ac:dyDescent="0.25">
      <c r="A16" t="s">
        <v>4313</v>
      </c>
    </row>
    <row r="17" spans="1:5" x14ac:dyDescent="0.25">
      <c r="B17" t="s">
        <v>4314</v>
      </c>
    </row>
    <row r="18" spans="1:5" x14ac:dyDescent="0.25">
      <c r="A18" t="s">
        <v>4315</v>
      </c>
    </row>
    <row r="19" spans="1:5" x14ac:dyDescent="0.25">
      <c r="B19" t="s">
        <v>4316</v>
      </c>
    </row>
    <row r="20" spans="1:5" x14ac:dyDescent="0.25">
      <c r="B20" t="s">
        <v>4317</v>
      </c>
    </row>
    <row r="21" spans="1:5" x14ac:dyDescent="0.25">
      <c r="D21" t="s">
        <v>572</v>
      </c>
    </row>
    <row r="22" spans="1:5" x14ac:dyDescent="0.25">
      <c r="D22" t="s">
        <v>384</v>
      </c>
    </row>
    <row r="23" spans="1:5" x14ac:dyDescent="0.25">
      <c r="D23" t="s">
        <v>734</v>
      </c>
    </row>
    <row r="24" spans="1:5" x14ac:dyDescent="0.25">
      <c r="D24" t="s">
        <v>4318</v>
      </c>
    </row>
    <row r="25" spans="1:5" x14ac:dyDescent="0.25">
      <c r="E25" t="s">
        <v>4319</v>
      </c>
    </row>
    <row r="26" spans="1:5" x14ac:dyDescent="0.25">
      <c r="D26" t="s">
        <v>671</v>
      </c>
    </row>
    <row r="27" spans="1:5" x14ac:dyDescent="0.25">
      <c r="D27" t="s">
        <v>384</v>
      </c>
    </row>
    <row r="28" spans="1:5" x14ac:dyDescent="0.25">
      <c r="D28" t="s">
        <v>447</v>
      </c>
    </row>
    <row r="29" spans="1:5" x14ac:dyDescent="0.25">
      <c r="C29" t="s">
        <v>698</v>
      </c>
    </row>
    <row r="31" spans="1:5" x14ac:dyDescent="0.25">
      <c r="A31" t="s">
        <v>572</v>
      </c>
    </row>
    <row r="32" spans="1:5" x14ac:dyDescent="0.25">
      <c r="A32" t="s">
        <v>384</v>
      </c>
    </row>
    <row r="33" spans="1:1" x14ac:dyDescent="0.25">
      <c r="A33" t="s">
        <v>4320</v>
      </c>
    </row>
    <row r="34" spans="1:1" x14ac:dyDescent="0.25">
      <c r="A34" t="s">
        <v>671</v>
      </c>
    </row>
    <row r="35" spans="1:1" x14ac:dyDescent="0.25">
      <c r="A35" t="s">
        <v>384</v>
      </c>
    </row>
    <row r="36" spans="1:1" x14ac:dyDescent="0.25">
      <c r="A36" t="s">
        <v>447</v>
      </c>
    </row>
    <row r="37" spans="1:1" x14ac:dyDescent="0.25">
      <c r="A37" t="s">
        <v>634</v>
      </c>
    </row>
    <row r="38" spans="1:1" x14ac:dyDescent="0.25">
      <c r="A38" t="s">
        <v>384</v>
      </c>
    </row>
    <row r="40" spans="1:1" x14ac:dyDescent="0.25">
      <c r="A40" t="s">
        <v>794</v>
      </c>
    </row>
    <row r="41" spans="1:1" x14ac:dyDescent="0.25">
      <c r="A41" t="s">
        <v>734</v>
      </c>
    </row>
    <row r="42" spans="1:1" x14ac:dyDescent="0.25">
      <c r="A42" t="s">
        <v>4321</v>
      </c>
    </row>
    <row r="44" spans="1:1" x14ac:dyDescent="0.25">
      <c r="A44" t="s">
        <v>2297</v>
      </c>
    </row>
    <row r="48" spans="1:1" x14ac:dyDescent="0.25">
      <c r="A48" t="s">
        <v>572</v>
      </c>
    </row>
    <row r="49" spans="1:2" x14ac:dyDescent="0.25">
      <c r="A49" t="s">
        <v>646</v>
      </c>
    </row>
    <row r="50" spans="1:2" x14ac:dyDescent="0.25">
      <c r="A50" t="s">
        <v>734</v>
      </c>
    </row>
    <row r="51" spans="1:2" x14ac:dyDescent="0.25">
      <c r="A51" t="s">
        <v>4321</v>
      </c>
    </row>
    <row r="53" spans="1:2" x14ac:dyDescent="0.25">
      <c r="A53" t="s">
        <v>727</v>
      </c>
    </row>
    <row r="54" spans="1:2" x14ac:dyDescent="0.25">
      <c r="A54" t="s">
        <v>4322</v>
      </c>
    </row>
    <row r="55" spans="1:2" x14ac:dyDescent="0.25">
      <c r="A55" t="s">
        <v>4323</v>
      </c>
    </row>
    <row r="57" spans="1:2" x14ac:dyDescent="0.25">
      <c r="A57" t="s">
        <v>4324</v>
      </c>
    </row>
    <row r="59" spans="1:2" x14ac:dyDescent="0.25">
      <c r="A59" t="s">
        <v>794</v>
      </c>
    </row>
    <row r="60" spans="1:2" x14ac:dyDescent="0.25">
      <c r="A60" t="s">
        <v>4325</v>
      </c>
    </row>
    <row r="61" spans="1:2" x14ac:dyDescent="0.25">
      <c r="A61" t="s">
        <v>4326</v>
      </c>
    </row>
    <row r="62" spans="1:2" x14ac:dyDescent="0.25">
      <c r="B62" t="s">
        <v>4319</v>
      </c>
    </row>
    <row r="63" spans="1:2" x14ac:dyDescent="0.25">
      <c r="A63" t="s">
        <v>634</v>
      </c>
    </row>
    <row r="64" spans="1:2" x14ac:dyDescent="0.25">
      <c r="A64" t="s">
        <v>4327</v>
      </c>
    </row>
    <row r="65" spans="1:2" x14ac:dyDescent="0.25">
      <c r="A65" t="s">
        <v>1656</v>
      </c>
    </row>
    <row r="67" spans="1:2" x14ac:dyDescent="0.25">
      <c r="A67" t="s">
        <v>254</v>
      </c>
    </row>
    <row r="68" spans="1:2" x14ac:dyDescent="0.25">
      <c r="A68" t="s">
        <v>4328</v>
      </c>
    </row>
    <row r="69" spans="1:2" x14ac:dyDescent="0.25">
      <c r="B69" t="s">
        <v>4329</v>
      </c>
    </row>
    <row r="70" spans="1:2" x14ac:dyDescent="0.25">
      <c r="B70" t="s">
        <v>4330</v>
      </c>
    </row>
    <row r="71" spans="1:2" x14ac:dyDescent="0.25">
      <c r="A71" t="s">
        <v>4331</v>
      </c>
    </row>
    <row r="72" spans="1:2" x14ac:dyDescent="0.25">
      <c r="B72" t="s">
        <v>4332</v>
      </c>
    </row>
    <row r="73" spans="1:2" x14ac:dyDescent="0.25">
      <c r="B73" t="s">
        <v>4333</v>
      </c>
    </row>
    <row r="74" spans="1:2" x14ac:dyDescent="0.25">
      <c r="A74" t="s">
        <v>258</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57"/>
  <sheetViews>
    <sheetView workbookViewId="0">
      <selection sqref="A1:C157"/>
    </sheetView>
  </sheetViews>
  <sheetFormatPr defaultRowHeight="15" x14ac:dyDescent="0.25"/>
  <sheetData>
    <row r="2" spans="1:2" x14ac:dyDescent="0.25">
      <c r="A2" t="s">
        <v>572</v>
      </c>
    </row>
    <row r="3" spans="1:2" x14ac:dyDescent="0.25">
      <c r="A3" t="s">
        <v>384</v>
      </c>
    </row>
    <row r="4" spans="1:2" x14ac:dyDescent="0.25">
      <c r="A4" t="s">
        <v>4334</v>
      </c>
    </row>
    <row r="5" spans="1:2" x14ac:dyDescent="0.25">
      <c r="A5" t="s">
        <v>4335</v>
      </c>
    </row>
    <row r="6" spans="1:2" x14ac:dyDescent="0.25">
      <c r="A6" t="s">
        <v>4336</v>
      </c>
    </row>
    <row r="7" spans="1:2" x14ac:dyDescent="0.25">
      <c r="A7" t="s">
        <v>642</v>
      </c>
    </row>
    <row r="8" spans="1:2" x14ac:dyDescent="0.25">
      <c r="A8" t="s">
        <v>1056</v>
      </c>
    </row>
    <row r="9" spans="1:2" x14ac:dyDescent="0.25">
      <c r="A9" t="s">
        <v>624</v>
      </c>
    </row>
    <row r="10" spans="1:2" x14ac:dyDescent="0.25">
      <c r="B10" t="s">
        <v>4337</v>
      </c>
    </row>
    <row r="11" spans="1:2" x14ac:dyDescent="0.25">
      <c r="A11" t="s">
        <v>671</v>
      </c>
    </row>
    <row r="12" spans="1:2" x14ac:dyDescent="0.25">
      <c r="A12" t="s">
        <v>384</v>
      </c>
    </row>
    <row r="13" spans="1:2" x14ac:dyDescent="0.25">
      <c r="A13" t="s">
        <v>4334</v>
      </c>
    </row>
    <row r="14" spans="1:2" x14ac:dyDescent="0.25">
      <c r="A14" t="s">
        <v>4335</v>
      </c>
    </row>
    <row r="15" spans="1:2" x14ac:dyDescent="0.25">
      <c r="A15" t="s">
        <v>4336</v>
      </c>
    </row>
    <row r="16" spans="1:2" x14ac:dyDescent="0.25">
      <c r="A16" t="s">
        <v>4338</v>
      </c>
    </row>
    <row r="17" spans="1:2" x14ac:dyDescent="0.25">
      <c r="A17" t="s">
        <v>634</v>
      </c>
    </row>
    <row r="18" spans="1:2" x14ac:dyDescent="0.25">
      <c r="A18" t="s">
        <v>384</v>
      </c>
    </row>
    <row r="19" spans="1:2" x14ac:dyDescent="0.25">
      <c r="A19" t="s">
        <v>4334</v>
      </c>
    </row>
    <row r="21" spans="1:2" x14ac:dyDescent="0.25">
      <c r="A21" t="e">
        <f>-- DELETE all staging records AND transactions associated with two clinics</f>
        <v>#NAME?</v>
      </c>
    </row>
    <row r="22" spans="1:2" x14ac:dyDescent="0.25">
      <c r="A22" t="s">
        <v>4339</v>
      </c>
    </row>
    <row r="23" spans="1:2" x14ac:dyDescent="0.25">
      <c r="A23" t="s">
        <v>572</v>
      </c>
    </row>
    <row r="24" spans="1:2" x14ac:dyDescent="0.25">
      <c r="A24" t="s">
        <v>4340</v>
      </c>
    </row>
    <row r="25" spans="1:2" x14ac:dyDescent="0.25">
      <c r="A25" t="s">
        <v>4341</v>
      </c>
    </row>
    <row r="26" spans="1:2" x14ac:dyDescent="0.25">
      <c r="A26" t="s">
        <v>618</v>
      </c>
    </row>
    <row r="27" spans="1:2" x14ac:dyDescent="0.25">
      <c r="A27" t="s">
        <v>4342</v>
      </c>
    </row>
    <row r="28" spans="1:2" x14ac:dyDescent="0.25">
      <c r="A28" t="s">
        <v>4343</v>
      </c>
    </row>
    <row r="29" spans="1:2" x14ac:dyDescent="0.25">
      <c r="A29" t="s">
        <v>604</v>
      </c>
    </row>
    <row r="30" spans="1:2" x14ac:dyDescent="0.25">
      <c r="A30" t="s">
        <v>4344</v>
      </c>
    </row>
    <row r="31" spans="1:2" x14ac:dyDescent="0.25">
      <c r="B31" t="s">
        <v>4345</v>
      </c>
    </row>
    <row r="32" spans="1:2" x14ac:dyDescent="0.25">
      <c r="A32" t="s">
        <v>4346</v>
      </c>
    </row>
    <row r="33" spans="1:2" x14ac:dyDescent="0.25">
      <c r="B33" t="s">
        <v>4347</v>
      </c>
    </row>
    <row r="34" spans="1:2" x14ac:dyDescent="0.25">
      <c r="A34" t="s">
        <v>4348</v>
      </c>
    </row>
    <row r="35" spans="1:2" x14ac:dyDescent="0.25">
      <c r="A35" t="s">
        <v>254</v>
      </c>
    </row>
    <row r="36" spans="1:2" x14ac:dyDescent="0.25">
      <c r="B36" t="s">
        <v>4349</v>
      </c>
    </row>
    <row r="37" spans="1:2" x14ac:dyDescent="0.25">
      <c r="B37" t="s">
        <v>4350</v>
      </c>
    </row>
    <row r="38" spans="1:2" x14ac:dyDescent="0.25">
      <c r="A38" t="s">
        <v>258</v>
      </c>
    </row>
    <row r="40" spans="1:2" x14ac:dyDescent="0.25">
      <c r="A40" t="s">
        <v>4351</v>
      </c>
    </row>
    <row r="41" spans="1:2" x14ac:dyDescent="0.25">
      <c r="A41" t="s">
        <v>4352</v>
      </c>
    </row>
    <row r="42" spans="1:2" x14ac:dyDescent="0.25">
      <c r="A42" t="s">
        <v>4353</v>
      </c>
    </row>
    <row r="43" spans="1:2" x14ac:dyDescent="0.25">
      <c r="A43" t="s">
        <v>4354</v>
      </c>
      <c r="B43" t="s">
        <v>4355</v>
      </c>
    </row>
    <row r="44" spans="1:2" x14ac:dyDescent="0.25">
      <c r="A44" t="s">
        <v>254</v>
      </c>
    </row>
    <row r="46" spans="1:2" x14ac:dyDescent="0.25">
      <c r="A46" t="s">
        <v>4221</v>
      </c>
    </row>
    <row r="47" spans="1:2" x14ac:dyDescent="0.25">
      <c r="A47" t="s">
        <v>4221</v>
      </c>
    </row>
    <row r="48" spans="1:2" x14ac:dyDescent="0.25">
      <c r="A48" t="s">
        <v>4356</v>
      </c>
    </row>
    <row r="49" spans="1:2" x14ac:dyDescent="0.25">
      <c r="A49" t="s">
        <v>4357</v>
      </c>
    </row>
    <row r="50" spans="1:2" x14ac:dyDescent="0.25">
      <c r="A50" t="s">
        <v>258</v>
      </c>
    </row>
    <row r="52" spans="1:2" x14ac:dyDescent="0.25">
      <c r="A52" t="s">
        <v>244</v>
      </c>
    </row>
    <row r="53" spans="1:2" x14ac:dyDescent="0.25">
      <c r="A53" t="s">
        <v>734</v>
      </c>
    </row>
    <row r="54" spans="1:2" x14ac:dyDescent="0.25">
      <c r="A54" t="s">
        <v>4358</v>
      </c>
      <c r="B54" t="s">
        <v>4359</v>
      </c>
    </row>
    <row r="56" spans="1:2" x14ac:dyDescent="0.25">
      <c r="A56" t="e">
        <f>-- REG_ID = 5041 -- PARTY_ID = 146514</f>
        <v>#NAME?</v>
      </c>
    </row>
    <row r="58" spans="1:2" x14ac:dyDescent="0.25">
      <c r="A58" t="e">
        <f ca="1">-- SELECT TOP(20) * FROM REG_PROVIDER ORDER BY LAST_MODIFIED_DATE_TIME DESC</f>
        <v>#NAME?</v>
      </c>
    </row>
    <row r="59" spans="1:2" x14ac:dyDescent="0.25">
      <c r="A59" t="s">
        <v>4360</v>
      </c>
    </row>
    <row r="60" spans="1:2" x14ac:dyDescent="0.25">
      <c r="A60" t="s">
        <v>4361</v>
      </c>
    </row>
    <row r="61" spans="1:2" x14ac:dyDescent="0.25">
      <c r="A61" t="s">
        <v>607</v>
      </c>
    </row>
    <row r="62" spans="1:2" x14ac:dyDescent="0.25">
      <c r="A62" t="s">
        <v>1912</v>
      </c>
    </row>
    <row r="63" spans="1:2" x14ac:dyDescent="0.25">
      <c r="A63" t="s">
        <v>4362</v>
      </c>
    </row>
    <row r="65" spans="1:3" x14ac:dyDescent="0.25">
      <c r="A65" t="s">
        <v>4363</v>
      </c>
      <c r="B65">
        <f>-- 58231</f>
        <v>58231</v>
      </c>
    </row>
    <row r="66" spans="1:3" x14ac:dyDescent="0.25">
      <c r="A66" t="s">
        <v>572</v>
      </c>
    </row>
    <row r="67" spans="1:3" x14ac:dyDescent="0.25">
      <c r="A67" t="s">
        <v>646</v>
      </c>
    </row>
    <row r="68" spans="1:3" x14ac:dyDescent="0.25">
      <c r="A68" t="s">
        <v>792</v>
      </c>
    </row>
    <row r="69" spans="1:3" x14ac:dyDescent="0.25">
      <c r="A69" t="s">
        <v>4364</v>
      </c>
    </row>
    <row r="72" spans="1:3" x14ac:dyDescent="0.25">
      <c r="A72" t="s">
        <v>4365</v>
      </c>
    </row>
    <row r="73" spans="1:3" x14ac:dyDescent="0.25">
      <c r="A73" t="s">
        <v>4366</v>
      </c>
    </row>
    <row r="75" spans="1:3" x14ac:dyDescent="0.25">
      <c r="A75" t="s">
        <v>244</v>
      </c>
    </row>
    <row r="76" spans="1:3" x14ac:dyDescent="0.25">
      <c r="A76" t="s">
        <v>2132</v>
      </c>
    </row>
    <row r="77" spans="1:3" x14ac:dyDescent="0.25">
      <c r="A77" t="s">
        <v>4358</v>
      </c>
      <c r="C77" t="e">
        <f>-- PROCESS_ID=7893</f>
        <v>#NAME?</v>
      </c>
    </row>
    <row r="79" spans="1:3" x14ac:dyDescent="0.25">
      <c r="A79" t="e">
        <f>-- Steps that were actually executed</f>
        <v>#NAME?</v>
      </c>
    </row>
    <row r="80" spans="1:3" x14ac:dyDescent="0.25">
      <c r="A80" t="s">
        <v>2689</v>
      </c>
    </row>
    <row r="81" spans="1:2" x14ac:dyDescent="0.25">
      <c r="B81" t="s">
        <v>2690</v>
      </c>
    </row>
    <row r="82" spans="1:2" x14ac:dyDescent="0.25">
      <c r="A82" t="s">
        <v>2002</v>
      </c>
    </row>
    <row r="83" spans="1:2" x14ac:dyDescent="0.25">
      <c r="A83" t="s">
        <v>2161</v>
      </c>
    </row>
    <row r="84" spans="1:2" x14ac:dyDescent="0.25">
      <c r="A84" t="s">
        <v>2162</v>
      </c>
    </row>
    <row r="85" spans="1:2" x14ac:dyDescent="0.25">
      <c r="A85" t="s">
        <v>4367</v>
      </c>
    </row>
    <row r="86" spans="1:2" x14ac:dyDescent="0.25">
      <c r="A86" t="s">
        <v>2008</v>
      </c>
    </row>
    <row r="88" spans="1:2" x14ac:dyDescent="0.25">
      <c r="A88" t="s">
        <v>4368</v>
      </c>
    </row>
    <row r="89" spans="1:2" x14ac:dyDescent="0.25">
      <c r="A89" t="s">
        <v>646</v>
      </c>
    </row>
    <row r="90" spans="1:2" x14ac:dyDescent="0.25">
      <c r="A90" t="s">
        <v>245</v>
      </c>
    </row>
    <row r="91" spans="1:2" x14ac:dyDescent="0.25">
      <c r="A91" t="s">
        <v>251</v>
      </c>
    </row>
    <row r="92" spans="1:2" x14ac:dyDescent="0.25">
      <c r="A92" t="s">
        <v>4369</v>
      </c>
    </row>
    <row r="93" spans="1:2" x14ac:dyDescent="0.25">
      <c r="A93" t="s">
        <v>247</v>
      </c>
      <c r="B93" t="s">
        <v>4370</v>
      </c>
    </row>
    <row r="95" spans="1:2" x14ac:dyDescent="0.25">
      <c r="A95" t="s">
        <v>4371</v>
      </c>
    </row>
    <row r="96" spans="1:2" x14ac:dyDescent="0.25">
      <c r="A96" t="s">
        <v>572</v>
      </c>
    </row>
    <row r="97" spans="1:2" x14ac:dyDescent="0.25">
      <c r="A97" t="s">
        <v>646</v>
      </c>
    </row>
    <row r="98" spans="1:2" x14ac:dyDescent="0.25">
      <c r="A98" t="s">
        <v>4372</v>
      </c>
    </row>
    <row r="99" spans="1:2" x14ac:dyDescent="0.25">
      <c r="A99" t="s">
        <v>4373</v>
      </c>
    </row>
    <row r="100" spans="1:2" x14ac:dyDescent="0.25">
      <c r="A100" t="s">
        <v>4374</v>
      </c>
    </row>
    <row r="101" spans="1:2" x14ac:dyDescent="0.25">
      <c r="A101" t="s">
        <v>4358</v>
      </c>
    </row>
    <row r="102" spans="1:2" x14ac:dyDescent="0.25">
      <c r="A102" t="s">
        <v>4375</v>
      </c>
    </row>
    <row r="104" spans="1:2" x14ac:dyDescent="0.25">
      <c r="A104" t="s">
        <v>3381</v>
      </c>
    </row>
    <row r="106" spans="1:2" x14ac:dyDescent="0.25">
      <c r="A106" t="s">
        <v>4376</v>
      </c>
    </row>
    <row r="107" spans="1:2" x14ac:dyDescent="0.25">
      <c r="A107" t="e">
        <f>-- Steps that were actually executed</f>
        <v>#NAME?</v>
      </c>
    </row>
    <row r="108" spans="1:2" x14ac:dyDescent="0.25">
      <c r="A108" t="s">
        <v>2689</v>
      </c>
    </row>
    <row r="109" spans="1:2" x14ac:dyDescent="0.25">
      <c r="B109" t="s">
        <v>2690</v>
      </c>
    </row>
    <row r="110" spans="1:2" x14ac:dyDescent="0.25">
      <c r="A110" t="s">
        <v>2002</v>
      </c>
    </row>
    <row r="111" spans="1:2" x14ac:dyDescent="0.25">
      <c r="A111" t="s">
        <v>2161</v>
      </c>
    </row>
    <row r="112" spans="1:2" x14ac:dyDescent="0.25">
      <c r="A112" t="s">
        <v>2162</v>
      </c>
    </row>
    <row r="113" spans="1:2" x14ac:dyDescent="0.25">
      <c r="A113" t="s">
        <v>4377</v>
      </c>
    </row>
    <row r="114" spans="1:2" x14ac:dyDescent="0.25">
      <c r="A114" t="s">
        <v>2008</v>
      </c>
    </row>
    <row r="117" spans="1:2" x14ac:dyDescent="0.25">
      <c r="A117" t="e">
        <f>-- look for maintenance</f>
        <v>#NAME?</v>
      </c>
    </row>
    <row r="118" spans="1:2" x14ac:dyDescent="0.25">
      <c r="A118" t="s">
        <v>1303</v>
      </c>
    </row>
    <row r="119" spans="1:2" x14ac:dyDescent="0.25">
      <c r="A119" t="s">
        <v>4378</v>
      </c>
    </row>
    <row r="120" spans="1:2" x14ac:dyDescent="0.25">
      <c r="A120" t="s">
        <v>4379</v>
      </c>
    </row>
    <row r="121" spans="1:2" x14ac:dyDescent="0.25">
      <c r="A121" t="s">
        <v>4380</v>
      </c>
    </row>
    <row r="122" spans="1:2" x14ac:dyDescent="0.25">
      <c r="A122" t="s">
        <v>593</v>
      </c>
    </row>
    <row r="123" spans="1:2" x14ac:dyDescent="0.25">
      <c r="A123" t="s">
        <v>3631</v>
      </c>
    </row>
    <row r="124" spans="1:2" x14ac:dyDescent="0.25">
      <c r="B124" t="s">
        <v>4381</v>
      </c>
    </row>
    <row r="125" spans="1:2" x14ac:dyDescent="0.25">
      <c r="A125" t="s">
        <v>4382</v>
      </c>
    </row>
    <row r="126" spans="1:2" x14ac:dyDescent="0.25">
      <c r="A126" t="s">
        <v>1613</v>
      </c>
    </row>
    <row r="128" spans="1:2" x14ac:dyDescent="0.25">
      <c r="A128" t="s">
        <v>467</v>
      </c>
    </row>
    <row r="129" spans="1:2" x14ac:dyDescent="0.25">
      <c r="A129" t="s">
        <v>4383</v>
      </c>
    </row>
    <row r="130" spans="1:2" x14ac:dyDescent="0.25">
      <c r="A130" t="s">
        <v>4336</v>
      </c>
    </row>
    <row r="131" spans="1:2" x14ac:dyDescent="0.25">
      <c r="A131" t="s">
        <v>4384</v>
      </c>
    </row>
    <row r="132" spans="1:2" x14ac:dyDescent="0.25">
      <c r="A132" t="s">
        <v>4385</v>
      </c>
    </row>
    <row r="133" spans="1:2" x14ac:dyDescent="0.25">
      <c r="A133" t="s">
        <v>4386</v>
      </c>
    </row>
    <row r="134" spans="1:2" x14ac:dyDescent="0.25">
      <c r="A134" t="s">
        <v>4387</v>
      </c>
    </row>
    <row r="135" spans="1:2" x14ac:dyDescent="0.25">
      <c r="A135" t="s">
        <v>3639</v>
      </c>
    </row>
    <row r="136" spans="1:2" x14ac:dyDescent="0.25">
      <c r="A136" t="s">
        <v>4388</v>
      </c>
    </row>
    <row r="137" spans="1:2" x14ac:dyDescent="0.25">
      <c r="B137" t="s">
        <v>4389</v>
      </c>
    </row>
    <row r="138" spans="1:2" x14ac:dyDescent="0.25">
      <c r="A138" t="s">
        <v>4390</v>
      </c>
    </row>
    <row r="140" spans="1:2" x14ac:dyDescent="0.25">
      <c r="A140" t="s">
        <v>2453</v>
      </c>
    </row>
    <row r="141" spans="1:2" x14ac:dyDescent="0.25">
      <c r="A141" t="s">
        <v>4391</v>
      </c>
    </row>
    <row r="142" spans="1:2" x14ac:dyDescent="0.25">
      <c r="A142" t="s">
        <v>4392</v>
      </c>
    </row>
    <row r="143" spans="1:2" x14ac:dyDescent="0.25">
      <c r="A143" t="s">
        <v>4393</v>
      </c>
    </row>
    <row r="144" spans="1:2" x14ac:dyDescent="0.25">
      <c r="A144" t="s">
        <v>4394</v>
      </c>
    </row>
    <row r="145" spans="1:1" x14ac:dyDescent="0.25">
      <c r="A145" t="s">
        <v>4395</v>
      </c>
    </row>
    <row r="147" spans="1:1" x14ac:dyDescent="0.25">
      <c r="A147" t="s">
        <v>2283</v>
      </c>
    </row>
    <row r="148" spans="1:1" x14ac:dyDescent="0.25">
      <c r="A148" t="s">
        <v>4396</v>
      </c>
    </row>
    <row r="149" spans="1:1" x14ac:dyDescent="0.25">
      <c r="A149" t="s">
        <v>4001</v>
      </c>
    </row>
    <row r="150" spans="1:1" x14ac:dyDescent="0.25">
      <c r="A150" t="s">
        <v>3593</v>
      </c>
    </row>
    <row r="151" spans="1:1" x14ac:dyDescent="0.25">
      <c r="A151" t="s">
        <v>2278</v>
      </c>
    </row>
    <row r="153" spans="1:1" x14ac:dyDescent="0.25">
      <c r="A153" t="s">
        <v>4397</v>
      </c>
    </row>
    <row r="154" spans="1:1" x14ac:dyDescent="0.25">
      <c r="A154" t="s">
        <v>4398</v>
      </c>
    </row>
    <row r="155" spans="1:1" x14ac:dyDescent="0.25">
      <c r="A155" t="s">
        <v>4399</v>
      </c>
    </row>
    <row r="156" spans="1:1" x14ac:dyDescent="0.25">
      <c r="A156" t="s">
        <v>4400</v>
      </c>
    </row>
    <row r="157" spans="1:1" x14ac:dyDescent="0.25">
      <c r="A157" t="s">
        <v>4401</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2"/>
  <sheetViews>
    <sheetView workbookViewId="0">
      <selection sqref="A1:B112"/>
    </sheetView>
  </sheetViews>
  <sheetFormatPr defaultRowHeight="15" x14ac:dyDescent="0.25"/>
  <sheetData>
    <row r="1" spans="1:1" x14ac:dyDescent="0.25">
      <c r="A1" t="s">
        <v>4402</v>
      </c>
    </row>
    <row r="2" spans="1:1" x14ac:dyDescent="0.25">
      <c r="A2" t="s">
        <v>538</v>
      </c>
    </row>
    <row r="3" spans="1:1" x14ac:dyDescent="0.25">
      <c r="A3" t="s">
        <v>3312</v>
      </c>
    </row>
    <row r="4" spans="1:1" x14ac:dyDescent="0.25">
      <c r="A4" t="s">
        <v>575</v>
      </c>
    </row>
    <row r="5" spans="1:1" x14ac:dyDescent="0.25">
      <c r="A5" t="s">
        <v>4403</v>
      </c>
    </row>
    <row r="6" spans="1:1" x14ac:dyDescent="0.25">
      <c r="A6" t="s">
        <v>665</v>
      </c>
    </row>
    <row r="7" spans="1:1" x14ac:dyDescent="0.25">
      <c r="A7" t="s">
        <v>4404</v>
      </c>
    </row>
    <row r="8" spans="1:1" x14ac:dyDescent="0.25">
      <c r="A8" t="s">
        <v>3320</v>
      </c>
    </row>
    <row r="9" spans="1:1" x14ac:dyDescent="0.25">
      <c r="A9" t="s">
        <v>4405</v>
      </c>
    </row>
    <row r="10" spans="1:1" x14ac:dyDescent="0.25">
      <c r="A10" t="s">
        <v>671</v>
      </c>
    </row>
    <row r="11" spans="1:1" x14ac:dyDescent="0.25">
      <c r="A11" t="s">
        <v>3312</v>
      </c>
    </row>
    <row r="12" spans="1:1" x14ac:dyDescent="0.25">
      <c r="A12" t="s">
        <v>575</v>
      </c>
    </row>
    <row r="13" spans="1:1" x14ac:dyDescent="0.25">
      <c r="A13" t="s">
        <v>4403</v>
      </c>
    </row>
    <row r="14" spans="1:1" x14ac:dyDescent="0.25">
      <c r="A14" t="s">
        <v>447</v>
      </c>
    </row>
    <row r="15" spans="1:1" x14ac:dyDescent="0.25">
      <c r="A15" t="s">
        <v>672</v>
      </c>
    </row>
    <row r="16" spans="1:1" x14ac:dyDescent="0.25">
      <c r="A16" t="s">
        <v>4406</v>
      </c>
    </row>
    <row r="17" spans="1:2" x14ac:dyDescent="0.25">
      <c r="A17" t="s">
        <v>254</v>
      </c>
    </row>
    <row r="18" spans="1:2" x14ac:dyDescent="0.25">
      <c r="B18" t="s">
        <v>4407</v>
      </c>
    </row>
    <row r="19" spans="1:2" x14ac:dyDescent="0.25">
      <c r="A19" t="s">
        <v>258</v>
      </c>
    </row>
    <row r="21" spans="1:2" x14ac:dyDescent="0.25">
      <c r="A21" t="s">
        <v>572</v>
      </c>
    </row>
    <row r="22" spans="1:2" x14ac:dyDescent="0.25">
      <c r="A22" t="s">
        <v>584</v>
      </c>
    </row>
    <row r="23" spans="1:2" x14ac:dyDescent="0.25">
      <c r="A23" t="s">
        <v>585</v>
      </c>
    </row>
    <row r="24" spans="1:2" x14ac:dyDescent="0.25">
      <c r="A24" t="s">
        <v>636</v>
      </c>
    </row>
    <row r="25" spans="1:2" x14ac:dyDescent="0.25">
      <c r="A25" t="s">
        <v>637</v>
      </c>
    </row>
    <row r="26" spans="1:2" x14ac:dyDescent="0.25">
      <c r="A26" t="s">
        <v>4408</v>
      </c>
    </row>
    <row r="27" spans="1:2" x14ac:dyDescent="0.25">
      <c r="A27" t="s">
        <v>3627</v>
      </c>
    </row>
    <row r="28" spans="1:2" x14ac:dyDescent="0.25">
      <c r="A28" t="s">
        <v>1628</v>
      </c>
    </row>
    <row r="29" spans="1:2" x14ac:dyDescent="0.25">
      <c r="A29" t="s">
        <v>593</v>
      </c>
    </row>
    <row r="30" spans="1:2" x14ac:dyDescent="0.25">
      <c r="A30" t="s">
        <v>3631</v>
      </c>
    </row>
    <row r="31" spans="1:2" x14ac:dyDescent="0.25">
      <c r="B31" t="s">
        <v>4381</v>
      </c>
    </row>
    <row r="32" spans="1:2" x14ac:dyDescent="0.25">
      <c r="A32" t="s">
        <v>1635</v>
      </c>
    </row>
    <row r="33" spans="1:2" x14ac:dyDescent="0.25">
      <c r="B33" t="s">
        <v>1636</v>
      </c>
    </row>
    <row r="34" spans="1:2" x14ac:dyDescent="0.25">
      <c r="A34" t="s">
        <v>706</v>
      </c>
    </row>
    <row r="35" spans="1:2" x14ac:dyDescent="0.25">
      <c r="A35" t="s">
        <v>697</v>
      </c>
    </row>
    <row r="36" spans="1:2" x14ac:dyDescent="0.25">
      <c r="B36" t="s">
        <v>572</v>
      </c>
    </row>
    <row r="37" spans="1:2" x14ac:dyDescent="0.25">
      <c r="B37" t="s">
        <v>3312</v>
      </c>
    </row>
    <row r="38" spans="1:2" x14ac:dyDescent="0.25">
      <c r="B38" t="s">
        <v>575</v>
      </c>
    </row>
    <row r="39" spans="1:2" x14ac:dyDescent="0.25">
      <c r="B39" t="s">
        <v>4403</v>
      </c>
    </row>
    <row r="40" spans="1:2" x14ac:dyDescent="0.25">
      <c r="B40" t="s">
        <v>4409</v>
      </c>
    </row>
    <row r="41" spans="1:2" x14ac:dyDescent="0.25">
      <c r="A41" t="s">
        <v>4410</v>
      </c>
    </row>
    <row r="42" spans="1:2" x14ac:dyDescent="0.25">
      <c r="B42" t="s">
        <v>4411</v>
      </c>
    </row>
    <row r="43" spans="1:2" x14ac:dyDescent="0.25">
      <c r="B43" t="s">
        <v>4412</v>
      </c>
    </row>
    <row r="44" spans="1:2" x14ac:dyDescent="0.25">
      <c r="B44" t="s">
        <v>4413</v>
      </c>
    </row>
    <row r="45" spans="1:2" x14ac:dyDescent="0.25">
      <c r="A45" t="s">
        <v>4414</v>
      </c>
    </row>
    <row r="46" spans="1:2" x14ac:dyDescent="0.25">
      <c r="A46" t="s">
        <v>672</v>
      </c>
    </row>
    <row r="47" spans="1:2" x14ac:dyDescent="0.25">
      <c r="A47" t="s">
        <v>1455</v>
      </c>
    </row>
    <row r="48" spans="1:2" x14ac:dyDescent="0.25">
      <c r="A48" t="s">
        <v>3713</v>
      </c>
    </row>
    <row r="49" spans="1:2" x14ac:dyDescent="0.25">
      <c r="A49" t="s">
        <v>4403</v>
      </c>
    </row>
    <row r="50" spans="1:2" x14ac:dyDescent="0.25">
      <c r="A50" t="s">
        <v>1657</v>
      </c>
    </row>
    <row r="53" spans="1:2" x14ac:dyDescent="0.25">
      <c r="A53" t="s">
        <v>244</v>
      </c>
    </row>
    <row r="54" spans="1:2" x14ac:dyDescent="0.25">
      <c r="A54" t="s">
        <v>4409</v>
      </c>
    </row>
    <row r="55" spans="1:2" x14ac:dyDescent="0.25">
      <c r="A55" t="s">
        <v>4415</v>
      </c>
    </row>
    <row r="56" spans="1:2" x14ac:dyDescent="0.25">
      <c r="B56" t="s">
        <v>4416</v>
      </c>
    </row>
    <row r="59" spans="1:2" x14ac:dyDescent="0.25">
      <c r="A59" t="s">
        <v>572</v>
      </c>
    </row>
    <row r="60" spans="1:2" x14ac:dyDescent="0.25">
      <c r="A60" t="s">
        <v>584</v>
      </c>
    </row>
    <row r="61" spans="1:2" x14ac:dyDescent="0.25">
      <c r="A61" t="s">
        <v>585</v>
      </c>
    </row>
    <row r="62" spans="1:2" x14ac:dyDescent="0.25">
      <c r="A62" t="s">
        <v>636</v>
      </c>
    </row>
    <row r="63" spans="1:2" x14ac:dyDescent="0.25">
      <c r="A63" t="s">
        <v>637</v>
      </c>
    </row>
    <row r="64" spans="1:2" x14ac:dyDescent="0.25">
      <c r="A64" t="s">
        <v>4417</v>
      </c>
    </row>
    <row r="65" spans="1:2" x14ac:dyDescent="0.25">
      <c r="A65" t="s">
        <v>4408</v>
      </c>
    </row>
    <row r="66" spans="1:2" x14ac:dyDescent="0.25">
      <c r="A66" t="s">
        <v>3627</v>
      </c>
    </row>
    <row r="67" spans="1:2" x14ac:dyDescent="0.25">
      <c r="A67" t="s">
        <v>1628</v>
      </c>
    </row>
    <row r="68" spans="1:2" x14ac:dyDescent="0.25">
      <c r="A68" t="s">
        <v>593</v>
      </c>
    </row>
    <row r="69" spans="1:2" x14ac:dyDescent="0.25">
      <c r="A69" t="s">
        <v>1635</v>
      </c>
    </row>
    <row r="70" spans="1:2" x14ac:dyDescent="0.25">
      <c r="B70" t="s">
        <v>2224</v>
      </c>
    </row>
    <row r="71" spans="1:2" x14ac:dyDescent="0.25">
      <c r="A71" t="s">
        <v>3631</v>
      </c>
    </row>
    <row r="72" spans="1:2" x14ac:dyDescent="0.25">
      <c r="B72" t="s">
        <v>4381</v>
      </c>
    </row>
    <row r="73" spans="1:2" x14ac:dyDescent="0.25">
      <c r="A73" t="s">
        <v>4418</v>
      </c>
    </row>
    <row r="74" spans="1:2" x14ac:dyDescent="0.25">
      <c r="B74" t="s">
        <v>4419</v>
      </c>
    </row>
    <row r="75" spans="1:2" x14ac:dyDescent="0.25">
      <c r="B75" t="s">
        <v>4420</v>
      </c>
    </row>
    <row r="77" spans="1:2" x14ac:dyDescent="0.25">
      <c r="A77" t="s">
        <v>4421</v>
      </c>
    </row>
    <row r="78" spans="1:2" x14ac:dyDescent="0.25">
      <c r="A78" t="e">
        <f>-- other list with regular NPIs</f>
        <v>#NAME?</v>
      </c>
    </row>
    <row r="80" spans="1:2" x14ac:dyDescent="0.25">
      <c r="A80" t="s">
        <v>4422</v>
      </c>
    </row>
    <row r="81" spans="1:1" x14ac:dyDescent="0.25">
      <c r="A81" t="e">
        <f>-- get data to Teresa, same NPI &amp; TaxId but different provider types</f>
        <v>#NAME?</v>
      </c>
    </row>
    <row r="85" spans="1:1" x14ac:dyDescent="0.25">
      <c r="A85" t="s">
        <v>4423</v>
      </c>
    </row>
    <row r="86" spans="1:1" x14ac:dyDescent="0.25">
      <c r="A86" t="e">
        <f>-- what workflows changed, How to handle workflows that are in process</f>
        <v>#NAME?</v>
      </c>
    </row>
    <row r="89" spans="1:1" x14ac:dyDescent="0.25">
      <c r="A89" t="e">
        <f>-- Steps that were actually executed</f>
        <v>#NAME?</v>
      </c>
    </row>
    <row r="90" spans="1:1" x14ac:dyDescent="0.25">
      <c r="A90" t="s">
        <v>572</v>
      </c>
    </row>
    <row r="91" spans="1:1" x14ac:dyDescent="0.25">
      <c r="A91" t="s">
        <v>1991</v>
      </c>
    </row>
    <row r="92" spans="1:1" x14ac:dyDescent="0.25">
      <c r="A92" t="s">
        <v>1992</v>
      </c>
    </row>
    <row r="93" spans="1:1" x14ac:dyDescent="0.25">
      <c r="A93" t="s">
        <v>1993</v>
      </c>
    </row>
    <row r="94" spans="1:1" x14ac:dyDescent="0.25">
      <c r="A94" t="s">
        <v>1994</v>
      </c>
    </row>
    <row r="95" spans="1:1" x14ac:dyDescent="0.25">
      <c r="A95" t="s">
        <v>4424</v>
      </c>
    </row>
    <row r="96" spans="1:1" x14ac:dyDescent="0.25">
      <c r="A96" t="s">
        <v>1995</v>
      </c>
    </row>
    <row r="97" spans="1:2" x14ac:dyDescent="0.25">
      <c r="A97" t="s">
        <v>1996</v>
      </c>
    </row>
    <row r="98" spans="1:2" x14ac:dyDescent="0.25">
      <c r="A98" t="s">
        <v>1997</v>
      </c>
    </row>
    <row r="99" spans="1:2" x14ac:dyDescent="0.25">
      <c r="A99" t="s">
        <v>1998</v>
      </c>
    </row>
    <row r="100" spans="1:2" x14ac:dyDescent="0.25">
      <c r="A100" t="s">
        <v>1999</v>
      </c>
    </row>
    <row r="101" spans="1:2" x14ac:dyDescent="0.25">
      <c r="A101" t="s">
        <v>2000</v>
      </c>
    </row>
    <row r="102" spans="1:2" x14ac:dyDescent="0.25">
      <c r="A102" t="s">
        <v>2002</v>
      </c>
    </row>
    <row r="103" spans="1:2" x14ac:dyDescent="0.25">
      <c r="A103" t="s">
        <v>2732</v>
      </c>
    </row>
    <row r="104" spans="1:2" x14ac:dyDescent="0.25">
      <c r="B104" t="s">
        <v>4425</v>
      </c>
    </row>
    <row r="105" spans="1:2" x14ac:dyDescent="0.25">
      <c r="A105" t="s">
        <v>2003</v>
      </c>
    </row>
    <row r="106" spans="1:2" x14ac:dyDescent="0.25">
      <c r="B106" t="s">
        <v>2004</v>
      </c>
    </row>
    <row r="107" spans="1:2" x14ac:dyDescent="0.25">
      <c r="A107" t="s">
        <v>2005</v>
      </c>
    </row>
    <row r="108" spans="1:2" x14ac:dyDescent="0.25">
      <c r="B108" t="s">
        <v>2006</v>
      </c>
    </row>
    <row r="109" spans="1:2" x14ac:dyDescent="0.25">
      <c r="A109" t="s">
        <v>3186</v>
      </c>
    </row>
    <row r="110" spans="1:2" x14ac:dyDescent="0.25">
      <c r="A110" t="s">
        <v>634</v>
      </c>
    </row>
    <row r="111" spans="1:2" x14ac:dyDescent="0.25">
      <c r="A111" t="s">
        <v>4426</v>
      </c>
    </row>
    <row r="112" spans="1:2" x14ac:dyDescent="0.25">
      <c r="A112" t="s">
        <v>4427</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heetViews>
  <sheetFormatPr defaultRowHeight="15" x14ac:dyDescent="0.25"/>
  <sheetData>
    <row r="1" spans="1:1" x14ac:dyDescent="0.25">
      <c r="A1" t="s">
        <v>4428</v>
      </c>
    </row>
    <row r="2" spans="1:1" x14ac:dyDescent="0.25">
      <c r="A2" t="s">
        <v>4429</v>
      </c>
    </row>
    <row r="3" spans="1:1" x14ac:dyDescent="0.25">
      <c r="A3" t="s">
        <v>4430</v>
      </c>
    </row>
    <row r="4" spans="1:1" x14ac:dyDescent="0.25">
      <c r="A4" t="s">
        <v>3917</v>
      </c>
    </row>
    <row r="7" spans="1:1" x14ac:dyDescent="0.25">
      <c r="A7" t="s">
        <v>4431</v>
      </c>
    </row>
    <row r="8" spans="1:1" x14ac:dyDescent="0.25">
      <c r="A8" t="s">
        <v>4432</v>
      </c>
    </row>
    <row r="10" spans="1:1" x14ac:dyDescent="0.25">
      <c r="A10" t="s">
        <v>607</v>
      </c>
    </row>
    <row r="11" spans="1:1" x14ac:dyDescent="0.25">
      <c r="A11" t="s">
        <v>1912</v>
      </c>
    </row>
    <row r="12" spans="1:1" x14ac:dyDescent="0.25">
      <c r="A12" t="s">
        <v>4433</v>
      </c>
    </row>
    <row r="14" spans="1:1" x14ac:dyDescent="0.25">
      <c r="A14" t="s">
        <v>4434</v>
      </c>
    </row>
    <row r="15" spans="1:1" x14ac:dyDescent="0.25">
      <c r="A15" t="s">
        <v>4435</v>
      </c>
    </row>
    <row r="16" spans="1:1" x14ac:dyDescent="0.25">
      <c r="A16" t="s">
        <v>2024</v>
      </c>
    </row>
    <row r="17" spans="1:1" x14ac:dyDescent="0.25">
      <c r="A17" t="s">
        <v>4436</v>
      </c>
    </row>
    <row r="19" spans="1:1" x14ac:dyDescent="0.25">
      <c r="A19" t="s">
        <v>3681</v>
      </c>
    </row>
    <row r="20" spans="1:1" x14ac:dyDescent="0.25">
      <c r="A20" t="s">
        <v>4306</v>
      </c>
    </row>
    <row r="21" spans="1:1" x14ac:dyDescent="0.25">
      <c r="A21" t="s">
        <v>4437</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abSelected="1" topLeftCell="A16" workbookViewId="0">
      <selection sqref="A1:B33"/>
    </sheetView>
  </sheetViews>
  <sheetFormatPr defaultRowHeight="15" x14ac:dyDescent="0.25"/>
  <sheetData>
    <row r="1" spans="1:1" x14ac:dyDescent="0.25">
      <c r="A1" t="s">
        <v>4438</v>
      </c>
    </row>
    <row r="2" spans="1:1" x14ac:dyDescent="0.25">
      <c r="A2" t="s">
        <v>2716</v>
      </c>
    </row>
    <row r="3" spans="1:1" x14ac:dyDescent="0.25">
      <c r="A3" t="s">
        <v>539</v>
      </c>
    </row>
    <row r="4" spans="1:1" x14ac:dyDescent="0.25">
      <c r="A4" t="s">
        <v>4439</v>
      </c>
    </row>
    <row r="5" spans="1:1" x14ac:dyDescent="0.25">
      <c r="A5" t="s">
        <v>4440</v>
      </c>
    </row>
    <row r="6" spans="1:1" x14ac:dyDescent="0.25">
      <c r="A6" t="s">
        <v>4441</v>
      </c>
    </row>
    <row r="7" spans="1:1" x14ac:dyDescent="0.25">
      <c r="A7" t="s">
        <v>542</v>
      </c>
    </row>
    <row r="8" spans="1:1" x14ac:dyDescent="0.25">
      <c r="A8" t="s">
        <v>540</v>
      </c>
    </row>
    <row r="9" spans="1:1" x14ac:dyDescent="0.25">
      <c r="A9" t="s">
        <v>4442</v>
      </c>
    </row>
    <row r="10" spans="1:1" x14ac:dyDescent="0.25">
      <c r="A10" t="s">
        <v>541</v>
      </c>
    </row>
    <row r="11" spans="1:1" x14ac:dyDescent="0.25">
      <c r="A11" t="s">
        <v>4443</v>
      </c>
    </row>
    <row r="12" spans="1:1" x14ac:dyDescent="0.25">
      <c r="A12" t="s">
        <v>4444</v>
      </c>
    </row>
    <row r="13" spans="1:1" x14ac:dyDescent="0.25">
      <c r="A13" t="s">
        <v>4445</v>
      </c>
    </row>
    <row r="14" spans="1:1" x14ac:dyDescent="0.25">
      <c r="A14" t="s">
        <v>4446</v>
      </c>
    </row>
    <row r="15" spans="1:1" x14ac:dyDescent="0.25">
      <c r="A15" t="s">
        <v>4447</v>
      </c>
    </row>
    <row r="16" spans="1:1" x14ac:dyDescent="0.25">
      <c r="A16" t="s">
        <v>4448</v>
      </c>
    </row>
    <row r="17" spans="1:2" x14ac:dyDescent="0.25">
      <c r="A17" t="s">
        <v>4449</v>
      </c>
    </row>
    <row r="18" spans="1:2" x14ac:dyDescent="0.25">
      <c r="A18" t="s">
        <v>4450</v>
      </c>
    </row>
    <row r="19" spans="1:2" x14ac:dyDescent="0.25">
      <c r="A19" t="s">
        <v>4451</v>
      </c>
    </row>
    <row r="20" spans="1:2" x14ac:dyDescent="0.25">
      <c r="A20" t="s">
        <v>4452</v>
      </c>
    </row>
    <row r="21" spans="1:2" x14ac:dyDescent="0.25">
      <c r="A21" t="s">
        <v>4453</v>
      </c>
    </row>
    <row r="22" spans="1:2" x14ac:dyDescent="0.25">
      <c r="A22" t="s">
        <v>895</v>
      </c>
    </row>
    <row r="23" spans="1:2" x14ac:dyDescent="0.25">
      <c r="A23" t="s">
        <v>4454</v>
      </c>
    </row>
    <row r="24" spans="1:2" x14ac:dyDescent="0.25">
      <c r="A24" t="s">
        <v>576</v>
      </c>
    </row>
    <row r="25" spans="1:2" x14ac:dyDescent="0.25">
      <c r="A25" t="s">
        <v>2929</v>
      </c>
    </row>
    <row r="26" spans="1:2" x14ac:dyDescent="0.25">
      <c r="B26" t="s">
        <v>2605</v>
      </c>
    </row>
    <row r="27" spans="1:2" x14ac:dyDescent="0.25">
      <c r="A27" t="s">
        <v>4455</v>
      </c>
    </row>
    <row r="28" spans="1:2" x14ac:dyDescent="0.25">
      <c r="B28" t="s">
        <v>4456</v>
      </c>
    </row>
    <row r="29" spans="1:2" x14ac:dyDescent="0.25">
      <c r="A29" t="s">
        <v>4457</v>
      </c>
    </row>
    <row r="30" spans="1:2" x14ac:dyDescent="0.25">
      <c r="B30" t="s">
        <v>4458</v>
      </c>
    </row>
    <row r="31" spans="1:2" x14ac:dyDescent="0.25">
      <c r="A31" t="s">
        <v>4459</v>
      </c>
    </row>
    <row r="32" spans="1:2" x14ac:dyDescent="0.25">
      <c r="B32" t="s">
        <v>2606</v>
      </c>
    </row>
    <row r="33" spans="1:1" x14ac:dyDescent="0.25">
      <c r="A33" t="s">
        <v>4460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121</vt:i4>
      </vt:variant>
    </vt:vector>
  </HeadingPairs>
  <TitlesOfParts>
    <vt:vector size="121" baseType="lpstr">
      <vt:lpstr>Bug List</vt:lpstr>
      <vt:lpstr>1159</vt:lpstr>
      <vt:lpstr>1184</vt:lpstr>
      <vt:lpstr>1235</vt:lpstr>
      <vt:lpstr>1252</vt:lpstr>
      <vt:lpstr>1275</vt:lpstr>
      <vt:lpstr>1290</vt:lpstr>
      <vt:lpstr>1317</vt:lpstr>
      <vt:lpstr>1324</vt:lpstr>
      <vt:lpstr>1325</vt:lpstr>
      <vt:lpstr>1375</vt:lpstr>
      <vt:lpstr>1459</vt:lpstr>
      <vt:lpstr>1468</vt:lpstr>
      <vt:lpstr>1487</vt:lpstr>
      <vt:lpstr>1511</vt:lpstr>
      <vt:lpstr>1512</vt:lpstr>
      <vt:lpstr>1519</vt:lpstr>
      <vt:lpstr>1545</vt:lpstr>
      <vt:lpstr>1701</vt:lpstr>
      <vt:lpstr>1710</vt:lpstr>
      <vt:lpstr>1717</vt:lpstr>
      <vt:lpstr>1722</vt:lpstr>
      <vt:lpstr>1745</vt:lpstr>
      <vt:lpstr>1746</vt:lpstr>
      <vt:lpstr>1806</vt:lpstr>
      <vt:lpstr>1809</vt:lpstr>
      <vt:lpstr>1838</vt:lpstr>
      <vt:lpstr>1946</vt:lpstr>
      <vt:lpstr>1947</vt:lpstr>
      <vt:lpstr>1986</vt:lpstr>
      <vt:lpstr>2097</vt:lpstr>
      <vt:lpstr>2099</vt:lpstr>
      <vt:lpstr>2286</vt:lpstr>
      <vt:lpstr>2239</vt:lpstr>
      <vt:lpstr>2391</vt:lpstr>
      <vt:lpstr>2411</vt:lpstr>
      <vt:lpstr>2442</vt:lpstr>
      <vt:lpstr>2459</vt:lpstr>
      <vt:lpstr>2466</vt:lpstr>
      <vt:lpstr>2472</vt:lpstr>
      <vt:lpstr>2564</vt:lpstr>
      <vt:lpstr>2625</vt:lpstr>
      <vt:lpstr>2639</vt:lpstr>
      <vt:lpstr>2650</vt:lpstr>
      <vt:lpstr>2683</vt:lpstr>
      <vt:lpstr>2702</vt:lpstr>
      <vt:lpstr>2774</vt:lpstr>
      <vt:lpstr>2831</vt:lpstr>
      <vt:lpstr>2884</vt:lpstr>
      <vt:lpstr>2978</vt:lpstr>
      <vt:lpstr>2984</vt:lpstr>
      <vt:lpstr>2995</vt:lpstr>
      <vt:lpstr>3005</vt:lpstr>
      <vt:lpstr>3007</vt:lpstr>
      <vt:lpstr>3013</vt:lpstr>
      <vt:lpstr>3018</vt:lpstr>
      <vt:lpstr>3024</vt:lpstr>
      <vt:lpstr>3027</vt:lpstr>
      <vt:lpstr>3040</vt:lpstr>
      <vt:lpstr>3104</vt:lpstr>
      <vt:lpstr>3126</vt:lpstr>
      <vt:lpstr>3131</vt:lpstr>
      <vt:lpstr>3144</vt:lpstr>
      <vt:lpstr>3148</vt:lpstr>
      <vt:lpstr>3170</vt:lpstr>
      <vt:lpstr>3173</vt:lpstr>
      <vt:lpstr>3188</vt:lpstr>
      <vt:lpstr>3204</vt:lpstr>
      <vt:lpstr>3240</vt:lpstr>
      <vt:lpstr>3262</vt:lpstr>
      <vt:lpstr>3279</vt:lpstr>
      <vt:lpstr>3284</vt:lpstr>
      <vt:lpstr>3290</vt:lpstr>
      <vt:lpstr>3293</vt:lpstr>
      <vt:lpstr>3297</vt:lpstr>
      <vt:lpstr>3297_2</vt:lpstr>
      <vt:lpstr>3330</vt:lpstr>
      <vt:lpstr>3334</vt:lpstr>
      <vt:lpstr>3337</vt:lpstr>
      <vt:lpstr>3339</vt:lpstr>
      <vt:lpstr>3340</vt:lpstr>
      <vt:lpstr>3341</vt:lpstr>
      <vt:lpstr>3342</vt:lpstr>
      <vt:lpstr>3381</vt:lpstr>
      <vt:lpstr>3414</vt:lpstr>
      <vt:lpstr>3417</vt:lpstr>
      <vt:lpstr>3435</vt:lpstr>
      <vt:lpstr>3449</vt:lpstr>
      <vt:lpstr>3471</vt:lpstr>
      <vt:lpstr>3488</vt:lpstr>
      <vt:lpstr>3490</vt:lpstr>
      <vt:lpstr>3546</vt:lpstr>
      <vt:lpstr>3624</vt:lpstr>
      <vt:lpstr>3625</vt:lpstr>
      <vt:lpstr>3646</vt:lpstr>
      <vt:lpstr>3666</vt:lpstr>
      <vt:lpstr>3699</vt:lpstr>
      <vt:lpstr>3715</vt:lpstr>
      <vt:lpstr>3774</vt:lpstr>
      <vt:lpstr>3785</vt:lpstr>
      <vt:lpstr>3816</vt:lpstr>
      <vt:lpstr>3825</vt:lpstr>
      <vt:lpstr>3914</vt:lpstr>
      <vt:lpstr>3933</vt:lpstr>
      <vt:lpstr>3963</vt:lpstr>
      <vt:lpstr>3967</vt:lpstr>
      <vt:lpstr>3969</vt:lpstr>
      <vt:lpstr>3974</vt:lpstr>
      <vt:lpstr>3983</vt:lpstr>
      <vt:lpstr>3985</vt:lpstr>
      <vt:lpstr>3992</vt:lpstr>
      <vt:lpstr>3995</vt:lpstr>
      <vt:lpstr>3999</vt:lpstr>
      <vt:lpstr>4034</vt:lpstr>
      <vt:lpstr>4063</vt:lpstr>
      <vt:lpstr>4073</vt:lpstr>
      <vt:lpstr>4097</vt:lpstr>
      <vt:lpstr>4125</vt:lpstr>
      <vt:lpstr>4139</vt:lpstr>
      <vt:lpstr>4146</vt:lpstr>
      <vt:lpstr>4230</vt:lpstr>
    </vt:vector>
  </TitlesOfParts>
  <Company>Policy-Studies,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dc:creator>
  <cp:lastModifiedBy>Joe Fetters</cp:lastModifiedBy>
  <dcterms:created xsi:type="dcterms:W3CDTF">2012-11-13T19:20:42Z</dcterms:created>
  <dcterms:modified xsi:type="dcterms:W3CDTF">2015-02-20T12:56:32Z</dcterms:modified>
</cp:coreProperties>
</file>