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105" windowWidth="10890" windowHeight="4980"/>
  </bookViews>
  <sheets>
    <sheet name="FULL LIST" sheetId="1" r:id="rId1"/>
    <sheet name="HCBS" sheetId="2" r:id="rId2"/>
    <sheet name="Sheet3" sheetId="3" r:id="rId3"/>
    <sheet name="Sheet1" sheetId="4" r:id="rId4"/>
    <sheet name="Sheet6" sheetId="8" r:id="rId5"/>
    <sheet name="Sheet4" sheetId="6" r:id="rId6"/>
    <sheet name="PROVIDER_TYPE_LOOKUP" sheetId="5" r:id="rId7"/>
    <sheet name="SPECIALTY_TYPE_LOOKUP" sheetId="7" r:id="rId8"/>
    <sheet name="TAXONOMY_LOOKUP" sheetId="9" r:id="rId9"/>
  </sheets>
  <definedNames>
    <definedName name="_xlnm._FilterDatabase" localSheetId="0" hidden="1">'FULL LIST'!$D$1:$D$1352</definedName>
    <definedName name="_xlnm._FilterDatabase" localSheetId="1" hidden="1">HCBS!$A$1:$L$59</definedName>
    <definedName name="_xlnm._FilterDatabase" localSheetId="3" hidden="1">Sheet1!$A$1:$F$89</definedName>
    <definedName name="PROVIDER_TYPE">PROVIDER_TYPE_LOOKUP!$A$2:$B$86</definedName>
    <definedName name="SPECIALTY_TYPE">SPECIALTY_TYPE_LOOKUP!$A$2:$B$279</definedName>
    <definedName name="TAXONOMY_TYPE">TAXONOMY_LOOKUP!$A$2:$B$3223</definedName>
  </definedNames>
  <calcPr calcId="145621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P1332" i="1"/>
  <c r="P1333" i="1"/>
  <c r="P1334" i="1"/>
  <c r="P1335" i="1"/>
  <c r="P1336" i="1"/>
  <c r="P1337" i="1"/>
  <c r="P1338" i="1"/>
  <c r="L1332" i="1"/>
  <c r="L1333" i="1"/>
  <c r="L1334" i="1"/>
  <c r="L1335" i="1"/>
  <c r="L1336" i="1"/>
  <c r="L1337" i="1"/>
  <c r="L133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I1332" i="1"/>
  <c r="I1333" i="1"/>
  <c r="I1334" i="1"/>
  <c r="I1335" i="1"/>
  <c r="I1336" i="1"/>
  <c r="I1337" i="1"/>
  <c r="I133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A2237" i="9"/>
  <c r="A2238" i="9"/>
  <c r="A2239" i="9"/>
  <c r="A2240" i="9"/>
  <c r="A2241" i="9"/>
  <c r="A2242" i="9"/>
  <c r="A2243" i="9"/>
  <c r="A2244" i="9"/>
  <c r="A2245" i="9"/>
  <c r="A2246" i="9"/>
  <c r="A2247" i="9"/>
  <c r="A2248" i="9"/>
  <c r="A2249" i="9"/>
  <c r="A2250" i="9"/>
  <c r="A2251" i="9"/>
  <c r="A2252" i="9"/>
  <c r="A2253" i="9"/>
  <c r="A2254" i="9"/>
  <c r="A2255" i="9"/>
  <c r="A2256" i="9"/>
  <c r="A2257" i="9"/>
  <c r="A2258" i="9"/>
  <c r="A2259" i="9"/>
  <c r="A2260" i="9"/>
  <c r="A2261" i="9"/>
  <c r="A2262" i="9"/>
  <c r="A2263" i="9"/>
  <c r="A2264" i="9"/>
  <c r="A2265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79" i="9"/>
  <c r="A2280" i="9"/>
  <c r="A2281" i="9"/>
  <c r="A2282" i="9"/>
  <c r="A2283" i="9"/>
  <c r="A2284" i="9"/>
  <c r="A2285" i="9"/>
  <c r="A2286" i="9"/>
  <c r="A2287" i="9"/>
  <c r="A2288" i="9"/>
  <c r="A2289" i="9"/>
  <c r="A2290" i="9"/>
  <c r="A2291" i="9"/>
  <c r="A2292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419" i="9"/>
  <c r="A2420" i="9"/>
  <c r="A2421" i="9"/>
  <c r="A2422" i="9"/>
  <c r="A2423" i="9"/>
  <c r="A2424" i="9"/>
  <c r="A2425" i="9"/>
  <c r="A2426" i="9"/>
  <c r="A2427" i="9"/>
  <c r="A2428" i="9"/>
  <c r="A2429" i="9"/>
  <c r="A2430" i="9"/>
  <c r="A2431" i="9"/>
  <c r="A2432" i="9"/>
  <c r="A2433" i="9"/>
  <c r="A2434" i="9"/>
  <c r="A2435" i="9"/>
  <c r="A2436" i="9"/>
  <c r="A2437" i="9"/>
  <c r="A2438" i="9"/>
  <c r="A2439" i="9"/>
  <c r="A2440" i="9"/>
  <c r="A2441" i="9"/>
  <c r="A2442" i="9"/>
  <c r="A2443" i="9"/>
  <c r="A2444" i="9"/>
  <c r="A2445" i="9"/>
  <c r="A2446" i="9"/>
  <c r="A2447" i="9"/>
  <c r="A2448" i="9"/>
  <c r="A2449" i="9"/>
  <c r="A2450" i="9"/>
  <c r="A2451" i="9"/>
  <c r="A2452" i="9"/>
  <c r="A2453" i="9"/>
  <c r="A2454" i="9"/>
  <c r="A2455" i="9"/>
  <c r="A2456" i="9"/>
  <c r="A2457" i="9"/>
  <c r="A2458" i="9"/>
  <c r="A2459" i="9"/>
  <c r="A2460" i="9"/>
  <c r="A2461" i="9"/>
  <c r="A2462" i="9"/>
  <c r="A2463" i="9"/>
  <c r="A2464" i="9"/>
  <c r="A2465" i="9"/>
  <c r="A2466" i="9"/>
  <c r="A2467" i="9"/>
  <c r="A2468" i="9"/>
  <c r="A2469" i="9"/>
  <c r="A2470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1" i="9"/>
  <c r="A2532" i="9"/>
  <c r="A2533" i="9"/>
  <c r="A2534" i="9"/>
  <c r="A2535" i="9"/>
  <c r="A2536" i="9"/>
  <c r="A2537" i="9"/>
  <c r="A2538" i="9"/>
  <c r="A2539" i="9"/>
  <c r="A2540" i="9"/>
  <c r="A2541" i="9"/>
  <c r="A2542" i="9"/>
  <c r="A2543" i="9"/>
  <c r="A2544" i="9"/>
  <c r="A2545" i="9"/>
  <c r="A2546" i="9"/>
  <c r="A2547" i="9"/>
  <c r="A2548" i="9"/>
  <c r="A2549" i="9"/>
  <c r="A2550" i="9"/>
  <c r="A2551" i="9"/>
  <c r="A2552" i="9"/>
  <c r="A2553" i="9"/>
  <c r="A2554" i="9"/>
  <c r="A2555" i="9"/>
  <c r="A2556" i="9"/>
  <c r="A2557" i="9"/>
  <c r="A2558" i="9"/>
  <c r="A2559" i="9"/>
  <c r="A2560" i="9"/>
  <c r="A2561" i="9"/>
  <c r="A2562" i="9"/>
  <c r="A2563" i="9"/>
  <c r="A2564" i="9"/>
  <c r="A2565" i="9"/>
  <c r="A2566" i="9"/>
  <c r="A2567" i="9"/>
  <c r="A2568" i="9"/>
  <c r="A256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A2615" i="9"/>
  <c r="A2616" i="9"/>
  <c r="A2617" i="9"/>
  <c r="A2618" i="9"/>
  <c r="A2619" i="9"/>
  <c r="A2620" i="9"/>
  <c r="A2621" i="9"/>
  <c r="A2622" i="9"/>
  <c r="A2623" i="9"/>
  <c r="A2624" i="9"/>
  <c r="A2625" i="9"/>
  <c r="A2626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3" i="9"/>
  <c r="A2644" i="9"/>
  <c r="A2645" i="9"/>
  <c r="A2646" i="9"/>
  <c r="A2647" i="9"/>
  <c r="A2648" i="9"/>
  <c r="A2649" i="9"/>
  <c r="A2650" i="9"/>
  <c r="A2651" i="9"/>
  <c r="A2652" i="9"/>
  <c r="A2653" i="9"/>
  <c r="A2654" i="9"/>
  <c r="A2655" i="9"/>
  <c r="A2656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77" i="9"/>
  <c r="A2778" i="9"/>
  <c r="A2779" i="9"/>
  <c r="A2780" i="9"/>
  <c r="A2781" i="9"/>
  <c r="A2782" i="9"/>
  <c r="A2783" i="9"/>
  <c r="A2784" i="9"/>
  <c r="A2785" i="9"/>
  <c r="A2786" i="9"/>
  <c r="A2787" i="9"/>
  <c r="A2788" i="9"/>
  <c r="A2789" i="9"/>
  <c r="A2790" i="9"/>
  <c r="A2791" i="9"/>
  <c r="A2792" i="9"/>
  <c r="A2793" i="9"/>
  <c r="A2794" i="9"/>
  <c r="A2795" i="9"/>
  <c r="A2796" i="9"/>
  <c r="A2797" i="9"/>
  <c r="A2798" i="9"/>
  <c r="A2799" i="9"/>
  <c r="A2800" i="9"/>
  <c r="A2801" i="9"/>
  <c r="A2802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047" i="9"/>
  <c r="A3048" i="9"/>
  <c r="A3049" i="9"/>
  <c r="A3050" i="9"/>
  <c r="A3051" i="9"/>
  <c r="A3052" i="9"/>
  <c r="A3053" i="9"/>
  <c r="A3054" i="9"/>
  <c r="A3055" i="9"/>
  <c r="A3056" i="9"/>
  <c r="A3057" i="9"/>
  <c r="A3058" i="9"/>
  <c r="A3059" i="9"/>
  <c r="A3060" i="9"/>
  <c r="A3061" i="9"/>
  <c r="A3062" i="9"/>
  <c r="A3063" i="9"/>
  <c r="A3064" i="9"/>
  <c r="A3065" i="9"/>
  <c r="A3066" i="9"/>
  <c r="A3067" i="9"/>
  <c r="A3068" i="9"/>
  <c r="A3069" i="9"/>
  <c r="A3070" i="9"/>
  <c r="A3071" i="9"/>
  <c r="A3072" i="9"/>
  <c r="A3073" i="9"/>
  <c r="A3074" i="9"/>
  <c r="A3075" i="9"/>
  <c r="A3076" i="9"/>
  <c r="A3077" i="9"/>
  <c r="A3078" i="9"/>
  <c r="A3079" i="9"/>
  <c r="A3080" i="9"/>
  <c r="A3081" i="9"/>
  <c r="A3082" i="9"/>
  <c r="A3083" i="9"/>
  <c r="A3084" i="9"/>
  <c r="A3085" i="9"/>
  <c r="A3086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7" i="9"/>
  <c r="A3108" i="9"/>
  <c r="A3109" i="9"/>
  <c r="A3110" i="9"/>
  <c r="A3111" i="9"/>
  <c r="A3112" i="9"/>
  <c r="A3113" i="9"/>
  <c r="A3114" i="9"/>
  <c r="A3115" i="9"/>
  <c r="A3116" i="9"/>
  <c r="A3117" i="9"/>
  <c r="A3118" i="9"/>
  <c r="A3119" i="9"/>
  <c r="A3120" i="9"/>
  <c r="A3121" i="9"/>
  <c r="A3122" i="9"/>
  <c r="A3123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7" i="9"/>
  <c r="A3168" i="9"/>
  <c r="A3169" i="9"/>
  <c r="A3170" i="9"/>
  <c r="A3171" i="9"/>
  <c r="A3172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A3201" i="9"/>
  <c r="A3202" i="9"/>
  <c r="A3203" i="9"/>
  <c r="A3204" i="9"/>
  <c r="A3205" i="9"/>
  <c r="A3206" i="9"/>
  <c r="A3207" i="9"/>
  <c r="A3208" i="9"/>
  <c r="A3209" i="9"/>
  <c r="A3210" i="9"/>
  <c r="A3211" i="9"/>
  <c r="A3212" i="9"/>
  <c r="A3213" i="9"/>
  <c r="A3214" i="9"/>
  <c r="A3215" i="9"/>
  <c r="A3216" i="9"/>
  <c r="A3217" i="9"/>
  <c r="A3218" i="9"/>
  <c r="A3219" i="9"/>
  <c r="A3220" i="9"/>
  <c r="A3" i="9"/>
  <c r="A323" i="9"/>
  <c r="A769" i="9"/>
  <c r="A893" i="9"/>
  <c r="A947" i="9"/>
  <c r="A1071" i="9"/>
  <c r="A1197" i="9"/>
  <c r="A1317" i="9"/>
  <c r="A1384" i="9"/>
  <c r="A1088" i="9"/>
  <c r="A2052" i="9"/>
  <c r="A1042" i="9"/>
  <c r="A1493" i="9"/>
  <c r="A1615" i="9"/>
  <c r="A1744" i="9"/>
  <c r="A1866" i="9"/>
  <c r="A1991" i="9"/>
  <c r="A75" i="9"/>
  <c r="A198" i="9"/>
  <c r="A324" i="9"/>
  <c r="A446" i="9"/>
  <c r="A666" i="9"/>
  <c r="A679" i="9"/>
  <c r="A692" i="9"/>
  <c r="A704" i="9"/>
  <c r="A716" i="9"/>
  <c r="A728" i="9"/>
  <c r="A740" i="9"/>
  <c r="A753" i="9"/>
  <c r="A770" i="9"/>
  <c r="A782" i="9"/>
  <c r="A794" i="9"/>
  <c r="A806" i="9"/>
  <c r="A818" i="9"/>
  <c r="A830" i="9"/>
  <c r="A842" i="9"/>
  <c r="A854" i="9"/>
  <c r="A868" i="9"/>
  <c r="A881" i="9"/>
  <c r="A894" i="9"/>
  <c r="A906" i="9"/>
  <c r="A918" i="9"/>
  <c r="A930" i="9"/>
  <c r="A940" i="9"/>
  <c r="A941" i="9"/>
  <c r="A942" i="9"/>
  <c r="A944" i="9"/>
  <c r="A945" i="9"/>
  <c r="A946" i="9"/>
  <c r="A949" i="9"/>
  <c r="A961" i="9"/>
  <c r="A975" i="9"/>
  <c r="A989" i="9"/>
  <c r="A1001" i="9"/>
  <c r="A1013" i="9"/>
  <c r="A1025" i="9"/>
  <c r="A1035" i="9"/>
  <c r="A1047" i="9"/>
  <c r="A1059" i="9"/>
  <c r="A1072" i="9"/>
  <c r="A1084" i="9"/>
  <c r="A1098" i="9"/>
  <c r="A1113" i="9"/>
  <c r="A1125" i="9"/>
  <c r="A1137" i="9"/>
  <c r="A1149" i="9"/>
  <c r="A1161" i="9"/>
  <c r="A1173" i="9"/>
  <c r="A1185" i="9"/>
  <c r="A1198" i="9"/>
  <c r="A1212" i="9"/>
  <c r="A1224" i="9"/>
  <c r="A1235" i="9"/>
  <c r="A1246" i="9"/>
  <c r="A1258" i="9"/>
  <c r="A1269" i="9"/>
  <c r="A1282" i="9"/>
  <c r="A1294" i="9"/>
  <c r="A1306" i="9"/>
  <c r="A1318" i="9"/>
  <c r="A1330" i="9"/>
  <c r="A1339" i="9"/>
  <c r="A1350" i="9"/>
  <c r="A1361" i="9"/>
  <c r="A1373" i="9"/>
  <c r="A1379" i="9"/>
  <c r="A1380" i="9"/>
  <c r="A1381" i="9"/>
  <c r="A1383" i="9"/>
  <c r="A1385" i="9"/>
  <c r="A1386" i="9"/>
  <c r="A1387" i="9"/>
  <c r="A1388" i="9"/>
  <c r="A1389" i="9"/>
  <c r="A1391" i="9"/>
  <c r="A1392" i="9"/>
  <c r="A1393" i="9"/>
  <c r="A1394" i="9"/>
  <c r="A1395" i="9"/>
  <c r="A1488" i="9"/>
  <c r="A5" i="9"/>
  <c r="A976" i="9"/>
  <c r="A1464" i="9"/>
  <c r="A1555" i="9"/>
  <c r="A1644" i="9"/>
  <c r="A1686" i="9"/>
  <c r="A1797" i="9"/>
  <c r="A1897" i="9"/>
  <c r="A2007" i="9"/>
  <c r="A2053" i="9"/>
  <c r="A23" i="9"/>
  <c r="A119" i="9"/>
  <c r="A238" i="9"/>
  <c r="A359" i="9"/>
  <c r="A458" i="9"/>
  <c r="A568" i="9"/>
  <c r="A689" i="9"/>
  <c r="A800" i="9"/>
  <c r="A921" i="9"/>
  <c r="A1053" i="9"/>
  <c r="A1177" i="9"/>
  <c r="A1390" i="9"/>
  <c r="A1409" i="9"/>
  <c r="A1421" i="9"/>
  <c r="A1433" i="9"/>
  <c r="A1445" i="9"/>
  <c r="A1456" i="9"/>
  <c r="A1468" i="9"/>
  <c r="A1480" i="9"/>
  <c r="A1494" i="9"/>
  <c r="A1506" i="9"/>
  <c r="A1518" i="9"/>
  <c r="A1530" i="9"/>
  <c r="A1542" i="9"/>
  <c r="A1554" i="9"/>
  <c r="A1567" i="9"/>
  <c r="A1579" i="9"/>
  <c r="A1590" i="9"/>
  <c r="A1603" i="9"/>
  <c r="A1616" i="9"/>
  <c r="A1628" i="9"/>
  <c r="A1640" i="9"/>
  <c r="A1660" i="9"/>
  <c r="A1671" i="9"/>
  <c r="A1684" i="9"/>
  <c r="A1696" i="9"/>
  <c r="A1709" i="9"/>
  <c r="A1721" i="9"/>
  <c r="A1732" i="9"/>
  <c r="A1745" i="9"/>
  <c r="A1757" i="9"/>
  <c r="A1770" i="9"/>
  <c r="A1782" i="9"/>
  <c r="A1794" i="9"/>
  <c r="A1806" i="9"/>
  <c r="A1818" i="9"/>
  <c r="A1831" i="9"/>
  <c r="A1843" i="9"/>
  <c r="A1855" i="9"/>
  <c r="A1867" i="9"/>
  <c r="A1880" i="9"/>
  <c r="A1892" i="9"/>
  <c r="A1904" i="9"/>
  <c r="A1916" i="9"/>
  <c r="A1928" i="9"/>
  <c r="A1940" i="9"/>
  <c r="A1954" i="9"/>
  <c r="A1966" i="9"/>
  <c r="A1978" i="9"/>
  <c r="A1993" i="9"/>
  <c r="A2004" i="9"/>
  <c r="A2016" i="9"/>
  <c r="A2028" i="9"/>
  <c r="A2041" i="9"/>
  <c r="A13" i="9"/>
  <c r="A26" i="9"/>
  <c r="A38" i="9"/>
  <c r="A51" i="9"/>
  <c r="A63" i="9"/>
  <c r="A76" i="9"/>
  <c r="A89" i="9"/>
  <c r="A101" i="9"/>
  <c r="A113" i="9"/>
  <c r="A125" i="9"/>
  <c r="A137" i="9"/>
  <c r="A149" i="9"/>
  <c r="A162" i="9"/>
  <c r="A174" i="9"/>
  <c r="A186" i="9"/>
  <c r="A199" i="9"/>
  <c r="A212" i="9"/>
  <c r="A224" i="9"/>
  <c r="A235" i="9"/>
  <c r="A247" i="9"/>
  <c r="A259" i="9"/>
  <c r="A272" i="9"/>
  <c r="A284" i="9"/>
  <c r="A296" i="9"/>
  <c r="A310" i="9"/>
  <c r="A325" i="9"/>
  <c r="A336" i="9"/>
  <c r="A349" i="9"/>
  <c r="A361" i="9"/>
  <c r="A373" i="9"/>
  <c r="A385" i="9"/>
  <c r="A397" i="9"/>
  <c r="A409" i="9"/>
  <c r="A421" i="9"/>
  <c r="A434" i="9"/>
  <c r="A448" i="9"/>
  <c r="A460" i="9"/>
  <c r="A471" i="9"/>
  <c r="A505" i="9"/>
  <c r="A530" i="9"/>
  <c r="A545" i="9"/>
  <c r="A563" i="9"/>
  <c r="A584" i="9"/>
  <c r="A636" i="9"/>
  <c r="A659" i="9"/>
  <c r="A668" i="9"/>
  <c r="A669" i="9"/>
  <c r="A670" i="9"/>
  <c r="A671" i="9"/>
  <c r="A672" i="9"/>
  <c r="A673" i="9"/>
  <c r="A674" i="9"/>
  <c r="A675" i="9"/>
  <c r="A676" i="9"/>
  <c r="A677" i="9"/>
  <c r="A680" i="9"/>
  <c r="A681" i="9"/>
  <c r="A682" i="9"/>
  <c r="A683" i="9"/>
  <c r="A684" i="9"/>
  <c r="A685" i="9"/>
  <c r="A687" i="9"/>
  <c r="A688" i="9"/>
  <c r="A690" i="9"/>
  <c r="A691" i="9"/>
  <c r="A693" i="9"/>
  <c r="A694" i="9"/>
  <c r="A695" i="9"/>
  <c r="A696" i="9"/>
  <c r="A697" i="9"/>
  <c r="A698" i="9"/>
  <c r="A699" i="9"/>
  <c r="A701" i="9"/>
  <c r="A702" i="9"/>
  <c r="A703" i="9"/>
  <c r="A705" i="9"/>
  <c r="A706" i="9"/>
  <c r="A707" i="9"/>
  <c r="A708" i="9"/>
  <c r="A709" i="9"/>
  <c r="A710" i="9"/>
  <c r="A712" i="9"/>
  <c r="A713" i="9"/>
  <c r="A714" i="9"/>
  <c r="A715" i="9"/>
  <c r="A717" i="9"/>
  <c r="A718" i="9"/>
  <c r="A719" i="9"/>
  <c r="A720" i="9"/>
  <c r="A721" i="9"/>
  <c r="A723" i="9"/>
  <c r="A724" i="9"/>
  <c r="A725" i="9"/>
  <c r="A726" i="9"/>
  <c r="A727" i="9"/>
  <c r="A729" i="9"/>
  <c r="A730" i="9"/>
  <c r="A731" i="9"/>
  <c r="A732" i="9"/>
  <c r="A734" i="9"/>
  <c r="A735" i="9"/>
  <c r="A736" i="9"/>
  <c r="A737" i="9"/>
  <c r="A738" i="9"/>
  <c r="A739" i="9"/>
  <c r="A741" i="9"/>
  <c r="A742" i="9"/>
  <c r="A743" i="9"/>
  <c r="A745" i="9"/>
  <c r="A746" i="9"/>
  <c r="A747" i="9"/>
  <c r="A748" i="9"/>
  <c r="A749" i="9"/>
  <c r="A751" i="9"/>
  <c r="A752" i="9"/>
  <c r="A754" i="9"/>
  <c r="A758" i="9"/>
  <c r="A759" i="9"/>
  <c r="A760" i="9"/>
  <c r="A761" i="9"/>
  <c r="A762" i="9"/>
  <c r="A763" i="9"/>
  <c r="A764" i="9"/>
  <c r="A765" i="9"/>
  <c r="A766" i="9"/>
  <c r="A771" i="9"/>
  <c r="A772" i="9"/>
  <c r="A773" i="9"/>
  <c r="A774" i="9"/>
  <c r="A775" i="9"/>
  <c r="A776" i="9"/>
  <c r="A777" i="9"/>
  <c r="A779" i="9"/>
  <c r="A780" i="9"/>
  <c r="A781" i="9"/>
  <c r="A783" i="9"/>
  <c r="A784" i="9"/>
  <c r="A785" i="9"/>
  <c r="A786" i="9"/>
  <c r="A787" i="9"/>
  <c r="A788" i="9"/>
  <c r="A790" i="9"/>
  <c r="A791" i="9"/>
  <c r="A792" i="9"/>
  <c r="A793" i="9"/>
  <c r="A795" i="9"/>
  <c r="A796" i="9"/>
  <c r="A797" i="9"/>
  <c r="A798" i="9"/>
  <c r="A799" i="9"/>
  <c r="A801" i="9"/>
  <c r="A802" i="9"/>
  <c r="A803" i="9"/>
  <c r="A804" i="9"/>
  <c r="A805" i="9"/>
  <c r="A807" i="9"/>
  <c r="A808" i="9"/>
  <c r="A809" i="9"/>
  <c r="A810" i="9"/>
  <c r="A812" i="9"/>
  <c r="A813" i="9"/>
  <c r="A814" i="9"/>
  <c r="A815" i="9"/>
  <c r="A816" i="9"/>
  <c r="A817" i="9"/>
  <c r="A819" i="9"/>
  <c r="A820" i="9"/>
  <c r="A821" i="9"/>
  <c r="A823" i="9"/>
  <c r="A824" i="9"/>
  <c r="A825" i="9"/>
  <c r="A826" i="9"/>
  <c r="A827" i="9"/>
  <c r="A828" i="9"/>
  <c r="A829" i="9"/>
  <c r="A831" i="9"/>
  <c r="A832" i="9"/>
  <c r="A834" i="9"/>
  <c r="A835" i="9"/>
  <c r="A836" i="9"/>
  <c r="A837" i="9"/>
  <c r="A838" i="9"/>
  <c r="A839" i="9"/>
  <c r="A840" i="9"/>
  <c r="A841" i="9"/>
  <c r="A843" i="9"/>
  <c r="A845" i="9"/>
  <c r="A846" i="9"/>
  <c r="A847" i="9"/>
  <c r="A848" i="9"/>
  <c r="A849" i="9"/>
  <c r="A850" i="9"/>
  <c r="A851" i="9"/>
  <c r="A852" i="9"/>
  <c r="A853" i="9"/>
  <c r="A856" i="9"/>
  <c r="A857" i="9"/>
  <c r="A858" i="9"/>
  <c r="A859" i="9"/>
  <c r="A860" i="9"/>
  <c r="A861" i="9"/>
  <c r="A862" i="9"/>
  <c r="A863" i="9"/>
  <c r="A864" i="9"/>
  <c r="A865" i="9"/>
  <c r="A869" i="9"/>
  <c r="A871" i="9"/>
  <c r="A872" i="9"/>
  <c r="A873" i="9"/>
  <c r="A874" i="9"/>
  <c r="A875" i="9"/>
  <c r="A876" i="9"/>
  <c r="A877" i="9"/>
  <c r="A879" i="9"/>
  <c r="A880" i="9"/>
  <c r="A882" i="9"/>
  <c r="A883" i="9"/>
  <c r="A884" i="9"/>
  <c r="A885" i="9"/>
  <c r="A886" i="9"/>
  <c r="A887" i="9"/>
  <c r="A889" i="9"/>
  <c r="A890" i="9"/>
  <c r="A891" i="9"/>
  <c r="A892" i="9"/>
  <c r="A895" i="9"/>
  <c r="A896" i="9"/>
  <c r="A897" i="9"/>
  <c r="A898" i="9"/>
  <c r="A900" i="9"/>
  <c r="A901" i="9"/>
  <c r="A902" i="9"/>
  <c r="A903" i="9"/>
  <c r="A904" i="9"/>
  <c r="A905" i="9"/>
  <c r="A907" i="9"/>
  <c r="A908" i="9"/>
  <c r="A909" i="9"/>
  <c r="A911" i="9"/>
  <c r="A912" i="9"/>
  <c r="A913" i="9"/>
  <c r="A914" i="9"/>
  <c r="A915" i="9"/>
  <c r="A916" i="9"/>
  <c r="A917" i="9"/>
  <c r="A919" i="9"/>
  <c r="A920" i="9"/>
  <c r="A922" i="9"/>
  <c r="A923" i="9"/>
  <c r="A924" i="9"/>
  <c r="A925" i="9"/>
  <c r="A926" i="9"/>
  <c r="A927" i="9"/>
  <c r="A928" i="9"/>
  <c r="A929" i="9"/>
  <c r="A931" i="9"/>
  <c r="A933" i="9"/>
  <c r="A934" i="9"/>
  <c r="A935" i="9"/>
  <c r="A936" i="9"/>
  <c r="A937" i="9"/>
  <c r="A938" i="9"/>
  <c r="A939" i="9"/>
  <c r="A950" i="9"/>
  <c r="A951" i="9"/>
  <c r="A952" i="9"/>
  <c r="A953" i="9"/>
  <c r="A955" i="9"/>
  <c r="A956" i="9"/>
  <c r="A957" i="9"/>
  <c r="A958" i="9"/>
  <c r="A959" i="9"/>
  <c r="A960" i="9"/>
  <c r="A962" i="9"/>
  <c r="A963" i="9"/>
  <c r="A964" i="9"/>
  <c r="A966" i="9"/>
  <c r="A967" i="9"/>
  <c r="A968" i="9"/>
  <c r="A969" i="9"/>
  <c r="A970" i="9"/>
  <c r="A972" i="9"/>
  <c r="A973" i="9"/>
  <c r="A978" i="9"/>
  <c r="A979" i="9"/>
  <c r="A980" i="9"/>
  <c r="A981" i="9"/>
  <c r="A982" i="9"/>
  <c r="A983" i="9"/>
  <c r="A984" i="9"/>
  <c r="A985" i="9"/>
  <c r="A986" i="9"/>
  <c r="A987" i="9"/>
  <c r="A990" i="9"/>
  <c r="A991" i="9"/>
  <c r="A992" i="9"/>
  <c r="A993" i="9"/>
  <c r="A994" i="9"/>
  <c r="A995" i="9"/>
  <c r="A996" i="9"/>
  <c r="A997" i="9"/>
  <c r="A998" i="9"/>
  <c r="A1000" i="9"/>
  <c r="A1002" i="9"/>
  <c r="A1003" i="9"/>
  <c r="A1004" i="9"/>
  <c r="A1005" i="9"/>
  <c r="A1006" i="9"/>
  <c r="A1007" i="9"/>
  <c r="A1008" i="9"/>
  <c r="A1010" i="9"/>
  <c r="A1011" i="9"/>
  <c r="A1012" i="9"/>
  <c r="A1014" i="9"/>
  <c r="A1015" i="9"/>
  <c r="A1016" i="9"/>
  <c r="A1017" i="9"/>
  <c r="A1018" i="9"/>
  <c r="A1019" i="9"/>
  <c r="A1021" i="9"/>
  <c r="A1022" i="9"/>
  <c r="A1023" i="9"/>
  <c r="A1024" i="9"/>
  <c r="A1026" i="9"/>
  <c r="A1027" i="9"/>
  <c r="A1028" i="9"/>
  <c r="A1029" i="9"/>
  <c r="A1030" i="9"/>
  <c r="A1032" i="9"/>
  <c r="A1033" i="9"/>
  <c r="A1034" i="9"/>
  <c r="A1036" i="9"/>
  <c r="A1037" i="9"/>
  <c r="A1038" i="9"/>
  <c r="A1039" i="9"/>
  <c r="A1040" i="9"/>
  <c r="A1041" i="9"/>
  <c r="A1043" i="9"/>
  <c r="A1044" i="9"/>
  <c r="A1045" i="9"/>
  <c r="A1046" i="9"/>
  <c r="A1048" i="9"/>
  <c r="A1049" i="9"/>
  <c r="A1050" i="9"/>
  <c r="A1051" i="9"/>
  <c r="A1052" i="9"/>
  <c r="A1054" i="9"/>
  <c r="A1055" i="9"/>
  <c r="A1056" i="9"/>
  <c r="A1057" i="9"/>
  <c r="A1058" i="9"/>
  <c r="A1060" i="9"/>
  <c r="A1061" i="9"/>
  <c r="A1062" i="9"/>
  <c r="A1063" i="9"/>
  <c r="A1065" i="9"/>
  <c r="A1066" i="9"/>
  <c r="A1068" i="9"/>
  <c r="A1067" i="9"/>
  <c r="A1069" i="9"/>
  <c r="A1070" i="9"/>
  <c r="A1073" i="9"/>
  <c r="A1074" i="9"/>
  <c r="A1075" i="9"/>
  <c r="A1076" i="9"/>
  <c r="A1078" i="9"/>
  <c r="A1079" i="9"/>
  <c r="A1080" i="9"/>
  <c r="A1081" i="9"/>
  <c r="A1082" i="9"/>
  <c r="A1083" i="9"/>
  <c r="A1085" i="9"/>
  <c r="A1086" i="9"/>
  <c r="A1087" i="9"/>
  <c r="A1091" i="9"/>
  <c r="A1092" i="9"/>
  <c r="A1093" i="9"/>
  <c r="A1094" i="9"/>
  <c r="A1095" i="9"/>
  <c r="A1096" i="9"/>
  <c r="A1097" i="9"/>
  <c r="A1099" i="9"/>
  <c r="A1101" i="9"/>
  <c r="A1103" i="9"/>
  <c r="A1104" i="9"/>
  <c r="A1106" i="9"/>
  <c r="A1107" i="9"/>
  <c r="A1108" i="9"/>
  <c r="A1109" i="9"/>
  <c r="A1110" i="9"/>
  <c r="A1112" i="9"/>
  <c r="A1114" i="9"/>
  <c r="A1115" i="9"/>
  <c r="A1116" i="9"/>
  <c r="A1117" i="9"/>
  <c r="A1118" i="9"/>
  <c r="A1119" i="9"/>
  <c r="A1120" i="9"/>
  <c r="A1121" i="9"/>
  <c r="A1123" i="9"/>
  <c r="A1124" i="9"/>
  <c r="A1126" i="9"/>
  <c r="A1127" i="9"/>
  <c r="A1128" i="9"/>
  <c r="A1129" i="9"/>
  <c r="A1130" i="9"/>
  <c r="A1131" i="9"/>
  <c r="A1132" i="9"/>
  <c r="A1134" i="9"/>
  <c r="A1135" i="9"/>
  <c r="A1136" i="9"/>
  <c r="A1138" i="9"/>
  <c r="A1139" i="9"/>
  <c r="A1140" i="9"/>
  <c r="A1141" i="9"/>
  <c r="A1142" i="9"/>
  <c r="A1143" i="9"/>
  <c r="A1145" i="9"/>
  <c r="A1146" i="9"/>
  <c r="A1147" i="9"/>
  <c r="A1148" i="9"/>
  <c r="A1150" i="9"/>
  <c r="A1151" i="9"/>
  <c r="A1152" i="9"/>
  <c r="A1153" i="9"/>
  <c r="A1154" i="9"/>
  <c r="A1156" i="9"/>
  <c r="A1157" i="9"/>
  <c r="A1158" i="9"/>
  <c r="A1159" i="9"/>
  <c r="A1160" i="9"/>
  <c r="A1162" i="9"/>
  <c r="A1163" i="9"/>
  <c r="A1164" i="9"/>
  <c r="A1165" i="9"/>
  <c r="A1167" i="9"/>
  <c r="A1168" i="9"/>
  <c r="A1169" i="9"/>
  <c r="A1170" i="9"/>
  <c r="A1171" i="9"/>
  <c r="A1172" i="9"/>
  <c r="A1174" i="9"/>
  <c r="A1175" i="9"/>
  <c r="A1176" i="9"/>
  <c r="A1178" i="9"/>
  <c r="A1179" i="9"/>
  <c r="A1180" i="9"/>
  <c r="A1181" i="9"/>
  <c r="A1182" i="9"/>
  <c r="A1183" i="9"/>
  <c r="A1184" i="9"/>
  <c r="A1186" i="9"/>
  <c r="A1187" i="9"/>
  <c r="A1189" i="9"/>
  <c r="A1190" i="9"/>
  <c r="A1191" i="9"/>
  <c r="A1192" i="9"/>
  <c r="A1193" i="9"/>
  <c r="A1194" i="9"/>
  <c r="A1195" i="9"/>
  <c r="A1196" i="9"/>
  <c r="A1201" i="9"/>
  <c r="A1202" i="9"/>
  <c r="A1203" i="9"/>
  <c r="A1204" i="9"/>
  <c r="A1205" i="9"/>
  <c r="A1206" i="9"/>
  <c r="A1207" i="9"/>
  <c r="A1208" i="9"/>
  <c r="A1209" i="9"/>
  <c r="A1210" i="9"/>
  <c r="A1213" i="9"/>
  <c r="A1214" i="9"/>
  <c r="A1215" i="9"/>
  <c r="A1216" i="9"/>
  <c r="A1217" i="9"/>
  <c r="A1218" i="9"/>
  <c r="A1219" i="9"/>
  <c r="A1220" i="9"/>
  <c r="A1222" i="9"/>
  <c r="A1223" i="9"/>
  <c r="A1225" i="9"/>
  <c r="A1226" i="9"/>
  <c r="A1227" i="9"/>
  <c r="A1228" i="9"/>
  <c r="A1229" i="9"/>
  <c r="A1230" i="9"/>
  <c r="A1231" i="9"/>
  <c r="A1232" i="9"/>
  <c r="A1233" i="9"/>
  <c r="A1234" i="9"/>
  <c r="A1236" i="9"/>
  <c r="A1237" i="9"/>
  <c r="A1238" i="9"/>
  <c r="A1239" i="9"/>
  <c r="A1240" i="9"/>
  <c r="A1241" i="9"/>
  <c r="A1242" i="9"/>
  <c r="A1243" i="9"/>
  <c r="A1244" i="9"/>
  <c r="A1245" i="9"/>
  <c r="A1247" i="9"/>
  <c r="A1248" i="9"/>
  <c r="A1249" i="9"/>
  <c r="A1250" i="9"/>
  <c r="A1251" i="9"/>
  <c r="A1253" i="9"/>
  <c r="A1254" i="9"/>
  <c r="A1255" i="9"/>
  <c r="A1256" i="9"/>
  <c r="A1257" i="9"/>
  <c r="A1259" i="9"/>
  <c r="A1260" i="9"/>
  <c r="A1261" i="9"/>
  <c r="A1262" i="9"/>
  <c r="A1263" i="9"/>
  <c r="A1264" i="9"/>
  <c r="A1265" i="9"/>
  <c r="A1266" i="9"/>
  <c r="A1267" i="9"/>
  <c r="A1268" i="9"/>
  <c r="A1270" i="9"/>
  <c r="A1271" i="9"/>
  <c r="A1272" i="9"/>
  <c r="A1273" i="9"/>
  <c r="A1274" i="9"/>
  <c r="A1276" i="9"/>
  <c r="A1277" i="9"/>
  <c r="A1278" i="9"/>
  <c r="A1279" i="9"/>
  <c r="A1280" i="9"/>
  <c r="A1283" i="9"/>
  <c r="A1284" i="9"/>
  <c r="A1285" i="9"/>
  <c r="A1286" i="9"/>
  <c r="A1287" i="9"/>
  <c r="A1289" i="9"/>
  <c r="A1290" i="9"/>
  <c r="A1291" i="9"/>
  <c r="A1292" i="9"/>
  <c r="A1293" i="9"/>
  <c r="A1295" i="9"/>
  <c r="A1296" i="9"/>
  <c r="A1297" i="9"/>
  <c r="A1298" i="9"/>
  <c r="A1299" i="9"/>
  <c r="A1300" i="9"/>
  <c r="A1301" i="9"/>
  <c r="A1302" i="9"/>
  <c r="A1303" i="9"/>
  <c r="A1305" i="9"/>
  <c r="A1307" i="9"/>
  <c r="A1308" i="9"/>
  <c r="A1309" i="9"/>
  <c r="A1310" i="9"/>
  <c r="A1311" i="9"/>
  <c r="A1312" i="9"/>
  <c r="A1313" i="9"/>
  <c r="A1314" i="9"/>
  <c r="A1315" i="9"/>
  <c r="A1316" i="9"/>
  <c r="A1319" i="9"/>
  <c r="A1320" i="9"/>
  <c r="A1321" i="9"/>
  <c r="A1322" i="9"/>
  <c r="A1324" i="9"/>
  <c r="A1325" i="9"/>
  <c r="A1326" i="9"/>
  <c r="A1327" i="9"/>
  <c r="A1328" i="9"/>
  <c r="A1329" i="9"/>
  <c r="A1331" i="9"/>
  <c r="A1332" i="9"/>
  <c r="A1333" i="9"/>
  <c r="A1334" i="9"/>
  <c r="A1335" i="9"/>
  <c r="A1336" i="9"/>
  <c r="A1337" i="9"/>
  <c r="A1338" i="9"/>
  <c r="A1340" i="9"/>
  <c r="A1341" i="9"/>
  <c r="A1342" i="9"/>
  <c r="A1343" i="9"/>
  <c r="A1344" i="9"/>
  <c r="A1345" i="9"/>
  <c r="A1346" i="9"/>
  <c r="A1347" i="9"/>
  <c r="A1348" i="9"/>
  <c r="A1349" i="9"/>
  <c r="A1351" i="9"/>
  <c r="A1352" i="9"/>
  <c r="A1353" i="9"/>
  <c r="A1354" i="9"/>
  <c r="A1355" i="9"/>
  <c r="A1356" i="9"/>
  <c r="A1357" i="9"/>
  <c r="A1358" i="9"/>
  <c r="A1359" i="9"/>
  <c r="A1360" i="9"/>
  <c r="A1362" i="9"/>
  <c r="A1363" i="9"/>
  <c r="A1364" i="9"/>
  <c r="A1365" i="9"/>
  <c r="A1366" i="9"/>
  <c r="A1367" i="9"/>
  <c r="A1368" i="9"/>
  <c r="A1369" i="9"/>
  <c r="A1371" i="9"/>
  <c r="A1372" i="9"/>
  <c r="A1374" i="9"/>
  <c r="A1375" i="9"/>
  <c r="A1376" i="9"/>
  <c r="A1377" i="9"/>
  <c r="A1378" i="9"/>
  <c r="A1600" i="9"/>
  <c r="A1649" i="9"/>
  <c r="A1650" i="9"/>
  <c r="A1761" i="9"/>
  <c r="A1874" i="9"/>
  <c r="A1986" i="9"/>
  <c r="A2051" i="9"/>
  <c r="A97" i="9"/>
  <c r="A204" i="9"/>
  <c r="A314" i="9"/>
  <c r="A424" i="9"/>
  <c r="A534" i="9"/>
  <c r="A644" i="9"/>
  <c r="A755" i="9"/>
  <c r="A866" i="9"/>
  <c r="A1089" i="9"/>
  <c r="A1199" i="9"/>
  <c r="A1397" i="9"/>
  <c r="A1396" i="9"/>
  <c r="A1408" i="9"/>
  <c r="A1420" i="9"/>
  <c r="A1431" i="9"/>
  <c r="A1442" i="9"/>
  <c r="A1453" i="9"/>
  <c r="A1476" i="9"/>
  <c r="A1489" i="9"/>
  <c r="A1500" i="9"/>
  <c r="A1511" i="9"/>
  <c r="A1522" i="9"/>
  <c r="A1533" i="9"/>
  <c r="A1544" i="9"/>
  <c r="A1566" i="9"/>
  <c r="A1577" i="9"/>
  <c r="A1589" i="9"/>
  <c r="A1601" i="9"/>
  <c r="A1612" i="9"/>
  <c r="A1623" i="9"/>
  <c r="A1634" i="9"/>
  <c r="A1643" i="9"/>
  <c r="A1645" i="9"/>
  <c r="A1646" i="9"/>
  <c r="A1647" i="9"/>
  <c r="A1648" i="9"/>
  <c r="A1651" i="9"/>
  <c r="A1662" i="9"/>
  <c r="A1675" i="9"/>
  <c r="A1697" i="9"/>
  <c r="A1708" i="9"/>
  <c r="A1719" i="9"/>
  <c r="A1739" i="9"/>
  <c r="A1750" i="9"/>
  <c r="A1762" i="9"/>
  <c r="A1773" i="9"/>
  <c r="A1784" i="9"/>
  <c r="A1808" i="9"/>
  <c r="A1819" i="9"/>
  <c r="A1830" i="9"/>
  <c r="A1841" i="9"/>
  <c r="A1852" i="9"/>
  <c r="A1863" i="9"/>
  <c r="A1875" i="9"/>
  <c r="A1886" i="9"/>
  <c r="A1908" i="9"/>
  <c r="A1919" i="9"/>
  <c r="A1930" i="9"/>
  <c r="A1941" i="9"/>
  <c r="A1953" i="9"/>
  <c r="A1952" i="9"/>
  <c r="A1964" i="9"/>
  <c r="A1975" i="9"/>
  <c r="A1987" i="9"/>
  <c r="A1998" i="9"/>
  <c r="A2018" i="9"/>
  <c r="A2029" i="9"/>
  <c r="A2040" i="9"/>
  <c r="A2046" i="9"/>
  <c r="A2047" i="9"/>
  <c r="A2048" i="9"/>
  <c r="A2050" i="9"/>
  <c r="A2049" i="9"/>
  <c r="A2054" i="9"/>
  <c r="A2055" i="9"/>
  <c r="A2056" i="9"/>
  <c r="A2057" i="9"/>
  <c r="A2058" i="9"/>
  <c r="A2059" i="9"/>
  <c r="A2060" i="9"/>
  <c r="A2061" i="9"/>
  <c r="A6" i="9"/>
  <c r="A14" i="9"/>
  <c r="A33" i="9"/>
  <c r="A41" i="9"/>
  <c r="A50" i="9"/>
  <c r="A58" i="9"/>
  <c r="A68" i="9"/>
  <c r="A77" i="9"/>
  <c r="A88" i="9"/>
  <c r="A98" i="9"/>
  <c r="A109" i="9"/>
  <c r="A130" i="9"/>
  <c r="A141" i="9"/>
  <c r="A150" i="9"/>
  <c r="A160" i="9"/>
  <c r="A171" i="9"/>
  <c r="A182" i="9"/>
  <c r="A193" i="9"/>
  <c r="A205" i="9"/>
  <c r="A216" i="9"/>
  <c r="A227" i="9"/>
  <c r="A249" i="9"/>
  <c r="A260" i="9"/>
  <c r="A271" i="9"/>
  <c r="A281" i="9"/>
  <c r="A292" i="9"/>
  <c r="A303" i="9"/>
  <c r="A315" i="9"/>
  <c r="A326" i="9"/>
  <c r="A337" i="9"/>
  <c r="A348" i="9"/>
  <c r="A370" i="9"/>
  <c r="A381" i="9"/>
  <c r="A392" i="9"/>
  <c r="A402" i="9"/>
  <c r="A413" i="9"/>
  <c r="A425" i="9"/>
  <c r="A436" i="9"/>
  <c r="A447" i="9"/>
  <c r="A469" i="9"/>
  <c r="A480" i="9"/>
  <c r="A491" i="9"/>
  <c r="A502" i="9"/>
  <c r="A513" i="9"/>
  <c r="A523" i="9"/>
  <c r="A535" i="9"/>
  <c r="A546" i="9"/>
  <c r="A557" i="9"/>
  <c r="A579" i="9"/>
  <c r="A590" i="9"/>
  <c r="A601" i="9"/>
  <c r="A612" i="9"/>
  <c r="A623" i="9"/>
  <c r="A634" i="9"/>
  <c r="A645" i="9"/>
  <c r="A656" i="9"/>
  <c r="A667" i="9"/>
  <c r="A678" i="9"/>
  <c r="A700" i="9"/>
  <c r="A711" i="9"/>
  <c r="A722" i="9"/>
  <c r="A733" i="9"/>
  <c r="A744" i="9"/>
  <c r="A757" i="9"/>
  <c r="A756" i="9"/>
  <c r="A767" i="9"/>
  <c r="A778" i="9"/>
  <c r="A789" i="9"/>
  <c r="A811" i="9"/>
  <c r="A822" i="9"/>
  <c r="A833" i="9"/>
  <c r="A844" i="9"/>
  <c r="A855" i="9"/>
  <c r="A867" i="9"/>
  <c r="A878" i="9"/>
  <c r="A888" i="9"/>
  <c r="A899" i="9"/>
  <c r="A910" i="9"/>
  <c r="A932" i="9"/>
  <c r="A943" i="9"/>
  <c r="A954" i="9"/>
  <c r="A965" i="9"/>
  <c r="A977" i="9"/>
  <c r="A988" i="9"/>
  <c r="A999" i="9"/>
  <c r="A1009" i="9"/>
  <c r="A1020" i="9"/>
  <c r="A1031" i="9"/>
  <c r="A1064" i="9"/>
  <c r="A1077" i="9"/>
  <c r="A1090" i="9"/>
  <c r="A1100" i="9"/>
  <c r="A1111" i="9"/>
  <c r="A1122" i="9"/>
  <c r="A1133" i="9"/>
  <c r="A1144" i="9"/>
  <c r="A1155" i="9"/>
  <c r="A1166" i="9"/>
  <c r="A1188" i="9"/>
  <c r="A1200" i="9"/>
  <c r="A1211" i="9"/>
  <c r="A1221" i="9"/>
  <c r="A1252" i="9"/>
  <c r="A1275" i="9"/>
  <c r="A1288" i="9"/>
  <c r="A1304" i="9"/>
  <c r="A1323" i="9"/>
  <c r="A1370" i="9"/>
  <c r="A1398" i="9"/>
  <c r="A1399" i="9"/>
  <c r="A1400" i="9"/>
  <c r="A1401" i="9"/>
  <c r="A1402" i="9"/>
  <c r="A1403" i="9"/>
  <c r="A1404" i="9"/>
  <c r="A1405" i="9"/>
  <c r="A1406" i="9"/>
  <c r="A1407" i="9"/>
  <c r="A1410" i="9"/>
  <c r="A1411" i="9"/>
  <c r="A1412" i="9"/>
  <c r="A1413" i="9"/>
  <c r="A1414" i="9"/>
  <c r="A1415" i="9"/>
  <c r="A1416" i="9"/>
  <c r="A1417" i="9"/>
  <c r="A1418" i="9"/>
  <c r="A1419" i="9"/>
  <c r="A1422" i="9"/>
  <c r="A1423" i="9"/>
  <c r="A1424" i="9"/>
  <c r="A1425" i="9"/>
  <c r="A1426" i="9"/>
  <c r="A1427" i="9"/>
  <c r="A1428" i="9"/>
  <c r="A1429" i="9"/>
  <c r="A1430" i="9"/>
  <c r="A1432" i="9"/>
  <c r="A1434" i="9"/>
  <c r="A1435" i="9"/>
  <c r="A1436" i="9"/>
  <c r="A1437" i="9"/>
  <c r="A1438" i="9"/>
  <c r="A1439" i="9"/>
  <c r="A1440" i="9"/>
  <c r="A1441" i="9"/>
  <c r="A1443" i="9"/>
  <c r="A1444" i="9"/>
  <c r="A1446" i="9"/>
  <c r="A1447" i="9"/>
  <c r="A1448" i="9"/>
  <c r="A1449" i="9"/>
  <c r="A1450" i="9"/>
  <c r="A1451" i="9"/>
  <c r="A1452" i="9"/>
  <c r="A1454" i="9"/>
  <c r="A1455" i="9"/>
  <c r="A1457" i="9"/>
  <c r="A1458" i="9"/>
  <c r="A1459" i="9"/>
  <c r="A1460" i="9"/>
  <c r="A1461" i="9"/>
  <c r="A1462" i="9"/>
  <c r="A1463" i="9"/>
  <c r="A1465" i="9"/>
  <c r="A1466" i="9"/>
  <c r="A1467" i="9"/>
  <c r="A1469" i="9"/>
  <c r="A1470" i="9"/>
  <c r="A1471" i="9"/>
  <c r="A1472" i="9"/>
  <c r="A1473" i="9"/>
  <c r="A1474" i="9"/>
  <c r="A1475" i="9"/>
  <c r="A1477" i="9"/>
  <c r="A1478" i="9"/>
  <c r="A1479" i="9"/>
  <c r="A1481" i="9"/>
  <c r="A1482" i="9"/>
  <c r="A1483" i="9"/>
  <c r="A1484" i="9"/>
  <c r="A1485" i="9"/>
  <c r="A1486" i="9"/>
  <c r="A1487" i="9"/>
  <c r="A1490" i="9"/>
  <c r="A1491" i="9"/>
  <c r="A1492" i="9"/>
  <c r="A1495" i="9"/>
  <c r="A1496" i="9"/>
  <c r="A1497" i="9"/>
  <c r="A1498" i="9"/>
  <c r="A1499" i="9"/>
  <c r="A1501" i="9"/>
  <c r="A1502" i="9"/>
  <c r="A1503" i="9"/>
  <c r="A1504" i="9"/>
  <c r="A1505" i="9"/>
  <c r="A1507" i="9"/>
  <c r="A1508" i="9"/>
  <c r="A1509" i="9"/>
  <c r="A1510" i="9"/>
  <c r="A1512" i="9"/>
  <c r="A1513" i="9"/>
  <c r="A1514" i="9"/>
  <c r="A1515" i="9"/>
  <c r="A1516" i="9"/>
  <c r="A1517" i="9"/>
  <c r="A1519" i="9"/>
  <c r="A1520" i="9"/>
  <c r="A1521" i="9"/>
  <c r="A1523" i="9"/>
  <c r="A1524" i="9"/>
  <c r="A1525" i="9"/>
  <c r="A1526" i="9"/>
  <c r="A1527" i="9"/>
  <c r="A1528" i="9"/>
  <c r="A1529" i="9"/>
  <c r="A1531" i="9"/>
  <c r="A1532" i="9"/>
  <c r="A1534" i="9"/>
  <c r="A1535" i="9"/>
  <c r="A1536" i="9"/>
  <c r="A1537" i="9"/>
  <c r="A1538" i="9"/>
  <c r="A1539" i="9"/>
  <c r="A1540" i="9"/>
  <c r="A1541" i="9"/>
  <c r="A1543" i="9"/>
  <c r="A1545" i="9"/>
  <c r="A1546" i="9"/>
  <c r="A1547" i="9"/>
  <c r="A1548" i="9"/>
  <c r="A1549" i="9"/>
  <c r="A1550" i="9"/>
  <c r="A1551" i="9"/>
  <c r="A1552" i="9"/>
  <c r="A1553" i="9"/>
  <c r="A1556" i="9"/>
  <c r="A1557" i="9"/>
  <c r="A1558" i="9"/>
  <c r="A1559" i="9"/>
  <c r="A1560" i="9"/>
  <c r="A1561" i="9"/>
  <c r="A1562" i="9"/>
  <c r="A1563" i="9"/>
  <c r="A1564" i="9"/>
  <c r="A1565" i="9"/>
  <c r="A1568" i="9"/>
  <c r="A1569" i="9"/>
  <c r="A1570" i="9"/>
  <c r="A1571" i="9"/>
  <c r="A1572" i="9"/>
  <c r="A1573" i="9"/>
  <c r="A1574" i="9"/>
  <c r="A1575" i="9"/>
  <c r="A1576" i="9"/>
  <c r="A1578" i="9"/>
  <c r="A1580" i="9"/>
  <c r="A1581" i="9"/>
  <c r="A1582" i="9"/>
  <c r="A1583" i="9"/>
  <c r="A1584" i="9"/>
  <c r="A1585" i="9"/>
  <c r="A1586" i="9"/>
  <c r="A1587" i="9"/>
  <c r="A1588" i="9"/>
  <c r="A1591" i="9"/>
  <c r="A1592" i="9"/>
  <c r="A1593" i="9"/>
  <c r="A1594" i="9"/>
  <c r="A1595" i="9"/>
  <c r="A1596" i="9"/>
  <c r="A1597" i="9"/>
  <c r="A1598" i="9"/>
  <c r="A1599" i="9"/>
  <c r="A1602" i="9"/>
  <c r="A1604" i="9"/>
  <c r="A1605" i="9"/>
  <c r="A1606" i="9"/>
  <c r="A1607" i="9"/>
  <c r="A1608" i="9"/>
  <c r="A1609" i="9"/>
  <c r="A1610" i="9"/>
  <c r="A1611" i="9"/>
  <c r="A1613" i="9"/>
  <c r="A1614" i="9"/>
  <c r="A1617" i="9"/>
  <c r="A1618" i="9"/>
  <c r="A1619" i="9"/>
  <c r="A1620" i="9"/>
  <c r="A1621" i="9"/>
  <c r="A1622" i="9"/>
  <c r="A1624" i="9"/>
  <c r="A1625" i="9"/>
  <c r="A1626" i="9"/>
  <c r="A1627" i="9"/>
  <c r="A1629" i="9"/>
  <c r="A1630" i="9"/>
  <c r="A1631" i="9"/>
  <c r="A1632" i="9"/>
  <c r="A1633" i="9"/>
  <c r="A1635" i="9"/>
  <c r="A1636" i="9"/>
  <c r="A1637" i="9"/>
  <c r="A1638" i="9"/>
  <c r="A1639" i="9"/>
  <c r="A1641" i="9"/>
  <c r="A1642" i="9"/>
  <c r="A1652" i="9"/>
  <c r="A1653" i="9"/>
  <c r="A1654" i="9"/>
  <c r="A1655" i="9"/>
  <c r="A1656" i="9"/>
  <c r="A1657" i="9"/>
  <c r="A1658" i="9"/>
  <c r="A1659" i="9"/>
  <c r="A1661" i="9"/>
  <c r="A1663" i="9"/>
  <c r="A1664" i="9"/>
  <c r="A1665" i="9"/>
  <c r="A1666" i="9"/>
  <c r="A1667" i="9"/>
  <c r="A1668" i="9"/>
  <c r="A1669" i="9"/>
  <c r="A1670" i="9"/>
  <c r="A1672" i="9"/>
  <c r="A1673" i="9"/>
  <c r="A1674" i="9"/>
  <c r="A1676" i="9"/>
  <c r="A1677" i="9"/>
  <c r="A1678" i="9"/>
  <c r="A1679" i="9"/>
  <c r="A1680" i="9"/>
  <c r="A1681" i="9"/>
  <c r="A1682" i="9"/>
  <c r="A1683" i="9"/>
  <c r="A1685" i="9"/>
  <c r="A1687" i="9"/>
  <c r="A1688" i="9"/>
  <c r="A1689" i="9"/>
  <c r="A1690" i="9"/>
  <c r="A1691" i="9"/>
  <c r="A1692" i="9"/>
  <c r="A1693" i="9"/>
  <c r="A1694" i="9"/>
  <c r="A1695" i="9"/>
  <c r="A1698" i="9"/>
  <c r="A1699" i="9"/>
  <c r="A1700" i="9"/>
  <c r="A1701" i="9"/>
  <c r="A1702" i="9"/>
  <c r="A1703" i="9"/>
  <c r="A1704" i="9"/>
  <c r="A1705" i="9"/>
  <c r="A1706" i="9"/>
  <c r="A1707" i="9"/>
  <c r="A1710" i="9"/>
  <c r="A1711" i="9"/>
  <c r="A1712" i="9"/>
  <c r="A1713" i="9"/>
  <c r="A1714" i="9"/>
  <c r="A1715" i="9"/>
  <c r="A1716" i="9"/>
  <c r="A1717" i="9"/>
  <c r="A1718" i="9"/>
  <c r="A1720" i="9"/>
  <c r="A1722" i="9"/>
  <c r="A1723" i="9"/>
  <c r="A1724" i="9"/>
  <c r="A1725" i="9"/>
  <c r="A1726" i="9"/>
  <c r="A1727" i="9"/>
  <c r="A1729" i="9"/>
  <c r="A1730" i="9"/>
  <c r="A1731" i="9"/>
  <c r="A1733" i="9"/>
  <c r="A1734" i="9"/>
  <c r="A1735" i="9"/>
  <c r="A1736" i="9"/>
  <c r="A1737" i="9"/>
  <c r="A1738" i="9"/>
  <c r="A1740" i="9"/>
  <c r="A1741" i="9"/>
  <c r="A1742" i="9"/>
  <c r="A1743" i="9"/>
  <c r="A1746" i="9"/>
  <c r="A1747" i="9"/>
  <c r="A1748" i="9"/>
  <c r="A1749" i="9"/>
  <c r="A1751" i="9"/>
  <c r="A1752" i="9"/>
  <c r="A1753" i="9"/>
  <c r="A1754" i="9"/>
  <c r="A1755" i="9"/>
  <c r="A1756" i="9"/>
  <c r="A1758" i="9"/>
  <c r="A1759" i="9"/>
  <c r="A1760" i="9"/>
  <c r="A1763" i="9"/>
  <c r="A1764" i="9"/>
  <c r="A1765" i="9"/>
  <c r="A1766" i="9"/>
  <c r="A1767" i="9"/>
  <c r="A1768" i="9"/>
  <c r="A1769" i="9"/>
  <c r="A1771" i="9"/>
  <c r="A1772" i="9"/>
  <c r="A1774" i="9"/>
  <c r="A1775" i="9"/>
  <c r="A1776" i="9"/>
  <c r="A1777" i="9"/>
  <c r="A1778" i="9"/>
  <c r="A1779" i="9"/>
  <c r="A1780" i="9"/>
  <c r="A1781" i="9"/>
  <c r="A1783" i="9"/>
  <c r="A1785" i="9"/>
  <c r="A1786" i="9"/>
  <c r="A1788" i="9"/>
  <c r="A1787" i="9"/>
  <c r="A1789" i="9"/>
  <c r="A1790" i="9"/>
  <c r="A1791" i="9"/>
  <c r="A1792" i="9"/>
  <c r="A1793" i="9"/>
  <c r="A1795" i="9"/>
  <c r="A1796" i="9"/>
  <c r="A1798" i="9"/>
  <c r="A1799" i="9"/>
  <c r="A1800" i="9"/>
  <c r="A1801" i="9"/>
  <c r="A1802" i="9"/>
  <c r="A1803" i="9"/>
  <c r="A1804" i="9"/>
  <c r="A1805" i="9"/>
  <c r="A1807" i="9"/>
  <c r="A1809" i="9"/>
  <c r="A1810" i="9"/>
  <c r="A1811" i="9"/>
  <c r="A1812" i="9"/>
  <c r="A1813" i="9"/>
  <c r="A1814" i="9"/>
  <c r="A1815" i="9"/>
  <c r="A1816" i="9"/>
  <c r="A1817" i="9"/>
  <c r="A1820" i="9"/>
  <c r="A1821" i="9"/>
  <c r="A1822" i="9"/>
  <c r="A1823" i="9"/>
  <c r="A1824" i="9"/>
  <c r="A1825" i="9"/>
  <c r="A1826" i="9"/>
  <c r="A1827" i="9"/>
  <c r="A1828" i="9"/>
  <c r="A1829" i="9"/>
  <c r="A1832" i="9"/>
  <c r="A1833" i="9"/>
  <c r="A1834" i="9"/>
  <c r="A1835" i="9"/>
  <c r="A1836" i="9"/>
  <c r="A1837" i="9"/>
  <c r="A1838" i="9"/>
  <c r="A1839" i="9"/>
  <c r="A1840" i="9"/>
  <c r="A1842" i="9"/>
  <c r="A1844" i="9"/>
  <c r="A1845" i="9"/>
  <c r="A1846" i="9"/>
  <c r="A1847" i="9"/>
  <c r="A1848" i="9"/>
  <c r="A1849" i="9"/>
  <c r="A1850" i="9"/>
  <c r="A1851" i="9"/>
  <c r="A1853" i="9"/>
  <c r="A1854" i="9"/>
  <c r="A1856" i="9"/>
  <c r="A1857" i="9"/>
  <c r="A1858" i="9"/>
  <c r="A1859" i="9"/>
  <c r="A1860" i="9"/>
  <c r="A1861" i="9"/>
  <c r="A1862" i="9"/>
  <c r="A1864" i="9"/>
  <c r="A1865" i="9"/>
  <c r="A1868" i="9"/>
  <c r="A1869" i="9"/>
  <c r="A1870" i="9"/>
  <c r="A1871" i="9"/>
  <c r="A1872" i="9"/>
  <c r="A1873" i="9"/>
  <c r="A1876" i="9"/>
  <c r="A1877" i="9"/>
  <c r="A1878" i="9"/>
  <c r="A1879" i="9"/>
  <c r="A1881" i="9"/>
  <c r="A1882" i="9"/>
  <c r="A1883" i="9"/>
  <c r="A1884" i="9"/>
  <c r="A1885" i="9"/>
  <c r="A1887" i="9"/>
  <c r="A1888" i="9"/>
  <c r="A1889" i="9"/>
  <c r="A1890" i="9"/>
  <c r="A1891" i="9"/>
  <c r="A1893" i="9"/>
  <c r="A1894" i="9"/>
  <c r="A1895" i="9"/>
  <c r="A1896" i="9"/>
  <c r="A1898" i="9"/>
  <c r="A1899" i="9"/>
  <c r="A1900" i="9"/>
  <c r="A1901" i="9"/>
  <c r="A1902" i="9"/>
  <c r="A1903" i="9"/>
  <c r="A1905" i="9"/>
  <c r="A1906" i="9"/>
  <c r="A1907" i="9"/>
  <c r="A1909" i="9"/>
  <c r="A1910" i="9"/>
  <c r="A1911" i="9"/>
  <c r="A1912" i="9"/>
  <c r="A1913" i="9"/>
  <c r="A1914" i="9"/>
  <c r="A1915" i="9"/>
  <c r="A1917" i="9"/>
  <c r="A1918" i="9"/>
  <c r="A1920" i="9"/>
  <c r="A1921" i="9"/>
  <c r="A1922" i="9"/>
  <c r="A1923" i="9"/>
  <c r="A1924" i="9"/>
  <c r="A1925" i="9"/>
  <c r="A1926" i="9"/>
  <c r="A1927" i="9"/>
  <c r="A1929" i="9"/>
  <c r="A1931" i="9"/>
  <c r="A1932" i="9"/>
  <c r="A1933" i="9"/>
  <c r="A1934" i="9"/>
  <c r="A1935" i="9"/>
  <c r="A1936" i="9"/>
  <c r="A1937" i="9"/>
  <c r="A1938" i="9"/>
  <c r="A1939" i="9"/>
  <c r="A1942" i="9"/>
  <c r="A1943" i="9"/>
  <c r="A1944" i="9"/>
  <c r="A1945" i="9"/>
  <c r="A1946" i="9"/>
  <c r="A1947" i="9"/>
  <c r="A1948" i="9"/>
  <c r="A1949" i="9"/>
  <c r="A1950" i="9"/>
  <c r="A1951" i="9"/>
  <c r="A1955" i="9"/>
  <c r="A1956" i="9"/>
  <c r="A1957" i="9"/>
  <c r="A1958" i="9"/>
  <c r="A1959" i="9"/>
  <c r="A1960" i="9"/>
  <c r="A1961" i="9"/>
  <c r="A1962" i="9"/>
  <c r="A1963" i="9"/>
  <c r="A1965" i="9"/>
  <c r="A1967" i="9"/>
  <c r="A1968" i="9"/>
  <c r="A1969" i="9"/>
  <c r="A1970" i="9"/>
  <c r="A1971" i="9"/>
  <c r="A1972" i="9"/>
  <c r="A1973" i="9"/>
  <c r="A1974" i="9"/>
  <c r="A1976" i="9"/>
  <c r="A1977" i="9"/>
  <c r="A1979" i="9"/>
  <c r="A1980" i="9"/>
  <c r="A1981" i="9"/>
  <c r="A1982" i="9"/>
  <c r="A1983" i="9"/>
  <c r="A1984" i="9"/>
  <c r="A1985" i="9"/>
  <c r="A1988" i="9"/>
  <c r="A1989" i="9"/>
  <c r="A1990" i="9"/>
  <c r="A1994" i="9"/>
  <c r="A1995" i="9"/>
  <c r="A1996" i="9"/>
  <c r="A1997" i="9"/>
  <c r="A1999" i="9"/>
  <c r="A2000" i="9"/>
  <c r="A2001" i="9"/>
  <c r="A2002" i="9"/>
  <c r="A2003" i="9"/>
  <c r="A2005" i="9"/>
  <c r="A2006" i="9"/>
  <c r="A2008" i="9"/>
  <c r="A2009" i="9"/>
  <c r="A2010" i="9"/>
  <c r="A2011" i="9"/>
  <c r="A2012" i="9"/>
  <c r="A2013" i="9"/>
  <c r="A2014" i="9"/>
  <c r="A2015" i="9"/>
  <c r="A2017" i="9"/>
  <c r="A2019" i="9"/>
  <c r="A2020" i="9"/>
  <c r="A2021" i="9"/>
  <c r="A2022" i="9"/>
  <c r="A2023" i="9"/>
  <c r="A2024" i="9"/>
  <c r="A2025" i="9"/>
  <c r="A2026" i="9"/>
  <c r="A2027" i="9"/>
  <c r="A2030" i="9"/>
  <c r="A2031" i="9"/>
  <c r="A2032" i="9"/>
  <c r="A2033" i="9"/>
  <c r="A2034" i="9"/>
  <c r="A2035" i="9"/>
  <c r="A2036" i="9"/>
  <c r="A2037" i="9"/>
  <c r="A2038" i="9"/>
  <c r="A2039" i="9"/>
  <c r="A2042" i="9"/>
  <c r="A2043" i="9"/>
  <c r="A2044" i="9"/>
  <c r="A2045" i="9"/>
  <c r="A7" i="9"/>
  <c r="A8" i="9"/>
  <c r="A9" i="9"/>
  <c r="A10" i="9"/>
  <c r="A11" i="9"/>
  <c r="A12" i="9"/>
  <c r="A15" i="9"/>
  <c r="A16" i="9"/>
  <c r="A17" i="9"/>
  <c r="A18" i="9"/>
  <c r="A19" i="9"/>
  <c r="A20" i="9"/>
  <c r="A21" i="9"/>
  <c r="A22" i="9"/>
  <c r="A24" i="9"/>
  <c r="A25" i="9"/>
  <c r="A27" i="9"/>
  <c r="A28" i="9"/>
  <c r="A29" i="9"/>
  <c r="A30" i="9"/>
  <c r="A31" i="9"/>
  <c r="A32" i="9"/>
  <c r="A34" i="9"/>
  <c r="A35" i="9"/>
  <c r="A36" i="9"/>
  <c r="A37" i="9"/>
  <c r="A39" i="9"/>
  <c r="A40" i="9"/>
  <c r="A42" i="9"/>
  <c r="A43" i="9"/>
  <c r="A44" i="9"/>
  <c r="A45" i="9"/>
  <c r="A46" i="9"/>
  <c r="A47" i="9"/>
  <c r="A48" i="9"/>
  <c r="A49" i="9"/>
  <c r="A52" i="9"/>
  <c r="A53" i="9"/>
  <c r="A54" i="9"/>
  <c r="A55" i="9"/>
  <c r="A56" i="9"/>
  <c r="A57" i="9"/>
  <c r="A59" i="9"/>
  <c r="A60" i="9"/>
  <c r="A61" i="9"/>
  <c r="A62" i="9"/>
  <c r="A64" i="9"/>
  <c r="A65" i="9"/>
  <c r="A66" i="9"/>
  <c r="A67" i="9"/>
  <c r="A69" i="9"/>
  <c r="A70" i="9"/>
  <c r="A71" i="9"/>
  <c r="A72" i="9"/>
  <c r="A73" i="9"/>
  <c r="A74" i="9"/>
  <c r="A78" i="9"/>
  <c r="A79" i="9"/>
  <c r="A80" i="9"/>
  <c r="A81" i="9"/>
  <c r="A82" i="9"/>
  <c r="A83" i="9"/>
  <c r="A84" i="9"/>
  <c r="A85" i="9"/>
  <c r="A86" i="9"/>
  <c r="A87" i="9"/>
  <c r="A90" i="9"/>
  <c r="A91" i="9"/>
  <c r="A92" i="9"/>
  <c r="A93" i="9"/>
  <c r="A94" i="9"/>
  <c r="A95" i="9"/>
  <c r="A96" i="9"/>
  <c r="A99" i="9"/>
  <c r="A100" i="9"/>
  <c r="A102" i="9"/>
  <c r="A103" i="9"/>
  <c r="A104" i="9"/>
  <c r="A105" i="9"/>
  <c r="A106" i="9"/>
  <c r="A107" i="9"/>
  <c r="A108" i="9"/>
  <c r="A110" i="9"/>
  <c r="A111" i="9"/>
  <c r="A112" i="9"/>
  <c r="A114" i="9"/>
  <c r="A115" i="9"/>
  <c r="A116" i="9"/>
  <c r="A117" i="9"/>
  <c r="A118" i="9"/>
  <c r="A120" i="9"/>
  <c r="A121" i="9"/>
  <c r="A122" i="9"/>
  <c r="A123" i="9"/>
  <c r="A124" i="9"/>
  <c r="A126" i="9"/>
  <c r="A127" i="9"/>
  <c r="A128" i="9"/>
  <c r="A129" i="9"/>
  <c r="A131" i="9"/>
  <c r="A132" i="9"/>
  <c r="A133" i="9"/>
  <c r="A134" i="9"/>
  <c r="A135" i="9"/>
  <c r="A136" i="9"/>
  <c r="A138" i="9"/>
  <c r="A139" i="9"/>
  <c r="A140" i="9"/>
  <c r="A142" i="9"/>
  <c r="A143" i="9"/>
  <c r="A144" i="9"/>
  <c r="A145" i="9"/>
  <c r="A146" i="9"/>
  <c r="A147" i="9"/>
  <c r="A148" i="9"/>
  <c r="A151" i="9"/>
  <c r="A152" i="9"/>
  <c r="A153" i="9"/>
  <c r="A154" i="9"/>
  <c r="A155" i="9"/>
  <c r="A156" i="9"/>
  <c r="A157" i="9"/>
  <c r="A158" i="9"/>
  <c r="A159" i="9"/>
  <c r="A161" i="9"/>
  <c r="A163" i="9"/>
  <c r="A164" i="9"/>
  <c r="A165" i="9"/>
  <c r="A166" i="9"/>
  <c r="A167" i="9"/>
  <c r="A168" i="9"/>
  <c r="A169" i="9"/>
  <c r="A170" i="9"/>
  <c r="A172" i="9"/>
  <c r="A173" i="9"/>
  <c r="A175" i="9"/>
  <c r="A176" i="9"/>
  <c r="A177" i="9"/>
  <c r="A178" i="9"/>
  <c r="A179" i="9"/>
  <c r="A180" i="9"/>
  <c r="A181" i="9"/>
  <c r="A183" i="9"/>
  <c r="A184" i="9"/>
  <c r="A185" i="9"/>
  <c r="A187" i="9"/>
  <c r="A188" i="9"/>
  <c r="A189" i="9"/>
  <c r="A190" i="9"/>
  <c r="A191" i="9"/>
  <c r="A192" i="9"/>
  <c r="A194" i="9"/>
  <c r="A195" i="9"/>
  <c r="A196" i="9"/>
  <c r="A197" i="9"/>
  <c r="A200" i="9"/>
  <c r="A201" i="9"/>
  <c r="A202" i="9"/>
  <c r="A203" i="9"/>
  <c r="A206" i="9"/>
  <c r="A207" i="9"/>
  <c r="A208" i="9"/>
  <c r="A209" i="9"/>
  <c r="A210" i="9"/>
  <c r="A211" i="9"/>
  <c r="A213" i="9"/>
  <c r="A214" i="9"/>
  <c r="A215" i="9"/>
  <c r="A217" i="9"/>
  <c r="A218" i="9"/>
  <c r="A219" i="9"/>
  <c r="A220" i="9"/>
  <c r="A221" i="9"/>
  <c r="A222" i="9"/>
  <c r="A223" i="9"/>
  <c r="A225" i="9"/>
  <c r="A226" i="9"/>
  <c r="A228" i="9"/>
  <c r="A229" i="9"/>
  <c r="A230" i="9"/>
  <c r="A231" i="9"/>
  <c r="A232" i="9"/>
  <c r="A233" i="9"/>
  <c r="A234" i="9"/>
  <c r="A236" i="9"/>
  <c r="A237" i="9"/>
  <c r="A239" i="9"/>
  <c r="A240" i="9"/>
  <c r="A241" i="9"/>
  <c r="A242" i="9"/>
  <c r="A243" i="9"/>
  <c r="A244" i="9"/>
  <c r="A245" i="9"/>
  <c r="A246" i="9"/>
  <c r="A248" i="9"/>
  <c r="A250" i="9"/>
  <c r="A251" i="9"/>
  <c r="A252" i="9"/>
  <c r="A253" i="9"/>
  <c r="A254" i="9"/>
  <c r="A255" i="9"/>
  <c r="A256" i="9"/>
  <c r="A257" i="9"/>
  <c r="A258" i="9"/>
  <c r="A261" i="9"/>
  <c r="A262" i="9"/>
  <c r="A263" i="9"/>
  <c r="A264" i="9"/>
  <c r="A265" i="9"/>
  <c r="A266" i="9"/>
  <c r="A267" i="9"/>
  <c r="A268" i="9"/>
  <c r="A269" i="9"/>
  <c r="A270" i="9"/>
  <c r="A273" i="9"/>
  <c r="A274" i="9"/>
  <c r="A275" i="9"/>
  <c r="A276" i="9"/>
  <c r="A277" i="9"/>
  <c r="A278" i="9"/>
  <c r="A279" i="9"/>
  <c r="A280" i="9"/>
  <c r="A282" i="9"/>
  <c r="A283" i="9"/>
  <c r="A285" i="9"/>
  <c r="A286" i="9"/>
  <c r="A287" i="9"/>
  <c r="A288" i="9"/>
  <c r="A289" i="9"/>
  <c r="A290" i="9"/>
  <c r="A291" i="9"/>
  <c r="A293" i="9"/>
  <c r="A294" i="9"/>
  <c r="A295" i="9"/>
  <c r="A297" i="9"/>
  <c r="A300" i="9"/>
  <c r="A301" i="9"/>
  <c r="A302" i="9"/>
  <c r="A304" i="9"/>
  <c r="A305" i="9"/>
  <c r="A306" i="9"/>
  <c r="A307" i="9"/>
  <c r="A308" i="9"/>
  <c r="A309" i="9"/>
  <c r="A311" i="9"/>
  <c r="A312" i="9"/>
  <c r="A313" i="9"/>
  <c r="A316" i="9"/>
  <c r="A317" i="9"/>
  <c r="A318" i="9"/>
  <c r="A319" i="9"/>
  <c r="A320" i="9"/>
  <c r="A321" i="9"/>
  <c r="A322" i="9"/>
  <c r="A327" i="9"/>
  <c r="A328" i="9"/>
  <c r="A329" i="9"/>
  <c r="A330" i="9"/>
  <c r="A331" i="9"/>
  <c r="A332" i="9"/>
  <c r="A333" i="9"/>
  <c r="A334" i="9"/>
  <c r="A335" i="9"/>
  <c r="A338" i="9"/>
  <c r="A339" i="9"/>
  <c r="A340" i="9"/>
  <c r="A341" i="9"/>
  <c r="A342" i="9"/>
  <c r="A343" i="9"/>
  <c r="A344" i="9"/>
  <c r="A345" i="9"/>
  <c r="A346" i="9"/>
  <c r="A347" i="9"/>
  <c r="A350" i="9"/>
  <c r="A351" i="9"/>
  <c r="A352" i="9"/>
  <c r="A353" i="9"/>
  <c r="A354" i="9"/>
  <c r="A355" i="9"/>
  <c r="A356" i="9"/>
  <c r="A357" i="9"/>
  <c r="A358" i="9"/>
  <c r="A360" i="9"/>
  <c r="A362" i="9"/>
  <c r="A363" i="9"/>
  <c r="A364" i="9"/>
  <c r="A365" i="9"/>
  <c r="A366" i="9"/>
  <c r="A367" i="9"/>
  <c r="A368" i="9"/>
  <c r="A369" i="9"/>
  <c r="A371" i="9"/>
  <c r="A372" i="9"/>
  <c r="A374" i="9"/>
  <c r="A375" i="9"/>
  <c r="A376" i="9"/>
  <c r="A377" i="9"/>
  <c r="A378" i="9"/>
  <c r="A379" i="9"/>
  <c r="A380" i="9"/>
  <c r="A382" i="9"/>
  <c r="A383" i="9"/>
  <c r="A384" i="9"/>
  <c r="A386" i="9"/>
  <c r="A387" i="9"/>
  <c r="A388" i="9"/>
  <c r="A389" i="9"/>
  <c r="A390" i="9"/>
  <c r="A391" i="9"/>
  <c r="A393" i="9"/>
  <c r="A394" i="9"/>
  <c r="A395" i="9"/>
  <c r="A396" i="9"/>
  <c r="A398" i="9"/>
  <c r="A399" i="9"/>
  <c r="A400" i="9"/>
  <c r="A401" i="9"/>
  <c r="A403" i="9"/>
  <c r="A404" i="9"/>
  <c r="A405" i="9"/>
  <c r="A406" i="9"/>
  <c r="A407" i="9"/>
  <c r="A408" i="9"/>
  <c r="A2" i="9"/>
  <c r="A4" i="9"/>
  <c r="A948" i="9"/>
  <c r="A665" i="9"/>
  <c r="A1281" i="9"/>
  <c r="A1382" i="9"/>
  <c r="A1992" i="9"/>
  <c r="A686" i="9"/>
  <c r="A750" i="9"/>
  <c r="A768" i="9"/>
  <c r="A870" i="9"/>
  <c r="A971" i="9"/>
  <c r="A974" i="9"/>
  <c r="A1102" i="9"/>
  <c r="A1105" i="9"/>
  <c r="A1728" i="9"/>
  <c r="A298" i="9"/>
  <c r="A299" i="9"/>
  <c r="A410" i="9"/>
  <c r="A411" i="9"/>
  <c r="A412" i="9"/>
  <c r="A414" i="9"/>
  <c r="A415" i="9"/>
  <c r="A416" i="9"/>
  <c r="A417" i="9"/>
  <c r="A418" i="9"/>
  <c r="A419" i="9"/>
  <c r="A420" i="9"/>
  <c r="A422" i="9"/>
  <c r="A423" i="9"/>
  <c r="A426" i="9"/>
  <c r="A427" i="9"/>
  <c r="A428" i="9"/>
  <c r="A429" i="9"/>
  <c r="A430" i="9"/>
  <c r="A431" i="9"/>
  <c r="A432" i="9"/>
  <c r="A433" i="9"/>
  <c r="A435" i="9"/>
  <c r="A437" i="9"/>
  <c r="A438" i="9"/>
  <c r="A439" i="9"/>
  <c r="A440" i="9"/>
  <c r="A441" i="9"/>
  <c r="A442" i="9"/>
  <c r="A443" i="9"/>
  <c r="A444" i="9"/>
  <c r="A445" i="9"/>
  <c r="A449" i="9"/>
  <c r="A450" i="9"/>
  <c r="A451" i="9"/>
  <c r="A452" i="9"/>
  <c r="A453" i="9"/>
  <c r="A454" i="9"/>
  <c r="A455" i="9"/>
  <c r="A456" i="9"/>
  <c r="A457" i="9"/>
  <c r="A459" i="9"/>
  <c r="A461" i="9"/>
  <c r="A462" i="9"/>
  <c r="A463" i="9"/>
  <c r="A464" i="9"/>
  <c r="A465" i="9"/>
  <c r="A466" i="9"/>
  <c r="A467" i="9"/>
  <c r="A468" i="9"/>
  <c r="A470" i="9"/>
  <c r="A473" i="9"/>
  <c r="A475" i="9"/>
  <c r="A476" i="9"/>
  <c r="A477" i="9"/>
  <c r="A478" i="9"/>
  <c r="A479" i="9"/>
  <c r="A595" i="9"/>
  <c r="A602" i="9"/>
  <c r="A609" i="9"/>
  <c r="A610" i="9"/>
  <c r="A626" i="9"/>
  <c r="A617" i="9"/>
  <c r="A615" i="9"/>
  <c r="A618" i="9"/>
  <c r="A620" i="9"/>
  <c r="A621" i="9"/>
  <c r="A599" i="9"/>
  <c r="A611" i="9"/>
  <c r="A625" i="9"/>
  <c r="A484" i="9"/>
  <c r="A486" i="9"/>
  <c r="A487" i="9"/>
  <c r="A485" i="9"/>
  <c r="A482" i="9"/>
  <c r="A488" i="9"/>
  <c r="A495" i="9"/>
  <c r="A496" i="9"/>
  <c r="A498" i="9"/>
  <c r="A499" i="9"/>
  <c r="A631" i="9"/>
  <c r="A506" i="9"/>
  <c r="A507" i="9"/>
  <c r="A509" i="9"/>
  <c r="A508" i="9"/>
  <c r="A510" i="9"/>
  <c r="A512" i="9"/>
  <c r="A514" i="9"/>
  <c r="A515" i="9"/>
  <c r="A516" i="9"/>
  <c r="A517" i="9"/>
  <c r="A518" i="9"/>
  <c r="A519" i="9"/>
  <c r="A520" i="9"/>
  <c r="A522" i="9"/>
  <c r="A521" i="9"/>
  <c r="A524" i="9"/>
  <c r="A526" i="9"/>
  <c r="A527" i="9"/>
  <c r="A529" i="9"/>
  <c r="A594" i="9"/>
  <c r="A531" i="9"/>
  <c r="A532" i="9"/>
  <c r="A533" i="9"/>
  <c r="A536" i="9"/>
  <c r="A537" i="9"/>
  <c r="A538" i="9"/>
  <c r="A539" i="9"/>
  <c r="A542" i="9"/>
  <c r="A541" i="9"/>
  <c r="A544" i="9"/>
  <c r="A547" i="9"/>
  <c r="A548" i="9"/>
  <c r="A549" i="9"/>
  <c r="A551" i="9"/>
  <c r="A550" i="9"/>
  <c r="A638" i="9"/>
  <c r="A553" i="9"/>
  <c r="A555" i="9"/>
  <c r="A558" i="9"/>
  <c r="A556" i="9"/>
  <c r="A561" i="9"/>
  <c r="A562" i="9"/>
  <c r="A559" i="9"/>
  <c r="A564" i="9"/>
  <c r="A565" i="9"/>
  <c r="A567" i="9"/>
  <c r="A572" i="9"/>
  <c r="A571" i="9"/>
  <c r="A569" i="9"/>
  <c r="A573" i="9"/>
  <c r="A575" i="9"/>
  <c r="A650" i="9"/>
  <c r="A577" i="9"/>
  <c r="A576" i="9"/>
  <c r="A578" i="9"/>
  <c r="A640" i="9"/>
  <c r="A580" i="9"/>
  <c r="A582" i="9"/>
  <c r="A583" i="9"/>
  <c r="A585" i="9"/>
  <c r="A586" i="9"/>
  <c r="A589" i="9"/>
  <c r="A588" i="9"/>
  <c r="A587" i="9"/>
  <c r="A591" i="9"/>
  <c r="A592" i="9"/>
  <c r="A596" i="9"/>
  <c r="A597" i="9"/>
  <c r="A598" i="9"/>
  <c r="A511" i="9"/>
  <c r="A600" i="9"/>
  <c r="A593" i="9"/>
  <c r="A603" i="9"/>
  <c r="A552" i="9"/>
  <c r="A627" i="9"/>
  <c r="A581" i="9"/>
  <c r="A604" i="9"/>
  <c r="A605" i="9"/>
  <c r="A606" i="9"/>
  <c r="A607" i="9"/>
  <c r="A608" i="9"/>
  <c r="A613" i="9"/>
  <c r="A554" i="9"/>
  <c r="A628" i="9"/>
  <c r="A614" i="9"/>
  <c r="A616" i="9"/>
  <c r="A619" i="9"/>
  <c r="A622" i="9"/>
  <c r="A624" i="9"/>
  <c r="A629" i="9"/>
  <c r="A630" i="9"/>
  <c r="A632" i="9"/>
  <c r="A637" i="9"/>
  <c r="A639" i="9"/>
  <c r="A633" i="9"/>
  <c r="A635" i="9"/>
  <c r="A643" i="9"/>
  <c r="A646" i="9"/>
  <c r="A647" i="9"/>
  <c r="A648" i="9"/>
  <c r="A649" i="9"/>
  <c r="A641" i="9"/>
  <c r="A642" i="9"/>
  <c r="A651" i="9"/>
  <c r="A652" i="9"/>
  <c r="A653" i="9"/>
  <c r="A654" i="9"/>
  <c r="A657" i="9"/>
  <c r="A658" i="9"/>
  <c r="A660" i="9"/>
  <c r="A661" i="9"/>
  <c r="A481" i="9"/>
  <c r="A483" i="9"/>
  <c r="A662" i="9"/>
  <c r="A490" i="9"/>
  <c r="A492" i="9"/>
  <c r="A493" i="9"/>
  <c r="A494" i="9"/>
  <c r="A489" i="9"/>
  <c r="A663" i="9"/>
  <c r="A543" i="9"/>
  <c r="A525" i="9"/>
  <c r="A528" i="9"/>
  <c r="A566" i="9"/>
  <c r="A570" i="9"/>
  <c r="A574" i="9"/>
  <c r="A500" i="9"/>
  <c r="A501" i="9"/>
  <c r="A503" i="9"/>
  <c r="A497" i="9"/>
  <c r="A504" i="9"/>
  <c r="A664" i="9"/>
  <c r="A540" i="9"/>
  <c r="A655" i="9"/>
  <c r="A472" i="9"/>
  <c r="A474" i="9"/>
  <c r="A560" i="9"/>
  <c r="L1178" i="1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1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2" i="7"/>
  <c r="A2" i="5"/>
  <c r="A3" i="5"/>
  <c r="I1301" i="1" s="1"/>
  <c r="A4" i="5"/>
  <c r="A5" i="5"/>
  <c r="I1330" i="1" s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I1284" i="1" s="1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2" i="4"/>
  <c r="C3" i="4"/>
  <c r="C4" i="4"/>
  <c r="C5" i="4"/>
  <c r="C6" i="4"/>
  <c r="C7" i="4"/>
  <c r="C8" i="4"/>
  <c r="C9" i="4"/>
  <c r="C10" i="4"/>
  <c r="C89" i="4"/>
  <c r="D10" i="4"/>
  <c r="R1336" i="1" l="1"/>
  <c r="F1336" i="1" s="1"/>
  <c r="R1332" i="1"/>
  <c r="F1332" i="1" s="1"/>
  <c r="S1332" i="1" s="1"/>
  <c r="R1335" i="1"/>
  <c r="F1335" i="1" s="1"/>
  <c r="S1335" i="1" s="1"/>
  <c r="R1338" i="1"/>
  <c r="F1338" i="1" s="1"/>
  <c r="S1338" i="1" s="1"/>
  <c r="R1334" i="1"/>
  <c r="F1334" i="1" s="1"/>
  <c r="S1334" i="1" s="1"/>
  <c r="R1337" i="1"/>
  <c r="F1337" i="1" s="1"/>
  <c r="S1337" i="1" s="1"/>
  <c r="R1333" i="1"/>
  <c r="F1333" i="1" s="1"/>
  <c r="S1333" i="1" s="1"/>
  <c r="S1336" i="1"/>
  <c r="L3" i="1"/>
  <c r="R3" i="1" s="1"/>
  <c r="F3" i="1" s="1"/>
  <c r="L7" i="1"/>
  <c r="R7" i="1" s="1"/>
  <c r="F7" i="1" s="1"/>
  <c r="L11" i="1"/>
  <c r="R11" i="1" s="1"/>
  <c r="F11" i="1" s="1"/>
  <c r="L15" i="1"/>
  <c r="R15" i="1" s="1"/>
  <c r="F15" i="1" s="1"/>
  <c r="L19" i="1"/>
  <c r="R19" i="1" s="1"/>
  <c r="F19" i="1" s="1"/>
  <c r="L23" i="1"/>
  <c r="R23" i="1" s="1"/>
  <c r="F23" i="1" s="1"/>
  <c r="L27" i="1"/>
  <c r="R27" i="1" s="1"/>
  <c r="F27" i="1" s="1"/>
  <c r="L31" i="1"/>
  <c r="R31" i="1" s="1"/>
  <c r="F31" i="1" s="1"/>
  <c r="L35" i="1"/>
  <c r="L39" i="1"/>
  <c r="L43" i="1"/>
  <c r="L47" i="1"/>
  <c r="L51" i="1"/>
  <c r="L55" i="1"/>
  <c r="L59" i="1"/>
  <c r="L63" i="1"/>
  <c r="L67" i="1"/>
  <c r="L71" i="1"/>
  <c r="L75" i="1"/>
  <c r="L79" i="1"/>
  <c r="L83" i="1"/>
  <c r="L87" i="1"/>
  <c r="L91" i="1"/>
  <c r="L95" i="1"/>
  <c r="L99" i="1"/>
  <c r="L103" i="1"/>
  <c r="L107" i="1"/>
  <c r="L111" i="1"/>
  <c r="L115" i="1"/>
  <c r="L119" i="1"/>
  <c r="L123" i="1"/>
  <c r="L127" i="1"/>
  <c r="L131" i="1"/>
  <c r="L135" i="1"/>
  <c r="L139" i="1"/>
  <c r="L143" i="1"/>
  <c r="L147" i="1"/>
  <c r="L151" i="1"/>
  <c r="L155" i="1"/>
  <c r="L159" i="1"/>
  <c r="L163" i="1"/>
  <c r="L167" i="1"/>
  <c r="L171" i="1"/>
  <c r="L175" i="1"/>
  <c r="L179" i="1"/>
  <c r="L183" i="1"/>
  <c r="L187" i="1"/>
  <c r="L191" i="1"/>
  <c r="L195" i="1"/>
  <c r="L199" i="1"/>
  <c r="L203" i="1"/>
  <c r="L207" i="1"/>
  <c r="L211" i="1"/>
  <c r="L215" i="1"/>
  <c r="L219" i="1"/>
  <c r="L223" i="1"/>
  <c r="L227" i="1"/>
  <c r="L231" i="1"/>
  <c r="L235" i="1"/>
  <c r="L239" i="1"/>
  <c r="L243" i="1"/>
  <c r="L247" i="1"/>
  <c r="L251" i="1"/>
  <c r="L255" i="1"/>
  <c r="L259" i="1"/>
  <c r="L263" i="1"/>
  <c r="L267" i="1"/>
  <c r="L271" i="1"/>
  <c r="L275" i="1"/>
  <c r="L279" i="1"/>
  <c r="L283" i="1"/>
  <c r="L287" i="1"/>
  <c r="L291" i="1"/>
  <c r="L295" i="1"/>
  <c r="L299" i="1"/>
  <c r="L303" i="1"/>
  <c r="L307" i="1"/>
  <c r="L311" i="1"/>
  <c r="L315" i="1"/>
  <c r="L319" i="1"/>
  <c r="L323" i="1"/>
  <c r="L327" i="1"/>
  <c r="L331" i="1"/>
  <c r="L335" i="1"/>
  <c r="L339" i="1"/>
  <c r="L4" i="1"/>
  <c r="R4" i="1" s="1"/>
  <c r="F4" i="1" s="1"/>
  <c r="L9" i="1"/>
  <c r="R9" i="1" s="1"/>
  <c r="F9" i="1" s="1"/>
  <c r="L14" i="1"/>
  <c r="R14" i="1" s="1"/>
  <c r="F14" i="1" s="1"/>
  <c r="L20" i="1"/>
  <c r="R20" i="1" s="1"/>
  <c r="F20" i="1" s="1"/>
  <c r="L25" i="1"/>
  <c r="R25" i="1" s="1"/>
  <c r="F25" i="1" s="1"/>
  <c r="L30" i="1"/>
  <c r="R30" i="1" s="1"/>
  <c r="F30" i="1" s="1"/>
  <c r="L36" i="1"/>
  <c r="L41" i="1"/>
  <c r="L46" i="1"/>
  <c r="L52" i="1"/>
  <c r="L57" i="1"/>
  <c r="L62" i="1"/>
  <c r="L68" i="1"/>
  <c r="L73" i="1"/>
  <c r="L78" i="1"/>
  <c r="L84" i="1"/>
  <c r="L89" i="1"/>
  <c r="L94" i="1"/>
  <c r="L100" i="1"/>
  <c r="L105" i="1"/>
  <c r="L110" i="1"/>
  <c r="L116" i="1"/>
  <c r="L121" i="1"/>
  <c r="L126" i="1"/>
  <c r="L132" i="1"/>
  <c r="L137" i="1"/>
  <c r="L142" i="1"/>
  <c r="L148" i="1"/>
  <c r="L153" i="1"/>
  <c r="L158" i="1"/>
  <c r="L164" i="1"/>
  <c r="L169" i="1"/>
  <c r="L174" i="1"/>
  <c r="L180" i="1"/>
  <c r="L185" i="1"/>
  <c r="L190" i="1"/>
  <c r="L196" i="1"/>
  <c r="L201" i="1"/>
  <c r="L206" i="1"/>
  <c r="L212" i="1"/>
  <c r="L217" i="1"/>
  <c r="L222" i="1"/>
  <c r="L228" i="1"/>
  <c r="L233" i="1"/>
  <c r="L238" i="1"/>
  <c r="L244" i="1"/>
  <c r="L249" i="1"/>
  <c r="L254" i="1"/>
  <c r="L260" i="1"/>
  <c r="L265" i="1"/>
  <c r="L270" i="1"/>
  <c r="L276" i="1"/>
  <c r="L281" i="1"/>
  <c r="L286" i="1"/>
  <c r="L292" i="1"/>
  <c r="L297" i="1"/>
  <c r="L302" i="1"/>
  <c r="L308" i="1"/>
  <c r="L313" i="1"/>
  <c r="L318" i="1"/>
  <c r="L324" i="1"/>
  <c r="L329" i="1"/>
  <c r="L334" i="1"/>
  <c r="L340" i="1"/>
  <c r="L344" i="1"/>
  <c r="L348" i="1"/>
  <c r="L352" i="1"/>
  <c r="L356" i="1"/>
  <c r="L360" i="1"/>
  <c r="L364" i="1"/>
  <c r="L368" i="1"/>
  <c r="L372" i="1"/>
  <c r="L376" i="1"/>
  <c r="L379" i="1"/>
  <c r="L383" i="1"/>
  <c r="L387" i="1"/>
  <c r="L391" i="1"/>
  <c r="L395" i="1"/>
  <c r="L399" i="1"/>
  <c r="L403" i="1"/>
  <c r="L407" i="1"/>
  <c r="L411" i="1"/>
  <c r="L415" i="1"/>
  <c r="L6" i="1"/>
  <c r="R6" i="1" s="1"/>
  <c r="F6" i="1" s="1"/>
  <c r="L12" i="1"/>
  <c r="R12" i="1" s="1"/>
  <c r="F12" i="1" s="1"/>
  <c r="L17" i="1"/>
  <c r="R17" i="1" s="1"/>
  <c r="F17" i="1" s="1"/>
  <c r="L22" i="1"/>
  <c r="R22" i="1" s="1"/>
  <c r="F22" i="1" s="1"/>
  <c r="L28" i="1"/>
  <c r="R28" i="1" s="1"/>
  <c r="F28" i="1" s="1"/>
  <c r="L33" i="1"/>
  <c r="L38" i="1"/>
  <c r="L44" i="1"/>
  <c r="L49" i="1"/>
  <c r="L54" i="1"/>
  <c r="L60" i="1"/>
  <c r="L65" i="1"/>
  <c r="L70" i="1"/>
  <c r="L76" i="1"/>
  <c r="L81" i="1"/>
  <c r="L86" i="1"/>
  <c r="L92" i="1"/>
  <c r="L97" i="1"/>
  <c r="L102" i="1"/>
  <c r="L108" i="1"/>
  <c r="L113" i="1"/>
  <c r="L118" i="1"/>
  <c r="L124" i="1"/>
  <c r="L129" i="1"/>
  <c r="L134" i="1"/>
  <c r="L140" i="1"/>
  <c r="L145" i="1"/>
  <c r="L150" i="1"/>
  <c r="L156" i="1"/>
  <c r="L161" i="1"/>
  <c r="L166" i="1"/>
  <c r="L172" i="1"/>
  <c r="L177" i="1"/>
  <c r="L182" i="1"/>
  <c r="L188" i="1"/>
  <c r="L193" i="1"/>
  <c r="L198" i="1"/>
  <c r="L204" i="1"/>
  <c r="L209" i="1"/>
  <c r="L214" i="1"/>
  <c r="L220" i="1"/>
  <c r="L225" i="1"/>
  <c r="L230" i="1"/>
  <c r="L236" i="1"/>
  <c r="L241" i="1"/>
  <c r="L246" i="1"/>
  <c r="L252" i="1"/>
  <c r="L257" i="1"/>
  <c r="L262" i="1"/>
  <c r="L268" i="1"/>
  <c r="L273" i="1"/>
  <c r="L278" i="1"/>
  <c r="L284" i="1"/>
  <c r="L289" i="1"/>
  <c r="L294" i="1"/>
  <c r="L300" i="1"/>
  <c r="L305" i="1"/>
  <c r="L310" i="1"/>
  <c r="L316" i="1"/>
  <c r="L321" i="1"/>
  <c r="L326" i="1"/>
  <c r="L332" i="1"/>
  <c r="L337" i="1"/>
  <c r="L342" i="1"/>
  <c r="L346" i="1"/>
  <c r="L350" i="1"/>
  <c r="L354" i="1"/>
  <c r="L358" i="1"/>
  <c r="L362" i="1"/>
  <c r="L366" i="1"/>
  <c r="L370" i="1"/>
  <c r="L374" i="1"/>
  <c r="L377" i="1"/>
  <c r="L381" i="1"/>
  <c r="L385" i="1"/>
  <c r="L389" i="1"/>
  <c r="L393" i="1"/>
  <c r="L397" i="1"/>
  <c r="L401" i="1"/>
  <c r="L405" i="1"/>
  <c r="L409" i="1"/>
  <c r="L413" i="1"/>
  <c r="L417" i="1"/>
  <c r="L421" i="1"/>
  <c r="L425" i="1"/>
  <c r="L5" i="1"/>
  <c r="R5" i="1" s="1"/>
  <c r="F5" i="1" s="1"/>
  <c r="L16" i="1"/>
  <c r="R16" i="1" s="1"/>
  <c r="F16" i="1" s="1"/>
  <c r="L26" i="1"/>
  <c r="R26" i="1" s="1"/>
  <c r="F26" i="1" s="1"/>
  <c r="L37" i="1"/>
  <c r="L48" i="1"/>
  <c r="L58" i="1"/>
  <c r="L69" i="1"/>
  <c r="L80" i="1"/>
  <c r="L90" i="1"/>
  <c r="L101" i="1"/>
  <c r="L112" i="1"/>
  <c r="L122" i="1"/>
  <c r="L133" i="1"/>
  <c r="L144" i="1"/>
  <c r="L154" i="1"/>
  <c r="L165" i="1"/>
  <c r="L176" i="1"/>
  <c r="L186" i="1"/>
  <c r="L197" i="1"/>
  <c r="L208" i="1"/>
  <c r="L218" i="1"/>
  <c r="L229" i="1"/>
  <c r="L240" i="1"/>
  <c r="L250" i="1"/>
  <c r="L261" i="1"/>
  <c r="L272" i="1"/>
  <c r="L282" i="1"/>
  <c r="L293" i="1"/>
  <c r="L304" i="1"/>
  <c r="L314" i="1"/>
  <c r="L325" i="1"/>
  <c r="L336" i="1"/>
  <c r="L345" i="1"/>
  <c r="L353" i="1"/>
  <c r="L361" i="1"/>
  <c r="L369" i="1"/>
  <c r="L384" i="1"/>
  <c r="L392" i="1"/>
  <c r="L400" i="1"/>
  <c r="L408" i="1"/>
  <c r="L416" i="1"/>
  <c r="L422" i="1"/>
  <c r="L427" i="1"/>
  <c r="L431" i="1"/>
  <c r="L435" i="1"/>
  <c r="L439" i="1"/>
  <c r="L443" i="1"/>
  <c r="L447" i="1"/>
  <c r="L451" i="1"/>
  <c r="L455" i="1"/>
  <c r="L459" i="1"/>
  <c r="L463" i="1"/>
  <c r="L467" i="1"/>
  <c r="L471" i="1"/>
  <c r="L475" i="1"/>
  <c r="L479" i="1"/>
  <c r="L483" i="1"/>
  <c r="L487" i="1"/>
  <c r="L491" i="1"/>
  <c r="L495" i="1"/>
  <c r="L499" i="1"/>
  <c r="L503" i="1"/>
  <c r="L507" i="1"/>
  <c r="L511" i="1"/>
  <c r="L515" i="1"/>
  <c r="L519" i="1"/>
  <c r="L523" i="1"/>
  <c r="L527" i="1"/>
  <c r="L531" i="1"/>
  <c r="L535" i="1"/>
  <c r="L539" i="1"/>
  <c r="L543" i="1"/>
  <c r="L547" i="1"/>
  <c r="L551" i="1"/>
  <c r="L555" i="1"/>
  <c r="L559" i="1"/>
  <c r="L563" i="1"/>
  <c r="L567" i="1"/>
  <c r="L571" i="1"/>
  <c r="L575" i="1"/>
  <c r="L579" i="1"/>
  <c r="L583" i="1"/>
  <c r="L587" i="1"/>
  <c r="L591" i="1"/>
  <c r="L595" i="1"/>
  <c r="L599" i="1"/>
  <c r="L603" i="1"/>
  <c r="L607" i="1"/>
  <c r="L611" i="1"/>
  <c r="L615" i="1"/>
  <c r="L619" i="1"/>
  <c r="L623" i="1"/>
  <c r="L627" i="1"/>
  <c r="L631" i="1"/>
  <c r="L635" i="1"/>
  <c r="L639" i="1"/>
  <c r="L643" i="1"/>
  <c r="L647" i="1"/>
  <c r="L651" i="1"/>
  <c r="L655" i="1"/>
  <c r="L659" i="1"/>
  <c r="L663" i="1"/>
  <c r="L667" i="1"/>
  <c r="L671" i="1"/>
  <c r="L675" i="1"/>
  <c r="L679" i="1"/>
  <c r="L683" i="1"/>
  <c r="L687" i="1"/>
  <c r="L691" i="1"/>
  <c r="L695" i="1"/>
  <c r="L699" i="1"/>
  <c r="L703" i="1"/>
  <c r="L707" i="1"/>
  <c r="L711" i="1"/>
  <c r="L715" i="1"/>
  <c r="L719" i="1"/>
  <c r="L723" i="1"/>
  <c r="L727" i="1"/>
  <c r="L731" i="1"/>
  <c r="L735" i="1"/>
  <c r="L739" i="1"/>
  <c r="L743" i="1"/>
  <c r="L747" i="1"/>
  <c r="L751" i="1"/>
  <c r="L755" i="1"/>
  <c r="L759" i="1"/>
  <c r="L763" i="1"/>
  <c r="L767" i="1"/>
  <c r="L771" i="1"/>
  <c r="L775" i="1"/>
  <c r="L779" i="1"/>
  <c r="L783" i="1"/>
  <c r="L787" i="1"/>
  <c r="L791" i="1"/>
  <c r="L795" i="1"/>
  <c r="L799" i="1"/>
  <c r="L803" i="1"/>
  <c r="L807" i="1"/>
  <c r="L811" i="1"/>
  <c r="L815" i="1"/>
  <c r="L819" i="1"/>
  <c r="L823" i="1"/>
  <c r="L827" i="1"/>
  <c r="L831" i="1"/>
  <c r="L835" i="1"/>
  <c r="L839" i="1"/>
  <c r="L843" i="1"/>
  <c r="L847" i="1"/>
  <c r="L851" i="1"/>
  <c r="L855" i="1"/>
  <c r="L859" i="1"/>
  <c r="L863" i="1"/>
  <c r="L867" i="1"/>
  <c r="L871" i="1"/>
  <c r="L875" i="1"/>
  <c r="L879" i="1"/>
  <c r="L883" i="1"/>
  <c r="L887" i="1"/>
  <c r="L891" i="1"/>
  <c r="L895" i="1"/>
  <c r="L899" i="1"/>
  <c r="L903" i="1"/>
  <c r="L907" i="1"/>
  <c r="L911" i="1"/>
  <c r="L915" i="1"/>
  <c r="L919" i="1"/>
  <c r="L923" i="1"/>
  <c r="L927" i="1"/>
  <c r="L931" i="1"/>
  <c r="L10" i="1"/>
  <c r="R10" i="1" s="1"/>
  <c r="F10" i="1" s="1"/>
  <c r="L21" i="1"/>
  <c r="R21" i="1" s="1"/>
  <c r="F21" i="1" s="1"/>
  <c r="L32" i="1"/>
  <c r="L42" i="1"/>
  <c r="L53" i="1"/>
  <c r="L64" i="1"/>
  <c r="L74" i="1"/>
  <c r="L85" i="1"/>
  <c r="L96" i="1"/>
  <c r="L106" i="1"/>
  <c r="L117" i="1"/>
  <c r="L128" i="1"/>
  <c r="L138" i="1"/>
  <c r="L149" i="1"/>
  <c r="L160" i="1"/>
  <c r="L170" i="1"/>
  <c r="L181" i="1"/>
  <c r="L192" i="1"/>
  <c r="L202" i="1"/>
  <c r="L213" i="1"/>
  <c r="L224" i="1"/>
  <c r="L234" i="1"/>
  <c r="L245" i="1"/>
  <c r="L256" i="1"/>
  <c r="L266" i="1"/>
  <c r="L277" i="1"/>
  <c r="L288" i="1"/>
  <c r="L298" i="1"/>
  <c r="L309" i="1"/>
  <c r="L320" i="1"/>
  <c r="L330" i="1"/>
  <c r="L341" i="1"/>
  <c r="L349" i="1"/>
  <c r="L357" i="1"/>
  <c r="L365" i="1"/>
  <c r="L373" i="1"/>
  <c r="L380" i="1"/>
  <c r="L388" i="1"/>
  <c r="L396" i="1"/>
  <c r="L404" i="1"/>
  <c r="L412" i="1"/>
  <c r="L419" i="1"/>
  <c r="L424" i="1"/>
  <c r="L429" i="1"/>
  <c r="L433" i="1"/>
  <c r="L437" i="1"/>
  <c r="L441" i="1"/>
  <c r="L445" i="1"/>
  <c r="L449" i="1"/>
  <c r="L453" i="1"/>
  <c r="L457" i="1"/>
  <c r="L461" i="1"/>
  <c r="L465" i="1"/>
  <c r="L469" i="1"/>
  <c r="L473" i="1"/>
  <c r="L477" i="1"/>
  <c r="L481" i="1"/>
  <c r="L485" i="1"/>
  <c r="L489" i="1"/>
  <c r="L493" i="1"/>
  <c r="L497" i="1"/>
  <c r="L501" i="1"/>
  <c r="L505" i="1"/>
  <c r="L509" i="1"/>
  <c r="L513" i="1"/>
  <c r="L517" i="1"/>
  <c r="L8" i="1"/>
  <c r="R8" i="1" s="1"/>
  <c r="F8" i="1" s="1"/>
  <c r="L29" i="1"/>
  <c r="R29" i="1" s="1"/>
  <c r="F29" i="1" s="1"/>
  <c r="L50" i="1"/>
  <c r="L72" i="1"/>
  <c r="L93" i="1"/>
  <c r="L114" i="1"/>
  <c r="L136" i="1"/>
  <c r="L157" i="1"/>
  <c r="L178" i="1"/>
  <c r="L200" i="1"/>
  <c r="L221" i="1"/>
  <c r="L242" i="1"/>
  <c r="L264" i="1"/>
  <c r="L285" i="1"/>
  <c r="L306" i="1"/>
  <c r="L328" i="1"/>
  <c r="L347" i="1"/>
  <c r="L363" i="1"/>
  <c r="L378" i="1"/>
  <c r="L394" i="1"/>
  <c r="L410" i="1"/>
  <c r="L423" i="1"/>
  <c r="L432" i="1"/>
  <c r="L440" i="1"/>
  <c r="L448" i="1"/>
  <c r="L456" i="1"/>
  <c r="L464" i="1"/>
  <c r="L472" i="1"/>
  <c r="L480" i="1"/>
  <c r="L488" i="1"/>
  <c r="L496" i="1"/>
  <c r="L504" i="1"/>
  <c r="L512" i="1"/>
  <c r="L520" i="1"/>
  <c r="L525" i="1"/>
  <c r="L530" i="1"/>
  <c r="L536" i="1"/>
  <c r="L541" i="1"/>
  <c r="L546" i="1"/>
  <c r="L552" i="1"/>
  <c r="L557" i="1"/>
  <c r="L562" i="1"/>
  <c r="L568" i="1"/>
  <c r="L573" i="1"/>
  <c r="L578" i="1"/>
  <c r="L584" i="1"/>
  <c r="L589" i="1"/>
  <c r="L594" i="1"/>
  <c r="L600" i="1"/>
  <c r="L605" i="1"/>
  <c r="L610" i="1"/>
  <c r="L616" i="1"/>
  <c r="L621" i="1"/>
  <c r="L626" i="1"/>
  <c r="L632" i="1"/>
  <c r="L637" i="1"/>
  <c r="L642" i="1"/>
  <c r="L648" i="1"/>
  <c r="L653" i="1"/>
  <c r="L658" i="1"/>
  <c r="L664" i="1"/>
  <c r="L669" i="1"/>
  <c r="L674" i="1"/>
  <c r="L680" i="1"/>
  <c r="L685" i="1"/>
  <c r="L690" i="1"/>
  <c r="L696" i="1"/>
  <c r="L701" i="1"/>
  <c r="L706" i="1"/>
  <c r="L712" i="1"/>
  <c r="L717" i="1"/>
  <c r="L722" i="1"/>
  <c r="L728" i="1"/>
  <c r="L733" i="1"/>
  <c r="L738" i="1"/>
  <c r="L744" i="1"/>
  <c r="L749" i="1"/>
  <c r="L754" i="1"/>
  <c r="L760" i="1"/>
  <c r="L765" i="1"/>
  <c r="L770" i="1"/>
  <c r="L776" i="1"/>
  <c r="L781" i="1"/>
  <c r="L786" i="1"/>
  <c r="L792" i="1"/>
  <c r="L797" i="1"/>
  <c r="L802" i="1"/>
  <c r="L808" i="1"/>
  <c r="L813" i="1"/>
  <c r="L818" i="1"/>
  <c r="L824" i="1"/>
  <c r="L829" i="1"/>
  <c r="L834" i="1"/>
  <c r="L840" i="1"/>
  <c r="L845" i="1"/>
  <c r="L850" i="1"/>
  <c r="L856" i="1"/>
  <c r="L861" i="1"/>
  <c r="L866" i="1"/>
  <c r="L872" i="1"/>
  <c r="L877" i="1"/>
  <c r="L882" i="1"/>
  <c r="L888" i="1"/>
  <c r="L893" i="1"/>
  <c r="L898" i="1"/>
  <c r="L904" i="1"/>
  <c r="L909" i="1"/>
  <c r="L914" i="1"/>
  <c r="L920" i="1"/>
  <c r="L925" i="1"/>
  <c r="L930" i="1"/>
  <c r="L935" i="1"/>
  <c r="L939" i="1"/>
  <c r="L943" i="1"/>
  <c r="L947" i="1"/>
  <c r="L951" i="1"/>
  <c r="L955" i="1"/>
  <c r="L959" i="1"/>
  <c r="L963" i="1"/>
  <c r="L967" i="1"/>
  <c r="L971" i="1"/>
  <c r="L975" i="1"/>
  <c r="L979" i="1"/>
  <c r="L983" i="1"/>
  <c r="L987" i="1"/>
  <c r="L991" i="1"/>
  <c r="L995" i="1"/>
  <c r="L999" i="1"/>
  <c r="L1003" i="1"/>
  <c r="L1007" i="1"/>
  <c r="L1011" i="1"/>
  <c r="L1015" i="1"/>
  <c r="L1019" i="1"/>
  <c r="L1023" i="1"/>
  <c r="L1027" i="1"/>
  <c r="L1031" i="1"/>
  <c r="L1035" i="1"/>
  <c r="L1039" i="1"/>
  <c r="L1043" i="1"/>
  <c r="L1047" i="1"/>
  <c r="L1051" i="1"/>
  <c r="L1055" i="1"/>
  <c r="L1059" i="1"/>
  <c r="L1063" i="1"/>
  <c r="L1067" i="1"/>
  <c r="L1071" i="1"/>
  <c r="L1075" i="1"/>
  <c r="L1079" i="1"/>
  <c r="L1083" i="1"/>
  <c r="L1087" i="1"/>
  <c r="L1091" i="1"/>
  <c r="L1095" i="1"/>
  <c r="L1099" i="1"/>
  <c r="L1103" i="1"/>
  <c r="L1107" i="1"/>
  <c r="L1111" i="1"/>
  <c r="L1115" i="1"/>
  <c r="L1119" i="1"/>
  <c r="L1123" i="1"/>
  <c r="L1127" i="1"/>
  <c r="L1131" i="1"/>
  <c r="L1135" i="1"/>
  <c r="L1139" i="1"/>
  <c r="L1143" i="1"/>
  <c r="L1147" i="1"/>
  <c r="L18" i="1"/>
  <c r="R18" i="1" s="1"/>
  <c r="F18" i="1" s="1"/>
  <c r="L40" i="1"/>
  <c r="L61" i="1"/>
  <c r="L82" i="1"/>
  <c r="L104" i="1"/>
  <c r="L125" i="1"/>
  <c r="L146" i="1"/>
  <c r="L168" i="1"/>
  <c r="L189" i="1"/>
  <c r="L210" i="1"/>
  <c r="L232" i="1"/>
  <c r="L253" i="1"/>
  <c r="L274" i="1"/>
  <c r="L296" i="1"/>
  <c r="L317" i="1"/>
  <c r="L338" i="1"/>
  <c r="L355" i="1"/>
  <c r="L371" i="1"/>
  <c r="L386" i="1"/>
  <c r="L402" i="1"/>
  <c r="L418" i="1"/>
  <c r="L428" i="1"/>
  <c r="L436" i="1"/>
  <c r="L444" i="1"/>
  <c r="L452" i="1"/>
  <c r="L460" i="1"/>
  <c r="L468" i="1"/>
  <c r="L476" i="1"/>
  <c r="L484" i="1"/>
  <c r="L492" i="1"/>
  <c r="L500" i="1"/>
  <c r="L508" i="1"/>
  <c r="L516" i="1"/>
  <c r="L522" i="1"/>
  <c r="L528" i="1"/>
  <c r="L533" i="1"/>
  <c r="L538" i="1"/>
  <c r="L544" i="1"/>
  <c r="L549" i="1"/>
  <c r="L554" i="1"/>
  <c r="L560" i="1"/>
  <c r="L565" i="1"/>
  <c r="L570" i="1"/>
  <c r="L576" i="1"/>
  <c r="L581" i="1"/>
  <c r="L586" i="1"/>
  <c r="L592" i="1"/>
  <c r="L597" i="1"/>
  <c r="L602" i="1"/>
  <c r="L608" i="1"/>
  <c r="L613" i="1"/>
  <c r="L618" i="1"/>
  <c r="L624" i="1"/>
  <c r="L629" i="1"/>
  <c r="L634" i="1"/>
  <c r="L640" i="1"/>
  <c r="L645" i="1"/>
  <c r="L650" i="1"/>
  <c r="L656" i="1"/>
  <c r="L661" i="1"/>
  <c r="L666" i="1"/>
  <c r="L672" i="1"/>
  <c r="L677" i="1"/>
  <c r="L682" i="1"/>
  <c r="L688" i="1"/>
  <c r="L693" i="1"/>
  <c r="L698" i="1"/>
  <c r="L704" i="1"/>
  <c r="L709" i="1"/>
  <c r="L714" i="1"/>
  <c r="L720" i="1"/>
  <c r="L725" i="1"/>
  <c r="L730" i="1"/>
  <c r="L736" i="1"/>
  <c r="L741" i="1"/>
  <c r="L746" i="1"/>
  <c r="L752" i="1"/>
  <c r="L757" i="1"/>
  <c r="L762" i="1"/>
  <c r="L768" i="1"/>
  <c r="L773" i="1"/>
  <c r="L778" i="1"/>
  <c r="L784" i="1"/>
  <c r="L789" i="1"/>
  <c r="L794" i="1"/>
  <c r="L800" i="1"/>
  <c r="L805" i="1"/>
  <c r="L810" i="1"/>
  <c r="L816" i="1"/>
  <c r="L821" i="1"/>
  <c r="L826" i="1"/>
  <c r="L832" i="1"/>
  <c r="L837" i="1"/>
  <c r="L842" i="1"/>
  <c r="L848" i="1"/>
  <c r="L853" i="1"/>
  <c r="L858" i="1"/>
  <c r="L864" i="1"/>
  <c r="L869" i="1"/>
  <c r="L874" i="1"/>
  <c r="L880" i="1"/>
  <c r="L885" i="1"/>
  <c r="L890" i="1"/>
  <c r="L896" i="1"/>
  <c r="L901" i="1"/>
  <c r="L906" i="1"/>
  <c r="L912" i="1"/>
  <c r="L917" i="1"/>
  <c r="L922" i="1"/>
  <c r="L928" i="1"/>
  <c r="L933" i="1"/>
  <c r="L937" i="1"/>
  <c r="L941" i="1"/>
  <c r="L945" i="1"/>
  <c r="L949" i="1"/>
  <c r="L953" i="1"/>
  <c r="L957" i="1"/>
  <c r="L961" i="1"/>
  <c r="L965" i="1"/>
  <c r="L969" i="1"/>
  <c r="L973" i="1"/>
  <c r="L977" i="1"/>
  <c r="L981" i="1"/>
  <c r="L985" i="1"/>
  <c r="L989" i="1"/>
  <c r="L993" i="1"/>
  <c r="L997" i="1"/>
  <c r="L1001" i="1"/>
  <c r="L1005" i="1"/>
  <c r="L1009" i="1"/>
  <c r="L1013" i="1"/>
  <c r="L1017" i="1"/>
  <c r="L1021" i="1"/>
  <c r="L1025" i="1"/>
  <c r="L1029" i="1"/>
  <c r="L1033" i="1"/>
  <c r="L1037" i="1"/>
  <c r="L1041" i="1"/>
  <c r="L1045" i="1"/>
  <c r="L1049" i="1"/>
  <c r="L1053" i="1"/>
  <c r="L1057" i="1"/>
  <c r="L1061" i="1"/>
  <c r="L1065" i="1"/>
  <c r="L1069" i="1"/>
  <c r="L1073" i="1"/>
  <c r="L1077" i="1"/>
  <c r="L1081" i="1"/>
  <c r="L1085" i="1"/>
  <c r="L1089" i="1"/>
  <c r="L1093" i="1"/>
  <c r="L1097" i="1"/>
  <c r="L1101" i="1"/>
  <c r="L1105" i="1"/>
  <c r="L1109" i="1"/>
  <c r="L1113" i="1"/>
  <c r="L1117" i="1"/>
  <c r="L1121" i="1"/>
  <c r="L1125" i="1"/>
  <c r="L1129" i="1"/>
  <c r="L1133" i="1"/>
  <c r="L1137" i="1"/>
  <c r="L1141" i="1"/>
  <c r="L1145" i="1"/>
  <c r="L1149" i="1"/>
  <c r="L1153" i="1"/>
  <c r="L1157" i="1"/>
  <c r="L1161" i="1"/>
  <c r="L1165" i="1"/>
  <c r="L1169" i="1"/>
  <c r="L1329" i="1"/>
  <c r="L1325" i="1"/>
  <c r="L1321" i="1"/>
  <c r="L1317" i="1"/>
  <c r="L1313" i="1"/>
  <c r="L1309" i="1"/>
  <c r="L1305" i="1"/>
  <c r="L1301" i="1"/>
  <c r="R1301" i="1" s="1"/>
  <c r="F1301" i="1" s="1"/>
  <c r="L1297" i="1"/>
  <c r="L1293" i="1"/>
  <c r="L1289" i="1"/>
  <c r="L1285" i="1"/>
  <c r="L1281" i="1"/>
  <c r="L1277" i="1"/>
  <c r="L1273" i="1"/>
  <c r="L1269" i="1"/>
  <c r="L1265" i="1"/>
  <c r="L1261" i="1"/>
  <c r="L1257" i="1"/>
  <c r="L1253" i="1"/>
  <c r="L1249" i="1"/>
  <c r="L1245" i="1"/>
  <c r="L1241" i="1"/>
  <c r="L1237" i="1"/>
  <c r="L1233" i="1"/>
  <c r="L1229" i="1"/>
  <c r="L1225" i="1"/>
  <c r="L1221" i="1"/>
  <c r="L1217" i="1"/>
  <c r="L1213" i="1"/>
  <c r="L1209" i="1"/>
  <c r="L1205" i="1"/>
  <c r="L1201" i="1"/>
  <c r="L1197" i="1"/>
  <c r="L1193" i="1"/>
  <c r="L1189" i="1"/>
  <c r="L1185" i="1"/>
  <c r="L1181" i="1"/>
  <c r="L1177" i="1"/>
  <c r="L1173" i="1"/>
  <c r="L1168" i="1"/>
  <c r="L1163" i="1"/>
  <c r="L1158" i="1"/>
  <c r="L1152" i="1"/>
  <c r="L1146" i="1"/>
  <c r="L1138" i="1"/>
  <c r="L1130" i="1"/>
  <c r="L1122" i="1"/>
  <c r="L1114" i="1"/>
  <c r="L1106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29" i="1"/>
  <c r="L918" i="1"/>
  <c r="L908" i="1"/>
  <c r="L897" i="1"/>
  <c r="L886" i="1"/>
  <c r="L876" i="1"/>
  <c r="L865" i="1"/>
  <c r="L854" i="1"/>
  <c r="L844" i="1"/>
  <c r="L833" i="1"/>
  <c r="L822" i="1"/>
  <c r="L812" i="1"/>
  <c r="L801" i="1"/>
  <c r="L790" i="1"/>
  <c r="L780" i="1"/>
  <c r="L769" i="1"/>
  <c r="L758" i="1"/>
  <c r="L748" i="1"/>
  <c r="L737" i="1"/>
  <c r="L726" i="1"/>
  <c r="L716" i="1"/>
  <c r="L705" i="1"/>
  <c r="L694" i="1"/>
  <c r="L684" i="1"/>
  <c r="L673" i="1"/>
  <c r="L662" i="1"/>
  <c r="L652" i="1"/>
  <c r="L641" i="1"/>
  <c r="L630" i="1"/>
  <c r="L620" i="1"/>
  <c r="L609" i="1"/>
  <c r="L598" i="1"/>
  <c r="L588" i="1"/>
  <c r="L577" i="1"/>
  <c r="L566" i="1"/>
  <c r="L556" i="1"/>
  <c r="L545" i="1"/>
  <c r="L534" i="1"/>
  <c r="L524" i="1"/>
  <c r="L510" i="1"/>
  <c r="L494" i="1"/>
  <c r="L478" i="1"/>
  <c r="L462" i="1"/>
  <c r="L446" i="1"/>
  <c r="L430" i="1"/>
  <c r="L406" i="1"/>
  <c r="L375" i="1"/>
  <c r="L343" i="1"/>
  <c r="L301" i="1"/>
  <c r="L258" i="1"/>
  <c r="L216" i="1"/>
  <c r="L173" i="1"/>
  <c r="L130" i="1"/>
  <c r="L88" i="1"/>
  <c r="L45" i="1"/>
  <c r="L2" i="1"/>
  <c r="R2" i="1" s="1"/>
  <c r="F2" i="1" s="1"/>
  <c r="L1328" i="1"/>
  <c r="L1324" i="1"/>
  <c r="L1320" i="1"/>
  <c r="L1316" i="1"/>
  <c r="L1312" i="1"/>
  <c r="L1308" i="1"/>
  <c r="L1304" i="1"/>
  <c r="L1300" i="1"/>
  <c r="L1296" i="1"/>
  <c r="L1292" i="1"/>
  <c r="L1288" i="1"/>
  <c r="L1284" i="1"/>
  <c r="R1284" i="1" s="1"/>
  <c r="F1284" i="1" s="1"/>
  <c r="L1280" i="1"/>
  <c r="L1276" i="1"/>
  <c r="L1272" i="1"/>
  <c r="L1268" i="1"/>
  <c r="L1264" i="1"/>
  <c r="L1260" i="1"/>
  <c r="L1256" i="1"/>
  <c r="L1252" i="1"/>
  <c r="L1248" i="1"/>
  <c r="L1244" i="1"/>
  <c r="L1240" i="1"/>
  <c r="L1236" i="1"/>
  <c r="L1232" i="1"/>
  <c r="L1228" i="1"/>
  <c r="L1224" i="1"/>
  <c r="L1220" i="1"/>
  <c r="L1216" i="1"/>
  <c r="L1212" i="1"/>
  <c r="L1208" i="1"/>
  <c r="L1204" i="1"/>
  <c r="L1200" i="1"/>
  <c r="L1196" i="1"/>
  <c r="L1192" i="1"/>
  <c r="L1188" i="1"/>
  <c r="L1184" i="1"/>
  <c r="L1180" i="1"/>
  <c r="L1176" i="1"/>
  <c r="L1172" i="1"/>
  <c r="L1167" i="1"/>
  <c r="L1162" i="1"/>
  <c r="L1156" i="1"/>
  <c r="L1151" i="1"/>
  <c r="L1144" i="1"/>
  <c r="L1136" i="1"/>
  <c r="L1128" i="1"/>
  <c r="L1120" i="1"/>
  <c r="L1112" i="1"/>
  <c r="L1104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6" i="1"/>
  <c r="L916" i="1"/>
  <c r="L905" i="1"/>
  <c r="L894" i="1"/>
  <c r="L884" i="1"/>
  <c r="L873" i="1"/>
  <c r="L862" i="1"/>
  <c r="L852" i="1"/>
  <c r="L841" i="1"/>
  <c r="L830" i="1"/>
  <c r="L820" i="1"/>
  <c r="L809" i="1"/>
  <c r="L798" i="1"/>
  <c r="L788" i="1"/>
  <c r="L777" i="1"/>
  <c r="L766" i="1"/>
  <c r="L756" i="1"/>
  <c r="L745" i="1"/>
  <c r="L734" i="1"/>
  <c r="L724" i="1"/>
  <c r="L713" i="1"/>
  <c r="L702" i="1"/>
  <c r="L692" i="1"/>
  <c r="L681" i="1"/>
  <c r="L670" i="1"/>
  <c r="L660" i="1"/>
  <c r="L649" i="1"/>
  <c r="L638" i="1"/>
  <c r="L628" i="1"/>
  <c r="L617" i="1"/>
  <c r="L606" i="1"/>
  <c r="L596" i="1"/>
  <c r="L585" i="1"/>
  <c r="L574" i="1"/>
  <c r="L564" i="1"/>
  <c r="L553" i="1"/>
  <c r="L542" i="1"/>
  <c r="L532" i="1"/>
  <c r="L521" i="1"/>
  <c r="L506" i="1"/>
  <c r="L490" i="1"/>
  <c r="L474" i="1"/>
  <c r="L458" i="1"/>
  <c r="L442" i="1"/>
  <c r="L426" i="1"/>
  <c r="L398" i="1"/>
  <c r="L367" i="1"/>
  <c r="L333" i="1"/>
  <c r="L290" i="1"/>
  <c r="L248" i="1"/>
  <c r="L205" i="1"/>
  <c r="L162" i="1"/>
  <c r="L120" i="1"/>
  <c r="L77" i="1"/>
  <c r="L34" i="1"/>
  <c r="L1331" i="1"/>
  <c r="L1327" i="1"/>
  <c r="L1323" i="1"/>
  <c r="L1319" i="1"/>
  <c r="L1315" i="1"/>
  <c r="L1311" i="1"/>
  <c r="L1307" i="1"/>
  <c r="L1303" i="1"/>
  <c r="L1299" i="1"/>
  <c r="L1295" i="1"/>
  <c r="L1291" i="1"/>
  <c r="L1287" i="1"/>
  <c r="L1283" i="1"/>
  <c r="L1279" i="1"/>
  <c r="L1275" i="1"/>
  <c r="L1271" i="1"/>
  <c r="L1267" i="1"/>
  <c r="L1263" i="1"/>
  <c r="L1259" i="1"/>
  <c r="L1255" i="1"/>
  <c r="L1251" i="1"/>
  <c r="L1247" i="1"/>
  <c r="L1243" i="1"/>
  <c r="L1239" i="1"/>
  <c r="L1235" i="1"/>
  <c r="L1231" i="1"/>
  <c r="L1227" i="1"/>
  <c r="L1223" i="1"/>
  <c r="L1219" i="1"/>
  <c r="L1215" i="1"/>
  <c r="L1211" i="1"/>
  <c r="L1207" i="1"/>
  <c r="L1203" i="1"/>
  <c r="L1199" i="1"/>
  <c r="L1195" i="1"/>
  <c r="L1191" i="1"/>
  <c r="L1187" i="1"/>
  <c r="L1183" i="1"/>
  <c r="L1179" i="1"/>
  <c r="L1175" i="1"/>
  <c r="L1171" i="1"/>
  <c r="L1166" i="1"/>
  <c r="L1160" i="1"/>
  <c r="L1155" i="1"/>
  <c r="L1150" i="1"/>
  <c r="L1142" i="1"/>
  <c r="L1134" i="1"/>
  <c r="L1126" i="1"/>
  <c r="L1118" i="1"/>
  <c r="L1110" i="1"/>
  <c r="L1102" i="1"/>
  <c r="L1094" i="1"/>
  <c r="L1086" i="1"/>
  <c r="L1078" i="1"/>
  <c r="L1070" i="1"/>
  <c r="L1062" i="1"/>
  <c r="L1054" i="1"/>
  <c r="L1046" i="1"/>
  <c r="L1038" i="1"/>
  <c r="L1030" i="1"/>
  <c r="L1022" i="1"/>
  <c r="L1014" i="1"/>
  <c r="L1006" i="1"/>
  <c r="L998" i="1"/>
  <c r="L990" i="1"/>
  <c r="L982" i="1"/>
  <c r="L974" i="1"/>
  <c r="L966" i="1"/>
  <c r="L958" i="1"/>
  <c r="L950" i="1"/>
  <c r="L942" i="1"/>
  <c r="L934" i="1"/>
  <c r="L924" i="1"/>
  <c r="L913" i="1"/>
  <c r="L902" i="1"/>
  <c r="L892" i="1"/>
  <c r="L881" i="1"/>
  <c r="L870" i="1"/>
  <c r="L860" i="1"/>
  <c r="L849" i="1"/>
  <c r="L838" i="1"/>
  <c r="L828" i="1"/>
  <c r="L817" i="1"/>
  <c r="L806" i="1"/>
  <c r="L796" i="1"/>
  <c r="L785" i="1"/>
  <c r="L774" i="1"/>
  <c r="L764" i="1"/>
  <c r="L753" i="1"/>
  <c r="L742" i="1"/>
  <c r="L732" i="1"/>
  <c r="L721" i="1"/>
  <c r="L710" i="1"/>
  <c r="L700" i="1"/>
  <c r="L689" i="1"/>
  <c r="L678" i="1"/>
  <c r="L668" i="1"/>
  <c r="L657" i="1"/>
  <c r="L646" i="1"/>
  <c r="L636" i="1"/>
  <c r="L625" i="1"/>
  <c r="L614" i="1"/>
  <c r="L604" i="1"/>
  <c r="L593" i="1"/>
  <c r="L582" i="1"/>
  <c r="L572" i="1"/>
  <c r="L561" i="1"/>
  <c r="L550" i="1"/>
  <c r="L540" i="1"/>
  <c r="L529" i="1"/>
  <c r="L518" i="1"/>
  <c r="L502" i="1"/>
  <c r="L486" i="1"/>
  <c r="L470" i="1"/>
  <c r="L454" i="1"/>
  <c r="L438" i="1"/>
  <c r="L420" i="1"/>
  <c r="L390" i="1"/>
  <c r="L359" i="1"/>
  <c r="L322" i="1"/>
  <c r="L280" i="1"/>
  <c r="L237" i="1"/>
  <c r="L194" i="1"/>
  <c r="L152" i="1"/>
  <c r="L109" i="1"/>
  <c r="L66" i="1"/>
  <c r="L24" i="1"/>
  <c r="R24" i="1" s="1"/>
  <c r="F24" i="1" s="1"/>
  <c r="L1330" i="1"/>
  <c r="R1330" i="1" s="1"/>
  <c r="F1330" i="1" s="1"/>
  <c r="L1326" i="1"/>
  <c r="L1322" i="1"/>
  <c r="L1318" i="1"/>
  <c r="L1314" i="1"/>
  <c r="L1310" i="1"/>
  <c r="L1306" i="1"/>
  <c r="L1302" i="1"/>
  <c r="L1298" i="1"/>
  <c r="L1294" i="1"/>
  <c r="L1290" i="1"/>
  <c r="L1286" i="1"/>
  <c r="L1282" i="1"/>
  <c r="L1278" i="1"/>
  <c r="L1274" i="1"/>
  <c r="L1270" i="1"/>
  <c r="L1266" i="1"/>
  <c r="L1262" i="1"/>
  <c r="L1258" i="1"/>
  <c r="L1254" i="1"/>
  <c r="L1250" i="1"/>
  <c r="L1246" i="1"/>
  <c r="L1242" i="1"/>
  <c r="L1238" i="1"/>
  <c r="L1234" i="1"/>
  <c r="L1230" i="1"/>
  <c r="L1226" i="1"/>
  <c r="L1222" i="1"/>
  <c r="L1218" i="1"/>
  <c r="L1214" i="1"/>
  <c r="L1210" i="1"/>
  <c r="L1206" i="1"/>
  <c r="L1202" i="1"/>
  <c r="L1198" i="1"/>
  <c r="L1194" i="1"/>
  <c r="L1190" i="1"/>
  <c r="L1186" i="1"/>
  <c r="L1182" i="1"/>
  <c r="L1174" i="1"/>
  <c r="L1170" i="1"/>
  <c r="L1164" i="1"/>
  <c r="L1159" i="1"/>
  <c r="L1154" i="1"/>
  <c r="L1148" i="1"/>
  <c r="L1140" i="1"/>
  <c r="L1132" i="1"/>
  <c r="L1124" i="1"/>
  <c r="L1116" i="1"/>
  <c r="L1108" i="1"/>
  <c r="L1100" i="1"/>
  <c r="L1092" i="1"/>
  <c r="L1084" i="1"/>
  <c r="L1076" i="1"/>
  <c r="L1068" i="1"/>
  <c r="L1060" i="1"/>
  <c r="L1052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40" i="1"/>
  <c r="L932" i="1"/>
  <c r="L921" i="1"/>
  <c r="L910" i="1"/>
  <c r="L900" i="1"/>
  <c r="L889" i="1"/>
  <c r="L878" i="1"/>
  <c r="L868" i="1"/>
  <c r="L857" i="1"/>
  <c r="L846" i="1"/>
  <c r="L836" i="1"/>
  <c r="L825" i="1"/>
  <c r="L814" i="1"/>
  <c r="L804" i="1"/>
  <c r="L793" i="1"/>
  <c r="L782" i="1"/>
  <c r="L772" i="1"/>
  <c r="L761" i="1"/>
  <c r="L750" i="1"/>
  <c r="L740" i="1"/>
  <c r="L729" i="1"/>
  <c r="L718" i="1"/>
  <c r="L708" i="1"/>
  <c r="L697" i="1"/>
  <c r="L686" i="1"/>
  <c r="L676" i="1"/>
  <c r="L665" i="1"/>
  <c r="L654" i="1"/>
  <c r="L644" i="1"/>
  <c r="L633" i="1"/>
  <c r="L622" i="1"/>
  <c r="L612" i="1"/>
  <c r="L601" i="1"/>
  <c r="L590" i="1"/>
  <c r="L580" i="1"/>
  <c r="L569" i="1"/>
  <c r="L558" i="1"/>
  <c r="L548" i="1"/>
  <c r="L537" i="1"/>
  <c r="L526" i="1"/>
  <c r="L514" i="1"/>
  <c r="L498" i="1"/>
  <c r="L482" i="1"/>
  <c r="L466" i="1"/>
  <c r="L450" i="1"/>
  <c r="L434" i="1"/>
  <c r="L414" i="1"/>
  <c r="L382" i="1"/>
  <c r="L351" i="1"/>
  <c r="L312" i="1"/>
  <c r="L269" i="1"/>
  <c r="L226" i="1"/>
  <c r="L184" i="1"/>
  <c r="L141" i="1"/>
  <c r="L98" i="1"/>
  <c r="L56" i="1"/>
  <c r="L13" i="1"/>
  <c r="R13" i="1" s="1"/>
  <c r="F13" i="1" s="1"/>
  <c r="I1288" i="1"/>
  <c r="I1294" i="1"/>
  <c r="I1298" i="1"/>
  <c r="I1304" i="1"/>
  <c r="I1310" i="1"/>
  <c r="I1314" i="1"/>
  <c r="I1320" i="1"/>
  <c r="I1328" i="1"/>
  <c r="I1287" i="1"/>
  <c r="I1291" i="1"/>
  <c r="I1295" i="1"/>
  <c r="I1297" i="1"/>
  <c r="I1299" i="1"/>
  <c r="I1303" i="1"/>
  <c r="I1305" i="1"/>
  <c r="I1307" i="1"/>
  <c r="I1309" i="1"/>
  <c r="I1311" i="1"/>
  <c r="I1313" i="1"/>
  <c r="I1315" i="1"/>
  <c r="I1317" i="1"/>
  <c r="I1319" i="1"/>
  <c r="I1321" i="1"/>
  <c r="I1323" i="1"/>
  <c r="I1325" i="1"/>
  <c r="I1327" i="1"/>
  <c r="I1329" i="1"/>
  <c r="I1331" i="1"/>
  <c r="I1286" i="1"/>
  <c r="I1290" i="1"/>
  <c r="I1292" i="1"/>
  <c r="I1296" i="1"/>
  <c r="I1300" i="1"/>
  <c r="I1302" i="1"/>
  <c r="I1306" i="1"/>
  <c r="I1308" i="1"/>
  <c r="I1312" i="1"/>
  <c r="I1316" i="1"/>
  <c r="I1318" i="1"/>
  <c r="I1322" i="1"/>
  <c r="I1324" i="1"/>
  <c r="I1326" i="1"/>
  <c r="I1285" i="1"/>
  <c r="I1289" i="1"/>
  <c r="I1293" i="1"/>
  <c r="I665" i="1"/>
  <c r="I985" i="1"/>
  <c r="I1146" i="1"/>
  <c r="I1242" i="1"/>
  <c r="I857" i="1"/>
  <c r="I1082" i="1"/>
  <c r="I143" i="1"/>
  <c r="I39" i="1"/>
  <c r="I381" i="1"/>
  <c r="I1200" i="1"/>
  <c r="I271" i="1"/>
  <c r="I1274" i="1"/>
  <c r="I1232" i="1"/>
  <c r="I1190" i="1"/>
  <c r="I1130" i="1"/>
  <c r="I1066" i="1"/>
  <c r="I953" i="1"/>
  <c r="I825" i="1"/>
  <c r="I601" i="1"/>
  <c r="I1264" i="1"/>
  <c r="I1222" i="1"/>
  <c r="I1178" i="1"/>
  <c r="R1178" i="1" s="1"/>
  <c r="F1178" i="1" s="1"/>
  <c r="I1114" i="1"/>
  <c r="I1047" i="1"/>
  <c r="I921" i="1"/>
  <c r="I793" i="1"/>
  <c r="I509" i="1"/>
  <c r="I1254" i="1"/>
  <c r="I1210" i="1"/>
  <c r="I1162" i="1"/>
  <c r="I1098" i="1"/>
  <c r="I1017" i="1"/>
  <c r="I889" i="1"/>
  <c r="I729" i="1"/>
  <c r="I1262" i="1"/>
  <c r="I1250" i="1"/>
  <c r="I1218" i="1"/>
  <c r="I1208" i="1"/>
  <c r="I1198" i="1"/>
  <c r="I1186" i="1"/>
  <c r="I1174" i="1"/>
  <c r="I1158" i="1"/>
  <c r="I1142" i="1"/>
  <c r="I1126" i="1"/>
  <c r="I1110" i="1"/>
  <c r="I1094" i="1"/>
  <c r="I1078" i="1"/>
  <c r="I1062" i="1"/>
  <c r="I1041" i="1"/>
  <c r="I1009" i="1"/>
  <c r="I977" i="1"/>
  <c r="I945" i="1"/>
  <c r="I913" i="1"/>
  <c r="I881" i="1"/>
  <c r="I849" i="1"/>
  <c r="I817" i="1"/>
  <c r="I777" i="1"/>
  <c r="I713" i="1"/>
  <c r="I649" i="1"/>
  <c r="I583" i="1"/>
  <c r="I477" i="1"/>
  <c r="I335" i="1"/>
  <c r="I1240" i="1"/>
  <c r="I1280" i="1"/>
  <c r="I1248" i="1"/>
  <c r="I1216" i="1"/>
  <c r="I1206" i="1"/>
  <c r="I1194" i="1"/>
  <c r="I1170" i="1"/>
  <c r="I1154" i="1"/>
  <c r="I1138" i="1"/>
  <c r="I1122" i="1"/>
  <c r="I1106" i="1"/>
  <c r="I1090" i="1"/>
  <c r="I1074" i="1"/>
  <c r="I1057" i="1"/>
  <c r="I1033" i="1"/>
  <c r="I1001" i="1"/>
  <c r="I969" i="1"/>
  <c r="I937" i="1"/>
  <c r="I905" i="1"/>
  <c r="I873" i="1"/>
  <c r="I841" i="1"/>
  <c r="I809" i="1"/>
  <c r="I761" i="1"/>
  <c r="I697" i="1"/>
  <c r="I633" i="1"/>
  <c r="I561" i="1"/>
  <c r="I445" i="1"/>
  <c r="I63" i="1"/>
  <c r="I1132" i="1"/>
  <c r="I1140" i="1"/>
  <c r="I1148" i="1"/>
  <c r="I1156" i="1"/>
  <c r="I1164" i="1"/>
  <c r="I1172" i="1"/>
  <c r="I1180" i="1"/>
  <c r="I1188" i="1"/>
  <c r="I1196" i="1"/>
  <c r="I1204" i="1"/>
  <c r="I1212" i="1"/>
  <c r="I1220" i="1"/>
  <c r="I1228" i="1"/>
  <c r="I1236" i="1"/>
  <c r="I1244" i="1"/>
  <c r="I1252" i="1"/>
  <c r="I1260" i="1"/>
  <c r="I1268" i="1"/>
  <c r="I1276" i="1"/>
  <c r="I175" i="1"/>
  <c r="I397" i="1"/>
  <c r="I461" i="1"/>
  <c r="I493" i="1"/>
  <c r="I551" i="1"/>
  <c r="I572" i="1"/>
  <c r="I609" i="1"/>
  <c r="I625" i="1"/>
  <c r="I657" i="1"/>
  <c r="I673" i="1"/>
  <c r="I705" i="1"/>
  <c r="I721" i="1"/>
  <c r="I753" i="1"/>
  <c r="I785" i="1"/>
  <c r="I95" i="1"/>
  <c r="I239" i="1"/>
  <c r="I303" i="1"/>
  <c r="I365" i="1"/>
  <c r="I429" i="1"/>
  <c r="I525" i="1"/>
  <c r="I593" i="1"/>
  <c r="I641" i="1"/>
  <c r="I689" i="1"/>
  <c r="I737" i="1"/>
  <c r="I769" i="1"/>
  <c r="I853" i="1"/>
  <c r="I869" i="1"/>
  <c r="I885" i="1"/>
  <c r="I901" i="1"/>
  <c r="I917" i="1"/>
  <c r="I933" i="1"/>
  <c r="I949" i="1"/>
  <c r="I965" i="1"/>
  <c r="I981" i="1"/>
  <c r="I997" i="1"/>
  <c r="I1013" i="1"/>
  <c r="I1029" i="1"/>
  <c r="I1044" i="1"/>
  <c r="I1055" i="1"/>
  <c r="I1064" i="1"/>
  <c r="I1072" i="1"/>
  <c r="I1080" i="1"/>
  <c r="I1088" i="1"/>
  <c r="I1096" i="1"/>
  <c r="I1104" i="1"/>
  <c r="I1112" i="1"/>
  <c r="I1120" i="1"/>
  <c r="I1128" i="1"/>
  <c r="I1136" i="1"/>
  <c r="I1144" i="1"/>
  <c r="I1152" i="1"/>
  <c r="I1160" i="1"/>
  <c r="I1168" i="1"/>
  <c r="I1176" i="1"/>
  <c r="I1282" i="1"/>
  <c r="I1272" i="1"/>
  <c r="I1230" i="1"/>
  <c r="I1270" i="1"/>
  <c r="I1258" i="1"/>
  <c r="I1238" i="1"/>
  <c r="I1226" i="1"/>
  <c r="I1184" i="1"/>
  <c r="I1278" i="1"/>
  <c r="I1266" i="1"/>
  <c r="I1256" i="1"/>
  <c r="I1246" i="1"/>
  <c r="I1234" i="1"/>
  <c r="I1224" i="1"/>
  <c r="I1214" i="1"/>
  <c r="I1202" i="1"/>
  <c r="I1192" i="1"/>
  <c r="I1182" i="1"/>
  <c r="I1166" i="1"/>
  <c r="I1150" i="1"/>
  <c r="I1134" i="1"/>
  <c r="I1118" i="1"/>
  <c r="I1102" i="1"/>
  <c r="I1086" i="1"/>
  <c r="I1070" i="1"/>
  <c r="I1052" i="1"/>
  <c r="I1025" i="1"/>
  <c r="I993" i="1"/>
  <c r="I961" i="1"/>
  <c r="I929" i="1"/>
  <c r="I897" i="1"/>
  <c r="I865" i="1"/>
  <c r="I833" i="1"/>
  <c r="I801" i="1"/>
  <c r="I745" i="1"/>
  <c r="I681" i="1"/>
  <c r="I617" i="1"/>
  <c r="I540" i="1"/>
  <c r="I413" i="1"/>
  <c r="I207" i="1"/>
  <c r="I837" i="1"/>
  <c r="I821" i="1"/>
  <c r="I805" i="1"/>
  <c r="I789" i="1"/>
  <c r="I773" i="1"/>
  <c r="I757" i="1"/>
  <c r="I741" i="1"/>
  <c r="I725" i="1"/>
  <c r="I709" i="1"/>
  <c r="I693" i="1"/>
  <c r="I677" i="1"/>
  <c r="I661" i="1"/>
  <c r="I645" i="1"/>
  <c r="I629" i="1"/>
  <c r="I613" i="1"/>
  <c r="I597" i="1"/>
  <c r="I577" i="1"/>
  <c r="I556" i="1"/>
  <c r="I533" i="1"/>
  <c r="I501" i="1"/>
  <c r="I469" i="1"/>
  <c r="I437" i="1"/>
  <c r="I405" i="1"/>
  <c r="I374" i="1"/>
  <c r="I319" i="1"/>
  <c r="I255" i="1"/>
  <c r="I191" i="1"/>
  <c r="I127" i="1"/>
  <c r="I111" i="1"/>
  <c r="I1124" i="1"/>
  <c r="I1116" i="1"/>
  <c r="I1108" i="1"/>
  <c r="I1100" i="1"/>
  <c r="I1092" i="1"/>
  <c r="I1084" i="1"/>
  <c r="I1076" i="1"/>
  <c r="I1068" i="1"/>
  <c r="I1060" i="1"/>
  <c r="I1049" i="1"/>
  <c r="I1037" i="1"/>
  <c r="I1021" i="1"/>
  <c r="I1005" i="1"/>
  <c r="I989" i="1"/>
  <c r="I973" i="1"/>
  <c r="I957" i="1"/>
  <c r="I941" i="1"/>
  <c r="I925" i="1"/>
  <c r="I909" i="1"/>
  <c r="I893" i="1"/>
  <c r="I877" i="1"/>
  <c r="I861" i="1"/>
  <c r="I845" i="1"/>
  <c r="I829" i="1"/>
  <c r="I813" i="1"/>
  <c r="I797" i="1"/>
  <c r="I781" i="1"/>
  <c r="I765" i="1"/>
  <c r="I749" i="1"/>
  <c r="I733" i="1"/>
  <c r="I717" i="1"/>
  <c r="I701" i="1"/>
  <c r="I685" i="1"/>
  <c r="I669" i="1"/>
  <c r="I653" i="1"/>
  <c r="I637" i="1"/>
  <c r="I621" i="1"/>
  <c r="I605" i="1"/>
  <c r="I588" i="1"/>
  <c r="I567" i="1"/>
  <c r="I545" i="1"/>
  <c r="I517" i="1"/>
  <c r="I485" i="1"/>
  <c r="I453" i="1"/>
  <c r="I421" i="1"/>
  <c r="I389" i="1"/>
  <c r="I351" i="1"/>
  <c r="I287" i="1"/>
  <c r="I223" i="1"/>
  <c r="I159" i="1"/>
  <c r="I79" i="1"/>
  <c r="I47" i="1"/>
  <c r="I1281" i="1"/>
  <c r="I1277" i="1"/>
  <c r="I1273" i="1"/>
  <c r="I1269" i="1"/>
  <c r="I1265" i="1"/>
  <c r="I1261" i="1"/>
  <c r="I1257" i="1"/>
  <c r="I1253" i="1"/>
  <c r="I1249" i="1"/>
  <c r="I1245" i="1"/>
  <c r="I1241" i="1"/>
  <c r="I1237" i="1"/>
  <c r="I1233" i="1"/>
  <c r="I1229" i="1"/>
  <c r="I1225" i="1"/>
  <c r="I1221" i="1"/>
  <c r="I1217" i="1"/>
  <c r="I1213" i="1"/>
  <c r="I1209" i="1"/>
  <c r="I1205" i="1"/>
  <c r="I1201" i="1"/>
  <c r="I1197" i="1"/>
  <c r="I1193" i="1"/>
  <c r="I1189" i="1"/>
  <c r="I1185" i="1"/>
  <c r="I1181" i="1"/>
  <c r="I1177" i="1"/>
  <c r="I1173" i="1"/>
  <c r="I1169" i="1"/>
  <c r="I1165" i="1"/>
  <c r="I1161" i="1"/>
  <c r="I1157" i="1"/>
  <c r="I1153" i="1"/>
  <c r="I1149" i="1"/>
  <c r="I1145" i="1"/>
  <c r="I1141" i="1"/>
  <c r="I1137" i="1"/>
  <c r="I1133" i="1"/>
  <c r="I1129" i="1"/>
  <c r="I1125" i="1"/>
  <c r="I1121" i="1"/>
  <c r="I1117" i="1"/>
  <c r="I1113" i="1"/>
  <c r="I1109" i="1"/>
  <c r="I1105" i="1"/>
  <c r="I1101" i="1"/>
  <c r="I1097" i="1"/>
  <c r="I1093" i="1"/>
  <c r="I1089" i="1"/>
  <c r="I1085" i="1"/>
  <c r="I1081" i="1"/>
  <c r="I1077" i="1"/>
  <c r="I1073" i="1"/>
  <c r="I1069" i="1"/>
  <c r="I1065" i="1"/>
  <c r="I1061" i="1"/>
  <c r="I1056" i="1"/>
  <c r="I1051" i="1"/>
  <c r="I1045" i="1"/>
  <c r="I1039" i="1"/>
  <c r="I1031" i="1"/>
  <c r="I1023" i="1"/>
  <c r="I1015" i="1"/>
  <c r="I1007" i="1"/>
  <c r="I999" i="1"/>
  <c r="I991" i="1"/>
  <c r="I983" i="1"/>
  <c r="I975" i="1"/>
  <c r="I967" i="1"/>
  <c r="I959" i="1"/>
  <c r="I951" i="1"/>
  <c r="I943" i="1"/>
  <c r="I935" i="1"/>
  <c r="I927" i="1"/>
  <c r="I919" i="1"/>
  <c r="I911" i="1"/>
  <c r="I903" i="1"/>
  <c r="I895" i="1"/>
  <c r="I887" i="1"/>
  <c r="I879" i="1"/>
  <c r="I871" i="1"/>
  <c r="I863" i="1"/>
  <c r="I855" i="1"/>
  <c r="I847" i="1"/>
  <c r="I839" i="1"/>
  <c r="I831" i="1"/>
  <c r="I823" i="1"/>
  <c r="I815" i="1"/>
  <c r="I807" i="1"/>
  <c r="I799" i="1"/>
  <c r="I791" i="1"/>
  <c r="I783" i="1"/>
  <c r="I775" i="1"/>
  <c r="I767" i="1"/>
  <c r="I759" i="1"/>
  <c r="I751" i="1"/>
  <c r="I743" i="1"/>
  <c r="I735" i="1"/>
  <c r="I727" i="1"/>
  <c r="I719" i="1"/>
  <c r="I711" i="1"/>
  <c r="I703" i="1"/>
  <c r="I695" i="1"/>
  <c r="I687" i="1"/>
  <c r="I679" i="1"/>
  <c r="I671" i="1"/>
  <c r="I663" i="1"/>
  <c r="I655" i="1"/>
  <c r="I647" i="1"/>
  <c r="I639" i="1"/>
  <c r="I631" i="1"/>
  <c r="I623" i="1"/>
  <c r="I615" i="1"/>
  <c r="I607" i="1"/>
  <c r="I599" i="1"/>
  <c r="I591" i="1"/>
  <c r="I580" i="1"/>
  <c r="I569" i="1"/>
  <c r="I559" i="1"/>
  <c r="I548" i="1"/>
  <c r="I537" i="1"/>
  <c r="I521" i="1"/>
  <c r="I505" i="1"/>
  <c r="I489" i="1"/>
  <c r="I473" i="1"/>
  <c r="I457" i="1"/>
  <c r="I441" i="1"/>
  <c r="I425" i="1"/>
  <c r="I409" i="1"/>
  <c r="I393" i="1"/>
  <c r="I377" i="1"/>
  <c r="I359" i="1"/>
  <c r="I327" i="1"/>
  <c r="I295" i="1"/>
  <c r="I263" i="1"/>
  <c r="I231" i="1"/>
  <c r="I199" i="1"/>
  <c r="I167" i="1"/>
  <c r="I135" i="1"/>
  <c r="I103" i="1"/>
  <c r="I71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350" i="1"/>
  <c r="I354" i="1"/>
  <c r="I35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364" i="1"/>
  <c r="I368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349" i="1"/>
  <c r="I357" i="1"/>
  <c r="I363" i="1"/>
  <c r="I369" i="1"/>
  <c r="I373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3" i="1"/>
  <c r="I241" i="1"/>
  <c r="I249" i="1"/>
  <c r="I257" i="1"/>
  <c r="I265" i="1"/>
  <c r="I273" i="1"/>
  <c r="I281" i="1"/>
  <c r="I289" i="1"/>
  <c r="I297" i="1"/>
  <c r="I305" i="1"/>
  <c r="I313" i="1"/>
  <c r="I321" i="1"/>
  <c r="I329" i="1"/>
  <c r="I337" i="1"/>
  <c r="I345" i="1"/>
  <c r="I353" i="1"/>
  <c r="I361" i="1"/>
  <c r="I366" i="1"/>
  <c r="I371" i="1"/>
  <c r="I375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2" i="1"/>
  <c r="I372" i="1"/>
  <c r="I379" i="1"/>
  <c r="I387" i="1"/>
  <c r="I395" i="1"/>
  <c r="I403" i="1"/>
  <c r="I411" i="1"/>
  <c r="I419" i="1"/>
  <c r="I427" i="1"/>
  <c r="I435" i="1"/>
  <c r="I443" i="1"/>
  <c r="I451" i="1"/>
  <c r="I459" i="1"/>
  <c r="I467" i="1"/>
  <c r="I475" i="1"/>
  <c r="I483" i="1"/>
  <c r="I491" i="1"/>
  <c r="I499" i="1"/>
  <c r="I507" i="1"/>
  <c r="I515" i="1"/>
  <c r="I523" i="1"/>
  <c r="I531" i="1"/>
  <c r="I539" i="1"/>
  <c r="I544" i="1"/>
  <c r="I549" i="1"/>
  <c r="I555" i="1"/>
  <c r="I560" i="1"/>
  <c r="I565" i="1"/>
  <c r="I571" i="1"/>
  <c r="I576" i="1"/>
  <c r="I581" i="1"/>
  <c r="I587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884" i="1"/>
  <c r="I888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35" i="1"/>
  <c r="I51" i="1"/>
  <c r="I67" i="1"/>
  <c r="I83" i="1"/>
  <c r="I99" i="1"/>
  <c r="I115" i="1"/>
  <c r="I131" i="1"/>
  <c r="I147" i="1"/>
  <c r="I163" i="1"/>
  <c r="I179" i="1"/>
  <c r="I195" i="1"/>
  <c r="I211" i="1"/>
  <c r="I227" i="1"/>
  <c r="I243" i="1"/>
  <c r="I259" i="1"/>
  <c r="I275" i="1"/>
  <c r="I291" i="1"/>
  <c r="I307" i="1"/>
  <c r="I323" i="1"/>
  <c r="I339" i="1"/>
  <c r="I355" i="1"/>
  <c r="I367" i="1"/>
  <c r="I376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1" i="1"/>
  <c r="I547" i="1"/>
  <c r="I552" i="1"/>
  <c r="I557" i="1"/>
  <c r="I563" i="1"/>
  <c r="I568" i="1"/>
  <c r="I573" i="1"/>
  <c r="I579" i="1"/>
  <c r="I584" i="1"/>
  <c r="I589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283" i="1"/>
  <c r="I1279" i="1"/>
  <c r="I1275" i="1"/>
  <c r="I1271" i="1"/>
  <c r="I1267" i="1"/>
  <c r="I1263" i="1"/>
  <c r="I1259" i="1"/>
  <c r="I1255" i="1"/>
  <c r="I1251" i="1"/>
  <c r="I1247" i="1"/>
  <c r="I1243" i="1"/>
  <c r="I1239" i="1"/>
  <c r="I1235" i="1"/>
  <c r="I1231" i="1"/>
  <c r="I1227" i="1"/>
  <c r="I1223" i="1"/>
  <c r="I1219" i="1"/>
  <c r="I1215" i="1"/>
  <c r="I1211" i="1"/>
  <c r="I1207" i="1"/>
  <c r="I1203" i="1"/>
  <c r="I1199" i="1"/>
  <c r="I1195" i="1"/>
  <c r="I1191" i="1"/>
  <c r="I1187" i="1"/>
  <c r="I1183" i="1"/>
  <c r="I1179" i="1"/>
  <c r="I1175" i="1"/>
  <c r="I1171" i="1"/>
  <c r="I1167" i="1"/>
  <c r="I1163" i="1"/>
  <c r="I1159" i="1"/>
  <c r="I1155" i="1"/>
  <c r="I1151" i="1"/>
  <c r="I1147" i="1"/>
  <c r="I1143" i="1"/>
  <c r="I1139" i="1"/>
  <c r="I1135" i="1"/>
  <c r="I1131" i="1"/>
  <c r="I1127" i="1"/>
  <c r="I1123" i="1"/>
  <c r="I1119" i="1"/>
  <c r="I1115" i="1"/>
  <c r="I1111" i="1"/>
  <c r="I1107" i="1"/>
  <c r="I1103" i="1"/>
  <c r="I1099" i="1"/>
  <c r="I1095" i="1"/>
  <c r="I1091" i="1"/>
  <c r="I1087" i="1"/>
  <c r="I1083" i="1"/>
  <c r="I1079" i="1"/>
  <c r="I1075" i="1"/>
  <c r="I1071" i="1"/>
  <c r="I1067" i="1"/>
  <c r="I1063" i="1"/>
  <c r="I1059" i="1"/>
  <c r="I1053" i="1"/>
  <c r="I1048" i="1"/>
  <c r="I1043" i="1"/>
  <c r="I1035" i="1"/>
  <c r="I1027" i="1"/>
  <c r="I1019" i="1"/>
  <c r="I1011" i="1"/>
  <c r="I1003" i="1"/>
  <c r="I995" i="1"/>
  <c r="I987" i="1"/>
  <c r="I979" i="1"/>
  <c r="I971" i="1"/>
  <c r="I963" i="1"/>
  <c r="I955" i="1"/>
  <c r="I947" i="1"/>
  <c r="I939" i="1"/>
  <c r="I931" i="1"/>
  <c r="I923" i="1"/>
  <c r="I915" i="1"/>
  <c r="I907" i="1"/>
  <c r="I899" i="1"/>
  <c r="I891" i="1"/>
  <c r="I883" i="1"/>
  <c r="I875" i="1"/>
  <c r="I867" i="1"/>
  <c r="I859" i="1"/>
  <c r="I851" i="1"/>
  <c r="I843" i="1"/>
  <c r="I835" i="1"/>
  <c r="I827" i="1"/>
  <c r="I819" i="1"/>
  <c r="I811" i="1"/>
  <c r="I803" i="1"/>
  <c r="I795" i="1"/>
  <c r="I787" i="1"/>
  <c r="I779" i="1"/>
  <c r="I771" i="1"/>
  <c r="I763" i="1"/>
  <c r="I755" i="1"/>
  <c r="I747" i="1"/>
  <c r="I739" i="1"/>
  <c r="I731" i="1"/>
  <c r="I723" i="1"/>
  <c r="I715" i="1"/>
  <c r="I707" i="1"/>
  <c r="I699" i="1"/>
  <c r="I691" i="1"/>
  <c r="I683" i="1"/>
  <c r="I675" i="1"/>
  <c r="I667" i="1"/>
  <c r="I659" i="1"/>
  <c r="I651" i="1"/>
  <c r="I643" i="1"/>
  <c r="I635" i="1"/>
  <c r="I627" i="1"/>
  <c r="I619" i="1"/>
  <c r="I611" i="1"/>
  <c r="I603" i="1"/>
  <c r="I595" i="1"/>
  <c r="I585" i="1"/>
  <c r="I575" i="1"/>
  <c r="I564" i="1"/>
  <c r="I553" i="1"/>
  <c r="I543" i="1"/>
  <c r="I529" i="1"/>
  <c r="I513" i="1"/>
  <c r="I497" i="1"/>
  <c r="I481" i="1"/>
  <c r="I465" i="1"/>
  <c r="I449" i="1"/>
  <c r="I433" i="1"/>
  <c r="I417" i="1"/>
  <c r="I401" i="1"/>
  <c r="I385" i="1"/>
  <c r="I370" i="1"/>
  <c r="I343" i="1"/>
  <c r="I311" i="1"/>
  <c r="I279" i="1"/>
  <c r="I247" i="1"/>
  <c r="I215" i="1"/>
  <c r="I183" i="1"/>
  <c r="I151" i="1"/>
  <c r="I119" i="1"/>
  <c r="I87" i="1"/>
  <c r="I55" i="1"/>
  <c r="R482" i="1" l="1"/>
  <c r="F482" i="1" s="1"/>
  <c r="R1254" i="1"/>
  <c r="F1254" i="1" s="1"/>
  <c r="R1286" i="1"/>
  <c r="F1286" i="1" s="1"/>
  <c r="R98" i="1"/>
  <c r="F98" i="1" s="1"/>
  <c r="S98" i="1" s="1"/>
  <c r="R269" i="1"/>
  <c r="F269" i="1" s="1"/>
  <c r="R1084" i="1"/>
  <c r="F1084" i="1" s="1"/>
  <c r="R1318" i="1"/>
  <c r="F1318" i="1" s="1"/>
  <c r="S1318" i="1" s="1"/>
  <c r="R793" i="1"/>
  <c r="F793" i="1" s="1"/>
  <c r="S793" i="1" s="1"/>
  <c r="R1116" i="1"/>
  <c r="F1116" i="1" s="1"/>
  <c r="R1190" i="1"/>
  <c r="F1190" i="1" s="1"/>
  <c r="R194" i="1"/>
  <c r="F194" i="1" s="1"/>
  <c r="R359" i="1"/>
  <c r="F359" i="1" s="1"/>
  <c r="R561" i="1"/>
  <c r="F561" i="1" s="1"/>
  <c r="R689" i="1"/>
  <c r="F689" i="1" s="1"/>
  <c r="R817" i="1"/>
  <c r="F817" i="1" s="1"/>
  <c r="R1070" i="1"/>
  <c r="F1070" i="1" s="1"/>
  <c r="S1070" i="1" s="1"/>
  <c r="R1102" i="1"/>
  <c r="F1102" i="1" s="1"/>
  <c r="R1134" i="1"/>
  <c r="F1134" i="1" s="1"/>
  <c r="R77" i="1"/>
  <c r="F77" i="1" s="1"/>
  <c r="R248" i="1"/>
  <c r="F248" i="1" s="1"/>
  <c r="S248" i="1" s="1"/>
  <c r="R474" i="1"/>
  <c r="F474" i="1" s="1"/>
  <c r="R617" i="1"/>
  <c r="F617" i="1" s="1"/>
  <c r="R745" i="1"/>
  <c r="F745" i="1" s="1"/>
  <c r="R873" i="1"/>
  <c r="F873" i="1" s="1"/>
  <c r="R952" i="1"/>
  <c r="F952" i="1" s="1"/>
  <c r="R984" i="1"/>
  <c r="F984" i="1" s="1"/>
  <c r="R184" i="1"/>
  <c r="F184" i="1" s="1"/>
  <c r="R450" i="1"/>
  <c r="F450" i="1" s="1"/>
  <c r="S450" i="1" s="1"/>
  <c r="R514" i="1"/>
  <c r="F514" i="1" s="1"/>
  <c r="R644" i="1"/>
  <c r="F644" i="1" s="1"/>
  <c r="R686" i="1"/>
  <c r="F686" i="1" s="1"/>
  <c r="S686" i="1" s="1"/>
  <c r="R729" i="1"/>
  <c r="F729" i="1" s="1"/>
  <c r="S729" i="1" s="1"/>
  <c r="R772" i="1"/>
  <c r="F772" i="1" s="1"/>
  <c r="R857" i="1"/>
  <c r="F857" i="1" s="1"/>
  <c r="R1068" i="1"/>
  <c r="F1068" i="1" s="1"/>
  <c r="R1100" i="1"/>
  <c r="F1100" i="1" s="1"/>
  <c r="R1159" i="1"/>
  <c r="F1159" i="1" s="1"/>
  <c r="R1182" i="1"/>
  <c r="F1182" i="1" s="1"/>
  <c r="R1214" i="1"/>
  <c r="F1214" i="1" s="1"/>
  <c r="R1230" i="1"/>
  <c r="F1230" i="1" s="1"/>
  <c r="S1230" i="1" s="1"/>
  <c r="R1278" i="1"/>
  <c r="F1278" i="1" s="1"/>
  <c r="R1310" i="1"/>
  <c r="F1310" i="1" s="1"/>
  <c r="R109" i="1"/>
  <c r="F109" i="1" s="1"/>
  <c r="R280" i="1"/>
  <c r="F280" i="1" s="1"/>
  <c r="S280" i="1" s="1"/>
  <c r="R753" i="1"/>
  <c r="F753" i="1" s="1"/>
  <c r="R881" i="1"/>
  <c r="F881" i="1" s="1"/>
  <c r="R1299" i="1"/>
  <c r="F1299" i="1" s="1"/>
  <c r="R162" i="1"/>
  <c r="F162" i="1" s="1"/>
  <c r="S162" i="1" s="1"/>
  <c r="R333" i="1"/>
  <c r="F333" i="1" s="1"/>
  <c r="R442" i="1"/>
  <c r="F442" i="1" s="1"/>
  <c r="R506" i="1"/>
  <c r="F506" i="1" s="1"/>
  <c r="R553" i="1"/>
  <c r="F553" i="1" s="1"/>
  <c r="S553" i="1" s="1"/>
  <c r="R809" i="1"/>
  <c r="F809" i="1" s="1"/>
  <c r="R936" i="1"/>
  <c r="F936" i="1" s="1"/>
  <c r="R968" i="1"/>
  <c r="F968" i="1" s="1"/>
  <c r="R1000" i="1"/>
  <c r="F1000" i="1" s="1"/>
  <c r="S1000" i="1" s="1"/>
  <c r="R1032" i="1"/>
  <c r="F1032" i="1" s="1"/>
  <c r="R1156" i="1"/>
  <c r="F1156" i="1" s="1"/>
  <c r="R1192" i="1"/>
  <c r="F1192" i="1" s="1"/>
  <c r="R1208" i="1"/>
  <c r="F1208" i="1" s="1"/>
  <c r="R1256" i="1"/>
  <c r="F1256" i="1" s="1"/>
  <c r="R1288" i="1"/>
  <c r="F1288" i="1" s="1"/>
  <c r="R1320" i="1"/>
  <c r="F1320" i="1" s="1"/>
  <c r="R45" i="1"/>
  <c r="F45" i="1" s="1"/>
  <c r="S45" i="1" s="1"/>
  <c r="R216" i="1"/>
  <c r="F216" i="1" s="1"/>
  <c r="R609" i="1"/>
  <c r="F609" i="1" s="1"/>
  <c r="R946" i="1"/>
  <c r="F946" i="1" s="1"/>
  <c r="R978" i="1"/>
  <c r="F978" i="1" s="1"/>
  <c r="S978" i="1" s="1"/>
  <c r="R1010" i="1"/>
  <c r="F1010" i="1" s="1"/>
  <c r="R1042" i="1"/>
  <c r="F1042" i="1" s="1"/>
  <c r="R1181" i="1"/>
  <c r="F1181" i="1" s="1"/>
  <c r="S1181" i="1" s="1"/>
  <c r="R1197" i="1"/>
  <c r="F1197" i="1" s="1"/>
  <c r="S1197" i="1" s="1"/>
  <c r="R1213" i="1"/>
  <c r="F1213" i="1" s="1"/>
  <c r="R1229" i="1"/>
  <c r="F1229" i="1" s="1"/>
  <c r="R1245" i="1"/>
  <c r="F1245" i="1" s="1"/>
  <c r="S1245" i="1" s="1"/>
  <c r="R1261" i="1"/>
  <c r="F1261" i="1" s="1"/>
  <c r="R1277" i="1"/>
  <c r="F1277" i="1" s="1"/>
  <c r="R1293" i="1"/>
  <c r="F1293" i="1" s="1"/>
  <c r="R1309" i="1"/>
  <c r="F1309" i="1" s="1"/>
  <c r="S1309" i="1" s="1"/>
  <c r="R1325" i="1"/>
  <c r="F1325" i="1" s="1"/>
  <c r="S1325" i="1" s="1"/>
  <c r="R1049" i="1"/>
  <c r="F1049" i="1" s="1"/>
  <c r="R1017" i="1"/>
  <c r="F1017" i="1" s="1"/>
  <c r="R1001" i="1"/>
  <c r="F1001" i="1" s="1"/>
  <c r="S1001" i="1" s="1"/>
  <c r="R985" i="1"/>
  <c r="F985" i="1" s="1"/>
  <c r="S985" i="1" s="1"/>
  <c r="R937" i="1"/>
  <c r="F937" i="1" s="1"/>
  <c r="R896" i="1"/>
  <c r="F896" i="1" s="1"/>
  <c r="R874" i="1"/>
  <c r="F874" i="1" s="1"/>
  <c r="R832" i="1"/>
  <c r="F832" i="1" s="1"/>
  <c r="S832" i="1" s="1"/>
  <c r="R810" i="1"/>
  <c r="F810" i="1" s="1"/>
  <c r="R768" i="1"/>
  <c r="F768" i="1" s="1"/>
  <c r="R746" i="1"/>
  <c r="F746" i="1" s="1"/>
  <c r="R704" i="1"/>
  <c r="F704" i="1" s="1"/>
  <c r="S704" i="1" s="1"/>
  <c r="R682" i="1"/>
  <c r="F682" i="1" s="1"/>
  <c r="R640" i="1"/>
  <c r="F640" i="1" s="1"/>
  <c r="R618" i="1"/>
  <c r="F618" i="1" s="1"/>
  <c r="R554" i="1"/>
  <c r="F554" i="1" s="1"/>
  <c r="S554" i="1" s="1"/>
  <c r="R533" i="1"/>
  <c r="F533" i="1" s="1"/>
  <c r="R402" i="1"/>
  <c r="F402" i="1" s="1"/>
  <c r="R338" i="1"/>
  <c r="F338" i="1" s="1"/>
  <c r="R253" i="1"/>
  <c r="F253" i="1" s="1"/>
  <c r="S253" i="1" s="1"/>
  <c r="R168" i="1"/>
  <c r="F168" i="1" s="1"/>
  <c r="R82" i="1"/>
  <c r="F82" i="1" s="1"/>
  <c r="R1016" i="1"/>
  <c r="F1016" i="1" s="1"/>
  <c r="R1167" i="1"/>
  <c r="F1167" i="1" s="1"/>
  <c r="S1167" i="1" s="1"/>
  <c r="R1200" i="1"/>
  <c r="F1200" i="1" s="1"/>
  <c r="R1216" i="1"/>
  <c r="F1216" i="1" s="1"/>
  <c r="R1264" i="1"/>
  <c r="F1264" i="1" s="1"/>
  <c r="S1264" i="1" s="1"/>
  <c r="R1280" i="1"/>
  <c r="F1280" i="1" s="1"/>
  <c r="S1280" i="1" s="1"/>
  <c r="R1312" i="1"/>
  <c r="F1312" i="1" s="1"/>
  <c r="R130" i="1"/>
  <c r="F130" i="1" s="1"/>
  <c r="R301" i="1"/>
  <c r="F301" i="1" s="1"/>
  <c r="S301" i="1" s="1"/>
  <c r="R962" i="1"/>
  <c r="F962" i="1" s="1"/>
  <c r="S962" i="1" s="1"/>
  <c r="R994" i="1"/>
  <c r="F994" i="1" s="1"/>
  <c r="R1026" i="1"/>
  <c r="F1026" i="1" s="1"/>
  <c r="R1058" i="1"/>
  <c r="F1058" i="1" s="1"/>
  <c r="R1090" i="1"/>
  <c r="F1090" i="1" s="1"/>
  <c r="S1090" i="1" s="1"/>
  <c r="R1122" i="1"/>
  <c r="F1122" i="1" s="1"/>
  <c r="R1152" i="1"/>
  <c r="F1152" i="1" s="1"/>
  <c r="R1173" i="1"/>
  <c r="F1173" i="1" s="1"/>
  <c r="R1189" i="1"/>
  <c r="F1189" i="1" s="1"/>
  <c r="S1189" i="1" s="1"/>
  <c r="R1205" i="1"/>
  <c r="F1205" i="1" s="1"/>
  <c r="R1221" i="1"/>
  <c r="F1221" i="1" s="1"/>
  <c r="R1237" i="1"/>
  <c r="F1237" i="1" s="1"/>
  <c r="R1253" i="1"/>
  <c r="F1253" i="1" s="1"/>
  <c r="S1253" i="1" s="1"/>
  <c r="R1269" i="1"/>
  <c r="F1269" i="1" s="1"/>
  <c r="R1285" i="1"/>
  <c r="F1285" i="1" s="1"/>
  <c r="R1317" i="1"/>
  <c r="F1317" i="1" s="1"/>
  <c r="S1317" i="1" s="1"/>
  <c r="R1057" i="1"/>
  <c r="F1057" i="1" s="1"/>
  <c r="S1057" i="1" s="1"/>
  <c r="R1025" i="1"/>
  <c r="F1025" i="1" s="1"/>
  <c r="R1009" i="1"/>
  <c r="F1009" i="1" s="1"/>
  <c r="R961" i="1"/>
  <c r="F961" i="1" s="1"/>
  <c r="R945" i="1"/>
  <c r="F945" i="1" s="1"/>
  <c r="S945" i="1" s="1"/>
  <c r="R928" i="1"/>
  <c r="F928" i="1" s="1"/>
  <c r="R906" i="1"/>
  <c r="F906" i="1" s="1"/>
  <c r="R864" i="1"/>
  <c r="F864" i="1" s="1"/>
  <c r="S864" i="1" s="1"/>
  <c r="R842" i="1"/>
  <c r="F842" i="1" s="1"/>
  <c r="S842" i="1" s="1"/>
  <c r="R800" i="1"/>
  <c r="F800" i="1" s="1"/>
  <c r="R778" i="1"/>
  <c r="F778" i="1" s="1"/>
  <c r="R736" i="1"/>
  <c r="F736" i="1" s="1"/>
  <c r="R714" i="1"/>
  <c r="F714" i="1" s="1"/>
  <c r="S714" i="1" s="1"/>
  <c r="R672" i="1"/>
  <c r="F672" i="1" s="1"/>
  <c r="R650" i="1"/>
  <c r="F650" i="1" s="1"/>
  <c r="R608" i="1"/>
  <c r="F608" i="1" s="1"/>
  <c r="R586" i="1"/>
  <c r="F586" i="1" s="1"/>
  <c r="S586" i="1" s="1"/>
  <c r="R522" i="1"/>
  <c r="F522" i="1" s="1"/>
  <c r="R371" i="1"/>
  <c r="F371" i="1" s="1"/>
  <c r="R296" i="1"/>
  <c r="F296" i="1" s="1"/>
  <c r="R210" i="1"/>
  <c r="F210" i="1" s="1"/>
  <c r="S210" i="1" s="1"/>
  <c r="R125" i="1"/>
  <c r="F125" i="1" s="1"/>
  <c r="R40" i="1"/>
  <c r="F40" i="1" s="1"/>
  <c r="R1043" i="1"/>
  <c r="F1043" i="1" s="1"/>
  <c r="R1027" i="1"/>
  <c r="F1027" i="1" s="1"/>
  <c r="S1027" i="1" s="1"/>
  <c r="R1011" i="1"/>
  <c r="F1011" i="1" s="1"/>
  <c r="R995" i="1"/>
  <c r="F995" i="1" s="1"/>
  <c r="R979" i="1"/>
  <c r="F979" i="1" s="1"/>
  <c r="R963" i="1"/>
  <c r="F963" i="1" s="1"/>
  <c r="S963" i="1" s="1"/>
  <c r="R947" i="1"/>
  <c r="F947" i="1" s="1"/>
  <c r="R930" i="1"/>
  <c r="F930" i="1" s="1"/>
  <c r="R888" i="1"/>
  <c r="F888" i="1" s="1"/>
  <c r="R866" i="1"/>
  <c r="F866" i="1" s="1"/>
  <c r="S866" i="1" s="1"/>
  <c r="R824" i="1"/>
  <c r="F824" i="1" s="1"/>
  <c r="R802" i="1"/>
  <c r="F802" i="1" s="1"/>
  <c r="R760" i="1"/>
  <c r="F760" i="1" s="1"/>
  <c r="S760" i="1" s="1"/>
  <c r="R738" i="1"/>
  <c r="F738" i="1" s="1"/>
  <c r="S738" i="1" s="1"/>
  <c r="R696" i="1"/>
  <c r="F696" i="1" s="1"/>
  <c r="R674" i="1"/>
  <c r="F674" i="1" s="1"/>
  <c r="R632" i="1"/>
  <c r="F632" i="1" s="1"/>
  <c r="R610" i="1"/>
  <c r="F610" i="1" s="1"/>
  <c r="S610" i="1" s="1"/>
  <c r="R546" i="1"/>
  <c r="F546" i="1" s="1"/>
  <c r="R496" i="1"/>
  <c r="F496" i="1" s="1"/>
  <c r="R464" i="1"/>
  <c r="F464" i="1" s="1"/>
  <c r="R432" i="1"/>
  <c r="F432" i="1" s="1"/>
  <c r="S432" i="1" s="1"/>
  <c r="R378" i="1"/>
  <c r="F378" i="1" s="1"/>
  <c r="R306" i="1"/>
  <c r="F306" i="1" s="1"/>
  <c r="R221" i="1"/>
  <c r="F221" i="1" s="1"/>
  <c r="R136" i="1"/>
  <c r="F136" i="1" s="1"/>
  <c r="S136" i="1" s="1"/>
  <c r="R50" i="1"/>
  <c r="F50" i="1" s="1"/>
  <c r="R497" i="1"/>
  <c r="F497" i="1" s="1"/>
  <c r="R465" i="1"/>
  <c r="F465" i="1" s="1"/>
  <c r="R433" i="1"/>
  <c r="F433" i="1" s="1"/>
  <c r="S433" i="1" s="1"/>
  <c r="R349" i="1"/>
  <c r="F349" i="1" s="1"/>
  <c r="R266" i="1"/>
  <c r="F266" i="1" s="1"/>
  <c r="R224" i="1"/>
  <c r="F224" i="1" s="1"/>
  <c r="R138" i="1"/>
  <c r="F138" i="1" s="1"/>
  <c r="S138" i="1" s="1"/>
  <c r="R96" i="1"/>
  <c r="F96" i="1" s="1"/>
  <c r="R583" i="1"/>
  <c r="F583" i="1" s="1"/>
  <c r="R567" i="1"/>
  <c r="F567" i="1" s="1"/>
  <c r="R551" i="1"/>
  <c r="F551" i="1" s="1"/>
  <c r="R392" i="1"/>
  <c r="F392" i="1" s="1"/>
  <c r="R314" i="1"/>
  <c r="F314" i="1" s="1"/>
  <c r="R272" i="1"/>
  <c r="F272" i="1" s="1"/>
  <c r="R186" i="1"/>
  <c r="F186" i="1" s="1"/>
  <c r="S186" i="1" s="1"/>
  <c r="R144" i="1"/>
  <c r="F144" i="1" s="1"/>
  <c r="R58" i="1"/>
  <c r="F58" i="1" s="1"/>
  <c r="R401" i="1"/>
  <c r="F401" i="1" s="1"/>
  <c r="R370" i="1"/>
  <c r="F370" i="1" s="1"/>
  <c r="S370" i="1" s="1"/>
  <c r="R354" i="1"/>
  <c r="F354" i="1" s="1"/>
  <c r="R411" i="1"/>
  <c r="F411" i="1" s="1"/>
  <c r="R395" i="1"/>
  <c r="F395" i="1" s="1"/>
  <c r="R379" i="1"/>
  <c r="F379" i="1" s="1"/>
  <c r="S379" i="1" s="1"/>
  <c r="R329" i="1"/>
  <c r="F329" i="1" s="1"/>
  <c r="R265" i="1"/>
  <c r="F265" i="1" s="1"/>
  <c r="R201" i="1"/>
  <c r="F201" i="1" s="1"/>
  <c r="R137" i="1"/>
  <c r="F137" i="1" s="1"/>
  <c r="S137" i="1" s="1"/>
  <c r="R73" i="1"/>
  <c r="F73" i="1" s="1"/>
  <c r="R331" i="1"/>
  <c r="F331" i="1" s="1"/>
  <c r="R299" i="1"/>
  <c r="F299" i="1" s="1"/>
  <c r="R267" i="1"/>
  <c r="F267" i="1" s="1"/>
  <c r="S267" i="1" s="1"/>
  <c r="R235" i="1"/>
  <c r="F235" i="1" s="1"/>
  <c r="R203" i="1"/>
  <c r="F203" i="1" s="1"/>
  <c r="R171" i="1"/>
  <c r="F171" i="1" s="1"/>
  <c r="R139" i="1"/>
  <c r="F139" i="1" s="1"/>
  <c r="S139" i="1" s="1"/>
  <c r="R107" i="1"/>
  <c r="F107" i="1" s="1"/>
  <c r="R75" i="1"/>
  <c r="F75" i="1" s="1"/>
  <c r="R43" i="1"/>
  <c r="F43" i="1" s="1"/>
  <c r="R1051" i="1"/>
  <c r="F1051" i="1" s="1"/>
  <c r="S1051" i="1" s="1"/>
  <c r="R920" i="1"/>
  <c r="F920" i="1" s="1"/>
  <c r="R898" i="1"/>
  <c r="F898" i="1" s="1"/>
  <c r="R856" i="1"/>
  <c r="F856" i="1" s="1"/>
  <c r="S856" i="1" s="1"/>
  <c r="R834" i="1"/>
  <c r="F834" i="1" s="1"/>
  <c r="S834" i="1" s="1"/>
  <c r="R792" i="1"/>
  <c r="F792" i="1" s="1"/>
  <c r="R770" i="1"/>
  <c r="F770" i="1" s="1"/>
  <c r="R728" i="1"/>
  <c r="F728" i="1" s="1"/>
  <c r="R706" i="1"/>
  <c r="F706" i="1" s="1"/>
  <c r="S706" i="1" s="1"/>
  <c r="R664" i="1"/>
  <c r="F664" i="1" s="1"/>
  <c r="R642" i="1"/>
  <c r="F642" i="1" s="1"/>
  <c r="R600" i="1"/>
  <c r="F600" i="1" s="1"/>
  <c r="R578" i="1"/>
  <c r="F578" i="1" s="1"/>
  <c r="S578" i="1" s="1"/>
  <c r="R536" i="1"/>
  <c r="F536" i="1" s="1"/>
  <c r="R512" i="1"/>
  <c r="F512" i="1" s="1"/>
  <c r="R480" i="1"/>
  <c r="F480" i="1" s="1"/>
  <c r="R448" i="1"/>
  <c r="F448" i="1" s="1"/>
  <c r="S448" i="1" s="1"/>
  <c r="R410" i="1"/>
  <c r="F410" i="1" s="1"/>
  <c r="R264" i="1"/>
  <c r="F264" i="1" s="1"/>
  <c r="R178" i="1"/>
  <c r="F178" i="1" s="1"/>
  <c r="S178" i="1" s="1"/>
  <c r="R93" i="1"/>
  <c r="F93" i="1" s="1"/>
  <c r="S93" i="1" s="1"/>
  <c r="R489" i="1"/>
  <c r="F489" i="1" s="1"/>
  <c r="R457" i="1"/>
  <c r="F457" i="1" s="1"/>
  <c r="R424" i="1"/>
  <c r="F424" i="1" s="1"/>
  <c r="S424" i="1" s="1"/>
  <c r="R330" i="1"/>
  <c r="F330" i="1" s="1"/>
  <c r="S330" i="1" s="1"/>
  <c r="R288" i="1"/>
  <c r="F288" i="1" s="1"/>
  <c r="R202" i="1"/>
  <c r="F202" i="1" s="1"/>
  <c r="R160" i="1"/>
  <c r="F160" i="1" s="1"/>
  <c r="S160" i="1" s="1"/>
  <c r="R74" i="1"/>
  <c r="F74" i="1" s="1"/>
  <c r="S74" i="1" s="1"/>
  <c r="R32" i="1"/>
  <c r="F32" i="1" s="1"/>
  <c r="R927" i="1"/>
  <c r="F927" i="1" s="1"/>
  <c r="R911" i="1"/>
  <c r="F911" i="1" s="1"/>
  <c r="S911" i="1" s="1"/>
  <c r="R895" i="1"/>
  <c r="F895" i="1" s="1"/>
  <c r="S895" i="1" s="1"/>
  <c r="R879" i="1"/>
  <c r="F879" i="1" s="1"/>
  <c r="R863" i="1"/>
  <c r="F863" i="1" s="1"/>
  <c r="R847" i="1"/>
  <c r="F847" i="1" s="1"/>
  <c r="S847" i="1" s="1"/>
  <c r="R831" i="1"/>
  <c r="F831" i="1" s="1"/>
  <c r="S831" i="1" s="1"/>
  <c r="R815" i="1"/>
  <c r="F815" i="1" s="1"/>
  <c r="R799" i="1"/>
  <c r="F799" i="1" s="1"/>
  <c r="R783" i="1"/>
  <c r="F783" i="1" s="1"/>
  <c r="S783" i="1" s="1"/>
  <c r="R767" i="1"/>
  <c r="F767" i="1" s="1"/>
  <c r="S767" i="1" s="1"/>
  <c r="R751" i="1"/>
  <c r="F751" i="1" s="1"/>
  <c r="R735" i="1"/>
  <c r="F735" i="1" s="1"/>
  <c r="R719" i="1"/>
  <c r="F719" i="1" s="1"/>
  <c r="S719" i="1" s="1"/>
  <c r="R703" i="1"/>
  <c r="F703" i="1" s="1"/>
  <c r="S703" i="1" s="1"/>
  <c r="R687" i="1"/>
  <c r="F687" i="1" s="1"/>
  <c r="R671" i="1"/>
  <c r="F671" i="1" s="1"/>
  <c r="R655" i="1"/>
  <c r="F655" i="1" s="1"/>
  <c r="S655" i="1" s="1"/>
  <c r="R639" i="1"/>
  <c r="F639" i="1" s="1"/>
  <c r="S639" i="1" s="1"/>
  <c r="R623" i="1"/>
  <c r="F623" i="1" s="1"/>
  <c r="R607" i="1"/>
  <c r="F607" i="1" s="1"/>
  <c r="R591" i="1"/>
  <c r="F591" i="1" s="1"/>
  <c r="S591" i="1" s="1"/>
  <c r="R575" i="1"/>
  <c r="F575" i="1" s="1"/>
  <c r="S575" i="1" s="1"/>
  <c r="R527" i="1"/>
  <c r="F527" i="1" s="1"/>
  <c r="R511" i="1"/>
  <c r="F511" i="1" s="1"/>
  <c r="R495" i="1"/>
  <c r="F495" i="1" s="1"/>
  <c r="R479" i="1"/>
  <c r="F479" i="1" s="1"/>
  <c r="S479" i="1" s="1"/>
  <c r="R463" i="1"/>
  <c r="F463" i="1" s="1"/>
  <c r="R447" i="1"/>
  <c r="F447" i="1" s="1"/>
  <c r="R431" i="1"/>
  <c r="F431" i="1" s="1"/>
  <c r="R408" i="1"/>
  <c r="F408" i="1" s="1"/>
  <c r="S408" i="1" s="1"/>
  <c r="R336" i="1"/>
  <c r="F336" i="1" s="1"/>
  <c r="R250" i="1"/>
  <c r="F250" i="1" s="1"/>
  <c r="R208" i="1"/>
  <c r="F208" i="1" s="1"/>
  <c r="R122" i="1"/>
  <c r="F122" i="1" s="1"/>
  <c r="S122" i="1" s="1"/>
  <c r="R80" i="1"/>
  <c r="F80" i="1" s="1"/>
  <c r="R425" i="1"/>
  <c r="F425" i="1" s="1"/>
  <c r="R393" i="1"/>
  <c r="F393" i="1" s="1"/>
  <c r="S393" i="1" s="1"/>
  <c r="R362" i="1"/>
  <c r="F362" i="1" s="1"/>
  <c r="S362" i="1" s="1"/>
  <c r="R346" i="1"/>
  <c r="F346" i="1" s="1"/>
  <c r="R297" i="1"/>
  <c r="F297" i="1" s="1"/>
  <c r="R233" i="1"/>
  <c r="F233" i="1" s="1"/>
  <c r="S233" i="1" s="1"/>
  <c r="R169" i="1"/>
  <c r="F169" i="1" s="1"/>
  <c r="S169" i="1" s="1"/>
  <c r="R105" i="1"/>
  <c r="F105" i="1" s="1"/>
  <c r="R41" i="1"/>
  <c r="F41" i="1" s="1"/>
  <c r="R339" i="1"/>
  <c r="F339" i="1" s="1"/>
  <c r="S339" i="1" s="1"/>
  <c r="R307" i="1"/>
  <c r="F307" i="1" s="1"/>
  <c r="S307" i="1" s="1"/>
  <c r="R275" i="1"/>
  <c r="F275" i="1" s="1"/>
  <c r="R243" i="1"/>
  <c r="F243" i="1" s="1"/>
  <c r="R211" i="1"/>
  <c r="F211" i="1" s="1"/>
  <c r="S211" i="1" s="1"/>
  <c r="R179" i="1"/>
  <c r="F179" i="1" s="1"/>
  <c r="S179" i="1" s="1"/>
  <c r="R147" i="1"/>
  <c r="F147" i="1" s="1"/>
  <c r="R115" i="1"/>
  <c r="F115" i="1" s="1"/>
  <c r="R83" i="1"/>
  <c r="F83" i="1" s="1"/>
  <c r="S83" i="1" s="1"/>
  <c r="R51" i="1"/>
  <c r="F51" i="1" s="1"/>
  <c r="S51" i="1" s="1"/>
  <c r="R558" i="1"/>
  <c r="F558" i="1" s="1"/>
  <c r="R601" i="1"/>
  <c r="F601" i="1" s="1"/>
  <c r="R814" i="1"/>
  <c r="F814" i="1" s="1"/>
  <c r="S814" i="1" s="1"/>
  <c r="R900" i="1"/>
  <c r="F900" i="1" s="1"/>
  <c r="S900" i="1" s="1"/>
  <c r="R940" i="1"/>
  <c r="F940" i="1" s="1"/>
  <c r="R972" i="1"/>
  <c r="F972" i="1" s="1"/>
  <c r="R1004" i="1"/>
  <c r="F1004" i="1" s="1"/>
  <c r="S1004" i="1" s="1"/>
  <c r="R1036" i="1"/>
  <c r="F1036" i="1" s="1"/>
  <c r="S1036" i="1" s="1"/>
  <c r="R1132" i="1"/>
  <c r="F1132" i="1" s="1"/>
  <c r="R1198" i="1"/>
  <c r="F1198" i="1" s="1"/>
  <c r="R1246" i="1"/>
  <c r="F1246" i="1" s="1"/>
  <c r="R1262" i="1"/>
  <c r="F1262" i="1" s="1"/>
  <c r="S1262" i="1" s="1"/>
  <c r="R1294" i="1"/>
  <c r="F1294" i="1" s="1"/>
  <c r="R1326" i="1"/>
  <c r="F1326" i="1" s="1"/>
  <c r="R420" i="1"/>
  <c r="F420" i="1" s="1"/>
  <c r="S420" i="1" s="1"/>
  <c r="R486" i="1"/>
  <c r="F486" i="1" s="1"/>
  <c r="S486" i="1" s="1"/>
  <c r="R540" i="1"/>
  <c r="F540" i="1" s="1"/>
  <c r="R582" i="1"/>
  <c r="F582" i="1" s="1"/>
  <c r="R625" i="1"/>
  <c r="F625" i="1" s="1"/>
  <c r="S625" i="1" s="1"/>
  <c r="R668" i="1"/>
  <c r="F668" i="1" s="1"/>
  <c r="S668" i="1" s="1"/>
  <c r="R710" i="1"/>
  <c r="F710" i="1" s="1"/>
  <c r="R796" i="1"/>
  <c r="F796" i="1" s="1"/>
  <c r="R838" i="1"/>
  <c r="F838" i="1" s="1"/>
  <c r="R924" i="1"/>
  <c r="F924" i="1" s="1"/>
  <c r="S924" i="1" s="1"/>
  <c r="R958" i="1"/>
  <c r="F958" i="1" s="1"/>
  <c r="R990" i="1"/>
  <c r="F990" i="1" s="1"/>
  <c r="R1022" i="1"/>
  <c r="F1022" i="1" s="1"/>
  <c r="S1022" i="1" s="1"/>
  <c r="R1054" i="1"/>
  <c r="F1054" i="1" s="1"/>
  <c r="S1054" i="1" s="1"/>
  <c r="R1086" i="1"/>
  <c r="F1086" i="1" s="1"/>
  <c r="R1118" i="1"/>
  <c r="F1118" i="1" s="1"/>
  <c r="R1150" i="1"/>
  <c r="F1150" i="1" s="1"/>
  <c r="S1150" i="1" s="1"/>
  <c r="R1171" i="1"/>
  <c r="F1171" i="1" s="1"/>
  <c r="S1171" i="1" s="1"/>
  <c r="R1187" i="1"/>
  <c r="F1187" i="1" s="1"/>
  <c r="R1203" i="1"/>
  <c r="F1203" i="1" s="1"/>
  <c r="R1219" i="1"/>
  <c r="F1219" i="1" s="1"/>
  <c r="S1219" i="1" s="1"/>
  <c r="R1235" i="1"/>
  <c r="F1235" i="1" s="1"/>
  <c r="S1235" i="1" s="1"/>
  <c r="R1251" i="1"/>
  <c r="F1251" i="1" s="1"/>
  <c r="R1267" i="1"/>
  <c r="F1267" i="1" s="1"/>
  <c r="R1283" i="1"/>
  <c r="F1283" i="1" s="1"/>
  <c r="S1283" i="1" s="1"/>
  <c r="R1315" i="1"/>
  <c r="F1315" i="1" s="1"/>
  <c r="S1315" i="1" s="1"/>
  <c r="R1331" i="1"/>
  <c r="F1331" i="1" s="1"/>
  <c r="R596" i="1"/>
  <c r="F596" i="1" s="1"/>
  <c r="R638" i="1"/>
  <c r="F638" i="1" s="1"/>
  <c r="R681" i="1"/>
  <c r="F681" i="1" s="1"/>
  <c r="S681" i="1" s="1"/>
  <c r="R724" i="1"/>
  <c r="F724" i="1" s="1"/>
  <c r="R766" i="1"/>
  <c r="F766" i="1" s="1"/>
  <c r="R852" i="1"/>
  <c r="F852" i="1" s="1"/>
  <c r="R894" i="1"/>
  <c r="F894" i="1" s="1"/>
  <c r="S894" i="1" s="1"/>
  <c r="R1064" i="1"/>
  <c r="F1064" i="1" s="1"/>
  <c r="R1096" i="1"/>
  <c r="F1096" i="1" s="1"/>
  <c r="R1128" i="1"/>
  <c r="F1128" i="1" s="1"/>
  <c r="R1176" i="1"/>
  <c r="F1176" i="1" s="1"/>
  <c r="S1176" i="1" s="1"/>
  <c r="R1224" i="1"/>
  <c r="F1224" i="1" s="1"/>
  <c r="R1240" i="1"/>
  <c r="F1240" i="1" s="1"/>
  <c r="R1272" i="1"/>
  <c r="F1272" i="1" s="1"/>
  <c r="R1304" i="1"/>
  <c r="F1304" i="1" s="1"/>
  <c r="S1304" i="1" s="1"/>
  <c r="R375" i="1"/>
  <c r="F375" i="1" s="1"/>
  <c r="R462" i="1"/>
  <c r="F462" i="1" s="1"/>
  <c r="R524" i="1"/>
  <c r="F524" i="1" s="1"/>
  <c r="R566" i="1"/>
  <c r="F566" i="1" s="1"/>
  <c r="S566" i="1" s="1"/>
  <c r="R652" i="1"/>
  <c r="F652" i="1" s="1"/>
  <c r="R694" i="1"/>
  <c r="F694" i="1" s="1"/>
  <c r="R737" i="1"/>
  <c r="F737" i="1" s="1"/>
  <c r="S737" i="1" s="1"/>
  <c r="R780" i="1"/>
  <c r="F780" i="1" s="1"/>
  <c r="S780" i="1" s="1"/>
  <c r="R822" i="1"/>
  <c r="F822" i="1" s="1"/>
  <c r="R865" i="1"/>
  <c r="F865" i="1" s="1"/>
  <c r="R908" i="1"/>
  <c r="F908" i="1" s="1"/>
  <c r="S908" i="1" s="1"/>
  <c r="R1074" i="1"/>
  <c r="F1074" i="1" s="1"/>
  <c r="S1074" i="1" s="1"/>
  <c r="R1106" i="1"/>
  <c r="F1106" i="1" s="1"/>
  <c r="R1138" i="1"/>
  <c r="F1138" i="1" s="1"/>
  <c r="R1163" i="1"/>
  <c r="F1163" i="1" s="1"/>
  <c r="S1163" i="1" s="1"/>
  <c r="R1161" i="1"/>
  <c r="F1161" i="1" s="1"/>
  <c r="S1161" i="1" s="1"/>
  <c r="R1145" i="1"/>
  <c r="F1145" i="1" s="1"/>
  <c r="R1129" i="1"/>
  <c r="F1129" i="1" s="1"/>
  <c r="R1113" i="1"/>
  <c r="F1113" i="1" s="1"/>
  <c r="S1113" i="1" s="1"/>
  <c r="R1097" i="1"/>
  <c r="F1097" i="1" s="1"/>
  <c r="S1097" i="1" s="1"/>
  <c r="R1081" i="1"/>
  <c r="F1081" i="1" s="1"/>
  <c r="R1065" i="1"/>
  <c r="F1065" i="1" s="1"/>
  <c r="R1033" i="1"/>
  <c r="F1033" i="1" s="1"/>
  <c r="S1033" i="1" s="1"/>
  <c r="R969" i="1"/>
  <c r="F969" i="1" s="1"/>
  <c r="S969" i="1" s="1"/>
  <c r="R953" i="1"/>
  <c r="F953" i="1" s="1"/>
  <c r="R917" i="1"/>
  <c r="F917" i="1" s="1"/>
  <c r="R853" i="1"/>
  <c r="F853" i="1" s="1"/>
  <c r="S853" i="1" s="1"/>
  <c r="R789" i="1"/>
  <c r="F789" i="1" s="1"/>
  <c r="S789" i="1" s="1"/>
  <c r="R725" i="1"/>
  <c r="F725" i="1" s="1"/>
  <c r="R661" i="1"/>
  <c r="F661" i="1" s="1"/>
  <c r="R597" i="1"/>
  <c r="F597" i="1" s="1"/>
  <c r="S597" i="1" s="1"/>
  <c r="R576" i="1"/>
  <c r="F576" i="1" s="1"/>
  <c r="S576" i="1" s="1"/>
  <c r="R508" i="1"/>
  <c r="F508" i="1" s="1"/>
  <c r="R476" i="1"/>
  <c r="F476" i="1" s="1"/>
  <c r="R444" i="1"/>
  <c r="F444" i="1" s="1"/>
  <c r="R1147" i="1"/>
  <c r="F1147" i="1" s="1"/>
  <c r="S1147" i="1" s="1"/>
  <c r="R1131" i="1"/>
  <c r="F1131" i="1" s="1"/>
  <c r="R1115" i="1"/>
  <c r="F1115" i="1" s="1"/>
  <c r="R1099" i="1"/>
  <c r="F1099" i="1" s="1"/>
  <c r="R1083" i="1"/>
  <c r="F1083" i="1" s="1"/>
  <c r="S1083" i="1" s="1"/>
  <c r="R1067" i="1"/>
  <c r="F1067" i="1" s="1"/>
  <c r="R1035" i="1"/>
  <c r="F1035" i="1" s="1"/>
  <c r="R1019" i="1"/>
  <c r="F1019" i="1" s="1"/>
  <c r="R1003" i="1"/>
  <c r="F1003" i="1" s="1"/>
  <c r="S1003" i="1" s="1"/>
  <c r="R987" i="1"/>
  <c r="F987" i="1" s="1"/>
  <c r="R971" i="1"/>
  <c r="F971" i="1" s="1"/>
  <c r="R955" i="1"/>
  <c r="F955" i="1" s="1"/>
  <c r="S955" i="1" s="1"/>
  <c r="R939" i="1"/>
  <c r="F939" i="1" s="1"/>
  <c r="S939" i="1" s="1"/>
  <c r="R877" i="1"/>
  <c r="F877" i="1" s="1"/>
  <c r="R813" i="1"/>
  <c r="F813" i="1" s="1"/>
  <c r="R749" i="1"/>
  <c r="F749" i="1" s="1"/>
  <c r="R685" i="1"/>
  <c r="F685" i="1" s="1"/>
  <c r="S685" i="1" s="1"/>
  <c r="R621" i="1"/>
  <c r="F621" i="1" s="1"/>
  <c r="R557" i="1"/>
  <c r="F557" i="1" s="1"/>
  <c r="R347" i="1"/>
  <c r="F347" i="1" s="1"/>
  <c r="S347" i="1" s="1"/>
  <c r="R505" i="1"/>
  <c r="F505" i="1" s="1"/>
  <c r="S505" i="1" s="1"/>
  <c r="R473" i="1"/>
  <c r="F473" i="1" s="1"/>
  <c r="R441" i="1"/>
  <c r="F441" i="1" s="1"/>
  <c r="R396" i="1"/>
  <c r="F396" i="1" s="1"/>
  <c r="S396" i="1" s="1"/>
  <c r="R365" i="1"/>
  <c r="F365" i="1" s="1"/>
  <c r="S365" i="1" s="1"/>
  <c r="R245" i="1"/>
  <c r="F245" i="1" s="1"/>
  <c r="R117" i="1"/>
  <c r="F117" i="1" s="1"/>
  <c r="R559" i="1"/>
  <c r="F559" i="1" s="1"/>
  <c r="S559" i="1" s="1"/>
  <c r="R543" i="1"/>
  <c r="F543" i="1" s="1"/>
  <c r="S543" i="1" s="1"/>
  <c r="R369" i="1"/>
  <c r="F369" i="1" s="1"/>
  <c r="R293" i="1"/>
  <c r="F293" i="1" s="1"/>
  <c r="R165" i="1"/>
  <c r="F165" i="1" s="1"/>
  <c r="S165" i="1" s="1"/>
  <c r="R37" i="1"/>
  <c r="F37" i="1" s="1"/>
  <c r="S37" i="1" s="1"/>
  <c r="R409" i="1"/>
  <c r="F409" i="1" s="1"/>
  <c r="R377" i="1"/>
  <c r="F377" i="1" s="1"/>
  <c r="R326" i="1"/>
  <c r="F326" i="1" s="1"/>
  <c r="S326" i="1" s="1"/>
  <c r="R305" i="1"/>
  <c r="F305" i="1" s="1"/>
  <c r="S305" i="1" s="1"/>
  <c r="R284" i="1"/>
  <c r="F284" i="1" s="1"/>
  <c r="R262" i="1"/>
  <c r="F262" i="1" s="1"/>
  <c r="R241" i="1"/>
  <c r="F241" i="1" s="1"/>
  <c r="S241" i="1" s="1"/>
  <c r="R220" i="1"/>
  <c r="F220" i="1" s="1"/>
  <c r="S220" i="1" s="1"/>
  <c r="R198" i="1"/>
  <c r="F198" i="1" s="1"/>
  <c r="R177" i="1"/>
  <c r="F177" i="1" s="1"/>
  <c r="R156" i="1"/>
  <c r="F156" i="1" s="1"/>
  <c r="R134" i="1"/>
  <c r="F134" i="1" s="1"/>
  <c r="S134" i="1" s="1"/>
  <c r="R113" i="1"/>
  <c r="F113" i="1" s="1"/>
  <c r="R92" i="1"/>
  <c r="F92" i="1" s="1"/>
  <c r="R70" i="1"/>
  <c r="F70" i="1" s="1"/>
  <c r="S70" i="1" s="1"/>
  <c r="R49" i="1"/>
  <c r="F49" i="1" s="1"/>
  <c r="S49" i="1" s="1"/>
  <c r="R351" i="1"/>
  <c r="F351" i="1" s="1"/>
  <c r="R414" i="1"/>
  <c r="F414" i="1" s="1"/>
  <c r="R537" i="1"/>
  <c r="F537" i="1" s="1"/>
  <c r="S537" i="1" s="1"/>
  <c r="R580" i="1"/>
  <c r="F580" i="1" s="1"/>
  <c r="S580" i="1" s="1"/>
  <c r="R622" i="1"/>
  <c r="F622" i="1" s="1"/>
  <c r="R665" i="1"/>
  <c r="F665" i="1" s="1"/>
  <c r="R708" i="1"/>
  <c r="F708" i="1" s="1"/>
  <c r="R750" i="1"/>
  <c r="F750" i="1" s="1"/>
  <c r="S750" i="1" s="1"/>
  <c r="R836" i="1"/>
  <c r="F836" i="1" s="1"/>
  <c r="R878" i="1"/>
  <c r="F878" i="1" s="1"/>
  <c r="R921" i="1"/>
  <c r="F921" i="1" s="1"/>
  <c r="S921" i="1" s="1"/>
  <c r="R956" i="1"/>
  <c r="F956" i="1" s="1"/>
  <c r="S956" i="1" s="1"/>
  <c r="R988" i="1"/>
  <c r="F988" i="1" s="1"/>
  <c r="R1020" i="1"/>
  <c r="F1020" i="1" s="1"/>
  <c r="R1052" i="1"/>
  <c r="F1052" i="1" s="1"/>
  <c r="R1148" i="1"/>
  <c r="F1148" i="1" s="1"/>
  <c r="S1148" i="1" s="1"/>
  <c r="R1170" i="1"/>
  <c r="F1170" i="1" s="1"/>
  <c r="R1206" i="1"/>
  <c r="F1206" i="1" s="1"/>
  <c r="R1222" i="1"/>
  <c r="F1222" i="1" s="1"/>
  <c r="S1222" i="1" s="1"/>
  <c r="R1238" i="1"/>
  <c r="F1238" i="1" s="1"/>
  <c r="S1238" i="1" s="1"/>
  <c r="R1270" i="1"/>
  <c r="F1270" i="1" s="1"/>
  <c r="R1302" i="1"/>
  <c r="F1302" i="1" s="1"/>
  <c r="R454" i="1"/>
  <c r="F454" i="1" s="1"/>
  <c r="S454" i="1" s="1"/>
  <c r="R518" i="1"/>
  <c r="F518" i="1" s="1"/>
  <c r="S518" i="1" s="1"/>
  <c r="R604" i="1"/>
  <c r="F604" i="1" s="1"/>
  <c r="R646" i="1"/>
  <c r="F646" i="1" s="1"/>
  <c r="R732" i="1"/>
  <c r="F732" i="1" s="1"/>
  <c r="S732" i="1" s="1"/>
  <c r="R774" i="1"/>
  <c r="F774" i="1" s="1"/>
  <c r="S774" i="1" s="1"/>
  <c r="R860" i="1"/>
  <c r="F860" i="1" s="1"/>
  <c r="R902" i="1"/>
  <c r="F902" i="1" s="1"/>
  <c r="R942" i="1"/>
  <c r="F942" i="1" s="1"/>
  <c r="S942" i="1" s="1"/>
  <c r="R974" i="1"/>
  <c r="F974" i="1" s="1"/>
  <c r="S974" i="1" s="1"/>
  <c r="R1006" i="1"/>
  <c r="F1006" i="1" s="1"/>
  <c r="R1038" i="1"/>
  <c r="F1038" i="1" s="1"/>
  <c r="R1160" i="1"/>
  <c r="F1160" i="1" s="1"/>
  <c r="R1179" i="1"/>
  <c r="F1179" i="1" s="1"/>
  <c r="S1179" i="1" s="1"/>
  <c r="R1195" i="1"/>
  <c r="F1195" i="1" s="1"/>
  <c r="R1211" i="1"/>
  <c r="F1211" i="1" s="1"/>
  <c r="R1227" i="1"/>
  <c r="F1227" i="1" s="1"/>
  <c r="S1227" i="1" s="1"/>
  <c r="R1243" i="1"/>
  <c r="F1243" i="1" s="1"/>
  <c r="S1243" i="1" s="1"/>
  <c r="R1259" i="1"/>
  <c r="F1259" i="1" s="1"/>
  <c r="R1275" i="1"/>
  <c r="F1275" i="1" s="1"/>
  <c r="R1291" i="1"/>
  <c r="F1291" i="1" s="1"/>
  <c r="S1291" i="1" s="1"/>
  <c r="R1307" i="1"/>
  <c r="F1307" i="1" s="1"/>
  <c r="S1307" i="1" s="1"/>
  <c r="R1323" i="1"/>
  <c r="F1323" i="1" s="1"/>
  <c r="R398" i="1"/>
  <c r="F398" i="1" s="1"/>
  <c r="R532" i="1"/>
  <c r="F532" i="1" s="1"/>
  <c r="S532" i="1" s="1"/>
  <c r="R574" i="1"/>
  <c r="F574" i="1" s="1"/>
  <c r="S574" i="1" s="1"/>
  <c r="R660" i="1"/>
  <c r="F660" i="1" s="1"/>
  <c r="R702" i="1"/>
  <c r="F702" i="1" s="1"/>
  <c r="R788" i="1"/>
  <c r="F788" i="1" s="1"/>
  <c r="R830" i="1"/>
  <c r="F830" i="1" s="1"/>
  <c r="S830" i="1" s="1"/>
  <c r="R916" i="1"/>
  <c r="F916" i="1" s="1"/>
  <c r="R1048" i="1"/>
  <c r="F1048" i="1" s="1"/>
  <c r="R1080" i="1"/>
  <c r="F1080" i="1" s="1"/>
  <c r="R1112" i="1"/>
  <c r="F1112" i="1" s="1"/>
  <c r="S1112" i="1" s="1"/>
  <c r="R1144" i="1"/>
  <c r="F1144" i="1" s="1"/>
  <c r="R1184" i="1"/>
  <c r="F1184" i="1" s="1"/>
  <c r="R1232" i="1"/>
  <c r="F1232" i="1" s="1"/>
  <c r="S1232" i="1" s="1"/>
  <c r="R1248" i="1"/>
  <c r="F1248" i="1" s="1"/>
  <c r="S1248" i="1" s="1"/>
  <c r="R1296" i="1"/>
  <c r="F1296" i="1" s="1"/>
  <c r="R1328" i="1"/>
  <c r="F1328" i="1" s="1"/>
  <c r="R430" i="1"/>
  <c r="F430" i="1" s="1"/>
  <c r="S430" i="1" s="1"/>
  <c r="R494" i="1"/>
  <c r="F494" i="1" s="1"/>
  <c r="S494" i="1" s="1"/>
  <c r="R545" i="1"/>
  <c r="F545" i="1" s="1"/>
  <c r="R588" i="1"/>
  <c r="F588" i="1" s="1"/>
  <c r="R630" i="1"/>
  <c r="F630" i="1" s="1"/>
  <c r="S630" i="1" s="1"/>
  <c r="R673" i="1"/>
  <c r="F673" i="1" s="1"/>
  <c r="S673" i="1" s="1"/>
  <c r="R716" i="1"/>
  <c r="F716" i="1" s="1"/>
  <c r="R758" i="1"/>
  <c r="F758" i="1" s="1"/>
  <c r="R801" i="1"/>
  <c r="F801" i="1" s="1"/>
  <c r="S801" i="1" s="1"/>
  <c r="R844" i="1"/>
  <c r="F844" i="1" s="1"/>
  <c r="S844" i="1" s="1"/>
  <c r="R886" i="1"/>
  <c r="F886" i="1" s="1"/>
  <c r="R929" i="1"/>
  <c r="F929" i="1" s="1"/>
  <c r="R1169" i="1"/>
  <c r="F1169" i="1" s="1"/>
  <c r="R1153" i="1"/>
  <c r="F1153" i="1" s="1"/>
  <c r="S1153" i="1" s="1"/>
  <c r="R1137" i="1"/>
  <c r="F1137" i="1" s="1"/>
  <c r="R1121" i="1"/>
  <c r="F1121" i="1" s="1"/>
  <c r="R1105" i="1"/>
  <c r="F1105" i="1" s="1"/>
  <c r="S1105" i="1" s="1"/>
  <c r="R1089" i="1"/>
  <c r="F1089" i="1" s="1"/>
  <c r="S1089" i="1" s="1"/>
  <c r="R1073" i="1"/>
  <c r="F1073" i="1" s="1"/>
  <c r="R1041" i="1"/>
  <c r="F1041" i="1" s="1"/>
  <c r="R993" i="1"/>
  <c r="F993" i="1" s="1"/>
  <c r="S993" i="1" s="1"/>
  <c r="R977" i="1"/>
  <c r="F977" i="1" s="1"/>
  <c r="S977" i="1" s="1"/>
  <c r="R885" i="1"/>
  <c r="F885" i="1" s="1"/>
  <c r="R821" i="1"/>
  <c r="F821" i="1" s="1"/>
  <c r="R757" i="1"/>
  <c r="F757" i="1" s="1"/>
  <c r="R693" i="1"/>
  <c r="F693" i="1" s="1"/>
  <c r="S693" i="1" s="1"/>
  <c r="R629" i="1"/>
  <c r="F629" i="1" s="1"/>
  <c r="R565" i="1"/>
  <c r="F565" i="1" s="1"/>
  <c r="R544" i="1"/>
  <c r="F544" i="1" s="1"/>
  <c r="R492" i="1"/>
  <c r="F492" i="1" s="1"/>
  <c r="S492" i="1" s="1"/>
  <c r="R460" i="1"/>
  <c r="F460" i="1" s="1"/>
  <c r="R428" i="1"/>
  <c r="F428" i="1" s="1"/>
  <c r="R1139" i="1"/>
  <c r="F1139" i="1" s="1"/>
  <c r="R1123" i="1"/>
  <c r="F1123" i="1" s="1"/>
  <c r="S1123" i="1" s="1"/>
  <c r="R1107" i="1"/>
  <c r="F1107" i="1" s="1"/>
  <c r="R1091" i="1"/>
  <c r="F1091" i="1" s="1"/>
  <c r="R1075" i="1"/>
  <c r="F1075" i="1" s="1"/>
  <c r="S1075" i="1" s="1"/>
  <c r="R1059" i="1"/>
  <c r="F1059" i="1" s="1"/>
  <c r="S1059" i="1" s="1"/>
  <c r="R909" i="1"/>
  <c r="F909" i="1" s="1"/>
  <c r="R845" i="1"/>
  <c r="F845" i="1" s="1"/>
  <c r="R781" i="1"/>
  <c r="F781" i="1" s="1"/>
  <c r="S781" i="1" s="1"/>
  <c r="R717" i="1"/>
  <c r="F717" i="1" s="1"/>
  <c r="S717" i="1" s="1"/>
  <c r="R653" i="1"/>
  <c r="F653" i="1" s="1"/>
  <c r="R589" i="1"/>
  <c r="F589" i="1" s="1"/>
  <c r="R568" i="1"/>
  <c r="F568" i="1" s="1"/>
  <c r="S568" i="1" s="1"/>
  <c r="R525" i="1"/>
  <c r="F525" i="1" s="1"/>
  <c r="S525" i="1" s="1"/>
  <c r="R513" i="1"/>
  <c r="F513" i="1" s="1"/>
  <c r="R481" i="1"/>
  <c r="F481" i="1" s="1"/>
  <c r="R449" i="1"/>
  <c r="F449" i="1" s="1"/>
  <c r="S449" i="1" s="1"/>
  <c r="R412" i="1"/>
  <c r="F412" i="1" s="1"/>
  <c r="S412" i="1" s="1"/>
  <c r="R380" i="1"/>
  <c r="F380" i="1" s="1"/>
  <c r="R309" i="1"/>
  <c r="F309" i="1" s="1"/>
  <c r="R181" i="1"/>
  <c r="F181" i="1" s="1"/>
  <c r="S181" i="1" s="1"/>
  <c r="R53" i="1"/>
  <c r="F53" i="1" s="1"/>
  <c r="S53" i="1" s="1"/>
  <c r="R919" i="1"/>
  <c r="F919" i="1" s="1"/>
  <c r="R903" i="1"/>
  <c r="F903" i="1" s="1"/>
  <c r="R887" i="1"/>
  <c r="F887" i="1" s="1"/>
  <c r="S887" i="1" s="1"/>
  <c r="R871" i="1"/>
  <c r="F871" i="1" s="1"/>
  <c r="S871" i="1" s="1"/>
  <c r="R855" i="1"/>
  <c r="F855" i="1" s="1"/>
  <c r="R839" i="1"/>
  <c r="F839" i="1" s="1"/>
  <c r="R823" i="1"/>
  <c r="F823" i="1" s="1"/>
  <c r="S823" i="1" s="1"/>
  <c r="R807" i="1"/>
  <c r="F807" i="1" s="1"/>
  <c r="S807" i="1" s="1"/>
  <c r="R791" i="1"/>
  <c r="F791" i="1" s="1"/>
  <c r="R775" i="1"/>
  <c r="F775" i="1" s="1"/>
  <c r="R759" i="1"/>
  <c r="F759" i="1" s="1"/>
  <c r="S759" i="1" s="1"/>
  <c r="R743" i="1"/>
  <c r="F743" i="1" s="1"/>
  <c r="S743" i="1" s="1"/>
  <c r="R727" i="1"/>
  <c r="F727" i="1" s="1"/>
  <c r="R711" i="1"/>
  <c r="F711" i="1" s="1"/>
  <c r="R695" i="1"/>
  <c r="F695" i="1" s="1"/>
  <c r="R679" i="1"/>
  <c r="F679" i="1" s="1"/>
  <c r="S679" i="1" s="1"/>
  <c r="R663" i="1"/>
  <c r="F663" i="1" s="1"/>
  <c r="R647" i="1"/>
  <c r="F647" i="1" s="1"/>
  <c r="R631" i="1"/>
  <c r="F631" i="1" s="1"/>
  <c r="S631" i="1" s="1"/>
  <c r="R615" i="1"/>
  <c r="F615" i="1" s="1"/>
  <c r="S615" i="1" s="1"/>
  <c r="R599" i="1"/>
  <c r="F599" i="1" s="1"/>
  <c r="R535" i="1"/>
  <c r="F535" i="1" s="1"/>
  <c r="R519" i="1"/>
  <c r="F519" i="1" s="1"/>
  <c r="R503" i="1"/>
  <c r="F503" i="1" s="1"/>
  <c r="S503" i="1" s="1"/>
  <c r="R487" i="1"/>
  <c r="F487" i="1" s="1"/>
  <c r="R471" i="1"/>
  <c r="F471" i="1" s="1"/>
  <c r="R455" i="1"/>
  <c r="F455" i="1" s="1"/>
  <c r="S455" i="1" s="1"/>
  <c r="R439" i="1"/>
  <c r="F439" i="1" s="1"/>
  <c r="S439" i="1" s="1"/>
  <c r="R422" i="1"/>
  <c r="F422" i="1" s="1"/>
  <c r="R353" i="1"/>
  <c r="F353" i="1" s="1"/>
  <c r="R229" i="1"/>
  <c r="F229" i="1" s="1"/>
  <c r="S229" i="1" s="1"/>
  <c r="R101" i="1"/>
  <c r="F101" i="1" s="1"/>
  <c r="S101" i="1" s="1"/>
  <c r="R417" i="1"/>
  <c r="F417" i="1" s="1"/>
  <c r="R385" i="1"/>
  <c r="F385" i="1" s="1"/>
  <c r="R337" i="1"/>
  <c r="F337" i="1" s="1"/>
  <c r="S337" i="1" s="1"/>
  <c r="R316" i="1"/>
  <c r="F316" i="1" s="1"/>
  <c r="S316" i="1" s="1"/>
  <c r="R294" i="1"/>
  <c r="F294" i="1" s="1"/>
  <c r="R273" i="1"/>
  <c r="F273" i="1" s="1"/>
  <c r="R252" i="1"/>
  <c r="F252" i="1" s="1"/>
  <c r="S252" i="1" s="1"/>
  <c r="R230" i="1"/>
  <c r="F230" i="1" s="1"/>
  <c r="S230" i="1" s="1"/>
  <c r="R209" i="1"/>
  <c r="F209" i="1" s="1"/>
  <c r="R188" i="1"/>
  <c r="F188" i="1" s="1"/>
  <c r="R166" i="1"/>
  <c r="F166" i="1" s="1"/>
  <c r="R145" i="1"/>
  <c r="F145" i="1" s="1"/>
  <c r="S145" i="1" s="1"/>
  <c r="R124" i="1"/>
  <c r="F124" i="1" s="1"/>
  <c r="R102" i="1"/>
  <c r="F102" i="1" s="1"/>
  <c r="R81" i="1"/>
  <c r="F81" i="1" s="1"/>
  <c r="S81" i="1" s="1"/>
  <c r="R60" i="1"/>
  <c r="F60" i="1" s="1"/>
  <c r="S60" i="1" s="1"/>
  <c r="R38" i="1"/>
  <c r="F38" i="1" s="1"/>
  <c r="R364" i="1"/>
  <c r="F364" i="1" s="1"/>
  <c r="R348" i="1"/>
  <c r="F348" i="1" s="1"/>
  <c r="S348" i="1" s="1"/>
  <c r="R308" i="1"/>
  <c r="F308" i="1" s="1"/>
  <c r="S308" i="1" s="1"/>
  <c r="R286" i="1"/>
  <c r="F286" i="1" s="1"/>
  <c r="R244" i="1"/>
  <c r="F244" i="1" s="1"/>
  <c r="R222" i="1"/>
  <c r="F222" i="1" s="1"/>
  <c r="S222" i="1" s="1"/>
  <c r="R180" i="1"/>
  <c r="F180" i="1" s="1"/>
  <c r="S180" i="1" s="1"/>
  <c r="R158" i="1"/>
  <c r="F158" i="1" s="1"/>
  <c r="R116" i="1"/>
  <c r="F116" i="1" s="1"/>
  <c r="R94" i="1"/>
  <c r="F94" i="1" s="1"/>
  <c r="R52" i="1"/>
  <c r="F52" i="1" s="1"/>
  <c r="S52" i="1" s="1"/>
  <c r="R315" i="1"/>
  <c r="F315" i="1" s="1"/>
  <c r="R283" i="1"/>
  <c r="F283" i="1" s="1"/>
  <c r="R251" i="1"/>
  <c r="F251" i="1" s="1"/>
  <c r="S251" i="1" s="1"/>
  <c r="R219" i="1"/>
  <c r="F219" i="1" s="1"/>
  <c r="S219" i="1" s="1"/>
  <c r="R187" i="1"/>
  <c r="F187" i="1" s="1"/>
  <c r="R155" i="1"/>
  <c r="F155" i="1" s="1"/>
  <c r="R123" i="1"/>
  <c r="F123" i="1" s="1"/>
  <c r="S123" i="1" s="1"/>
  <c r="R91" i="1"/>
  <c r="F91" i="1" s="1"/>
  <c r="S91" i="1" s="1"/>
  <c r="R59" i="1"/>
  <c r="F59" i="1" s="1"/>
  <c r="R141" i="1"/>
  <c r="F141" i="1" s="1"/>
  <c r="R312" i="1"/>
  <c r="F312" i="1" s="1"/>
  <c r="S312" i="1" s="1"/>
  <c r="R434" i="1"/>
  <c r="F434" i="1" s="1"/>
  <c r="S434" i="1" s="1"/>
  <c r="R498" i="1"/>
  <c r="F498" i="1" s="1"/>
  <c r="R548" i="1"/>
  <c r="F548" i="1" s="1"/>
  <c r="R590" i="1"/>
  <c r="F590" i="1" s="1"/>
  <c r="R633" i="1"/>
  <c r="F633" i="1" s="1"/>
  <c r="S633" i="1" s="1"/>
  <c r="R676" i="1"/>
  <c r="F676" i="1" s="1"/>
  <c r="R718" i="1"/>
  <c r="F718" i="1" s="1"/>
  <c r="R761" i="1"/>
  <c r="F761" i="1" s="1"/>
  <c r="S761" i="1" s="1"/>
  <c r="R804" i="1"/>
  <c r="F804" i="1" s="1"/>
  <c r="S804" i="1" s="1"/>
  <c r="R846" i="1"/>
  <c r="F846" i="1" s="1"/>
  <c r="R889" i="1"/>
  <c r="F889" i="1" s="1"/>
  <c r="R932" i="1"/>
  <c r="F932" i="1" s="1"/>
  <c r="S932" i="1" s="1"/>
  <c r="R964" i="1"/>
  <c r="F964" i="1" s="1"/>
  <c r="S964" i="1" s="1"/>
  <c r="R996" i="1"/>
  <c r="F996" i="1" s="1"/>
  <c r="R1028" i="1"/>
  <c r="F1028" i="1" s="1"/>
  <c r="R1060" i="1"/>
  <c r="F1060" i="1" s="1"/>
  <c r="R1092" i="1"/>
  <c r="F1092" i="1" s="1"/>
  <c r="S1092" i="1" s="1"/>
  <c r="R1124" i="1"/>
  <c r="F1124" i="1" s="1"/>
  <c r="R1154" i="1"/>
  <c r="F1154" i="1" s="1"/>
  <c r="R1174" i="1"/>
  <c r="F1174" i="1" s="1"/>
  <c r="S1174" i="1" s="1"/>
  <c r="R1194" i="1"/>
  <c r="F1194" i="1" s="1"/>
  <c r="S1194" i="1" s="1"/>
  <c r="R1210" i="1"/>
  <c r="F1210" i="1" s="1"/>
  <c r="R1226" i="1"/>
  <c r="F1226" i="1" s="1"/>
  <c r="R1242" i="1"/>
  <c r="F1242" i="1" s="1"/>
  <c r="S1242" i="1" s="1"/>
  <c r="R1258" i="1"/>
  <c r="F1258" i="1" s="1"/>
  <c r="S1258" i="1" s="1"/>
  <c r="R1274" i="1"/>
  <c r="F1274" i="1" s="1"/>
  <c r="R1290" i="1"/>
  <c r="F1290" i="1" s="1"/>
  <c r="R1306" i="1"/>
  <c r="F1306" i="1" s="1"/>
  <c r="S1306" i="1" s="1"/>
  <c r="R1322" i="1"/>
  <c r="F1322" i="1" s="1"/>
  <c r="S1322" i="1" s="1"/>
  <c r="R66" i="1"/>
  <c r="F66" i="1" s="1"/>
  <c r="R237" i="1"/>
  <c r="F237" i="1" s="1"/>
  <c r="R390" i="1"/>
  <c r="F390" i="1" s="1"/>
  <c r="S390" i="1" s="1"/>
  <c r="R470" i="1"/>
  <c r="F470" i="1" s="1"/>
  <c r="S470" i="1" s="1"/>
  <c r="R529" i="1"/>
  <c r="F529" i="1" s="1"/>
  <c r="R572" i="1"/>
  <c r="F572" i="1" s="1"/>
  <c r="R614" i="1"/>
  <c r="F614" i="1" s="1"/>
  <c r="S614" i="1" s="1"/>
  <c r="R657" i="1"/>
  <c r="F657" i="1" s="1"/>
  <c r="S657" i="1" s="1"/>
  <c r="R700" i="1"/>
  <c r="F700" i="1" s="1"/>
  <c r="R742" i="1"/>
  <c r="F742" i="1" s="1"/>
  <c r="R785" i="1"/>
  <c r="F785" i="1" s="1"/>
  <c r="S785" i="1" s="1"/>
  <c r="R828" i="1"/>
  <c r="F828" i="1" s="1"/>
  <c r="S828" i="1" s="1"/>
  <c r="R870" i="1"/>
  <c r="F870" i="1" s="1"/>
  <c r="R913" i="1"/>
  <c r="F913" i="1" s="1"/>
  <c r="R950" i="1"/>
  <c r="F950" i="1" s="1"/>
  <c r="S950" i="1" s="1"/>
  <c r="R982" i="1"/>
  <c r="F982" i="1" s="1"/>
  <c r="S982" i="1" s="1"/>
  <c r="R1014" i="1"/>
  <c r="F1014" i="1" s="1"/>
  <c r="R1046" i="1"/>
  <c r="F1046" i="1" s="1"/>
  <c r="R1078" i="1"/>
  <c r="F1078" i="1" s="1"/>
  <c r="S1078" i="1" s="1"/>
  <c r="R1110" i="1"/>
  <c r="F1110" i="1" s="1"/>
  <c r="S1110" i="1" s="1"/>
  <c r="R1142" i="1"/>
  <c r="F1142" i="1" s="1"/>
  <c r="R1166" i="1"/>
  <c r="F1166" i="1" s="1"/>
  <c r="R1183" i="1"/>
  <c r="F1183" i="1" s="1"/>
  <c r="S1183" i="1" s="1"/>
  <c r="R1199" i="1"/>
  <c r="F1199" i="1" s="1"/>
  <c r="S1199" i="1" s="1"/>
  <c r="R1215" i="1"/>
  <c r="F1215" i="1" s="1"/>
  <c r="R1231" i="1"/>
  <c r="F1231" i="1" s="1"/>
  <c r="R1247" i="1"/>
  <c r="F1247" i="1" s="1"/>
  <c r="S1247" i="1" s="1"/>
  <c r="R1263" i="1"/>
  <c r="F1263" i="1" s="1"/>
  <c r="S1263" i="1" s="1"/>
  <c r="R1279" i="1"/>
  <c r="F1279" i="1" s="1"/>
  <c r="R1295" i="1"/>
  <c r="F1295" i="1" s="1"/>
  <c r="R1311" i="1"/>
  <c r="F1311" i="1" s="1"/>
  <c r="S1311" i="1" s="1"/>
  <c r="R1327" i="1"/>
  <c r="F1327" i="1" s="1"/>
  <c r="S1327" i="1" s="1"/>
  <c r="R120" i="1"/>
  <c r="F120" i="1" s="1"/>
  <c r="R290" i="1"/>
  <c r="F290" i="1" s="1"/>
  <c r="R426" i="1"/>
  <c r="F426" i="1" s="1"/>
  <c r="S426" i="1" s="1"/>
  <c r="R490" i="1"/>
  <c r="F490" i="1" s="1"/>
  <c r="S490" i="1" s="1"/>
  <c r="R542" i="1"/>
  <c r="F542" i="1" s="1"/>
  <c r="R585" i="1"/>
  <c r="F585" i="1" s="1"/>
  <c r="R628" i="1"/>
  <c r="F628" i="1" s="1"/>
  <c r="S628" i="1" s="1"/>
  <c r="R670" i="1"/>
  <c r="F670" i="1" s="1"/>
  <c r="S670" i="1" s="1"/>
  <c r="R713" i="1"/>
  <c r="F713" i="1" s="1"/>
  <c r="R756" i="1"/>
  <c r="F756" i="1" s="1"/>
  <c r="R798" i="1"/>
  <c r="F798" i="1" s="1"/>
  <c r="S798" i="1" s="1"/>
  <c r="R841" i="1"/>
  <c r="F841" i="1" s="1"/>
  <c r="S841" i="1" s="1"/>
  <c r="R884" i="1"/>
  <c r="F884" i="1" s="1"/>
  <c r="R926" i="1"/>
  <c r="F926" i="1" s="1"/>
  <c r="R960" i="1"/>
  <c r="F960" i="1" s="1"/>
  <c r="S960" i="1" s="1"/>
  <c r="R992" i="1"/>
  <c r="F992" i="1" s="1"/>
  <c r="S992" i="1" s="1"/>
  <c r="R1024" i="1"/>
  <c r="F1024" i="1" s="1"/>
  <c r="R1056" i="1"/>
  <c r="F1056" i="1" s="1"/>
  <c r="R1088" i="1"/>
  <c r="F1088" i="1" s="1"/>
  <c r="S1088" i="1" s="1"/>
  <c r="R1120" i="1"/>
  <c r="F1120" i="1" s="1"/>
  <c r="S1120" i="1" s="1"/>
  <c r="R1151" i="1"/>
  <c r="F1151" i="1" s="1"/>
  <c r="R1172" i="1"/>
  <c r="F1172" i="1" s="1"/>
  <c r="R1188" i="1"/>
  <c r="F1188" i="1" s="1"/>
  <c r="S1188" i="1" s="1"/>
  <c r="R1204" i="1"/>
  <c r="F1204" i="1" s="1"/>
  <c r="S1204" i="1" s="1"/>
  <c r="R1220" i="1"/>
  <c r="F1220" i="1" s="1"/>
  <c r="R1236" i="1"/>
  <c r="F1236" i="1" s="1"/>
  <c r="R1252" i="1"/>
  <c r="F1252" i="1" s="1"/>
  <c r="S1252" i="1" s="1"/>
  <c r="R1268" i="1"/>
  <c r="F1268" i="1" s="1"/>
  <c r="S1268" i="1" s="1"/>
  <c r="R1300" i="1"/>
  <c r="F1300" i="1" s="1"/>
  <c r="R1316" i="1"/>
  <c r="F1316" i="1" s="1"/>
  <c r="R173" i="1"/>
  <c r="F173" i="1" s="1"/>
  <c r="S173" i="1" s="1"/>
  <c r="R343" i="1"/>
  <c r="F343" i="1" s="1"/>
  <c r="S343" i="1" s="1"/>
  <c r="R446" i="1"/>
  <c r="F446" i="1" s="1"/>
  <c r="R510" i="1"/>
  <c r="F510" i="1" s="1"/>
  <c r="R556" i="1"/>
  <c r="F556" i="1" s="1"/>
  <c r="S556" i="1" s="1"/>
  <c r="R598" i="1"/>
  <c r="F598" i="1" s="1"/>
  <c r="S598" i="1" s="1"/>
  <c r="R641" i="1"/>
  <c r="F641" i="1" s="1"/>
  <c r="R684" i="1"/>
  <c r="F684" i="1" s="1"/>
  <c r="S684" i="1" s="1"/>
  <c r="R726" i="1"/>
  <c r="F726" i="1" s="1"/>
  <c r="S726" i="1" s="1"/>
  <c r="R769" i="1"/>
  <c r="F769" i="1" s="1"/>
  <c r="S769" i="1" s="1"/>
  <c r="R812" i="1"/>
  <c r="F812" i="1" s="1"/>
  <c r="R854" i="1"/>
  <c r="F854" i="1" s="1"/>
  <c r="R897" i="1"/>
  <c r="F897" i="1" s="1"/>
  <c r="S897" i="1" s="1"/>
  <c r="R938" i="1"/>
  <c r="F938" i="1" s="1"/>
  <c r="S938" i="1" s="1"/>
  <c r="R970" i="1"/>
  <c r="F970" i="1" s="1"/>
  <c r="R1002" i="1"/>
  <c r="F1002" i="1" s="1"/>
  <c r="R1034" i="1"/>
  <c r="F1034" i="1" s="1"/>
  <c r="S1034" i="1" s="1"/>
  <c r="R1066" i="1"/>
  <c r="F1066" i="1" s="1"/>
  <c r="S1066" i="1" s="1"/>
  <c r="R1098" i="1"/>
  <c r="F1098" i="1" s="1"/>
  <c r="R1130" i="1"/>
  <c r="F1130" i="1" s="1"/>
  <c r="R1158" i="1"/>
  <c r="F1158" i="1" s="1"/>
  <c r="S1158" i="1" s="1"/>
  <c r="R1177" i="1"/>
  <c r="F1177" i="1" s="1"/>
  <c r="S1177" i="1" s="1"/>
  <c r="R1193" i="1"/>
  <c r="F1193" i="1" s="1"/>
  <c r="R1209" i="1"/>
  <c r="F1209" i="1" s="1"/>
  <c r="S1209" i="1" s="1"/>
  <c r="R1225" i="1"/>
  <c r="F1225" i="1" s="1"/>
  <c r="S1225" i="1" s="1"/>
  <c r="R1241" i="1"/>
  <c r="F1241" i="1" s="1"/>
  <c r="S1241" i="1" s="1"/>
  <c r="R1257" i="1"/>
  <c r="F1257" i="1" s="1"/>
  <c r="R1273" i="1"/>
  <c r="F1273" i="1" s="1"/>
  <c r="R1289" i="1"/>
  <c r="F1289" i="1" s="1"/>
  <c r="S1289" i="1" s="1"/>
  <c r="R1305" i="1"/>
  <c r="F1305" i="1" s="1"/>
  <c r="S1305" i="1" s="1"/>
  <c r="R1321" i="1"/>
  <c r="F1321" i="1" s="1"/>
  <c r="R1165" i="1"/>
  <c r="F1165" i="1" s="1"/>
  <c r="R1149" i="1"/>
  <c r="F1149" i="1" s="1"/>
  <c r="S1149" i="1" s="1"/>
  <c r="R1133" i="1"/>
  <c r="F1133" i="1" s="1"/>
  <c r="S1133" i="1" s="1"/>
  <c r="R1117" i="1"/>
  <c r="F1117" i="1" s="1"/>
  <c r="R1101" i="1"/>
  <c r="F1101" i="1" s="1"/>
  <c r="R1085" i="1"/>
  <c r="F1085" i="1" s="1"/>
  <c r="S1085" i="1" s="1"/>
  <c r="R1069" i="1"/>
  <c r="F1069" i="1" s="1"/>
  <c r="S1069" i="1" s="1"/>
  <c r="R1053" i="1"/>
  <c r="F1053" i="1" s="1"/>
  <c r="R1037" i="1"/>
  <c r="F1037" i="1" s="1"/>
  <c r="S1037" i="1" s="1"/>
  <c r="R1021" i="1"/>
  <c r="F1021" i="1" s="1"/>
  <c r="S1021" i="1" s="1"/>
  <c r="R1005" i="1"/>
  <c r="F1005" i="1" s="1"/>
  <c r="S1005" i="1" s="1"/>
  <c r="R989" i="1"/>
  <c r="F989" i="1" s="1"/>
  <c r="R973" i="1"/>
  <c r="F973" i="1" s="1"/>
  <c r="R957" i="1"/>
  <c r="F957" i="1" s="1"/>
  <c r="S957" i="1" s="1"/>
  <c r="R941" i="1"/>
  <c r="F941" i="1" s="1"/>
  <c r="S941" i="1" s="1"/>
  <c r="R922" i="1"/>
  <c r="F922" i="1" s="1"/>
  <c r="R901" i="1"/>
  <c r="F901" i="1" s="1"/>
  <c r="R880" i="1"/>
  <c r="F880" i="1" s="1"/>
  <c r="S880" i="1" s="1"/>
  <c r="R858" i="1"/>
  <c r="F858" i="1" s="1"/>
  <c r="S858" i="1" s="1"/>
  <c r="R837" i="1"/>
  <c r="F837" i="1" s="1"/>
  <c r="S837" i="1" s="1"/>
  <c r="R816" i="1"/>
  <c r="F816" i="1" s="1"/>
  <c r="R794" i="1"/>
  <c r="F794" i="1" s="1"/>
  <c r="S794" i="1" s="1"/>
  <c r="R773" i="1"/>
  <c r="F773" i="1" s="1"/>
  <c r="S773" i="1" s="1"/>
  <c r="R752" i="1"/>
  <c r="F752" i="1" s="1"/>
  <c r="R730" i="1"/>
  <c r="F730" i="1" s="1"/>
  <c r="S730" i="1" s="1"/>
  <c r="R709" i="1"/>
  <c r="F709" i="1" s="1"/>
  <c r="S709" i="1" s="1"/>
  <c r="R688" i="1"/>
  <c r="F688" i="1" s="1"/>
  <c r="S688" i="1" s="1"/>
  <c r="R666" i="1"/>
  <c r="F666" i="1" s="1"/>
  <c r="R645" i="1"/>
  <c r="F645" i="1" s="1"/>
  <c r="R624" i="1"/>
  <c r="F624" i="1" s="1"/>
  <c r="S624" i="1" s="1"/>
  <c r="R602" i="1"/>
  <c r="F602" i="1" s="1"/>
  <c r="S602" i="1" s="1"/>
  <c r="R581" i="1"/>
  <c r="F581" i="1" s="1"/>
  <c r="R560" i="1"/>
  <c r="F560" i="1" s="1"/>
  <c r="R538" i="1"/>
  <c r="F538" i="1" s="1"/>
  <c r="S538" i="1" s="1"/>
  <c r="R516" i="1"/>
  <c r="F516" i="1" s="1"/>
  <c r="S516" i="1" s="1"/>
  <c r="R484" i="1"/>
  <c r="F484" i="1" s="1"/>
  <c r="R452" i="1"/>
  <c r="F452" i="1" s="1"/>
  <c r="R418" i="1"/>
  <c r="F418" i="1" s="1"/>
  <c r="S418" i="1" s="1"/>
  <c r="R355" i="1"/>
  <c r="F355" i="1" s="1"/>
  <c r="S355" i="1" s="1"/>
  <c r="R274" i="1"/>
  <c r="F274" i="1" s="1"/>
  <c r="S274" i="1" s="1"/>
  <c r="R189" i="1"/>
  <c r="F189" i="1" s="1"/>
  <c r="S189" i="1" s="1"/>
  <c r="R104" i="1"/>
  <c r="F104" i="1" s="1"/>
  <c r="S104" i="1" s="1"/>
  <c r="R1135" i="1"/>
  <c r="F1135" i="1" s="1"/>
  <c r="S1135" i="1" s="1"/>
  <c r="R1119" i="1"/>
  <c r="F1119" i="1" s="1"/>
  <c r="S1119" i="1" s="1"/>
  <c r="R1103" i="1"/>
  <c r="F1103" i="1" s="1"/>
  <c r="R1087" i="1"/>
  <c r="F1087" i="1" s="1"/>
  <c r="S1087" i="1" s="1"/>
  <c r="R1071" i="1"/>
  <c r="F1071" i="1" s="1"/>
  <c r="S1071" i="1" s="1"/>
  <c r="R1055" i="1"/>
  <c r="F1055" i="1" s="1"/>
  <c r="S1055" i="1" s="1"/>
  <c r="R1039" i="1"/>
  <c r="F1039" i="1" s="1"/>
  <c r="R1023" i="1"/>
  <c r="F1023" i="1" s="1"/>
  <c r="S1023" i="1" s="1"/>
  <c r="R1007" i="1"/>
  <c r="F1007" i="1" s="1"/>
  <c r="S1007" i="1" s="1"/>
  <c r="R991" i="1"/>
  <c r="F991" i="1" s="1"/>
  <c r="R975" i="1"/>
  <c r="F975" i="1" s="1"/>
  <c r="S975" i="1" s="1"/>
  <c r="R959" i="1"/>
  <c r="F959" i="1" s="1"/>
  <c r="R943" i="1"/>
  <c r="F943" i="1" s="1"/>
  <c r="S943" i="1" s="1"/>
  <c r="R925" i="1"/>
  <c r="F925" i="1" s="1"/>
  <c r="S925" i="1" s="1"/>
  <c r="R904" i="1"/>
  <c r="F904" i="1" s="1"/>
  <c r="R882" i="1"/>
  <c r="F882" i="1" s="1"/>
  <c r="S882" i="1" s="1"/>
  <c r="R861" i="1"/>
  <c r="F861" i="1" s="1"/>
  <c r="S861" i="1" s="1"/>
  <c r="R840" i="1"/>
  <c r="F840" i="1" s="1"/>
  <c r="S840" i="1" s="1"/>
  <c r="R818" i="1"/>
  <c r="F818" i="1" s="1"/>
  <c r="R797" i="1"/>
  <c r="F797" i="1" s="1"/>
  <c r="S797" i="1" s="1"/>
  <c r="R776" i="1"/>
  <c r="F776" i="1" s="1"/>
  <c r="S776" i="1" s="1"/>
  <c r="R754" i="1"/>
  <c r="F754" i="1" s="1"/>
  <c r="S754" i="1" s="1"/>
  <c r="R733" i="1"/>
  <c r="F733" i="1" s="1"/>
  <c r="S733" i="1" s="1"/>
  <c r="R712" i="1"/>
  <c r="F712" i="1" s="1"/>
  <c r="S712" i="1" s="1"/>
  <c r="R690" i="1"/>
  <c r="F690" i="1" s="1"/>
  <c r="S690" i="1" s="1"/>
  <c r="R669" i="1"/>
  <c r="F669" i="1" s="1"/>
  <c r="R648" i="1"/>
  <c r="F648" i="1" s="1"/>
  <c r="R626" i="1"/>
  <c r="F626" i="1" s="1"/>
  <c r="S626" i="1" s="1"/>
  <c r="R605" i="1"/>
  <c r="F605" i="1" s="1"/>
  <c r="S605" i="1" s="1"/>
  <c r="R584" i="1"/>
  <c r="F584" i="1" s="1"/>
  <c r="S584" i="1" s="1"/>
  <c r="R562" i="1"/>
  <c r="F562" i="1" s="1"/>
  <c r="R541" i="1"/>
  <c r="F541" i="1" s="1"/>
  <c r="S541" i="1" s="1"/>
  <c r="R520" i="1"/>
  <c r="F520" i="1" s="1"/>
  <c r="S520" i="1" s="1"/>
  <c r="R488" i="1"/>
  <c r="F488" i="1" s="1"/>
  <c r="S488" i="1" s="1"/>
  <c r="R456" i="1"/>
  <c r="F456" i="1" s="1"/>
  <c r="S456" i="1" s="1"/>
  <c r="R423" i="1"/>
  <c r="F423" i="1" s="1"/>
  <c r="S423" i="1" s="1"/>
  <c r="R363" i="1"/>
  <c r="F363" i="1" s="1"/>
  <c r="S363" i="1" s="1"/>
  <c r="R285" i="1"/>
  <c r="F285" i="1" s="1"/>
  <c r="S285" i="1" s="1"/>
  <c r="R200" i="1"/>
  <c r="F200" i="1" s="1"/>
  <c r="R114" i="1"/>
  <c r="F114" i="1" s="1"/>
  <c r="S114" i="1" s="1"/>
  <c r="R509" i="1"/>
  <c r="F509" i="1" s="1"/>
  <c r="S509" i="1" s="1"/>
  <c r="R493" i="1"/>
  <c r="F493" i="1" s="1"/>
  <c r="R477" i="1"/>
  <c r="F477" i="1" s="1"/>
  <c r="R461" i="1"/>
  <c r="F461" i="1" s="1"/>
  <c r="R445" i="1"/>
  <c r="F445" i="1" s="1"/>
  <c r="S445" i="1" s="1"/>
  <c r="R429" i="1"/>
  <c r="F429" i="1" s="1"/>
  <c r="S429" i="1" s="1"/>
  <c r="R404" i="1"/>
  <c r="F404" i="1" s="1"/>
  <c r="R373" i="1"/>
  <c r="F373" i="1" s="1"/>
  <c r="S373" i="1" s="1"/>
  <c r="R341" i="1"/>
  <c r="F341" i="1" s="1"/>
  <c r="S341" i="1" s="1"/>
  <c r="R298" i="1"/>
  <c r="F298" i="1" s="1"/>
  <c r="S298" i="1" s="1"/>
  <c r="R256" i="1"/>
  <c r="F256" i="1" s="1"/>
  <c r="R213" i="1"/>
  <c r="F213" i="1" s="1"/>
  <c r="S213" i="1" s="1"/>
  <c r="R170" i="1"/>
  <c r="F170" i="1" s="1"/>
  <c r="S170" i="1" s="1"/>
  <c r="R128" i="1"/>
  <c r="F128" i="1" s="1"/>
  <c r="S128" i="1" s="1"/>
  <c r="R85" i="1"/>
  <c r="F85" i="1" s="1"/>
  <c r="R42" i="1"/>
  <c r="F42" i="1" s="1"/>
  <c r="S42" i="1" s="1"/>
  <c r="R931" i="1"/>
  <c r="F931" i="1" s="1"/>
  <c r="S931" i="1" s="1"/>
  <c r="R915" i="1"/>
  <c r="F915" i="1" s="1"/>
  <c r="S915" i="1" s="1"/>
  <c r="R899" i="1"/>
  <c r="F899" i="1" s="1"/>
  <c r="R883" i="1"/>
  <c r="F883" i="1" s="1"/>
  <c r="S883" i="1" s="1"/>
  <c r="R867" i="1"/>
  <c r="F867" i="1" s="1"/>
  <c r="S867" i="1" s="1"/>
  <c r="R851" i="1"/>
  <c r="F851" i="1" s="1"/>
  <c r="S851" i="1" s="1"/>
  <c r="R835" i="1"/>
  <c r="F835" i="1" s="1"/>
  <c r="R819" i="1"/>
  <c r="F819" i="1" s="1"/>
  <c r="S819" i="1" s="1"/>
  <c r="R803" i="1"/>
  <c r="F803" i="1" s="1"/>
  <c r="S803" i="1" s="1"/>
  <c r="R787" i="1"/>
  <c r="F787" i="1" s="1"/>
  <c r="S787" i="1" s="1"/>
  <c r="R771" i="1"/>
  <c r="F771" i="1" s="1"/>
  <c r="R755" i="1"/>
  <c r="F755" i="1" s="1"/>
  <c r="S755" i="1" s="1"/>
  <c r="R739" i="1"/>
  <c r="F739" i="1" s="1"/>
  <c r="S739" i="1" s="1"/>
  <c r="R723" i="1"/>
  <c r="F723" i="1" s="1"/>
  <c r="S723" i="1" s="1"/>
  <c r="R707" i="1"/>
  <c r="F707" i="1" s="1"/>
  <c r="S707" i="1" s="1"/>
  <c r="R691" i="1"/>
  <c r="F691" i="1" s="1"/>
  <c r="S691" i="1" s="1"/>
  <c r="R675" i="1"/>
  <c r="F675" i="1" s="1"/>
  <c r="S675" i="1" s="1"/>
  <c r="R659" i="1"/>
  <c r="F659" i="1" s="1"/>
  <c r="S659" i="1" s="1"/>
  <c r="R643" i="1"/>
  <c r="F643" i="1" s="1"/>
  <c r="R627" i="1"/>
  <c r="F627" i="1" s="1"/>
  <c r="S627" i="1" s="1"/>
  <c r="R611" i="1"/>
  <c r="F611" i="1" s="1"/>
  <c r="S611" i="1" s="1"/>
  <c r="R595" i="1"/>
  <c r="F595" i="1" s="1"/>
  <c r="S595" i="1" s="1"/>
  <c r="R579" i="1"/>
  <c r="F579" i="1" s="1"/>
  <c r="R563" i="1"/>
  <c r="F563" i="1" s="1"/>
  <c r="S563" i="1" s="1"/>
  <c r="R547" i="1"/>
  <c r="F547" i="1" s="1"/>
  <c r="S547" i="1" s="1"/>
  <c r="R531" i="1"/>
  <c r="F531" i="1" s="1"/>
  <c r="S531" i="1" s="1"/>
  <c r="R515" i="1"/>
  <c r="F515" i="1" s="1"/>
  <c r="S515" i="1" s="1"/>
  <c r="R499" i="1"/>
  <c r="F499" i="1" s="1"/>
  <c r="S499" i="1" s="1"/>
  <c r="R483" i="1"/>
  <c r="F483" i="1" s="1"/>
  <c r="S483" i="1" s="1"/>
  <c r="R467" i="1"/>
  <c r="F467" i="1" s="1"/>
  <c r="S467" i="1" s="1"/>
  <c r="R451" i="1"/>
  <c r="F451" i="1" s="1"/>
  <c r="R435" i="1"/>
  <c r="F435" i="1" s="1"/>
  <c r="S435" i="1" s="1"/>
  <c r="R416" i="1"/>
  <c r="F416" i="1" s="1"/>
  <c r="S416" i="1" s="1"/>
  <c r="R384" i="1"/>
  <c r="F384" i="1" s="1"/>
  <c r="S384" i="1" s="1"/>
  <c r="R345" i="1"/>
  <c r="F345" i="1" s="1"/>
  <c r="R304" i="1"/>
  <c r="F304" i="1" s="1"/>
  <c r="S304" i="1" s="1"/>
  <c r="R261" i="1"/>
  <c r="F261" i="1" s="1"/>
  <c r="S261" i="1" s="1"/>
  <c r="R218" i="1"/>
  <c r="F218" i="1" s="1"/>
  <c r="S218" i="1" s="1"/>
  <c r="R176" i="1"/>
  <c r="F176" i="1" s="1"/>
  <c r="R133" i="1"/>
  <c r="F133" i="1" s="1"/>
  <c r="S133" i="1" s="1"/>
  <c r="R90" i="1"/>
  <c r="F90" i="1" s="1"/>
  <c r="S90" i="1" s="1"/>
  <c r="R48" i="1"/>
  <c r="F48" i="1" s="1"/>
  <c r="S48" i="1" s="1"/>
  <c r="R413" i="1"/>
  <c r="F413" i="1" s="1"/>
  <c r="R397" i="1"/>
  <c r="F397" i="1" s="1"/>
  <c r="S397" i="1" s="1"/>
  <c r="R381" i="1"/>
  <c r="F381" i="1" s="1"/>
  <c r="S381" i="1" s="1"/>
  <c r="R366" i="1"/>
  <c r="F366" i="1" s="1"/>
  <c r="S366" i="1" s="1"/>
  <c r="R350" i="1"/>
  <c r="F350" i="1" s="1"/>
  <c r="S350" i="1" s="1"/>
  <c r="R332" i="1"/>
  <c r="F332" i="1" s="1"/>
  <c r="S332" i="1" s="1"/>
  <c r="R310" i="1"/>
  <c r="F310" i="1" s="1"/>
  <c r="S310" i="1" s="1"/>
  <c r="R289" i="1"/>
  <c r="F289" i="1" s="1"/>
  <c r="S289" i="1" s="1"/>
  <c r="R268" i="1"/>
  <c r="F268" i="1" s="1"/>
  <c r="R246" i="1"/>
  <c r="F246" i="1" s="1"/>
  <c r="S246" i="1" s="1"/>
  <c r="R225" i="1"/>
  <c r="F225" i="1" s="1"/>
  <c r="S225" i="1" s="1"/>
  <c r="R204" i="1"/>
  <c r="F204" i="1" s="1"/>
  <c r="S204" i="1" s="1"/>
  <c r="R182" i="1"/>
  <c r="F182" i="1" s="1"/>
  <c r="S182" i="1" s="1"/>
  <c r="R161" i="1"/>
  <c r="F161" i="1" s="1"/>
  <c r="S161" i="1" s="1"/>
  <c r="R140" i="1"/>
  <c r="F140" i="1" s="1"/>
  <c r="S140" i="1" s="1"/>
  <c r="R118" i="1"/>
  <c r="F118" i="1" s="1"/>
  <c r="S118" i="1" s="1"/>
  <c r="R97" i="1"/>
  <c r="F97" i="1" s="1"/>
  <c r="S97" i="1" s="1"/>
  <c r="R76" i="1"/>
  <c r="F76" i="1" s="1"/>
  <c r="S76" i="1" s="1"/>
  <c r="R54" i="1"/>
  <c r="F54" i="1" s="1"/>
  <c r="S54" i="1" s="1"/>
  <c r="R33" i="1"/>
  <c r="F33" i="1" s="1"/>
  <c r="S33" i="1" s="1"/>
  <c r="R407" i="1"/>
  <c r="F407" i="1" s="1"/>
  <c r="R391" i="1"/>
  <c r="F391" i="1" s="1"/>
  <c r="S391" i="1" s="1"/>
  <c r="R376" i="1"/>
  <c r="F376" i="1" s="1"/>
  <c r="S376" i="1" s="1"/>
  <c r="R360" i="1"/>
  <c r="F360" i="1" s="1"/>
  <c r="R344" i="1"/>
  <c r="F344" i="1" s="1"/>
  <c r="S344" i="1" s="1"/>
  <c r="R324" i="1"/>
  <c r="F324" i="1" s="1"/>
  <c r="S324" i="1" s="1"/>
  <c r="R302" i="1"/>
  <c r="F302" i="1" s="1"/>
  <c r="S302" i="1" s="1"/>
  <c r="R281" i="1"/>
  <c r="F281" i="1" s="1"/>
  <c r="R260" i="1"/>
  <c r="F260" i="1" s="1"/>
  <c r="R238" i="1"/>
  <c r="F238" i="1" s="1"/>
  <c r="S238" i="1" s="1"/>
  <c r="R217" i="1"/>
  <c r="F217" i="1" s="1"/>
  <c r="S217" i="1" s="1"/>
  <c r="R196" i="1"/>
  <c r="F196" i="1" s="1"/>
  <c r="S196" i="1" s="1"/>
  <c r="R174" i="1"/>
  <c r="F174" i="1" s="1"/>
  <c r="R153" i="1"/>
  <c r="F153" i="1" s="1"/>
  <c r="S153" i="1" s="1"/>
  <c r="R132" i="1"/>
  <c r="F132" i="1" s="1"/>
  <c r="S132" i="1" s="1"/>
  <c r="R110" i="1"/>
  <c r="F110" i="1" s="1"/>
  <c r="S110" i="1" s="1"/>
  <c r="R89" i="1"/>
  <c r="F89" i="1" s="1"/>
  <c r="S89" i="1" s="1"/>
  <c r="R68" i="1"/>
  <c r="F68" i="1" s="1"/>
  <c r="S68" i="1" s="1"/>
  <c r="R46" i="1"/>
  <c r="F46" i="1" s="1"/>
  <c r="S46" i="1" s="1"/>
  <c r="R327" i="1"/>
  <c r="F327" i="1" s="1"/>
  <c r="S327" i="1" s="1"/>
  <c r="R311" i="1"/>
  <c r="F311" i="1" s="1"/>
  <c r="R295" i="1"/>
  <c r="F295" i="1" s="1"/>
  <c r="S295" i="1" s="1"/>
  <c r="R279" i="1"/>
  <c r="F279" i="1" s="1"/>
  <c r="S279" i="1" s="1"/>
  <c r="R263" i="1"/>
  <c r="F263" i="1" s="1"/>
  <c r="S263" i="1" s="1"/>
  <c r="R247" i="1"/>
  <c r="F247" i="1" s="1"/>
  <c r="S247" i="1" s="1"/>
  <c r="R231" i="1"/>
  <c r="F231" i="1" s="1"/>
  <c r="S231" i="1" s="1"/>
  <c r="R215" i="1"/>
  <c r="F215" i="1" s="1"/>
  <c r="S215" i="1" s="1"/>
  <c r="R199" i="1"/>
  <c r="F199" i="1" s="1"/>
  <c r="S199" i="1" s="1"/>
  <c r="R183" i="1"/>
  <c r="F183" i="1" s="1"/>
  <c r="R167" i="1"/>
  <c r="F167" i="1" s="1"/>
  <c r="S167" i="1" s="1"/>
  <c r="R151" i="1"/>
  <c r="F151" i="1" s="1"/>
  <c r="S151" i="1" s="1"/>
  <c r="R135" i="1"/>
  <c r="F135" i="1" s="1"/>
  <c r="S135" i="1" s="1"/>
  <c r="R119" i="1"/>
  <c r="F119" i="1" s="1"/>
  <c r="R103" i="1"/>
  <c r="F103" i="1" s="1"/>
  <c r="S103" i="1" s="1"/>
  <c r="R87" i="1"/>
  <c r="F87" i="1" s="1"/>
  <c r="S87" i="1" s="1"/>
  <c r="R71" i="1"/>
  <c r="F71" i="1" s="1"/>
  <c r="S71" i="1" s="1"/>
  <c r="R55" i="1"/>
  <c r="F55" i="1" s="1"/>
  <c r="S55" i="1" s="1"/>
  <c r="R39" i="1"/>
  <c r="F39" i="1" s="1"/>
  <c r="R403" i="1"/>
  <c r="F403" i="1" s="1"/>
  <c r="S403" i="1" s="1"/>
  <c r="R387" i="1"/>
  <c r="F387" i="1" s="1"/>
  <c r="S387" i="1" s="1"/>
  <c r="R372" i="1"/>
  <c r="F372" i="1" s="1"/>
  <c r="R356" i="1"/>
  <c r="F356" i="1" s="1"/>
  <c r="S356" i="1" s="1"/>
  <c r="R340" i="1"/>
  <c r="F340" i="1" s="1"/>
  <c r="S340" i="1" s="1"/>
  <c r="R318" i="1"/>
  <c r="F318" i="1" s="1"/>
  <c r="R276" i="1"/>
  <c r="F276" i="1" s="1"/>
  <c r="R254" i="1"/>
  <c r="F254" i="1" s="1"/>
  <c r="S254" i="1" s="1"/>
  <c r="R212" i="1"/>
  <c r="F212" i="1" s="1"/>
  <c r="S212" i="1" s="1"/>
  <c r="R190" i="1"/>
  <c r="F190" i="1" s="1"/>
  <c r="S190" i="1" s="1"/>
  <c r="R148" i="1"/>
  <c r="F148" i="1" s="1"/>
  <c r="S148" i="1" s="1"/>
  <c r="R126" i="1"/>
  <c r="F126" i="1" s="1"/>
  <c r="S126" i="1" s="1"/>
  <c r="R84" i="1"/>
  <c r="F84" i="1" s="1"/>
  <c r="S84" i="1" s="1"/>
  <c r="R62" i="1"/>
  <c r="F62" i="1" s="1"/>
  <c r="S62" i="1" s="1"/>
  <c r="R323" i="1"/>
  <c r="F323" i="1" s="1"/>
  <c r="R291" i="1"/>
  <c r="F291" i="1" s="1"/>
  <c r="S291" i="1" s="1"/>
  <c r="R259" i="1"/>
  <c r="F259" i="1" s="1"/>
  <c r="S259" i="1" s="1"/>
  <c r="R227" i="1"/>
  <c r="F227" i="1" s="1"/>
  <c r="S227" i="1" s="1"/>
  <c r="R195" i="1"/>
  <c r="F195" i="1" s="1"/>
  <c r="S195" i="1" s="1"/>
  <c r="R163" i="1"/>
  <c r="F163" i="1" s="1"/>
  <c r="S163" i="1" s="1"/>
  <c r="R131" i="1"/>
  <c r="F131" i="1" s="1"/>
  <c r="S131" i="1" s="1"/>
  <c r="R99" i="1"/>
  <c r="F99" i="1" s="1"/>
  <c r="S99" i="1" s="1"/>
  <c r="R67" i="1"/>
  <c r="F67" i="1" s="1"/>
  <c r="R35" i="1"/>
  <c r="F35" i="1" s="1"/>
  <c r="R56" i="1"/>
  <c r="F56" i="1" s="1"/>
  <c r="S56" i="1" s="1"/>
  <c r="R226" i="1"/>
  <c r="F226" i="1" s="1"/>
  <c r="S226" i="1" s="1"/>
  <c r="R382" i="1"/>
  <c r="F382" i="1" s="1"/>
  <c r="S382" i="1" s="1"/>
  <c r="R466" i="1"/>
  <c r="F466" i="1" s="1"/>
  <c r="S466" i="1" s="1"/>
  <c r="R526" i="1"/>
  <c r="F526" i="1" s="1"/>
  <c r="S526" i="1" s="1"/>
  <c r="R569" i="1"/>
  <c r="F569" i="1" s="1"/>
  <c r="S569" i="1" s="1"/>
  <c r="R612" i="1"/>
  <c r="F612" i="1" s="1"/>
  <c r="R654" i="1"/>
  <c r="F654" i="1" s="1"/>
  <c r="S654" i="1" s="1"/>
  <c r="R697" i="1"/>
  <c r="F697" i="1" s="1"/>
  <c r="S697" i="1" s="1"/>
  <c r="R740" i="1"/>
  <c r="F740" i="1" s="1"/>
  <c r="S740" i="1" s="1"/>
  <c r="R782" i="1"/>
  <c r="F782" i="1" s="1"/>
  <c r="R825" i="1"/>
  <c r="F825" i="1" s="1"/>
  <c r="S825" i="1" s="1"/>
  <c r="R868" i="1"/>
  <c r="F868" i="1" s="1"/>
  <c r="S868" i="1" s="1"/>
  <c r="R910" i="1"/>
  <c r="F910" i="1" s="1"/>
  <c r="S910" i="1" s="1"/>
  <c r="R948" i="1"/>
  <c r="F948" i="1" s="1"/>
  <c r="S948" i="1" s="1"/>
  <c r="R980" i="1"/>
  <c r="F980" i="1" s="1"/>
  <c r="S980" i="1" s="1"/>
  <c r="R1012" i="1"/>
  <c r="F1012" i="1" s="1"/>
  <c r="S1012" i="1" s="1"/>
  <c r="R1044" i="1"/>
  <c r="F1044" i="1" s="1"/>
  <c r="S1044" i="1" s="1"/>
  <c r="R1076" i="1"/>
  <c r="F1076" i="1" s="1"/>
  <c r="S1076" i="1" s="1"/>
  <c r="R1108" i="1"/>
  <c r="F1108" i="1" s="1"/>
  <c r="S1108" i="1" s="1"/>
  <c r="R1140" i="1"/>
  <c r="F1140" i="1" s="1"/>
  <c r="S1140" i="1" s="1"/>
  <c r="R1164" i="1"/>
  <c r="F1164" i="1" s="1"/>
  <c r="R1186" i="1"/>
  <c r="F1186" i="1" s="1"/>
  <c r="R1202" i="1"/>
  <c r="F1202" i="1" s="1"/>
  <c r="S1202" i="1" s="1"/>
  <c r="R1218" i="1"/>
  <c r="F1218" i="1" s="1"/>
  <c r="S1218" i="1" s="1"/>
  <c r="R1234" i="1"/>
  <c r="F1234" i="1" s="1"/>
  <c r="S1234" i="1" s="1"/>
  <c r="R1250" i="1"/>
  <c r="F1250" i="1" s="1"/>
  <c r="S1250" i="1" s="1"/>
  <c r="R1266" i="1"/>
  <c r="F1266" i="1" s="1"/>
  <c r="S1266" i="1" s="1"/>
  <c r="R1282" i="1"/>
  <c r="F1282" i="1" s="1"/>
  <c r="S1282" i="1" s="1"/>
  <c r="R1298" i="1"/>
  <c r="F1298" i="1" s="1"/>
  <c r="S1298" i="1" s="1"/>
  <c r="R1314" i="1"/>
  <c r="F1314" i="1" s="1"/>
  <c r="R152" i="1"/>
  <c r="F152" i="1" s="1"/>
  <c r="S152" i="1" s="1"/>
  <c r="R322" i="1"/>
  <c r="F322" i="1" s="1"/>
  <c r="S322" i="1" s="1"/>
  <c r="R438" i="1"/>
  <c r="F438" i="1" s="1"/>
  <c r="S438" i="1" s="1"/>
  <c r="R502" i="1"/>
  <c r="F502" i="1" s="1"/>
  <c r="S502" i="1" s="1"/>
  <c r="R550" i="1"/>
  <c r="F550" i="1" s="1"/>
  <c r="S550" i="1" s="1"/>
  <c r="R593" i="1"/>
  <c r="F593" i="1" s="1"/>
  <c r="S593" i="1" s="1"/>
  <c r="R636" i="1"/>
  <c r="F636" i="1" s="1"/>
  <c r="R678" i="1"/>
  <c r="F678" i="1" s="1"/>
  <c r="S678" i="1" s="1"/>
  <c r="R721" i="1"/>
  <c r="F721" i="1" s="1"/>
  <c r="S721" i="1" s="1"/>
  <c r="R764" i="1"/>
  <c r="F764" i="1" s="1"/>
  <c r="S764" i="1" s="1"/>
  <c r="R806" i="1"/>
  <c r="F806" i="1" s="1"/>
  <c r="S806" i="1" s="1"/>
  <c r="R849" i="1"/>
  <c r="F849" i="1" s="1"/>
  <c r="R892" i="1"/>
  <c r="F892" i="1" s="1"/>
  <c r="S892" i="1" s="1"/>
  <c r="R934" i="1"/>
  <c r="F934" i="1" s="1"/>
  <c r="S934" i="1" s="1"/>
  <c r="R966" i="1"/>
  <c r="F966" i="1" s="1"/>
  <c r="S966" i="1" s="1"/>
  <c r="R998" i="1"/>
  <c r="F998" i="1" s="1"/>
  <c r="R1030" i="1"/>
  <c r="F1030" i="1" s="1"/>
  <c r="S1030" i="1" s="1"/>
  <c r="R1062" i="1"/>
  <c r="F1062" i="1" s="1"/>
  <c r="S1062" i="1" s="1"/>
  <c r="R1094" i="1"/>
  <c r="F1094" i="1" s="1"/>
  <c r="S1094" i="1" s="1"/>
  <c r="R1126" i="1"/>
  <c r="F1126" i="1" s="1"/>
  <c r="S1126" i="1" s="1"/>
  <c r="R1155" i="1"/>
  <c r="F1155" i="1" s="1"/>
  <c r="S1155" i="1" s="1"/>
  <c r="R1175" i="1"/>
  <c r="F1175" i="1" s="1"/>
  <c r="S1175" i="1" s="1"/>
  <c r="R1191" i="1"/>
  <c r="F1191" i="1" s="1"/>
  <c r="S1191" i="1" s="1"/>
  <c r="R1207" i="1"/>
  <c r="F1207" i="1" s="1"/>
  <c r="S1207" i="1" s="1"/>
  <c r="R1223" i="1"/>
  <c r="F1223" i="1" s="1"/>
  <c r="S1223" i="1" s="1"/>
  <c r="R1239" i="1"/>
  <c r="F1239" i="1" s="1"/>
  <c r="S1239" i="1" s="1"/>
  <c r="R1255" i="1"/>
  <c r="F1255" i="1" s="1"/>
  <c r="S1255" i="1" s="1"/>
  <c r="R1271" i="1"/>
  <c r="F1271" i="1" s="1"/>
  <c r="R1287" i="1"/>
  <c r="F1287" i="1" s="1"/>
  <c r="S1287" i="1" s="1"/>
  <c r="R1303" i="1"/>
  <c r="F1303" i="1" s="1"/>
  <c r="S1303" i="1" s="1"/>
  <c r="R1319" i="1"/>
  <c r="F1319" i="1" s="1"/>
  <c r="S1319" i="1" s="1"/>
  <c r="R34" i="1"/>
  <c r="F34" i="1" s="1"/>
  <c r="R205" i="1"/>
  <c r="F205" i="1" s="1"/>
  <c r="S205" i="1" s="1"/>
  <c r="R367" i="1"/>
  <c r="F367" i="1" s="1"/>
  <c r="S367" i="1" s="1"/>
  <c r="R458" i="1"/>
  <c r="F458" i="1" s="1"/>
  <c r="S458" i="1" s="1"/>
  <c r="R521" i="1"/>
  <c r="F521" i="1" s="1"/>
  <c r="R564" i="1"/>
  <c r="F564" i="1" s="1"/>
  <c r="S564" i="1" s="1"/>
  <c r="R606" i="1"/>
  <c r="F606" i="1" s="1"/>
  <c r="S606" i="1" s="1"/>
  <c r="R649" i="1"/>
  <c r="F649" i="1" s="1"/>
  <c r="S649" i="1" s="1"/>
  <c r="R692" i="1"/>
  <c r="F692" i="1" s="1"/>
  <c r="S692" i="1" s="1"/>
  <c r="R734" i="1"/>
  <c r="F734" i="1" s="1"/>
  <c r="S734" i="1" s="1"/>
  <c r="R777" i="1"/>
  <c r="F777" i="1" s="1"/>
  <c r="S777" i="1" s="1"/>
  <c r="R820" i="1"/>
  <c r="F820" i="1" s="1"/>
  <c r="S820" i="1" s="1"/>
  <c r="R862" i="1"/>
  <c r="F862" i="1" s="1"/>
  <c r="R905" i="1"/>
  <c r="F905" i="1" s="1"/>
  <c r="S905" i="1" s="1"/>
  <c r="R944" i="1"/>
  <c r="F944" i="1" s="1"/>
  <c r="S944" i="1" s="1"/>
  <c r="R976" i="1"/>
  <c r="F976" i="1" s="1"/>
  <c r="S976" i="1" s="1"/>
  <c r="R1008" i="1"/>
  <c r="F1008" i="1" s="1"/>
  <c r="R1040" i="1"/>
  <c r="F1040" i="1" s="1"/>
  <c r="S1040" i="1" s="1"/>
  <c r="R1072" i="1"/>
  <c r="F1072" i="1" s="1"/>
  <c r="S1072" i="1" s="1"/>
  <c r="R1104" i="1"/>
  <c r="F1104" i="1" s="1"/>
  <c r="S1104" i="1" s="1"/>
  <c r="R1136" i="1"/>
  <c r="F1136" i="1" s="1"/>
  <c r="S1136" i="1" s="1"/>
  <c r="R1162" i="1"/>
  <c r="F1162" i="1" s="1"/>
  <c r="S1162" i="1" s="1"/>
  <c r="R1180" i="1"/>
  <c r="F1180" i="1" s="1"/>
  <c r="S1180" i="1" s="1"/>
  <c r="R1196" i="1"/>
  <c r="F1196" i="1" s="1"/>
  <c r="R1212" i="1"/>
  <c r="F1212" i="1" s="1"/>
  <c r="S1212" i="1" s="1"/>
  <c r="R1228" i="1"/>
  <c r="F1228" i="1" s="1"/>
  <c r="S1228" i="1" s="1"/>
  <c r="R1244" i="1"/>
  <c r="F1244" i="1" s="1"/>
  <c r="S1244" i="1" s="1"/>
  <c r="R1260" i="1"/>
  <c r="F1260" i="1" s="1"/>
  <c r="S1260" i="1" s="1"/>
  <c r="R1276" i="1"/>
  <c r="F1276" i="1" s="1"/>
  <c r="R1292" i="1"/>
  <c r="F1292" i="1" s="1"/>
  <c r="S1292" i="1" s="1"/>
  <c r="R1308" i="1"/>
  <c r="F1308" i="1" s="1"/>
  <c r="S1308" i="1" s="1"/>
  <c r="R1324" i="1"/>
  <c r="F1324" i="1" s="1"/>
  <c r="S1324" i="1" s="1"/>
  <c r="R88" i="1"/>
  <c r="F88" i="1" s="1"/>
  <c r="S88" i="1" s="1"/>
  <c r="R258" i="1"/>
  <c r="F258" i="1" s="1"/>
  <c r="S258" i="1" s="1"/>
  <c r="R406" i="1"/>
  <c r="F406" i="1" s="1"/>
  <c r="S406" i="1" s="1"/>
  <c r="R478" i="1"/>
  <c r="F478" i="1" s="1"/>
  <c r="S478" i="1" s="1"/>
  <c r="R534" i="1"/>
  <c r="F534" i="1" s="1"/>
  <c r="S534" i="1" s="1"/>
  <c r="R577" i="1"/>
  <c r="F577" i="1" s="1"/>
  <c r="S577" i="1" s="1"/>
  <c r="R620" i="1"/>
  <c r="F620" i="1" s="1"/>
  <c r="S620" i="1" s="1"/>
  <c r="R662" i="1"/>
  <c r="F662" i="1" s="1"/>
  <c r="S662" i="1" s="1"/>
  <c r="R705" i="1"/>
  <c r="F705" i="1" s="1"/>
  <c r="R748" i="1"/>
  <c r="F748" i="1" s="1"/>
  <c r="S748" i="1" s="1"/>
  <c r="R790" i="1"/>
  <c r="F790" i="1" s="1"/>
  <c r="S790" i="1" s="1"/>
  <c r="R833" i="1"/>
  <c r="F833" i="1" s="1"/>
  <c r="S833" i="1" s="1"/>
  <c r="R876" i="1"/>
  <c r="F876" i="1" s="1"/>
  <c r="S876" i="1" s="1"/>
  <c r="R918" i="1"/>
  <c r="F918" i="1" s="1"/>
  <c r="S918" i="1" s="1"/>
  <c r="R954" i="1"/>
  <c r="F954" i="1" s="1"/>
  <c r="S954" i="1" s="1"/>
  <c r="R986" i="1"/>
  <c r="F986" i="1" s="1"/>
  <c r="S986" i="1" s="1"/>
  <c r="R1018" i="1"/>
  <c r="F1018" i="1" s="1"/>
  <c r="R1050" i="1"/>
  <c r="F1050" i="1" s="1"/>
  <c r="S1050" i="1" s="1"/>
  <c r="R1082" i="1"/>
  <c r="F1082" i="1" s="1"/>
  <c r="S1082" i="1" s="1"/>
  <c r="R1114" i="1"/>
  <c r="F1114" i="1" s="1"/>
  <c r="S1114" i="1" s="1"/>
  <c r="R1146" i="1"/>
  <c r="F1146" i="1" s="1"/>
  <c r="S1146" i="1" s="1"/>
  <c r="R1168" i="1"/>
  <c r="F1168" i="1" s="1"/>
  <c r="S1168" i="1" s="1"/>
  <c r="R1185" i="1"/>
  <c r="F1185" i="1" s="1"/>
  <c r="S1185" i="1" s="1"/>
  <c r="R1201" i="1"/>
  <c r="F1201" i="1" s="1"/>
  <c r="R1217" i="1"/>
  <c r="F1217" i="1" s="1"/>
  <c r="S1217" i="1" s="1"/>
  <c r="R1233" i="1"/>
  <c r="F1233" i="1" s="1"/>
  <c r="S1233" i="1" s="1"/>
  <c r="R1249" i="1"/>
  <c r="F1249" i="1" s="1"/>
  <c r="S1249" i="1" s="1"/>
  <c r="R1265" i="1"/>
  <c r="F1265" i="1" s="1"/>
  <c r="S1265" i="1" s="1"/>
  <c r="R1281" i="1"/>
  <c r="F1281" i="1" s="1"/>
  <c r="S1281" i="1" s="1"/>
  <c r="R1297" i="1"/>
  <c r="F1297" i="1" s="1"/>
  <c r="S1297" i="1" s="1"/>
  <c r="R1313" i="1"/>
  <c r="F1313" i="1" s="1"/>
  <c r="S1313" i="1" s="1"/>
  <c r="R1329" i="1"/>
  <c r="F1329" i="1" s="1"/>
  <c r="S1329" i="1" s="1"/>
  <c r="R1157" i="1"/>
  <c r="F1157" i="1" s="1"/>
  <c r="S1157" i="1" s="1"/>
  <c r="R1141" i="1"/>
  <c r="F1141" i="1" s="1"/>
  <c r="S1141" i="1" s="1"/>
  <c r="R1125" i="1"/>
  <c r="F1125" i="1" s="1"/>
  <c r="S1125" i="1" s="1"/>
  <c r="R1109" i="1"/>
  <c r="F1109" i="1" s="1"/>
  <c r="S1109" i="1" s="1"/>
  <c r="R1093" i="1"/>
  <c r="F1093" i="1" s="1"/>
  <c r="R1077" i="1"/>
  <c r="F1077" i="1" s="1"/>
  <c r="S1077" i="1" s="1"/>
  <c r="R1061" i="1"/>
  <c r="F1061" i="1" s="1"/>
  <c r="S1061" i="1" s="1"/>
  <c r="R1045" i="1"/>
  <c r="F1045" i="1" s="1"/>
  <c r="S1045" i="1" s="1"/>
  <c r="R1029" i="1"/>
  <c r="F1029" i="1" s="1"/>
  <c r="S1029" i="1" s="1"/>
  <c r="R1013" i="1"/>
  <c r="F1013" i="1" s="1"/>
  <c r="S1013" i="1" s="1"/>
  <c r="R997" i="1"/>
  <c r="F997" i="1" s="1"/>
  <c r="S997" i="1" s="1"/>
  <c r="R981" i="1"/>
  <c r="F981" i="1" s="1"/>
  <c r="S981" i="1" s="1"/>
  <c r="R965" i="1"/>
  <c r="F965" i="1" s="1"/>
  <c r="S965" i="1" s="1"/>
  <c r="R949" i="1"/>
  <c r="F949" i="1" s="1"/>
  <c r="S949" i="1" s="1"/>
  <c r="R933" i="1"/>
  <c r="F933" i="1" s="1"/>
  <c r="S933" i="1" s="1"/>
  <c r="R912" i="1"/>
  <c r="F912" i="1" s="1"/>
  <c r="S912" i="1" s="1"/>
  <c r="R890" i="1"/>
  <c r="F890" i="1" s="1"/>
  <c r="S890" i="1" s="1"/>
  <c r="R869" i="1"/>
  <c r="F869" i="1" s="1"/>
  <c r="S869" i="1" s="1"/>
  <c r="R848" i="1"/>
  <c r="F848" i="1" s="1"/>
  <c r="S848" i="1" s="1"/>
  <c r="R826" i="1"/>
  <c r="F826" i="1" s="1"/>
  <c r="S826" i="1" s="1"/>
  <c r="R805" i="1"/>
  <c r="F805" i="1" s="1"/>
  <c r="S805" i="1" s="1"/>
  <c r="R784" i="1"/>
  <c r="F784" i="1" s="1"/>
  <c r="S784" i="1" s="1"/>
  <c r="R762" i="1"/>
  <c r="F762" i="1" s="1"/>
  <c r="S762" i="1" s="1"/>
  <c r="R741" i="1"/>
  <c r="F741" i="1" s="1"/>
  <c r="S741" i="1" s="1"/>
  <c r="R720" i="1"/>
  <c r="F720" i="1" s="1"/>
  <c r="S720" i="1" s="1"/>
  <c r="R698" i="1"/>
  <c r="F698" i="1" s="1"/>
  <c r="S698" i="1" s="1"/>
  <c r="R677" i="1"/>
  <c r="F677" i="1" s="1"/>
  <c r="S677" i="1" s="1"/>
  <c r="R656" i="1"/>
  <c r="F656" i="1" s="1"/>
  <c r="S656" i="1" s="1"/>
  <c r="R634" i="1"/>
  <c r="F634" i="1" s="1"/>
  <c r="S634" i="1" s="1"/>
  <c r="R613" i="1"/>
  <c r="F613" i="1" s="1"/>
  <c r="S613" i="1" s="1"/>
  <c r="R592" i="1"/>
  <c r="F592" i="1" s="1"/>
  <c r="S592" i="1" s="1"/>
  <c r="R570" i="1"/>
  <c r="F570" i="1" s="1"/>
  <c r="S570" i="1" s="1"/>
  <c r="R549" i="1"/>
  <c r="F549" i="1" s="1"/>
  <c r="S549" i="1" s="1"/>
  <c r="R528" i="1"/>
  <c r="F528" i="1" s="1"/>
  <c r="S528" i="1" s="1"/>
  <c r="R500" i="1"/>
  <c r="F500" i="1" s="1"/>
  <c r="S500" i="1" s="1"/>
  <c r="R468" i="1"/>
  <c r="F468" i="1" s="1"/>
  <c r="S468" i="1" s="1"/>
  <c r="R436" i="1"/>
  <c r="F436" i="1" s="1"/>
  <c r="S436" i="1" s="1"/>
  <c r="R386" i="1"/>
  <c r="F386" i="1" s="1"/>
  <c r="S386" i="1" s="1"/>
  <c r="R317" i="1"/>
  <c r="F317" i="1" s="1"/>
  <c r="S317" i="1" s="1"/>
  <c r="R232" i="1"/>
  <c r="F232" i="1" s="1"/>
  <c r="S232" i="1" s="1"/>
  <c r="R146" i="1"/>
  <c r="F146" i="1" s="1"/>
  <c r="S146" i="1" s="1"/>
  <c r="R61" i="1"/>
  <c r="F61" i="1" s="1"/>
  <c r="S61" i="1" s="1"/>
  <c r="R1143" i="1"/>
  <c r="F1143" i="1" s="1"/>
  <c r="S1143" i="1" s="1"/>
  <c r="R1127" i="1"/>
  <c r="F1127" i="1" s="1"/>
  <c r="R1111" i="1"/>
  <c r="F1111" i="1" s="1"/>
  <c r="S1111" i="1" s="1"/>
  <c r="R1095" i="1"/>
  <c r="F1095" i="1" s="1"/>
  <c r="S1095" i="1" s="1"/>
  <c r="R1079" i="1"/>
  <c r="F1079" i="1" s="1"/>
  <c r="S1079" i="1" s="1"/>
  <c r="R1063" i="1"/>
  <c r="F1063" i="1" s="1"/>
  <c r="S1063" i="1" s="1"/>
  <c r="R1047" i="1"/>
  <c r="F1047" i="1" s="1"/>
  <c r="S1047" i="1" s="1"/>
  <c r="R1031" i="1"/>
  <c r="F1031" i="1" s="1"/>
  <c r="S1031" i="1" s="1"/>
  <c r="R1015" i="1"/>
  <c r="F1015" i="1" s="1"/>
  <c r="S1015" i="1" s="1"/>
  <c r="R999" i="1"/>
  <c r="F999" i="1" s="1"/>
  <c r="S999" i="1" s="1"/>
  <c r="R983" i="1"/>
  <c r="F983" i="1" s="1"/>
  <c r="S983" i="1" s="1"/>
  <c r="R967" i="1"/>
  <c r="F967" i="1" s="1"/>
  <c r="S967" i="1" s="1"/>
  <c r="R951" i="1"/>
  <c r="F951" i="1" s="1"/>
  <c r="S951" i="1" s="1"/>
  <c r="R935" i="1"/>
  <c r="F935" i="1" s="1"/>
  <c r="S935" i="1" s="1"/>
  <c r="R914" i="1"/>
  <c r="F914" i="1" s="1"/>
  <c r="S914" i="1" s="1"/>
  <c r="R893" i="1"/>
  <c r="F893" i="1" s="1"/>
  <c r="S893" i="1" s="1"/>
  <c r="R872" i="1"/>
  <c r="F872" i="1" s="1"/>
  <c r="S872" i="1" s="1"/>
  <c r="R850" i="1"/>
  <c r="F850" i="1" s="1"/>
  <c r="S850" i="1" s="1"/>
  <c r="R829" i="1"/>
  <c r="F829" i="1" s="1"/>
  <c r="S829" i="1" s="1"/>
  <c r="R808" i="1"/>
  <c r="F808" i="1" s="1"/>
  <c r="S808" i="1" s="1"/>
  <c r="R786" i="1"/>
  <c r="F786" i="1" s="1"/>
  <c r="S786" i="1" s="1"/>
  <c r="R765" i="1"/>
  <c r="F765" i="1" s="1"/>
  <c r="S765" i="1" s="1"/>
  <c r="R744" i="1"/>
  <c r="F744" i="1" s="1"/>
  <c r="S744" i="1" s="1"/>
  <c r="R722" i="1"/>
  <c r="F722" i="1" s="1"/>
  <c r="S722" i="1" s="1"/>
  <c r="R701" i="1"/>
  <c r="F701" i="1" s="1"/>
  <c r="S701" i="1" s="1"/>
  <c r="R680" i="1"/>
  <c r="F680" i="1" s="1"/>
  <c r="S680" i="1" s="1"/>
  <c r="R658" i="1"/>
  <c r="F658" i="1" s="1"/>
  <c r="S658" i="1" s="1"/>
  <c r="R637" i="1"/>
  <c r="F637" i="1" s="1"/>
  <c r="S637" i="1" s="1"/>
  <c r="R616" i="1"/>
  <c r="F616" i="1" s="1"/>
  <c r="S616" i="1" s="1"/>
  <c r="R594" i="1"/>
  <c r="F594" i="1" s="1"/>
  <c r="S594" i="1" s="1"/>
  <c r="R573" i="1"/>
  <c r="F573" i="1" s="1"/>
  <c r="S573" i="1" s="1"/>
  <c r="R552" i="1"/>
  <c r="F552" i="1" s="1"/>
  <c r="S552" i="1" s="1"/>
  <c r="R530" i="1"/>
  <c r="F530" i="1" s="1"/>
  <c r="S530" i="1" s="1"/>
  <c r="R504" i="1"/>
  <c r="F504" i="1" s="1"/>
  <c r="S504" i="1" s="1"/>
  <c r="R472" i="1"/>
  <c r="F472" i="1" s="1"/>
  <c r="S472" i="1" s="1"/>
  <c r="R440" i="1"/>
  <c r="F440" i="1" s="1"/>
  <c r="S440" i="1" s="1"/>
  <c r="R394" i="1"/>
  <c r="F394" i="1" s="1"/>
  <c r="S394" i="1" s="1"/>
  <c r="R328" i="1"/>
  <c r="F328" i="1" s="1"/>
  <c r="S328" i="1" s="1"/>
  <c r="R242" i="1"/>
  <c r="F242" i="1" s="1"/>
  <c r="S242" i="1" s="1"/>
  <c r="R157" i="1"/>
  <c r="F157" i="1" s="1"/>
  <c r="S157" i="1" s="1"/>
  <c r="R72" i="1"/>
  <c r="F72" i="1" s="1"/>
  <c r="S72" i="1" s="1"/>
  <c r="R517" i="1"/>
  <c r="F517" i="1" s="1"/>
  <c r="S517" i="1" s="1"/>
  <c r="R501" i="1"/>
  <c r="F501" i="1" s="1"/>
  <c r="S501" i="1" s="1"/>
  <c r="R485" i="1"/>
  <c r="F485" i="1" s="1"/>
  <c r="R469" i="1"/>
  <c r="F469" i="1" s="1"/>
  <c r="S469" i="1" s="1"/>
  <c r="R453" i="1"/>
  <c r="F453" i="1" s="1"/>
  <c r="S453" i="1" s="1"/>
  <c r="R437" i="1"/>
  <c r="F437" i="1" s="1"/>
  <c r="S437" i="1" s="1"/>
  <c r="R419" i="1"/>
  <c r="F419" i="1" s="1"/>
  <c r="S419" i="1" s="1"/>
  <c r="R388" i="1"/>
  <c r="F388" i="1" s="1"/>
  <c r="S388" i="1" s="1"/>
  <c r="R357" i="1"/>
  <c r="F357" i="1" s="1"/>
  <c r="R320" i="1"/>
  <c r="F320" i="1" s="1"/>
  <c r="S320" i="1" s="1"/>
  <c r="R277" i="1"/>
  <c r="F277" i="1" s="1"/>
  <c r="S277" i="1" s="1"/>
  <c r="R234" i="1"/>
  <c r="F234" i="1" s="1"/>
  <c r="S234" i="1" s="1"/>
  <c r="R192" i="1"/>
  <c r="F192" i="1" s="1"/>
  <c r="S192" i="1" s="1"/>
  <c r="R149" i="1"/>
  <c r="F149" i="1" s="1"/>
  <c r="S149" i="1" s="1"/>
  <c r="R106" i="1"/>
  <c r="F106" i="1" s="1"/>
  <c r="S106" i="1" s="1"/>
  <c r="R64" i="1"/>
  <c r="F64" i="1" s="1"/>
  <c r="S64" i="1" s="1"/>
  <c r="R923" i="1"/>
  <c r="F923" i="1" s="1"/>
  <c r="S923" i="1" s="1"/>
  <c r="R907" i="1"/>
  <c r="F907" i="1" s="1"/>
  <c r="S907" i="1" s="1"/>
  <c r="R891" i="1"/>
  <c r="F891" i="1" s="1"/>
  <c r="S891" i="1" s="1"/>
  <c r="R875" i="1"/>
  <c r="F875" i="1" s="1"/>
  <c r="S875" i="1" s="1"/>
  <c r="R859" i="1"/>
  <c r="F859" i="1" s="1"/>
  <c r="S859" i="1" s="1"/>
  <c r="R843" i="1"/>
  <c r="F843" i="1" s="1"/>
  <c r="S843" i="1" s="1"/>
  <c r="R827" i="1"/>
  <c r="F827" i="1" s="1"/>
  <c r="S827" i="1" s="1"/>
  <c r="R811" i="1"/>
  <c r="F811" i="1" s="1"/>
  <c r="S811" i="1" s="1"/>
  <c r="R795" i="1"/>
  <c r="F795" i="1" s="1"/>
  <c r="S795" i="1" s="1"/>
  <c r="R779" i="1"/>
  <c r="F779" i="1" s="1"/>
  <c r="S779" i="1" s="1"/>
  <c r="R763" i="1"/>
  <c r="F763" i="1" s="1"/>
  <c r="S763" i="1" s="1"/>
  <c r="R747" i="1"/>
  <c r="F747" i="1" s="1"/>
  <c r="S747" i="1" s="1"/>
  <c r="R731" i="1"/>
  <c r="F731" i="1" s="1"/>
  <c r="S731" i="1" s="1"/>
  <c r="R715" i="1"/>
  <c r="F715" i="1" s="1"/>
  <c r="S715" i="1" s="1"/>
  <c r="R699" i="1"/>
  <c r="F699" i="1" s="1"/>
  <c r="S699" i="1" s="1"/>
  <c r="R683" i="1"/>
  <c r="F683" i="1" s="1"/>
  <c r="S683" i="1" s="1"/>
  <c r="R667" i="1"/>
  <c r="F667" i="1" s="1"/>
  <c r="S667" i="1" s="1"/>
  <c r="R651" i="1"/>
  <c r="F651" i="1" s="1"/>
  <c r="S651" i="1" s="1"/>
  <c r="R635" i="1"/>
  <c r="F635" i="1" s="1"/>
  <c r="R619" i="1"/>
  <c r="F619" i="1" s="1"/>
  <c r="S619" i="1" s="1"/>
  <c r="R603" i="1"/>
  <c r="F603" i="1" s="1"/>
  <c r="S603" i="1" s="1"/>
  <c r="R587" i="1"/>
  <c r="F587" i="1" s="1"/>
  <c r="S587" i="1" s="1"/>
  <c r="R571" i="1"/>
  <c r="F571" i="1" s="1"/>
  <c r="S571" i="1" s="1"/>
  <c r="R555" i="1"/>
  <c r="F555" i="1" s="1"/>
  <c r="S555" i="1" s="1"/>
  <c r="R539" i="1"/>
  <c r="F539" i="1" s="1"/>
  <c r="R523" i="1"/>
  <c r="F523" i="1" s="1"/>
  <c r="S523" i="1" s="1"/>
  <c r="R507" i="1"/>
  <c r="F507" i="1" s="1"/>
  <c r="S507" i="1" s="1"/>
  <c r="R491" i="1"/>
  <c r="F491" i="1" s="1"/>
  <c r="S491" i="1" s="1"/>
  <c r="R475" i="1"/>
  <c r="F475" i="1" s="1"/>
  <c r="S475" i="1" s="1"/>
  <c r="R459" i="1"/>
  <c r="F459" i="1" s="1"/>
  <c r="S459" i="1" s="1"/>
  <c r="R443" i="1"/>
  <c r="F443" i="1" s="1"/>
  <c r="S443" i="1" s="1"/>
  <c r="R427" i="1"/>
  <c r="F427" i="1" s="1"/>
  <c r="S427" i="1" s="1"/>
  <c r="R400" i="1"/>
  <c r="F400" i="1" s="1"/>
  <c r="S400" i="1" s="1"/>
  <c r="R361" i="1"/>
  <c r="F361" i="1" s="1"/>
  <c r="S361" i="1" s="1"/>
  <c r="R325" i="1"/>
  <c r="F325" i="1" s="1"/>
  <c r="S325" i="1" s="1"/>
  <c r="R282" i="1"/>
  <c r="F282" i="1" s="1"/>
  <c r="S282" i="1" s="1"/>
  <c r="R240" i="1"/>
  <c r="F240" i="1" s="1"/>
  <c r="S240" i="1" s="1"/>
  <c r="R197" i="1"/>
  <c r="F197" i="1" s="1"/>
  <c r="S197" i="1" s="1"/>
  <c r="R154" i="1"/>
  <c r="F154" i="1" s="1"/>
  <c r="S154" i="1" s="1"/>
  <c r="R112" i="1"/>
  <c r="F112" i="1" s="1"/>
  <c r="S112" i="1" s="1"/>
  <c r="R69" i="1"/>
  <c r="F69" i="1" s="1"/>
  <c r="S69" i="1" s="1"/>
  <c r="R421" i="1"/>
  <c r="F421" i="1" s="1"/>
  <c r="S421" i="1" s="1"/>
  <c r="R405" i="1"/>
  <c r="F405" i="1" s="1"/>
  <c r="S405" i="1" s="1"/>
  <c r="R389" i="1"/>
  <c r="F389" i="1" s="1"/>
  <c r="S389" i="1" s="1"/>
  <c r="R374" i="1"/>
  <c r="F374" i="1" s="1"/>
  <c r="S374" i="1" s="1"/>
  <c r="R358" i="1"/>
  <c r="F358" i="1" s="1"/>
  <c r="S358" i="1" s="1"/>
  <c r="R342" i="1"/>
  <c r="F342" i="1" s="1"/>
  <c r="S342" i="1" s="1"/>
  <c r="R321" i="1"/>
  <c r="F321" i="1" s="1"/>
  <c r="S321" i="1" s="1"/>
  <c r="R300" i="1"/>
  <c r="F300" i="1" s="1"/>
  <c r="S300" i="1" s="1"/>
  <c r="R278" i="1"/>
  <c r="F278" i="1" s="1"/>
  <c r="S278" i="1" s="1"/>
  <c r="R257" i="1"/>
  <c r="F257" i="1" s="1"/>
  <c r="S257" i="1" s="1"/>
  <c r="R236" i="1"/>
  <c r="F236" i="1" s="1"/>
  <c r="S236" i="1" s="1"/>
  <c r="R214" i="1"/>
  <c r="F214" i="1" s="1"/>
  <c r="S214" i="1" s="1"/>
  <c r="R193" i="1"/>
  <c r="F193" i="1" s="1"/>
  <c r="S193" i="1" s="1"/>
  <c r="R172" i="1"/>
  <c r="F172" i="1" s="1"/>
  <c r="R150" i="1"/>
  <c r="F150" i="1" s="1"/>
  <c r="S150" i="1" s="1"/>
  <c r="R129" i="1"/>
  <c r="F129" i="1" s="1"/>
  <c r="S129" i="1" s="1"/>
  <c r="R108" i="1"/>
  <c r="F108" i="1" s="1"/>
  <c r="S108" i="1" s="1"/>
  <c r="R86" i="1"/>
  <c r="F86" i="1" s="1"/>
  <c r="R65" i="1"/>
  <c r="F65" i="1" s="1"/>
  <c r="S65" i="1" s="1"/>
  <c r="R44" i="1"/>
  <c r="F44" i="1" s="1"/>
  <c r="S44" i="1" s="1"/>
  <c r="R415" i="1"/>
  <c r="F415" i="1" s="1"/>
  <c r="S415" i="1" s="1"/>
  <c r="R399" i="1"/>
  <c r="F399" i="1" s="1"/>
  <c r="S399" i="1" s="1"/>
  <c r="R383" i="1"/>
  <c r="F383" i="1" s="1"/>
  <c r="S383" i="1" s="1"/>
  <c r="R368" i="1"/>
  <c r="F368" i="1" s="1"/>
  <c r="S368" i="1" s="1"/>
  <c r="R352" i="1"/>
  <c r="F352" i="1" s="1"/>
  <c r="S352" i="1" s="1"/>
  <c r="R334" i="1"/>
  <c r="F334" i="1" s="1"/>
  <c r="S334" i="1" s="1"/>
  <c r="R313" i="1"/>
  <c r="F313" i="1" s="1"/>
  <c r="S313" i="1" s="1"/>
  <c r="R292" i="1"/>
  <c r="F292" i="1" s="1"/>
  <c r="S292" i="1" s="1"/>
  <c r="R270" i="1"/>
  <c r="F270" i="1" s="1"/>
  <c r="S270" i="1" s="1"/>
  <c r="R249" i="1"/>
  <c r="F249" i="1" s="1"/>
  <c r="S249" i="1" s="1"/>
  <c r="R228" i="1"/>
  <c r="F228" i="1" s="1"/>
  <c r="S228" i="1" s="1"/>
  <c r="R206" i="1"/>
  <c r="F206" i="1" s="1"/>
  <c r="S206" i="1" s="1"/>
  <c r="R185" i="1"/>
  <c r="F185" i="1" s="1"/>
  <c r="S185" i="1" s="1"/>
  <c r="R164" i="1"/>
  <c r="F164" i="1" s="1"/>
  <c r="S164" i="1" s="1"/>
  <c r="R142" i="1"/>
  <c r="F142" i="1" s="1"/>
  <c r="S142" i="1" s="1"/>
  <c r="R121" i="1"/>
  <c r="F121" i="1" s="1"/>
  <c r="R100" i="1"/>
  <c r="F100" i="1" s="1"/>
  <c r="S100" i="1" s="1"/>
  <c r="R78" i="1"/>
  <c r="F78" i="1" s="1"/>
  <c r="S78" i="1" s="1"/>
  <c r="R57" i="1"/>
  <c r="F57" i="1" s="1"/>
  <c r="S57" i="1" s="1"/>
  <c r="R36" i="1"/>
  <c r="F36" i="1" s="1"/>
  <c r="R335" i="1"/>
  <c r="F335" i="1" s="1"/>
  <c r="S335" i="1" s="1"/>
  <c r="R319" i="1"/>
  <c r="F319" i="1" s="1"/>
  <c r="S319" i="1" s="1"/>
  <c r="R303" i="1"/>
  <c r="F303" i="1" s="1"/>
  <c r="S303" i="1" s="1"/>
  <c r="R287" i="1"/>
  <c r="F287" i="1" s="1"/>
  <c r="S287" i="1" s="1"/>
  <c r="R271" i="1"/>
  <c r="F271" i="1" s="1"/>
  <c r="S271" i="1" s="1"/>
  <c r="R255" i="1"/>
  <c r="F255" i="1" s="1"/>
  <c r="S255" i="1" s="1"/>
  <c r="R239" i="1"/>
  <c r="F239" i="1" s="1"/>
  <c r="S239" i="1" s="1"/>
  <c r="R223" i="1"/>
  <c r="F223" i="1" s="1"/>
  <c r="R207" i="1"/>
  <c r="F207" i="1" s="1"/>
  <c r="S207" i="1" s="1"/>
  <c r="R191" i="1"/>
  <c r="F191" i="1" s="1"/>
  <c r="S191" i="1" s="1"/>
  <c r="R175" i="1"/>
  <c r="F175" i="1" s="1"/>
  <c r="S175" i="1" s="1"/>
  <c r="R159" i="1"/>
  <c r="F159" i="1" s="1"/>
  <c r="S159" i="1" s="1"/>
  <c r="R143" i="1"/>
  <c r="F143" i="1" s="1"/>
  <c r="S143" i="1" s="1"/>
  <c r="R127" i="1"/>
  <c r="F127" i="1" s="1"/>
  <c r="S127" i="1" s="1"/>
  <c r="R111" i="1"/>
  <c r="F111" i="1" s="1"/>
  <c r="S111" i="1" s="1"/>
  <c r="R95" i="1"/>
  <c r="F95" i="1" s="1"/>
  <c r="S95" i="1" s="1"/>
  <c r="R79" i="1"/>
  <c r="F79" i="1" s="1"/>
  <c r="S79" i="1" s="1"/>
  <c r="R63" i="1"/>
  <c r="F63" i="1" s="1"/>
  <c r="S63" i="1" s="1"/>
  <c r="R47" i="1"/>
  <c r="F47" i="1" s="1"/>
  <c r="S47" i="1" s="1"/>
  <c r="S21" i="1"/>
  <c r="S26" i="1"/>
  <c r="S22" i="1"/>
  <c r="S1178" i="1"/>
  <c r="S1330" i="1"/>
  <c r="S1284" i="1"/>
  <c r="S2" i="1"/>
  <c r="S15" i="1"/>
  <c r="S14" i="1"/>
  <c r="S31" i="1"/>
  <c r="S24" i="1"/>
  <c r="S1301" i="1"/>
  <c r="S10" i="1"/>
  <c r="S16" i="1"/>
  <c r="S17" i="1"/>
  <c r="S30" i="1"/>
  <c r="S9" i="1"/>
  <c r="S27" i="1"/>
  <c r="S11" i="1"/>
  <c r="S18" i="1"/>
  <c r="S29" i="1"/>
  <c r="S5" i="1"/>
  <c r="S12" i="1"/>
  <c r="S7" i="1"/>
  <c r="S25" i="1"/>
  <c r="S4" i="1"/>
  <c r="S23" i="1"/>
  <c r="S13" i="1"/>
  <c r="S8" i="1"/>
  <c r="S28" i="1"/>
  <c r="S6" i="1"/>
  <c r="S20" i="1"/>
  <c r="S19" i="1"/>
  <c r="S3" i="1"/>
  <c r="S269" i="1"/>
  <c r="S414" i="1"/>
  <c r="S622" i="1"/>
  <c r="S708" i="1"/>
  <c r="S836" i="1"/>
  <c r="S878" i="1"/>
  <c r="S988" i="1"/>
  <c r="S1020" i="1"/>
  <c r="S1190" i="1"/>
  <c r="S1254" i="1"/>
  <c r="S1286" i="1"/>
  <c r="S194" i="1"/>
  <c r="S561" i="1"/>
  <c r="S604" i="1"/>
  <c r="S646" i="1"/>
  <c r="S689" i="1"/>
  <c r="S817" i="1"/>
  <c r="S860" i="1"/>
  <c r="S902" i="1"/>
  <c r="S1006" i="1"/>
  <c r="S1038" i="1"/>
  <c r="S1134" i="1"/>
  <c r="S1195" i="1"/>
  <c r="S1211" i="1"/>
  <c r="S1259" i="1"/>
  <c r="S1275" i="1"/>
  <c r="S77" i="1"/>
  <c r="S398" i="1"/>
  <c r="S617" i="1"/>
  <c r="S660" i="1"/>
  <c r="S702" i="1"/>
  <c r="S745" i="1"/>
  <c r="S788" i="1"/>
  <c r="S873" i="1"/>
  <c r="S916" i="1"/>
  <c r="S1048" i="1"/>
  <c r="S1200" i="1"/>
  <c r="S1216" i="1"/>
  <c r="S1312" i="1"/>
  <c r="S130" i="1"/>
  <c r="S716" i="1"/>
  <c r="S758" i="1"/>
  <c r="S886" i="1"/>
  <c r="S1122" i="1"/>
  <c r="S1152" i="1"/>
  <c r="S1173" i="1"/>
  <c r="S1205" i="1"/>
  <c r="S1221" i="1"/>
  <c r="S1237" i="1"/>
  <c r="S1285" i="1"/>
  <c r="S1025" i="1"/>
  <c r="S1009" i="1"/>
  <c r="S460" i="1"/>
  <c r="S428" i="1"/>
  <c r="S296" i="1"/>
  <c r="S589" i="1"/>
  <c r="S306" i="1"/>
  <c r="S380" i="1"/>
  <c r="S551" i="1"/>
  <c r="S1154" i="1"/>
  <c r="S184" i="1"/>
  <c r="S1214" i="1"/>
  <c r="S753" i="1"/>
  <c r="S881" i="1"/>
  <c r="S1320" i="1"/>
  <c r="S1084" i="1"/>
  <c r="S1116" i="1"/>
  <c r="S359" i="1"/>
  <c r="S1102" i="1"/>
  <c r="S40" i="1"/>
  <c r="S50" i="1"/>
  <c r="S514" i="1"/>
  <c r="S558" i="1"/>
  <c r="S644" i="1"/>
  <c r="S772" i="1"/>
  <c r="S857" i="1"/>
  <c r="S940" i="1"/>
  <c r="S972" i="1"/>
  <c r="S1068" i="1"/>
  <c r="S1100" i="1"/>
  <c r="S1182" i="1"/>
  <c r="S1278" i="1"/>
  <c r="S1294" i="1"/>
  <c r="S1310" i="1"/>
  <c r="S1326" i="1"/>
  <c r="S109" i="1"/>
  <c r="S540" i="1"/>
  <c r="S582" i="1"/>
  <c r="S710" i="1"/>
  <c r="S796" i="1"/>
  <c r="S838" i="1"/>
  <c r="S958" i="1"/>
  <c r="S990" i="1"/>
  <c r="S1118" i="1"/>
  <c r="S1187" i="1"/>
  <c r="S1203" i="1"/>
  <c r="S1251" i="1"/>
  <c r="S1267" i="1"/>
  <c r="S1269" i="1"/>
  <c r="S961" i="1"/>
  <c r="S565" i="1"/>
  <c r="S544" i="1"/>
  <c r="S125" i="1"/>
  <c r="S1139" i="1"/>
  <c r="S1107" i="1"/>
  <c r="S1091" i="1"/>
  <c r="S221" i="1"/>
  <c r="S513" i="1"/>
  <c r="S481" i="1"/>
  <c r="S349" i="1"/>
  <c r="S266" i="1"/>
  <c r="S224" i="1"/>
  <c r="S96" i="1"/>
  <c r="S583" i="1"/>
  <c r="S567" i="1"/>
  <c r="S535" i="1"/>
  <c r="S519" i="1"/>
  <c r="S487" i="1"/>
  <c r="S471" i="1"/>
  <c r="S422" i="1"/>
  <c r="S1299" i="1"/>
  <c r="S333" i="1"/>
  <c r="S596" i="1"/>
  <c r="S638" i="1"/>
  <c r="S724" i="1"/>
  <c r="S766" i="1"/>
  <c r="S809" i="1"/>
  <c r="S852" i="1"/>
  <c r="S1064" i="1"/>
  <c r="S1096" i="1"/>
  <c r="S1128" i="1"/>
  <c r="S1156" i="1"/>
  <c r="S1192" i="1"/>
  <c r="S1208" i="1"/>
  <c r="S1224" i="1"/>
  <c r="S1256" i="1"/>
  <c r="S1272" i="1"/>
  <c r="S1288" i="1"/>
  <c r="S216" i="1"/>
  <c r="S375" i="1"/>
  <c r="S462" i="1"/>
  <c r="S524" i="1"/>
  <c r="S609" i="1"/>
  <c r="S652" i="1"/>
  <c r="S694" i="1"/>
  <c r="S822" i="1"/>
  <c r="S1106" i="1"/>
  <c r="S1213" i="1"/>
  <c r="S1229" i="1"/>
  <c r="S1261" i="1"/>
  <c r="S1277" i="1"/>
  <c r="S1293" i="1"/>
  <c r="S1049" i="1"/>
  <c r="S1017" i="1"/>
  <c r="S953" i="1"/>
  <c r="S937" i="1"/>
  <c r="S896" i="1"/>
  <c r="S874" i="1"/>
  <c r="S810" i="1"/>
  <c r="S768" i="1"/>
  <c r="S746" i="1"/>
  <c r="S682" i="1"/>
  <c r="S640" i="1"/>
  <c r="S618" i="1"/>
  <c r="S533" i="1"/>
  <c r="S508" i="1"/>
  <c r="S476" i="1"/>
  <c r="S444" i="1"/>
  <c r="S402" i="1"/>
  <c r="S338" i="1"/>
  <c r="S168" i="1"/>
  <c r="S82" i="1"/>
  <c r="S1131" i="1"/>
  <c r="S1115" i="1"/>
  <c r="S1099" i="1"/>
  <c r="S1067" i="1"/>
  <c r="S1035" i="1"/>
  <c r="S1019" i="1"/>
  <c r="S987" i="1"/>
  <c r="S971" i="1"/>
  <c r="S877" i="1"/>
  <c r="S813" i="1"/>
  <c r="S749" i="1"/>
  <c r="S621" i="1"/>
  <c r="S557" i="1"/>
  <c r="S536" i="1"/>
  <c r="S264" i="1"/>
  <c r="S489" i="1"/>
  <c r="S473" i="1"/>
  <c r="S457" i="1"/>
  <c r="S288" i="1"/>
  <c r="S202" i="1"/>
  <c r="S32" i="1"/>
  <c r="S927" i="1"/>
  <c r="S879" i="1"/>
  <c r="S863" i="1"/>
  <c r="S815" i="1"/>
  <c r="S799" i="1"/>
  <c r="S751" i="1"/>
  <c r="S735" i="1"/>
  <c r="S687" i="1"/>
  <c r="S671" i="1"/>
  <c r="S623" i="1"/>
  <c r="S607" i="1"/>
  <c r="S511" i="1"/>
  <c r="S447" i="1"/>
  <c r="S345" i="1"/>
  <c r="S176" i="1"/>
  <c r="S413" i="1"/>
  <c r="S407" i="1"/>
  <c r="S360" i="1"/>
  <c r="S39" i="1"/>
  <c r="S351" i="1"/>
  <c r="S1132" i="1"/>
  <c r="S442" i="1"/>
  <c r="S506" i="1"/>
  <c r="S936" i="1"/>
  <c r="S865" i="1"/>
  <c r="S1010" i="1"/>
  <c r="S1138" i="1"/>
  <c r="S661" i="1"/>
  <c r="S792" i="1"/>
  <c r="S770" i="1"/>
  <c r="S728" i="1"/>
  <c r="S600" i="1"/>
  <c r="S512" i="1"/>
  <c r="S480" i="1"/>
  <c r="S410" i="1"/>
  <c r="S441" i="1"/>
  <c r="S527" i="1"/>
  <c r="S463" i="1"/>
  <c r="S431" i="1"/>
  <c r="S268" i="1"/>
  <c r="S281" i="1"/>
  <c r="S260" i="1"/>
  <c r="S174" i="1"/>
  <c r="S311" i="1"/>
  <c r="S183" i="1"/>
  <c r="S119" i="1"/>
  <c r="S612" i="1"/>
  <c r="S782" i="1"/>
  <c r="S1164" i="1"/>
  <c r="S1186" i="1"/>
  <c r="S1314" i="1"/>
  <c r="S636" i="1"/>
  <c r="S849" i="1"/>
  <c r="S998" i="1"/>
  <c r="S1271" i="1"/>
  <c r="S34" i="1"/>
  <c r="S521" i="1"/>
  <c r="S862" i="1"/>
  <c r="S1008" i="1"/>
  <c r="S1196" i="1"/>
  <c r="S1276" i="1"/>
  <c r="S705" i="1"/>
  <c r="S1018" i="1"/>
  <c r="S1201" i="1"/>
  <c r="S1093" i="1"/>
  <c r="S1170" i="1"/>
  <c r="S1206" i="1"/>
  <c r="S1302" i="1"/>
  <c r="S1160" i="1"/>
  <c r="S952" i="1"/>
  <c r="S984" i="1"/>
  <c r="S1016" i="1"/>
  <c r="S1080" i="1"/>
  <c r="S1144" i="1"/>
  <c r="S1296" i="1"/>
  <c r="S588" i="1"/>
  <c r="S1169" i="1"/>
  <c r="S1137" i="1"/>
  <c r="S1073" i="1"/>
  <c r="S1041" i="1"/>
  <c r="S906" i="1"/>
  <c r="S821" i="1"/>
  <c r="S778" i="1"/>
  <c r="S736" i="1"/>
  <c r="S522" i="1"/>
  <c r="S1043" i="1"/>
  <c r="S1011" i="1"/>
  <c r="S979" i="1"/>
  <c r="S947" i="1"/>
  <c r="S909" i="1"/>
  <c r="S824" i="1"/>
  <c r="S546" i="1"/>
  <c r="S496" i="1"/>
  <c r="S309" i="1"/>
  <c r="S919" i="1"/>
  <c r="S903" i="1"/>
  <c r="S839" i="1"/>
  <c r="S775" i="1"/>
  <c r="S727" i="1"/>
  <c r="S711" i="1"/>
  <c r="S86" i="1"/>
  <c r="S36" i="1"/>
  <c r="S223" i="1"/>
  <c r="S601" i="1"/>
  <c r="S1159" i="1"/>
  <c r="S1198" i="1"/>
  <c r="S1246" i="1"/>
  <c r="S1086" i="1"/>
  <c r="S1331" i="1"/>
  <c r="S968" i="1"/>
  <c r="S1032" i="1"/>
  <c r="S1240" i="1"/>
  <c r="S946" i="1"/>
  <c r="S1042" i="1"/>
  <c r="S1145" i="1"/>
  <c r="S1129" i="1"/>
  <c r="S1081" i="1"/>
  <c r="S1065" i="1"/>
  <c r="S917" i="1"/>
  <c r="S725" i="1"/>
  <c r="S920" i="1"/>
  <c r="S898" i="1"/>
  <c r="S664" i="1"/>
  <c r="S642" i="1"/>
  <c r="S245" i="1"/>
  <c r="S117" i="1"/>
  <c r="S495" i="1"/>
  <c r="S482" i="1"/>
  <c r="S665" i="1"/>
  <c r="S1052" i="1"/>
  <c r="S1270" i="1"/>
  <c r="S1323" i="1"/>
  <c r="S474" i="1"/>
  <c r="S1184" i="1"/>
  <c r="S1328" i="1"/>
  <c r="S545" i="1"/>
  <c r="S929" i="1"/>
  <c r="S994" i="1"/>
  <c r="S1026" i="1"/>
  <c r="S1058" i="1"/>
  <c r="S1121" i="1"/>
  <c r="S928" i="1"/>
  <c r="S885" i="1"/>
  <c r="S800" i="1"/>
  <c r="S757" i="1"/>
  <c r="S672" i="1"/>
  <c r="S650" i="1"/>
  <c r="S629" i="1"/>
  <c r="S608" i="1"/>
  <c r="S371" i="1"/>
  <c r="S995" i="1"/>
  <c r="S930" i="1"/>
  <c r="S888" i="1"/>
  <c r="S845" i="1"/>
  <c r="S802" i="1"/>
  <c r="S696" i="1"/>
  <c r="S674" i="1"/>
  <c r="S653" i="1"/>
  <c r="S632" i="1"/>
  <c r="S464" i="1"/>
  <c r="S378" i="1"/>
  <c r="S497" i="1"/>
  <c r="S465" i="1"/>
  <c r="S855" i="1"/>
  <c r="S791" i="1"/>
  <c r="S695" i="1"/>
  <c r="S663" i="1"/>
  <c r="S647" i="1"/>
  <c r="S599" i="1"/>
  <c r="S392" i="1"/>
  <c r="S172" i="1"/>
  <c r="S121" i="1"/>
  <c r="S141" i="1"/>
  <c r="S498" i="1"/>
  <c r="S548" i="1"/>
  <c r="S590" i="1"/>
  <c r="S676" i="1"/>
  <c r="S718" i="1"/>
  <c r="S846" i="1"/>
  <c r="S889" i="1"/>
  <c r="S996" i="1"/>
  <c r="S1028" i="1"/>
  <c r="S1060" i="1"/>
  <c r="S1124" i="1"/>
  <c r="S1210" i="1"/>
  <c r="S1226" i="1"/>
  <c r="S1274" i="1"/>
  <c r="S1290" i="1"/>
  <c r="S66" i="1"/>
  <c r="S237" i="1"/>
  <c r="S529" i="1"/>
  <c r="S572" i="1"/>
  <c r="S700" i="1"/>
  <c r="S742" i="1"/>
  <c r="S870" i="1"/>
  <c r="S913" i="1"/>
  <c r="S1014" i="1"/>
  <c r="S1046" i="1"/>
  <c r="S1142" i="1"/>
  <c r="S1166" i="1"/>
  <c r="S1215" i="1"/>
  <c r="S1231" i="1"/>
  <c r="S1279" i="1"/>
  <c r="S1295" i="1"/>
  <c r="S120" i="1"/>
  <c r="S290" i="1"/>
  <c r="S542" i="1"/>
  <c r="S585" i="1"/>
  <c r="S713" i="1"/>
  <c r="S756" i="1"/>
  <c r="S884" i="1"/>
  <c r="S926" i="1"/>
  <c r="S1024" i="1"/>
  <c r="S1056" i="1"/>
  <c r="S1151" i="1"/>
  <c r="S1172" i="1"/>
  <c r="S1220" i="1"/>
  <c r="S1236" i="1"/>
  <c r="S1300" i="1"/>
  <c r="S1316" i="1"/>
  <c r="S446" i="1"/>
  <c r="S510" i="1"/>
  <c r="S641" i="1"/>
  <c r="S812" i="1"/>
  <c r="S854" i="1"/>
  <c r="S970" i="1"/>
  <c r="S1002" i="1"/>
  <c r="S1098" i="1"/>
  <c r="S1130" i="1"/>
  <c r="S1193" i="1"/>
  <c r="S1257" i="1"/>
  <c r="S1273" i="1"/>
  <c r="S1321" i="1"/>
  <c r="S1165" i="1"/>
  <c r="S1117" i="1"/>
  <c r="S1101" i="1"/>
  <c r="S1053" i="1"/>
  <c r="S989" i="1"/>
  <c r="S973" i="1"/>
  <c r="S922" i="1"/>
  <c r="S901" i="1"/>
  <c r="S816" i="1"/>
  <c r="S752" i="1"/>
  <c r="S666" i="1"/>
  <c r="S645" i="1"/>
  <c r="S581" i="1"/>
  <c r="S1127" i="1"/>
  <c r="S485" i="1"/>
  <c r="S357" i="1"/>
  <c r="S635" i="1"/>
  <c r="S539" i="1"/>
  <c r="S369" i="1"/>
  <c r="S336" i="1"/>
  <c r="S293" i="1"/>
  <c r="S250" i="1"/>
  <c r="S208" i="1"/>
  <c r="S80" i="1"/>
  <c r="S425" i="1"/>
  <c r="S409" i="1"/>
  <c r="S377" i="1"/>
  <c r="S346" i="1"/>
  <c r="S284" i="1"/>
  <c r="S262" i="1"/>
  <c r="S198" i="1"/>
  <c r="S177" i="1"/>
  <c r="S156" i="1"/>
  <c r="S113" i="1"/>
  <c r="S92" i="1"/>
  <c r="S372" i="1"/>
  <c r="S318" i="1"/>
  <c r="S297" i="1"/>
  <c r="S276" i="1"/>
  <c r="S105" i="1"/>
  <c r="S41" i="1"/>
  <c r="S323" i="1"/>
  <c r="S275" i="1"/>
  <c r="S243" i="1"/>
  <c r="S560" i="1"/>
  <c r="S484" i="1"/>
  <c r="S452" i="1"/>
  <c r="S1103" i="1"/>
  <c r="S1039" i="1"/>
  <c r="S991" i="1"/>
  <c r="S959" i="1"/>
  <c r="S904" i="1"/>
  <c r="S818" i="1"/>
  <c r="S669" i="1"/>
  <c r="S648" i="1"/>
  <c r="S562" i="1"/>
  <c r="S200" i="1"/>
  <c r="S493" i="1"/>
  <c r="S477" i="1"/>
  <c r="S461" i="1"/>
  <c r="S404" i="1"/>
  <c r="S256" i="1"/>
  <c r="S85" i="1"/>
  <c r="S899" i="1"/>
  <c r="S835" i="1"/>
  <c r="S771" i="1"/>
  <c r="S643" i="1"/>
  <c r="S579" i="1"/>
  <c r="S451" i="1"/>
  <c r="S353" i="1"/>
  <c r="S314" i="1"/>
  <c r="S272" i="1"/>
  <c r="S144" i="1"/>
  <c r="S58" i="1"/>
  <c r="S417" i="1"/>
  <c r="S401" i="1"/>
  <c r="S385" i="1"/>
  <c r="S354" i="1"/>
  <c r="S294" i="1"/>
  <c r="S273" i="1"/>
  <c r="S209" i="1"/>
  <c r="S188" i="1"/>
  <c r="S166" i="1"/>
  <c r="S124" i="1"/>
  <c r="S102" i="1"/>
  <c r="S38" i="1"/>
  <c r="S411" i="1"/>
  <c r="S395" i="1"/>
  <c r="S364" i="1"/>
  <c r="S329" i="1"/>
  <c r="S286" i="1"/>
  <c r="S265" i="1"/>
  <c r="S244" i="1"/>
  <c r="S201" i="1"/>
  <c r="S158" i="1"/>
  <c r="S116" i="1"/>
  <c r="S94" i="1"/>
  <c r="S73" i="1"/>
  <c r="S331" i="1"/>
  <c r="S315" i="1"/>
  <c r="S299" i="1"/>
  <c r="S283" i="1"/>
  <c r="S235" i="1"/>
  <c r="S203" i="1"/>
  <c r="S187" i="1"/>
  <c r="S171" i="1"/>
  <c r="S155" i="1"/>
  <c r="S107" i="1"/>
  <c r="S75" i="1"/>
  <c r="S59" i="1"/>
  <c r="S43" i="1"/>
  <c r="S147" i="1"/>
  <c r="S115" i="1"/>
  <c r="S67" i="1"/>
  <c r="S35" i="1"/>
</calcChain>
</file>

<file path=xl/sharedStrings.xml><?xml version="1.0" encoding="utf-8"?>
<sst xmlns="http://schemas.openxmlformats.org/spreadsheetml/2006/main" count="20625" uniqueCount="4322">
  <si>
    <t>TAXONOMY Grouping 1</t>
  </si>
  <si>
    <t>TAXONOMY Grouping 2</t>
  </si>
  <si>
    <t>TAXONOMY Grouping 3</t>
  </si>
  <si>
    <t>DESCRIPTION</t>
  </si>
  <si>
    <t>TAXONOMY</t>
  </si>
  <si>
    <t>Provider Type</t>
  </si>
  <si>
    <t>Provider Type Description</t>
  </si>
  <si>
    <t>Provider Specialty</t>
  </si>
  <si>
    <t>Provider Specialty Description</t>
  </si>
  <si>
    <t>iC Fund Code</t>
  </si>
  <si>
    <t>Healthcare Prov</t>
  </si>
  <si>
    <t xml:space="preserve">Non-individual </t>
  </si>
  <si>
    <t xml:space="preserve">Hospitals </t>
  </si>
  <si>
    <t xml:space="preserve">General Acute Care Hospital </t>
  </si>
  <si>
    <t>282N00000X</t>
  </si>
  <si>
    <t>01</t>
  </si>
  <si>
    <t>016</t>
  </si>
  <si>
    <t>Emergency</t>
  </si>
  <si>
    <t>N</t>
  </si>
  <si>
    <t>Y</t>
  </si>
  <si>
    <t xml:space="preserve">Children </t>
  </si>
  <si>
    <t>282NC2000X</t>
  </si>
  <si>
    <t>015</t>
  </si>
  <si>
    <t>Children's Specialty</t>
  </si>
  <si>
    <t xml:space="preserve">Psychiatric Hospital </t>
  </si>
  <si>
    <t>283Q00000X</t>
  </si>
  <si>
    <t>018</t>
  </si>
  <si>
    <t>Mental Health Inpatient Hospitals Under 21</t>
  </si>
  <si>
    <t>Residential Treatment Facilities</t>
  </si>
  <si>
    <t xml:space="preserve">Psychiatric Residential Treatment Facility </t>
  </si>
  <si>
    <t>323P00000X</t>
  </si>
  <si>
    <t>013</t>
  </si>
  <si>
    <t>Residential Treatment Center</t>
  </si>
  <si>
    <t xml:space="preserve">Hospital Units </t>
  </si>
  <si>
    <t>Epilepsy Unit</t>
  </si>
  <si>
    <t>Epilepsy Unit****</t>
  </si>
  <si>
    <t>273100000X</t>
  </si>
  <si>
    <t>010</t>
  </si>
  <si>
    <t xml:space="preserve">Acute Care </t>
  </si>
  <si>
    <t xml:space="preserve">Psychiatric Unit </t>
  </si>
  <si>
    <t>273R00000X</t>
  </si>
  <si>
    <t>011</t>
  </si>
  <si>
    <t>Psychiatric</t>
  </si>
  <si>
    <t xml:space="preserve">Rehabilitation Unit </t>
  </si>
  <si>
    <t>273Y00000X</t>
  </si>
  <si>
    <t>012</t>
  </si>
  <si>
    <t>Rehabilitation</t>
  </si>
  <si>
    <t xml:space="preserve">Medicare Defined Swing Bed Unit </t>
  </si>
  <si>
    <t>275N00000X</t>
  </si>
  <si>
    <t>Acute Care</t>
  </si>
  <si>
    <t xml:space="preserve">Rehabilitation, Substance Use Disorder Unit </t>
  </si>
  <si>
    <t>276400000X</t>
  </si>
  <si>
    <t xml:space="preserve">Chronic Disease Hospital </t>
  </si>
  <si>
    <t>281P00000X</t>
  </si>
  <si>
    <t>281PC2000X</t>
  </si>
  <si>
    <t xml:space="preserve">Long Term Care Hospital </t>
  </si>
  <si>
    <t>282E00000X</t>
  </si>
  <si>
    <t>014</t>
  </si>
  <si>
    <t>Critical Access</t>
  </si>
  <si>
    <t xml:space="preserve">Critical Access  </t>
  </si>
  <si>
    <t>282NC0060X</t>
  </si>
  <si>
    <t xml:space="preserve">Rural </t>
  </si>
  <si>
    <t>282NR1301X</t>
  </si>
  <si>
    <t>017</t>
  </si>
  <si>
    <t>Acute Care - Rural</t>
  </si>
  <si>
    <t xml:space="preserve">Women </t>
  </si>
  <si>
    <t>282NW0100X</t>
  </si>
  <si>
    <t>019</t>
  </si>
  <si>
    <t>Mental Health Inpatient Hospitals Over 65</t>
  </si>
  <si>
    <t xml:space="preserve">Rehabilitation Hospital </t>
  </si>
  <si>
    <t>283X00000X</t>
  </si>
  <si>
    <t>283XC2000X</t>
  </si>
  <si>
    <t xml:space="preserve">Special Hospital </t>
  </si>
  <si>
    <t>284300000X</t>
  </si>
  <si>
    <t xml:space="preserve">Military Hospital </t>
  </si>
  <si>
    <t>286500000X</t>
  </si>
  <si>
    <t>Community Health^^^^</t>
  </si>
  <si>
    <t>2865C1500X</t>
  </si>
  <si>
    <t xml:space="preserve">Military General Acute Care Hospital </t>
  </si>
  <si>
    <t>2865M2000X</t>
  </si>
  <si>
    <t xml:space="preserve">Military General Acute Care Hospital. Operational (Transportable) </t>
  </si>
  <si>
    <t>2865X1600X</t>
  </si>
  <si>
    <t xml:space="preserve">Christian Science Sanitorium </t>
  </si>
  <si>
    <t>287300000X</t>
  </si>
  <si>
    <t>Ambulatory Health Care Facilities</t>
  </si>
  <si>
    <t xml:space="preserve">Clinic/Center </t>
  </si>
  <si>
    <t xml:space="preserve">Military and U.S. Coast Guard Ambulatory Procedure </t>
  </si>
  <si>
    <t>261QM1101X</t>
  </si>
  <si>
    <t>02</t>
  </si>
  <si>
    <t>Ambulatory Surgical Center (ASC)</t>
  </si>
  <si>
    <t>020</t>
  </si>
  <si>
    <t xml:space="preserve">Oral and Maxillofacial Surgery </t>
  </si>
  <si>
    <t>261QS0112X</t>
  </si>
  <si>
    <t xml:space="preserve">Ophthalmologic Surgery </t>
  </si>
  <si>
    <t>261QS0132X</t>
  </si>
  <si>
    <t>Nursing &amp; Custodial Care Facilities</t>
  </si>
  <si>
    <t xml:space="preserve">Assisted Living Facility </t>
  </si>
  <si>
    <t>310400000X</t>
  </si>
  <si>
    <t>03</t>
  </si>
  <si>
    <t>Extended Care Facility</t>
  </si>
  <si>
    <t>037</t>
  </si>
  <si>
    <t>Assisted Living</t>
  </si>
  <si>
    <t xml:space="preserve">Assisted Living, Mental Illness </t>
  </si>
  <si>
    <t>3104A0625X</t>
  </si>
  <si>
    <t xml:space="preserve">Assisted Living, Behavioral Disturbances </t>
  </si>
  <si>
    <t>3104A0630X</t>
  </si>
  <si>
    <t xml:space="preserve">Custodial Care Facility </t>
  </si>
  <si>
    <t>311Z00000X</t>
  </si>
  <si>
    <t xml:space="preserve">Adult Care Home </t>
  </si>
  <si>
    <t>311ZA0620X</t>
  </si>
  <si>
    <t xml:space="preserve">Nursing Facility/Intermediate Care Facility </t>
  </si>
  <si>
    <t>313M00000X</t>
  </si>
  <si>
    <t>032</t>
  </si>
  <si>
    <t>Pediatric Nursing Facility</t>
  </si>
  <si>
    <t>039</t>
  </si>
  <si>
    <t>Nursing Facility - ICF - Other</t>
  </si>
  <si>
    <t xml:space="preserve">Skilled Nursing Facility </t>
  </si>
  <si>
    <t>314000000X</t>
  </si>
  <si>
    <t>033</t>
  </si>
  <si>
    <t xml:space="preserve">Residential Care Facility </t>
  </si>
  <si>
    <t>034</t>
  </si>
  <si>
    <t>Skilled Nursing Facility (SNF) - Other</t>
  </si>
  <si>
    <t>036</t>
  </si>
  <si>
    <t xml:space="preserve">Respite Care - Facility Based                     </t>
  </si>
  <si>
    <t xml:space="preserve">Intermediate Care Facility, Mentally Retarded </t>
  </si>
  <si>
    <t>315P00000X</t>
  </si>
  <si>
    <t>031</t>
  </si>
  <si>
    <t>038</t>
  </si>
  <si>
    <t>Respite Care Facility</t>
  </si>
  <si>
    <t xml:space="preserve">Respite Care </t>
  </si>
  <si>
    <t>385H00000X</t>
  </si>
  <si>
    <t xml:space="preserve">Respite Care Camp </t>
  </si>
  <si>
    <t>385HR2050X</t>
  </si>
  <si>
    <t xml:space="preserve">Respite Care, Mental Illness, Child </t>
  </si>
  <si>
    <t>385HR2055X</t>
  </si>
  <si>
    <t xml:space="preserve">Respite Care, Mental Retardation and/or Developmental Disabilities </t>
  </si>
  <si>
    <t>385HR2060X</t>
  </si>
  <si>
    <t xml:space="preserve">Respite Care, Physical Disabilities, Child </t>
  </si>
  <si>
    <t>385HR2065X</t>
  </si>
  <si>
    <t xml:space="preserve">Intermediate Care Facility, Mental Illness  </t>
  </si>
  <si>
    <t>310500000X</t>
  </si>
  <si>
    <t>030</t>
  </si>
  <si>
    <t>Nursing Facility - ICF</t>
  </si>
  <si>
    <t xml:space="preserve">Alzheimer Center (Dementia Center) </t>
  </si>
  <si>
    <t>311500000X</t>
  </si>
  <si>
    <t>035</t>
  </si>
  <si>
    <t>Skilled Nursing Facility (SNF)</t>
  </si>
  <si>
    <t xml:space="preserve">Skilled Nursing Facility (SNF) </t>
  </si>
  <si>
    <t xml:space="preserve">Nursing Care, Pediatric </t>
  </si>
  <si>
    <t>3140N1450X</t>
  </si>
  <si>
    <t xml:space="preserve">Christian Science Facility </t>
  </si>
  <si>
    <t>317400000X</t>
  </si>
  <si>
    <t xml:space="preserve">Rehabilitation </t>
  </si>
  <si>
    <t>261QR0400X</t>
  </si>
  <si>
    <t>04</t>
  </si>
  <si>
    <t>Rehabilitation Facility</t>
  </si>
  <si>
    <t>040</t>
  </si>
  <si>
    <t xml:space="preserve">Rehabilitation, Comprehensive Outpatient Rehabilitation Facility (CORF) </t>
  </si>
  <si>
    <t>261QR0401X</t>
  </si>
  <si>
    <t xml:space="preserve">Rehabilitation, Cardiac Facilities </t>
  </si>
  <si>
    <t>261QR0404X</t>
  </si>
  <si>
    <t xml:space="preserve">Rehabilitation, Substance Use Disorder </t>
  </si>
  <si>
    <t>261QR0405X</t>
  </si>
  <si>
    <t xml:space="preserve">Residential Treatment Facility, Mental Retardation and/or Developmental Disabilities </t>
  </si>
  <si>
    <t>320600000X</t>
  </si>
  <si>
    <t xml:space="preserve">Residential Treatment Facility, Physical Disabilities </t>
  </si>
  <si>
    <t>320700000X</t>
  </si>
  <si>
    <t xml:space="preserve">Community Based Residential Treatment Facility, Mental Illness </t>
  </si>
  <si>
    <t>320800000X</t>
  </si>
  <si>
    <t xml:space="preserve">Community Based Residential Treatment Facility, Mental Retardation and/or Developmental Disabilities </t>
  </si>
  <si>
    <t>320900000X</t>
  </si>
  <si>
    <t xml:space="preserve">Substance Abuse Rehabilitation Facility </t>
  </si>
  <si>
    <t>324500000X</t>
  </si>
  <si>
    <t xml:space="preserve">Substance Abuse Treatment, Children </t>
  </si>
  <si>
    <t>3245S0500X</t>
  </si>
  <si>
    <t xml:space="preserve">Agencies </t>
  </si>
  <si>
    <t xml:space="preserve">Home Health </t>
  </si>
  <si>
    <t>251E00000X</t>
  </si>
  <si>
    <t>05</t>
  </si>
  <si>
    <t>Home Health Agency</t>
  </si>
  <si>
    <t>Care Coordinator for Pregnant Women</t>
  </si>
  <si>
    <t>HIV Case Manager</t>
  </si>
  <si>
    <t>051</t>
  </si>
  <si>
    <t>Specialized Home Nursing Services</t>
  </si>
  <si>
    <t xml:space="preserve">Voluntary or Charitable </t>
  </si>
  <si>
    <t>251V00000X</t>
  </si>
  <si>
    <t>052</t>
  </si>
  <si>
    <t>Voluntary or Charitable</t>
  </si>
  <si>
    <t>050</t>
  </si>
  <si>
    <t xml:space="preserve">Home Infusion </t>
  </si>
  <si>
    <t>251F00000X</t>
  </si>
  <si>
    <t>Specialty not yet defined</t>
  </si>
  <si>
    <t xml:space="preserve">Hospice Care, Community Based </t>
  </si>
  <si>
    <t>251G00000X</t>
  </si>
  <si>
    <t>06</t>
  </si>
  <si>
    <t>Hospice</t>
  </si>
  <si>
    <t>060</t>
  </si>
  <si>
    <t xml:space="preserve">Hospice, Inpatient </t>
  </si>
  <si>
    <t>315D00000X</t>
  </si>
  <si>
    <t xml:space="preserve">Student Health </t>
  </si>
  <si>
    <t>261QS1000X</t>
  </si>
  <si>
    <t>07</t>
  </si>
  <si>
    <t>Capitation Provider</t>
  </si>
  <si>
    <t>Teaching Institute</t>
  </si>
  <si>
    <t xml:space="preserve">Health Service </t>
  </si>
  <si>
    <t>261QH0100X</t>
  </si>
  <si>
    <t>08</t>
  </si>
  <si>
    <t>Clinic</t>
  </si>
  <si>
    <t>Maternity</t>
  </si>
  <si>
    <t>Speech/Hearing Clinic</t>
  </si>
  <si>
    <t>Early Intervention Services</t>
  </si>
  <si>
    <t>088</t>
  </si>
  <si>
    <t>Pediatric Clinic</t>
  </si>
  <si>
    <t>089</t>
  </si>
  <si>
    <t>Tuberculosis Clinic</t>
  </si>
  <si>
    <t xml:space="preserve">Hearing and Speech </t>
  </si>
  <si>
    <t>261QH0700X</t>
  </si>
  <si>
    <t xml:space="preserve">Adolescent and Children Mental Health </t>
  </si>
  <si>
    <t>261QM0855X</t>
  </si>
  <si>
    <t xml:space="preserve">Medically Fragile Infants and Children Day Care </t>
  </si>
  <si>
    <t>261QM3000X</t>
  </si>
  <si>
    <t xml:space="preserve">Public Health, Federal </t>
  </si>
  <si>
    <t>261QP0904X</t>
  </si>
  <si>
    <t>085</t>
  </si>
  <si>
    <t>EPSDT Clinic</t>
  </si>
  <si>
    <t xml:space="preserve">Rural Health </t>
  </si>
  <si>
    <t>261QR1300X</t>
  </si>
  <si>
    <t>Individual or Groups (of Individuals)</t>
  </si>
  <si>
    <t>Physician Assistants &amp; Advanced Practice Nursing Providers</t>
  </si>
  <si>
    <t xml:space="preserve">Nurse Practitioner </t>
  </si>
  <si>
    <t>363L00000X</t>
  </si>
  <si>
    <t>084</t>
  </si>
  <si>
    <t>Nurse Practitioner Clinic</t>
  </si>
  <si>
    <t>261Q00000X</t>
  </si>
  <si>
    <t>082</t>
  </si>
  <si>
    <t>Medical Clinic</t>
  </si>
  <si>
    <t xml:space="preserve">Ambulatory Family Planning Facility  </t>
  </si>
  <si>
    <t>261QA0005X</t>
  </si>
  <si>
    <t>083</t>
  </si>
  <si>
    <t>Family Planning Clinic</t>
  </si>
  <si>
    <t xml:space="preserve">Ambulatory Fertility Facility  </t>
  </si>
  <si>
    <t>261QA0006X</t>
  </si>
  <si>
    <t xml:space="preserve">Amputee  </t>
  </si>
  <si>
    <t>261QA0900X</t>
  </si>
  <si>
    <t xml:space="preserve">Augmentative Communication  </t>
  </si>
  <si>
    <t>261QA3000X</t>
  </si>
  <si>
    <t xml:space="preserve">Critical Access Hospital  </t>
  </si>
  <si>
    <t>261QC0050X</t>
  </si>
  <si>
    <t xml:space="preserve">Community Health </t>
  </si>
  <si>
    <t>261QC1500X</t>
  </si>
  <si>
    <t>Community Health</t>
  </si>
  <si>
    <t xml:space="preserve">Corporate Health </t>
  </si>
  <si>
    <t>261QC1800X</t>
  </si>
  <si>
    <t xml:space="preserve">Dental </t>
  </si>
  <si>
    <t>261QD0000X</t>
  </si>
  <si>
    <t>086</t>
  </si>
  <si>
    <t>Dental Clinic</t>
  </si>
  <si>
    <t xml:space="preserve">Developmental Disabilities  </t>
  </si>
  <si>
    <t>261QD1600X</t>
  </si>
  <si>
    <t xml:space="preserve">Emergency Care </t>
  </si>
  <si>
    <t>261QE0002X</t>
  </si>
  <si>
    <t xml:space="preserve">Endoscopy </t>
  </si>
  <si>
    <t>261QE0800X</t>
  </si>
  <si>
    <t xml:space="preserve">Family Planning, Non-Surgical </t>
  </si>
  <si>
    <t>261QF0050X</t>
  </si>
  <si>
    <t xml:space="preserve">Federally Qualified Health Center (FQHC) </t>
  </si>
  <si>
    <t>261QF0400X</t>
  </si>
  <si>
    <t>080</t>
  </si>
  <si>
    <t>Federally Qualified Health Clinic (FQHC)</t>
  </si>
  <si>
    <t xml:space="preserve">Genetics  </t>
  </si>
  <si>
    <t>261QG0250X</t>
  </si>
  <si>
    <t xml:space="preserve">Infusion Therapy </t>
  </si>
  <si>
    <t>261QI0500X</t>
  </si>
  <si>
    <t>087</t>
  </si>
  <si>
    <t>Therapy Clinic</t>
  </si>
  <si>
    <t xml:space="preserve">Lithotripsy </t>
  </si>
  <si>
    <t>261QL0400X</t>
  </si>
  <si>
    <t xml:space="preserve">Migrant Health </t>
  </si>
  <si>
    <t>261QM1000X</t>
  </si>
  <si>
    <t xml:space="preserve">Military/U.S. Coast Guard Outpatient </t>
  </si>
  <si>
    <t>261QM1100X</t>
  </si>
  <si>
    <t xml:space="preserve">Military Outpatient Operational (Transportable) Component </t>
  </si>
  <si>
    <t>261QM1102X</t>
  </si>
  <si>
    <t xml:space="preserve">Military Ambulatory Procedure Visits Operational (Transportable) </t>
  </si>
  <si>
    <t>261QM1103X</t>
  </si>
  <si>
    <t xml:space="preserve">Magnetic Resonance Imaging (MRI) </t>
  </si>
  <si>
    <t>261QM1200X</t>
  </si>
  <si>
    <t xml:space="preserve">Multi-Specialty </t>
  </si>
  <si>
    <t>261QM1300X</t>
  </si>
  <si>
    <t xml:space="preserve">Medical Specialty  </t>
  </si>
  <si>
    <t>261QM2500X</t>
  </si>
  <si>
    <t xml:space="preserve">Methadone  </t>
  </si>
  <si>
    <t>261QM2800X</t>
  </si>
  <si>
    <t xml:space="preserve">Public Health, State or Local </t>
  </si>
  <si>
    <t>261QP0905X</t>
  </si>
  <si>
    <t xml:space="preserve">Podiatric </t>
  </si>
  <si>
    <t>261QP1100X</t>
  </si>
  <si>
    <t xml:space="preserve">Physical Therapy </t>
  </si>
  <si>
    <t>261QP2000X</t>
  </si>
  <si>
    <t xml:space="preserve">Primary Care </t>
  </si>
  <si>
    <t>261QP2300X</t>
  </si>
  <si>
    <t xml:space="preserve">Prison Health </t>
  </si>
  <si>
    <t>261QP2400X</t>
  </si>
  <si>
    <t xml:space="preserve">Pain </t>
  </si>
  <si>
    <t>261QP3300X</t>
  </si>
  <si>
    <t xml:space="preserve">Recovery Care </t>
  </si>
  <si>
    <t>261QR0800X</t>
  </si>
  <si>
    <t xml:space="preserve">Research </t>
  </si>
  <si>
    <t>261QR1100X</t>
  </si>
  <si>
    <t>081</t>
  </si>
  <si>
    <t>Rural Health Clinic (RHC)</t>
  </si>
  <si>
    <t xml:space="preserve">Sleep Disorder Diagnostic </t>
  </si>
  <si>
    <t>261QS1200X</t>
  </si>
  <si>
    <t xml:space="preserve">Urgent Care </t>
  </si>
  <si>
    <t>261QU0200X</t>
  </si>
  <si>
    <t xml:space="preserve">VA </t>
  </si>
  <si>
    <t>261QV0200X</t>
  </si>
  <si>
    <t xml:space="preserve">Occupational Medicine </t>
  </si>
  <si>
    <t>261QX0100X</t>
  </si>
  <si>
    <t xml:space="preserve">Oncology </t>
  </si>
  <si>
    <t>261QX0200X</t>
  </si>
  <si>
    <t xml:space="preserve">Oncology, Radiation </t>
  </si>
  <si>
    <t>261QX0203X</t>
  </si>
  <si>
    <t>09</t>
  </si>
  <si>
    <t>Advance Practice Nurse</t>
  </si>
  <si>
    <t xml:space="preserve">Pediatrics </t>
  </si>
  <si>
    <t>363LP0200X</t>
  </si>
  <si>
    <t>090</t>
  </si>
  <si>
    <t>Pediatric Nurse Practitioner</t>
  </si>
  <si>
    <t xml:space="preserve">Pediatrics, Critical Care </t>
  </si>
  <si>
    <t>363LP0222X</t>
  </si>
  <si>
    <t xml:space="preserve">Obstetrics &amp; Gynecology </t>
  </si>
  <si>
    <t>363LX0001X</t>
  </si>
  <si>
    <t>091</t>
  </si>
  <si>
    <t>Obstetric Nurse Practitioner</t>
  </si>
  <si>
    <t xml:space="preserve">Clinical Nurse Specialist </t>
  </si>
  <si>
    <t>364SP0200X</t>
  </si>
  <si>
    <t>Other Service Providers</t>
  </si>
  <si>
    <t xml:space="preserve">Midwife, Certified </t>
  </si>
  <si>
    <t>176B00000X</t>
  </si>
  <si>
    <t>095</t>
  </si>
  <si>
    <t>Certified Nurse Midwife</t>
  </si>
  <si>
    <t>093</t>
  </si>
  <si>
    <t>Nurse Practitioner (Other)</t>
  </si>
  <si>
    <t>363LA2100X</t>
  </si>
  <si>
    <t xml:space="preserve">Adult Health </t>
  </si>
  <si>
    <t>363LA2200X</t>
  </si>
  <si>
    <t xml:space="preserve">Critical Care Medicine </t>
  </si>
  <si>
    <t>363LC0200X</t>
  </si>
  <si>
    <t>363LC1500X</t>
  </si>
  <si>
    <t xml:space="preserve">Family </t>
  </si>
  <si>
    <t>363LF0000X</t>
  </si>
  <si>
    <t>092</t>
  </si>
  <si>
    <t>Family Nurse Practitioner</t>
  </si>
  <si>
    <t xml:space="preserve">Gerontology </t>
  </si>
  <si>
    <t>363LG0600X</t>
  </si>
  <si>
    <t xml:space="preserve">Neonatal </t>
  </si>
  <si>
    <t>363LN0000X</t>
  </si>
  <si>
    <t xml:space="preserve">Neonatal, Critical Care </t>
  </si>
  <si>
    <t>363LN0005X</t>
  </si>
  <si>
    <t xml:space="preserve">Psychiatric/Mental Health </t>
  </si>
  <si>
    <t>363LP0808X</t>
  </si>
  <si>
    <t xml:space="preserve">Perinatal </t>
  </si>
  <si>
    <t>363LP1700X</t>
  </si>
  <si>
    <t>363LP2300X</t>
  </si>
  <si>
    <t xml:space="preserve">School </t>
  </si>
  <si>
    <t>363LS0200X</t>
  </si>
  <si>
    <t xml:space="preserve">Women's Health </t>
  </si>
  <si>
    <t>363LW0102X</t>
  </si>
  <si>
    <t xml:space="preserve">Occupational Health </t>
  </si>
  <si>
    <t>363LX0106X</t>
  </si>
  <si>
    <t>364S00000X</t>
  </si>
  <si>
    <t>364SA2100X</t>
  </si>
  <si>
    <t>364SA2200X</t>
  </si>
  <si>
    <t>364SC0200X</t>
  </si>
  <si>
    <t xml:space="preserve">Community Health/Public Health </t>
  </si>
  <si>
    <t>364SC1501X</t>
  </si>
  <si>
    <t xml:space="preserve">Chronic Care </t>
  </si>
  <si>
    <t>364SC2300X</t>
  </si>
  <si>
    <t xml:space="preserve">Emergency </t>
  </si>
  <si>
    <t>364SE0003X</t>
  </si>
  <si>
    <t xml:space="preserve">Ethics </t>
  </si>
  <si>
    <t>364SE1400X</t>
  </si>
  <si>
    <t xml:space="preserve">Family Health </t>
  </si>
  <si>
    <t>364SF0001X</t>
  </si>
  <si>
    <t>364SG0600X</t>
  </si>
  <si>
    <t>364SH0200X</t>
  </si>
  <si>
    <t xml:space="preserve">Holistic </t>
  </si>
  <si>
    <t>364SH1100X</t>
  </si>
  <si>
    <t xml:space="preserve">Informatics </t>
  </si>
  <si>
    <t>364SI0800X</t>
  </si>
  <si>
    <t xml:space="preserve">Long-Term Care </t>
  </si>
  <si>
    <t>364SL0600X</t>
  </si>
  <si>
    <t xml:space="preserve">Medical-Surgical </t>
  </si>
  <si>
    <t>364SM0705X</t>
  </si>
  <si>
    <t>364SN0000X</t>
  </si>
  <si>
    <t xml:space="preserve">Neuroscience </t>
  </si>
  <si>
    <t>364SN0800X</t>
  </si>
  <si>
    <t xml:space="preserve">Psychiatric/Mental Health, Child &amp; Adolescent </t>
  </si>
  <si>
    <t>364SP0807X</t>
  </si>
  <si>
    <t>364SP0808X</t>
  </si>
  <si>
    <t xml:space="preserve">Psychiatric/Mental Health, Adult </t>
  </si>
  <si>
    <t>364SP0809X</t>
  </si>
  <si>
    <t xml:space="preserve">Psychiatric/Mental Health, Child &amp; Family </t>
  </si>
  <si>
    <t>364SP0810X</t>
  </si>
  <si>
    <t xml:space="preserve">Psychiatric/Mental Health, Chronically Ill </t>
  </si>
  <si>
    <t>364SP0811X</t>
  </si>
  <si>
    <t xml:space="preserve">Psychiatric/Mental Health, Community </t>
  </si>
  <si>
    <t>364SP0812X</t>
  </si>
  <si>
    <t xml:space="preserve">Psychiatric/Mental Health, Geropsychiatric </t>
  </si>
  <si>
    <t>364SP0813X</t>
  </si>
  <si>
    <t>364SP1700X</t>
  </si>
  <si>
    <t xml:space="preserve">Perioperative </t>
  </si>
  <si>
    <t>364SP2800X</t>
  </si>
  <si>
    <t>364SR0400X</t>
  </si>
  <si>
    <t>364SS0200X</t>
  </si>
  <si>
    <t xml:space="preserve">Transplantation </t>
  </si>
  <si>
    <t>364ST0500X</t>
  </si>
  <si>
    <t>364SW0102X</t>
  </si>
  <si>
    <t>364SX0106X</t>
  </si>
  <si>
    <t>364SX0200X</t>
  </si>
  <si>
    <t xml:space="preserve">Oncology, Pediatrics </t>
  </si>
  <si>
    <t>364SX0204X</t>
  </si>
  <si>
    <t xml:space="preserve">Nurse Anesthetist, Certified Registered </t>
  </si>
  <si>
    <t>367500000X</t>
  </si>
  <si>
    <t>094</t>
  </si>
  <si>
    <t>Certified Registered Nurse Anesthetist (CRNA)</t>
  </si>
  <si>
    <t xml:space="preserve">Midwife, Certified Nurse </t>
  </si>
  <si>
    <t>367A00000X</t>
  </si>
  <si>
    <t>Podiatric Medicine &amp; Surgery Service Providers</t>
  </si>
  <si>
    <t xml:space="preserve">Assistant, Podiatric </t>
  </si>
  <si>
    <t>211D00000X</t>
  </si>
  <si>
    <t>Mid-Level Practitioner</t>
  </si>
  <si>
    <t>Physician Assistant</t>
  </si>
  <si>
    <t xml:space="preserve">Physician Assistant </t>
  </si>
  <si>
    <t>363A00000X</t>
  </si>
  <si>
    <t xml:space="preserve">Medical </t>
  </si>
  <si>
    <t>363AM0700X</t>
  </si>
  <si>
    <t xml:space="preserve">Surgical </t>
  </si>
  <si>
    <t>363AS0400X</t>
  </si>
  <si>
    <t>Anesthesiology Assistant</t>
  </si>
  <si>
    <t xml:space="preserve">Anesthesiologist Assistant </t>
  </si>
  <si>
    <t>367H00000X</t>
  </si>
  <si>
    <t xml:space="preserve">Behavioral Health &amp; Social Service Providers  </t>
  </si>
  <si>
    <t xml:space="preserve">Counselor </t>
  </si>
  <si>
    <t>101Y00000X</t>
  </si>
  <si>
    <t>Mental Health Provider</t>
  </si>
  <si>
    <t>Licensed Practical Counselor</t>
  </si>
  <si>
    <t xml:space="preserve">Addiction (Substance Use Disorder) </t>
  </si>
  <si>
    <t>101YA0400X</t>
  </si>
  <si>
    <t>Addiction Counselor</t>
  </si>
  <si>
    <t xml:space="preserve">Mental Health </t>
  </si>
  <si>
    <t>101YM0800X</t>
  </si>
  <si>
    <t xml:space="preserve">Pastoral </t>
  </si>
  <si>
    <t>101YP1600X</t>
  </si>
  <si>
    <t xml:space="preserve">Professional </t>
  </si>
  <si>
    <t>101YP2500X</t>
  </si>
  <si>
    <t>101YS0200X</t>
  </si>
  <si>
    <t>Poetry Therapist</t>
  </si>
  <si>
    <t>Poetry Therapist****</t>
  </si>
  <si>
    <t>102X00000X</t>
  </si>
  <si>
    <t>Mental Health</t>
  </si>
  <si>
    <t>Psychologist&amp;</t>
  </si>
  <si>
    <t>103T00000X</t>
  </si>
  <si>
    <t>Health Service Provider in Psychology (HSPP)</t>
  </si>
  <si>
    <t xml:space="preserve">Marriage &amp; Family Therapist </t>
  </si>
  <si>
    <t>106H00000X</t>
  </si>
  <si>
    <t>Marriage and Family Counselor</t>
  </si>
  <si>
    <t>Nursing Service Providers</t>
  </si>
  <si>
    <t xml:space="preserve">Registered Nurse </t>
  </si>
  <si>
    <t>163WP0808X</t>
  </si>
  <si>
    <t>Psychiatric Nurse</t>
  </si>
  <si>
    <t xml:space="preserve">Mental Health (Including Community Mental Health Center) </t>
  </si>
  <si>
    <t>261QM0801X</t>
  </si>
  <si>
    <t>Mental Health - DMHSAS</t>
  </si>
  <si>
    <t xml:space="preserve">Psychoanalyst** </t>
  </si>
  <si>
    <t>102L00000X</t>
  </si>
  <si>
    <t>Psychologist</t>
  </si>
  <si>
    <t xml:space="preserve">Clinical Neuropsychologist+ </t>
  </si>
  <si>
    <t>103G00000X</t>
  </si>
  <si>
    <t>Clinical Psychologist</t>
  </si>
  <si>
    <t xml:space="preserve">Clinical^ (use 103G00000X) </t>
  </si>
  <si>
    <t>103GC0700X</t>
  </si>
  <si>
    <t>103TA0400X</t>
  </si>
  <si>
    <t xml:space="preserve">Adult Development &amp; Aging </t>
  </si>
  <si>
    <t>103TA0700X</t>
  </si>
  <si>
    <t xml:space="preserve">Cognitive &amp; Behavioral+ </t>
  </si>
  <si>
    <t>103TB0200X</t>
  </si>
  <si>
    <t xml:space="preserve">Clinical </t>
  </si>
  <si>
    <t>103TC0700X</t>
  </si>
  <si>
    <t xml:space="preserve">Counseling </t>
  </si>
  <si>
    <t>103TC1900X</t>
  </si>
  <si>
    <t>Clinical Child &amp; Adolescent+</t>
  </si>
  <si>
    <t>103TC2200X</t>
  </si>
  <si>
    <t xml:space="preserve">Educational^ </t>
  </si>
  <si>
    <t>103TE1000X</t>
  </si>
  <si>
    <t xml:space="preserve">Exercise &amp; Sports </t>
  </si>
  <si>
    <t>103TE1100X</t>
  </si>
  <si>
    <t>103TF0000X</t>
  </si>
  <si>
    <t xml:space="preserve">Forensic </t>
  </si>
  <si>
    <t>103TF0200X</t>
  </si>
  <si>
    <t>Health**</t>
  </si>
  <si>
    <t>103TH0004X</t>
  </si>
  <si>
    <t>103TH0100X</t>
  </si>
  <si>
    <t>Men &amp; Masculinity^</t>
  </si>
  <si>
    <t>103TM1700X</t>
  </si>
  <si>
    <t xml:space="preserve">Mental Retardation &amp; Developmental Disabilities </t>
  </si>
  <si>
    <t>103TM1800X</t>
  </si>
  <si>
    <t>Prescribing (Medical)**</t>
  </si>
  <si>
    <t>103TP0016X</t>
  </si>
  <si>
    <t xml:space="preserve">Psychoanalysis </t>
  </si>
  <si>
    <t>103TP0814X</t>
  </si>
  <si>
    <t xml:space="preserve">Psychotherapy^ </t>
  </si>
  <si>
    <t>103TP2700X</t>
  </si>
  <si>
    <t xml:space="preserve">Group Psychotherapy+ </t>
  </si>
  <si>
    <t>103TP2701X</t>
  </si>
  <si>
    <t>103TR0400X</t>
  </si>
  <si>
    <t>103TS0200X</t>
  </si>
  <si>
    <t xml:space="preserve">Women^ </t>
  </si>
  <si>
    <t>103TW0100X</t>
  </si>
  <si>
    <t xml:space="preserve">Social Worker </t>
  </si>
  <si>
    <t>104100000X</t>
  </si>
  <si>
    <t>Certified Social Worker</t>
  </si>
  <si>
    <t>1041C0700X</t>
  </si>
  <si>
    <t>Certified Clinical Social Worker</t>
  </si>
  <si>
    <t>1041S0200X</t>
  </si>
  <si>
    <t>Outpatient Mental Health Clinic</t>
  </si>
  <si>
    <t>Community Mental Health Center (CMHC)</t>
  </si>
  <si>
    <t xml:space="preserve">Adult Mental Health  </t>
  </si>
  <si>
    <t>261QM0850X</t>
  </si>
  <si>
    <t>Behavioral Health &amp; Social Service Providers</t>
  </si>
  <si>
    <t>Behavioral Analyst Classification</t>
  </si>
  <si>
    <t>103K00000X</t>
  </si>
  <si>
    <t>Behavioral Analyst</t>
  </si>
  <si>
    <t xml:space="preserve">Genetic Counselor, MS </t>
  </si>
  <si>
    <t>170300000X</t>
  </si>
  <si>
    <t>Genetics</t>
  </si>
  <si>
    <t>Sleep Specialist, PhD</t>
  </si>
  <si>
    <t>Sleep Specialist, PhD*****</t>
  </si>
  <si>
    <t>173F00000X</t>
  </si>
  <si>
    <t xml:space="preserve">Day Training, Developmentally Disabled Services </t>
  </si>
  <si>
    <t>251C00000X</t>
  </si>
  <si>
    <t>DDSD-Supportive Living Arrangements</t>
  </si>
  <si>
    <t>Community/Behavioral Health***&amp;</t>
  </si>
  <si>
    <t>251S00000X</t>
  </si>
  <si>
    <t xml:space="preserve">Local Education Agency (LEA) </t>
  </si>
  <si>
    <t>251300000X</t>
  </si>
  <si>
    <t>School Corporation</t>
  </si>
  <si>
    <t xml:space="preserve">Public Health or Welfare </t>
  </si>
  <si>
    <t>251K00000X</t>
  </si>
  <si>
    <t>Public Health Agency</t>
  </si>
  <si>
    <t>County Health Department</t>
  </si>
  <si>
    <t>Early InterventionProvider Agency</t>
  </si>
  <si>
    <t>Early Intervention Provider Agency****</t>
  </si>
  <si>
    <t>252Y00000X</t>
  </si>
  <si>
    <t xml:space="preserve">Podiatrist </t>
  </si>
  <si>
    <t>213E00000X</t>
  </si>
  <si>
    <t>Podiatrist</t>
  </si>
  <si>
    <t>General Practice^^^ (use 213E00000X)</t>
  </si>
  <si>
    <t>213EG0000X</t>
  </si>
  <si>
    <t xml:space="preserve">Public Medicine </t>
  </si>
  <si>
    <t>213EP0504X</t>
  </si>
  <si>
    <t xml:space="preserve">Primary Podiatric Medicine </t>
  </si>
  <si>
    <t>213EP1101X</t>
  </si>
  <si>
    <t xml:space="preserve">Radiology </t>
  </si>
  <si>
    <t>213ER0200X</t>
  </si>
  <si>
    <t xml:space="preserve">Sports Medicine </t>
  </si>
  <si>
    <t>213ES0000X</t>
  </si>
  <si>
    <t xml:space="preserve">Foot &amp; Ankle Surgery </t>
  </si>
  <si>
    <t>213ES0103X</t>
  </si>
  <si>
    <t xml:space="preserve">Foot Surgery </t>
  </si>
  <si>
    <t>213ES0131X</t>
  </si>
  <si>
    <t>Chiropractic Providers</t>
  </si>
  <si>
    <t xml:space="preserve">Chiropractor </t>
  </si>
  <si>
    <t>111N00000X</t>
  </si>
  <si>
    <t>Chiropractor</t>
  </si>
  <si>
    <t xml:space="preserve">Independent Medical Examiner** </t>
  </si>
  <si>
    <t>111NI0013X</t>
  </si>
  <si>
    <t xml:space="preserve">Internist </t>
  </si>
  <si>
    <t>111NI0900X</t>
  </si>
  <si>
    <t xml:space="preserve">Neurology </t>
  </si>
  <si>
    <t>111NN0400X</t>
  </si>
  <si>
    <t xml:space="preserve">Nutrition </t>
  </si>
  <si>
    <t>111NN1001X</t>
  </si>
  <si>
    <t xml:space="preserve">Pediatric***** </t>
  </si>
  <si>
    <t>111NP0017X</t>
  </si>
  <si>
    <t>111NR0200X</t>
  </si>
  <si>
    <t>111NR0400X</t>
  </si>
  <si>
    <t xml:space="preserve">Sports Physician </t>
  </si>
  <si>
    <t>111NS0005X</t>
  </si>
  <si>
    <t>Thermography</t>
  </si>
  <si>
    <t>111NT0100X</t>
  </si>
  <si>
    <t>111NX0100X</t>
  </si>
  <si>
    <t xml:space="preserve">Orthopedic </t>
  </si>
  <si>
    <t>111NX0800X</t>
  </si>
  <si>
    <t>163W00000X</t>
  </si>
  <si>
    <t>163WI0600X</t>
  </si>
  <si>
    <t>163WP0807X</t>
  </si>
  <si>
    <t>163WP0809X</t>
  </si>
  <si>
    <t>163WP1700X</t>
  </si>
  <si>
    <t>164W00000X</t>
  </si>
  <si>
    <t xml:space="preserve">Nursing Care </t>
  </si>
  <si>
    <t>251J00000X</t>
  </si>
  <si>
    <t>163WA0400X</t>
  </si>
  <si>
    <t>163WA2000X</t>
  </si>
  <si>
    <t>163WC0200X</t>
  </si>
  <si>
    <t>163WC0400X</t>
  </si>
  <si>
    <t>163WC1400X</t>
  </si>
  <si>
    <t>163WC1500X</t>
  </si>
  <si>
    <t>163WC1600X</t>
  </si>
  <si>
    <t>163WC2100X</t>
  </si>
  <si>
    <t>163WC3500X</t>
  </si>
  <si>
    <t>163WD0400X</t>
  </si>
  <si>
    <t>163WD1100X</t>
  </si>
  <si>
    <t>163WE0003X</t>
  </si>
  <si>
    <t>163WE0900X</t>
  </si>
  <si>
    <t>163WF0300X</t>
  </si>
  <si>
    <t xml:space="preserve">General Practice </t>
  </si>
  <si>
    <t>163WG0000X</t>
  </si>
  <si>
    <t>163WG0100X</t>
  </si>
  <si>
    <t>163WG0600X</t>
  </si>
  <si>
    <t>163WH0200X</t>
  </si>
  <si>
    <t>163WH0500X</t>
  </si>
  <si>
    <t>163WH1000X</t>
  </si>
  <si>
    <t>163WI0500X</t>
  </si>
  <si>
    <t>163WL0100X</t>
  </si>
  <si>
    <t>163WM0102X</t>
  </si>
  <si>
    <t>163WM0705X</t>
  </si>
  <si>
    <t>163WM1400X</t>
  </si>
  <si>
    <t>163WN0002X</t>
  </si>
  <si>
    <t>163WN0003X</t>
  </si>
  <si>
    <t xml:space="preserve">Nephrology </t>
  </si>
  <si>
    <t>163WN0300X</t>
  </si>
  <si>
    <t>163WN0800X</t>
  </si>
  <si>
    <t xml:space="preserve">Nutrition Support </t>
  </si>
  <si>
    <t>163WN1003X</t>
  </si>
  <si>
    <t>163WP0000X</t>
  </si>
  <si>
    <t>163WP0200X</t>
  </si>
  <si>
    <t>163WP0218X</t>
  </si>
  <si>
    <t>163WP2201X</t>
  </si>
  <si>
    <t>163WR0006X</t>
  </si>
  <si>
    <t>163WR0400X</t>
  </si>
  <si>
    <t>163WR1000X</t>
  </si>
  <si>
    <t xml:space="preserve">Plastic Surgery </t>
  </si>
  <si>
    <t>163WS0121X</t>
  </si>
  <si>
    <t>163WS0200X</t>
  </si>
  <si>
    <t xml:space="preserve">Urology </t>
  </si>
  <si>
    <t>163WU0100X</t>
  </si>
  <si>
    <t>163WW0000X</t>
  </si>
  <si>
    <t>163WW0101X</t>
  </si>
  <si>
    <t>163WX0002X</t>
  </si>
  <si>
    <t>163WX0003X</t>
  </si>
  <si>
    <t>163WX0106X</t>
  </si>
  <si>
    <t>163WX0200X</t>
  </si>
  <si>
    <t>163WX0601X</t>
  </si>
  <si>
    <t>163WX0800X</t>
  </si>
  <si>
    <t xml:space="preserve">Ophthalmic </t>
  </si>
  <si>
    <t>163WX1100X</t>
  </si>
  <si>
    <t>163WX1500X</t>
  </si>
  <si>
    <t>Nursing Service Related Providers</t>
  </si>
  <si>
    <t>374T00000X</t>
  </si>
  <si>
    <t>Respiratory, Developmental, Rehabilitative and Restorative Service Providers+&amp;</t>
  </si>
  <si>
    <t xml:space="preserve">Occupational Therapy Assistant </t>
  </si>
  <si>
    <t>224Z00000X</t>
  </si>
  <si>
    <t>Therapist</t>
  </si>
  <si>
    <t>Occupational Therapy Assistant</t>
  </si>
  <si>
    <t xml:space="preserve">Physical Therapy Assistant </t>
  </si>
  <si>
    <t>225200000X</t>
  </si>
  <si>
    <t>Physical Therapy Assistant</t>
  </si>
  <si>
    <t xml:space="preserve">Respiratory Therapist, Certified </t>
  </si>
  <si>
    <t>227800000X</t>
  </si>
  <si>
    <t>Respiratory Therapist</t>
  </si>
  <si>
    <t xml:space="preserve">Critical Care </t>
  </si>
  <si>
    <t>2278C0205X</t>
  </si>
  <si>
    <t>2278E0002X</t>
  </si>
  <si>
    <t xml:space="preserve">Educational </t>
  </si>
  <si>
    <t>2278E1000X</t>
  </si>
  <si>
    <t xml:space="preserve">Geriatric Care </t>
  </si>
  <si>
    <t>2278G0305X</t>
  </si>
  <si>
    <t xml:space="preserve">General Care </t>
  </si>
  <si>
    <t>2278G1100X</t>
  </si>
  <si>
    <t>2278H0200X</t>
  </si>
  <si>
    <t xml:space="preserve">Pulmonary Diagnostics </t>
  </si>
  <si>
    <t>2278P1004X</t>
  </si>
  <si>
    <t xml:space="preserve">Pulmonary Rehabilitation </t>
  </si>
  <si>
    <t>2278P1005X</t>
  </si>
  <si>
    <t xml:space="preserve">Pulmonary Function Technologist </t>
  </si>
  <si>
    <t>2278P1006X</t>
  </si>
  <si>
    <t xml:space="preserve">Palliative/Hospice </t>
  </si>
  <si>
    <t>2278P3800X</t>
  </si>
  <si>
    <t xml:space="preserve">Neonatal/Pediatrics </t>
  </si>
  <si>
    <t>2278P3900X</t>
  </si>
  <si>
    <t xml:space="preserve">Patient Transport </t>
  </si>
  <si>
    <t>2278P4000X</t>
  </si>
  <si>
    <t xml:space="preserve">SNF/Subacute Care </t>
  </si>
  <si>
    <t>2278S1500X</t>
  </si>
  <si>
    <t xml:space="preserve">Respiratory Therapist, Registered </t>
  </si>
  <si>
    <t>227900000X</t>
  </si>
  <si>
    <t>2279C0205X</t>
  </si>
  <si>
    <t>2279E0002X</t>
  </si>
  <si>
    <t>2279E1000X</t>
  </si>
  <si>
    <t>2279G0305X</t>
  </si>
  <si>
    <t>2279G1100X</t>
  </si>
  <si>
    <t>2279H0200X</t>
  </si>
  <si>
    <t>2279P1004X</t>
  </si>
  <si>
    <t>2279P1005X</t>
  </si>
  <si>
    <t>2279P1006X</t>
  </si>
  <si>
    <t>2279P3800X</t>
  </si>
  <si>
    <t>2279P3900X</t>
  </si>
  <si>
    <t>2279P4000X</t>
  </si>
  <si>
    <t>2279S1500X</t>
  </si>
  <si>
    <t xml:space="preserve">Acupuncturist </t>
  </si>
  <si>
    <t>171100000X</t>
  </si>
  <si>
    <t>Physical Therapist</t>
  </si>
  <si>
    <t xml:space="preserve">Mechanotherapist** </t>
  </si>
  <si>
    <t>172M00000X</t>
  </si>
  <si>
    <t xml:space="preserve">Physical Therapist </t>
  </si>
  <si>
    <t>225100000X</t>
  </si>
  <si>
    <t xml:space="preserve">Cardiopulmonary </t>
  </si>
  <si>
    <t>2251C2600X</t>
  </si>
  <si>
    <t xml:space="preserve">Ergonomics </t>
  </si>
  <si>
    <t>2251E1200X</t>
  </si>
  <si>
    <t xml:space="preserve">Electrophysiology, Clinical </t>
  </si>
  <si>
    <t>2251E1300X</t>
  </si>
  <si>
    <t xml:space="preserve">Geriatrics </t>
  </si>
  <si>
    <t>2251G0304X</t>
  </si>
  <si>
    <t xml:space="preserve">Hand </t>
  </si>
  <si>
    <t>2251H1200X</t>
  </si>
  <si>
    <t xml:space="preserve">Human Factors </t>
  </si>
  <si>
    <t>2251H1300X</t>
  </si>
  <si>
    <t>2251N0400X</t>
  </si>
  <si>
    <t>2251P0200X</t>
  </si>
  <si>
    <t xml:space="preserve">Sports </t>
  </si>
  <si>
    <t>2251S0007X</t>
  </si>
  <si>
    <t>2251X0800X</t>
  </si>
  <si>
    <t xml:space="preserve">Rehabilitation Practitioner </t>
  </si>
  <si>
    <t>225400000X</t>
  </si>
  <si>
    <t xml:space="preserve">Occupational Therapist </t>
  </si>
  <si>
    <t>225X00000X</t>
  </si>
  <si>
    <t>Occupational Therapist</t>
  </si>
  <si>
    <t>225XE1200X</t>
  </si>
  <si>
    <t>225XH1200X</t>
  </si>
  <si>
    <t>225XH1300X</t>
  </si>
  <si>
    <t xml:space="preserve">Neurorehabilitation </t>
  </si>
  <si>
    <t>225XN1300X</t>
  </si>
  <si>
    <t>225XP0200X</t>
  </si>
  <si>
    <t xml:space="preserve">Rehabilitation, Driver </t>
  </si>
  <si>
    <t>225XR0403X</t>
  </si>
  <si>
    <t>Speech, Language and Hearing Service Providers</t>
  </si>
  <si>
    <t xml:space="preserve">Speech-Language Pathologist </t>
  </si>
  <si>
    <t>235Z00000X</t>
  </si>
  <si>
    <t>Speech/Hearing Therapist</t>
  </si>
  <si>
    <t>Reflexologist</t>
  </si>
  <si>
    <t>Reflexologist*****</t>
  </si>
  <si>
    <t>173C00000X</t>
  </si>
  <si>
    <t xml:space="preserve">Respiratory, Developmental, Rehabilitative and Restorative Service Providers </t>
  </si>
  <si>
    <t xml:space="preserve">Clinical Exercise Physiologist </t>
  </si>
  <si>
    <t>224Y00000X</t>
  </si>
  <si>
    <t>Clinical Exercise Physiologist</t>
  </si>
  <si>
    <t>Environmental Modification Specialization</t>
  </si>
  <si>
    <t>224ZE0001X</t>
  </si>
  <si>
    <t>Assistant Therapist</t>
  </si>
  <si>
    <t>Feeding, Eating &amp; Swallowing Specialization</t>
  </si>
  <si>
    <t>224ZF0002X</t>
  </si>
  <si>
    <t>Low Vision Specialization</t>
  </si>
  <si>
    <t>224ZL0004X</t>
  </si>
  <si>
    <t>Driving &amp; Community Mobility Specialization</t>
  </si>
  <si>
    <t>224ZR0403X</t>
  </si>
  <si>
    <t>225XE0001X</t>
  </si>
  <si>
    <t xml:space="preserve">Restorative Service Providers </t>
  </si>
  <si>
    <t>225XF0002X</t>
  </si>
  <si>
    <t>Respiratory, Developmental</t>
  </si>
  <si>
    <t xml:space="preserve">Rehabilitative and Restorative Service Providers Type, Occupational Therapist </t>
  </si>
  <si>
    <t>Gerontology Specialization</t>
  </si>
  <si>
    <t>225XG0600X</t>
  </si>
  <si>
    <t>225XL0004X</t>
  </si>
  <si>
    <t>Mental Health Specialization</t>
  </si>
  <si>
    <t>225XM0800X</t>
  </si>
  <si>
    <t xml:space="preserve">Physical Rehabilitation </t>
  </si>
  <si>
    <t>225XP0019X</t>
  </si>
  <si>
    <t>Eye and Vision Services Providers</t>
  </si>
  <si>
    <t xml:space="preserve">Optometrist </t>
  </si>
  <si>
    <t>152W00000X</t>
  </si>
  <si>
    <t>Optometrist</t>
  </si>
  <si>
    <t xml:space="preserve">Corneal and Contact Management </t>
  </si>
  <si>
    <t>152WC0802X</t>
  </si>
  <si>
    <t xml:space="preserve">Low Vision Rehabilitation </t>
  </si>
  <si>
    <t>152WL0500X</t>
  </si>
  <si>
    <t>152WP0200X</t>
  </si>
  <si>
    <t xml:space="preserve">Sports Vision </t>
  </si>
  <si>
    <t>152WS0006X</t>
  </si>
  <si>
    <t xml:space="preserve">Vision Therapy </t>
  </si>
  <si>
    <t>152WV0400X</t>
  </si>
  <si>
    <t xml:space="preserve">Occupational Vision </t>
  </si>
  <si>
    <t>152WX0102X</t>
  </si>
  <si>
    <t xml:space="preserve">Technician/Technologist </t>
  </si>
  <si>
    <t>156F00000X</t>
  </si>
  <si>
    <t>Optician</t>
  </si>
  <si>
    <t xml:space="preserve">Contact Lens </t>
  </si>
  <si>
    <t>156FC0800X</t>
  </si>
  <si>
    <t xml:space="preserve">Contact Lens Fitter </t>
  </si>
  <si>
    <t>156FC0801X</t>
  </si>
  <si>
    <t>156FX1100X</t>
  </si>
  <si>
    <t xml:space="preserve">Ophthalmic Assistant </t>
  </si>
  <si>
    <t>156FX1101X</t>
  </si>
  <si>
    <t xml:space="preserve">Optometric Assistant </t>
  </si>
  <si>
    <t>156FX1201X</t>
  </si>
  <si>
    <t xml:space="preserve">Optometric Technician </t>
  </si>
  <si>
    <t>156FX1202X</t>
  </si>
  <si>
    <t xml:space="preserve">Ocularist </t>
  </si>
  <si>
    <t>156FX1700X</t>
  </si>
  <si>
    <t xml:space="preserve">Optician </t>
  </si>
  <si>
    <t>156FX1800X</t>
  </si>
  <si>
    <t xml:space="preserve">Orthoptist </t>
  </si>
  <si>
    <t>156FX1900X</t>
  </si>
  <si>
    <t xml:space="preserve">Audiologist </t>
  </si>
  <si>
    <t>231H00000X</t>
  </si>
  <si>
    <t>Audiologist</t>
  </si>
  <si>
    <t xml:space="preserve">Assistive Technology Practitioner </t>
  </si>
  <si>
    <t>231HA2400X</t>
  </si>
  <si>
    <t>Assistive Technology</t>
  </si>
  <si>
    <t xml:space="preserve">Assistive Technology Supplier </t>
  </si>
  <si>
    <t>231HA2500X</t>
  </si>
  <si>
    <t>Assistive Technology Supplier</t>
  </si>
  <si>
    <t xml:space="preserve">Audiologist-Hearing Aid Fitter </t>
  </si>
  <si>
    <t>237600000X</t>
  </si>
  <si>
    <t>Case Manager (Targeted)</t>
  </si>
  <si>
    <t>Child Welfare Targeted Case Management</t>
  </si>
  <si>
    <t xml:space="preserve">Suppliers </t>
  </si>
  <si>
    <t>Hearing Aid Dealer</t>
  </si>
  <si>
    <t>Dietary &amp; Nutritional Service Providers</t>
  </si>
  <si>
    <t xml:space="preserve">Dietary Manager </t>
  </si>
  <si>
    <t>132700000X</t>
  </si>
  <si>
    <t>Nutritionist</t>
  </si>
  <si>
    <t xml:space="preserve">Nutritionist </t>
  </si>
  <si>
    <t>133N00000X</t>
  </si>
  <si>
    <t xml:space="preserve">Nutrition, Education </t>
  </si>
  <si>
    <t>133NN1002X</t>
  </si>
  <si>
    <t xml:space="preserve">Dietitian, Registered </t>
  </si>
  <si>
    <t>133V00000X</t>
  </si>
  <si>
    <t xml:space="preserve">Nutrition, Pediatric </t>
  </si>
  <si>
    <t>133VN1004X</t>
  </si>
  <si>
    <t xml:space="preserve">Nutrition, Renal </t>
  </si>
  <si>
    <t>133VN1005X</t>
  </si>
  <si>
    <t xml:space="preserve">Nutrition, Metabolic </t>
  </si>
  <si>
    <t>133VN1006X</t>
  </si>
  <si>
    <t xml:space="preserve">Dietetic Technician, Registered </t>
  </si>
  <si>
    <t>136A00000X</t>
  </si>
  <si>
    <t>Pharmacy</t>
  </si>
  <si>
    <t>DME/Medical Supply Dealer</t>
  </si>
  <si>
    <t xml:space="preserve">Durable Medical Equipment &amp; Medical Supplies </t>
  </si>
  <si>
    <t>332B00000X</t>
  </si>
  <si>
    <t xml:space="preserve">Customized Equipment </t>
  </si>
  <si>
    <t>332BC3200X</t>
  </si>
  <si>
    <t xml:space="preserve">Dialysis Equipment &amp; Supplies </t>
  </si>
  <si>
    <t>332BD1200X</t>
  </si>
  <si>
    <t xml:space="preserve">Nursing Facility Supplies </t>
  </si>
  <si>
    <t>332BN1400X</t>
  </si>
  <si>
    <t xml:space="preserve">Parenteral &amp; Enteral Nutrition </t>
  </si>
  <si>
    <t>332BP3500X</t>
  </si>
  <si>
    <t xml:space="preserve">Oxygen Equipment &amp; Supplies </t>
  </si>
  <si>
    <t>332BX2000X</t>
  </si>
  <si>
    <t xml:space="preserve">Eyewear Supplier (Equipment, not the service) </t>
  </si>
  <si>
    <t>332H00000X</t>
  </si>
  <si>
    <t xml:space="preserve">Prosthetic/Orthotic Supplier </t>
  </si>
  <si>
    <t>335E00000X</t>
  </si>
  <si>
    <t>Prosthesis</t>
  </si>
  <si>
    <t xml:space="preserve">Medical Foods Supplier </t>
  </si>
  <si>
    <t>335G00000X</t>
  </si>
  <si>
    <t xml:space="preserve">Portable X-Ray Supplier </t>
  </si>
  <si>
    <t>335V00000X</t>
  </si>
  <si>
    <t xml:space="preserve">Driver </t>
  </si>
  <si>
    <t>172A00000X</t>
  </si>
  <si>
    <t>Transportation Provider</t>
  </si>
  <si>
    <t>Common Carrier (Ambulatory)</t>
  </si>
  <si>
    <t xml:space="preserve">Funeral Director </t>
  </si>
  <si>
    <t>176P00000X</t>
  </si>
  <si>
    <t>Common Carrier (Non-ambulatory)</t>
  </si>
  <si>
    <t>Transportation Services</t>
  </si>
  <si>
    <t xml:space="preserve">Ambulance </t>
  </si>
  <si>
    <t xml:space="preserve">Air Transport </t>
  </si>
  <si>
    <t>3416A0800X</t>
  </si>
  <si>
    <t>Air Ambulance</t>
  </si>
  <si>
    <t xml:space="preserve">Military/U.S. Coast Guard Transport </t>
  </si>
  <si>
    <t xml:space="preserve">Military or U.S. Coast Guard Ambulance, Air Transport </t>
  </si>
  <si>
    <t>3418M1120X</t>
  </si>
  <si>
    <t xml:space="preserve">Non-emergency Medical Transport (VAN) </t>
  </si>
  <si>
    <t>343900000X</t>
  </si>
  <si>
    <t>Common Carrier (Non-Ambulatory)</t>
  </si>
  <si>
    <t>344600000X</t>
  </si>
  <si>
    <t>Taxi</t>
  </si>
  <si>
    <t xml:space="preserve">Bus </t>
  </si>
  <si>
    <t>347B00000X</t>
  </si>
  <si>
    <t>Bus</t>
  </si>
  <si>
    <t xml:space="preserve">Private Vehicle </t>
  </si>
  <si>
    <t>347C00000X</t>
  </si>
  <si>
    <t>Family Member</t>
  </si>
  <si>
    <t xml:space="preserve">Train </t>
  </si>
  <si>
    <t>347D00000X</t>
  </si>
  <si>
    <t xml:space="preserve">Transportation Broker </t>
  </si>
  <si>
    <t>347E00000X</t>
  </si>
  <si>
    <t>341600000X</t>
  </si>
  <si>
    <t>Ambulance</t>
  </si>
  <si>
    <t xml:space="preserve">Land Transport </t>
  </si>
  <si>
    <t>3416L0300X</t>
  </si>
  <si>
    <t xml:space="preserve">Water Transport </t>
  </si>
  <si>
    <t>3416S0300X</t>
  </si>
  <si>
    <t>341800000X</t>
  </si>
  <si>
    <t xml:space="preserve">Military or U.S. Coast Guard Ambulance, Ground Transport </t>
  </si>
  <si>
    <t>3418M1110X</t>
  </si>
  <si>
    <t xml:space="preserve">Military or U.S. Coast Guard Ambulance, Water Transport </t>
  </si>
  <si>
    <t>3418M1130X</t>
  </si>
  <si>
    <t>Volunteer</t>
  </si>
  <si>
    <t xml:space="preserve">Secured Medical Transport (VAN) </t>
  </si>
  <si>
    <t>343800000X</t>
  </si>
  <si>
    <t>Secured Medical Transport (VAN)</t>
  </si>
  <si>
    <t>y</t>
  </si>
  <si>
    <t xml:space="preserve">Air Carrier </t>
  </si>
  <si>
    <t>344800000X</t>
  </si>
  <si>
    <t>Dental Providers</t>
  </si>
  <si>
    <t xml:space="preserve">Dentist </t>
  </si>
  <si>
    <t xml:space="preserve">Oral and Maxillofacial Pathology </t>
  </si>
  <si>
    <t>1223P0106X</t>
  </si>
  <si>
    <t>Dentist</t>
  </si>
  <si>
    <t>Oral Pathologist</t>
  </si>
  <si>
    <t>122300000X</t>
  </si>
  <si>
    <t>General Dentistry Practitioner</t>
  </si>
  <si>
    <t xml:space="preserve">Dental Public Health </t>
  </si>
  <si>
    <t>1223D0001X</t>
  </si>
  <si>
    <t>Dentist Anesthesiologist</t>
  </si>
  <si>
    <t>1223D004X</t>
  </si>
  <si>
    <t>Anesthesiologist - Other</t>
  </si>
  <si>
    <t>Dentist Therapist</t>
  </si>
  <si>
    <t>125J00000X</t>
  </si>
  <si>
    <t>Dental Therapist</t>
  </si>
  <si>
    <t>Miscellaneous</t>
  </si>
  <si>
    <t>Advanced Practice Dental Therapist</t>
  </si>
  <si>
    <t>Advanced Dental Therapist</t>
  </si>
  <si>
    <t xml:space="preserve">Endodontics </t>
  </si>
  <si>
    <t>1223E0200X</t>
  </si>
  <si>
    <t>Endodontist</t>
  </si>
  <si>
    <t>1223G0001X</t>
  </si>
  <si>
    <t xml:space="preserve">Pediatric Dentistry  </t>
  </si>
  <si>
    <t>1223P0221X</t>
  </si>
  <si>
    <t>Pediatric Dentist</t>
  </si>
  <si>
    <t xml:space="preserve">Periodontics </t>
  </si>
  <si>
    <t>1223P0300X</t>
  </si>
  <si>
    <t>Periodontist</t>
  </si>
  <si>
    <t xml:space="preserve">Prosthodontics </t>
  </si>
  <si>
    <t>1223P0700X</t>
  </si>
  <si>
    <t>Prosthodontist</t>
  </si>
  <si>
    <t>1223S0112X</t>
  </si>
  <si>
    <t>Oral Surgeon</t>
  </si>
  <si>
    <t xml:space="preserve">Orthodontics and Dentofacial Orthopedics </t>
  </si>
  <si>
    <t>1223X0400X</t>
  </si>
  <si>
    <t>Orthodontist</t>
  </si>
  <si>
    <t xml:space="preserve">Denturist </t>
  </si>
  <si>
    <t>122400000X</t>
  </si>
  <si>
    <t xml:space="preserve">Oral and Maxillofacial Radiology </t>
  </si>
  <si>
    <t>1223X0008X</t>
  </si>
  <si>
    <t>Radiologist</t>
  </si>
  <si>
    <t xml:space="preserve">Radiology, Mobile </t>
  </si>
  <si>
    <t>261QR0208X</t>
  </si>
  <si>
    <t>Laboratory</t>
  </si>
  <si>
    <t>Mobile Lab</t>
  </si>
  <si>
    <t>Laboratories</t>
  </si>
  <si>
    <t xml:space="preserve">Military Clinical Medical Laboratory </t>
  </si>
  <si>
    <t>291900000X</t>
  </si>
  <si>
    <t>Independent Lab</t>
  </si>
  <si>
    <t xml:space="preserve">Clinical Medical Laboratory </t>
  </si>
  <si>
    <t>291U00000X</t>
  </si>
  <si>
    <t xml:space="preserve">Dental Laboratory </t>
  </si>
  <si>
    <t>292200000X</t>
  </si>
  <si>
    <t xml:space="preserve">Physiological Laboratory </t>
  </si>
  <si>
    <t>293D00000X</t>
  </si>
  <si>
    <t xml:space="preserve">Radiology, Mammography </t>
  </si>
  <si>
    <t>261QR0206X</t>
  </si>
  <si>
    <t>X-Ray Clinic</t>
  </si>
  <si>
    <t>Mammography</t>
  </si>
  <si>
    <t>261QR0200X</t>
  </si>
  <si>
    <t>Freestanding X-Ray Clinic</t>
  </si>
  <si>
    <t xml:space="preserve">Radiology, Mobile Mammography </t>
  </si>
  <si>
    <t>261QR0207X</t>
  </si>
  <si>
    <t>Mobile X-Ray Clinic</t>
  </si>
  <si>
    <t xml:space="preserve">End-Stage Renal Disease (ESRD) Treatment </t>
  </si>
  <si>
    <t>261QE0700X</t>
  </si>
  <si>
    <t>End-Stage Renal Disease (RSD) Clinic</t>
  </si>
  <si>
    <t>Free-standing Renal Dialysis Clinic</t>
  </si>
  <si>
    <t>Allopathic &amp; Osteopathic Physicians </t>
  </si>
  <si>
    <t>Anesthesiology</t>
  </si>
  <si>
    <t>207L00000X</t>
  </si>
  <si>
    <t>Physician</t>
  </si>
  <si>
    <t>Addiction Medicine</t>
  </si>
  <si>
    <t>207LA0401X</t>
  </si>
  <si>
    <t xml:space="preserve">Family Medicine+  </t>
  </si>
  <si>
    <t>207QA0401X</t>
  </si>
  <si>
    <t xml:space="preserve">Geriatric Medicine </t>
  </si>
  <si>
    <t>207QG0300X</t>
  </si>
  <si>
    <t>Geriatric Practitioner</t>
  </si>
  <si>
    <t>Internal Medicine</t>
  </si>
  <si>
    <t>Addiction Medicine </t>
  </si>
  <si>
    <t>207RA0401X</t>
  </si>
  <si>
    <t>Endocrinology, Diabetes &amp; Metabolism</t>
  </si>
  <si>
    <t>207RE0101X</t>
  </si>
  <si>
    <t>General Internist</t>
  </si>
  <si>
    <t>Hematology</t>
  </si>
  <si>
    <t>207RH0000X</t>
  </si>
  <si>
    <t>Hematology &amp; Oncology</t>
  </si>
  <si>
    <t>207RH0003X</t>
  </si>
  <si>
    <t>Oncologist (including Hematology)</t>
  </si>
  <si>
    <t>Infectious Disease</t>
  </si>
  <si>
    <t>207RI0200X</t>
  </si>
  <si>
    <t>Infectious Diseases</t>
  </si>
  <si>
    <t>Rheumatology</t>
  </si>
  <si>
    <t>207RR0500X</t>
  </si>
  <si>
    <t>Rheumatologist</t>
  </si>
  <si>
    <t>Medical Oncology</t>
  </si>
  <si>
    <t>207RX0202X</t>
  </si>
  <si>
    <t>Oncologist</t>
  </si>
  <si>
    <t>Medical Genetics -</t>
  </si>
  <si>
    <t>Clinical Cytogenetic</t>
  </si>
  <si>
    <t>207SC0300X</t>
  </si>
  <si>
    <t>Clinical Genetics (M.D.)</t>
  </si>
  <si>
    <t>207SG0201X</t>
  </si>
  <si>
    <t>Clinical Biochemical Genetics</t>
  </si>
  <si>
    <t>207SG0202X</t>
  </si>
  <si>
    <t>Clinical Molecular Genetics</t>
  </si>
  <si>
    <t>207SG0203X</t>
  </si>
  <si>
    <t>Ph.D. Medical Genetics</t>
  </si>
  <si>
    <t>207SG0205X</t>
  </si>
  <si>
    <t>Molecular Genetic Pathology</t>
  </si>
  <si>
    <t>207SM0001X</t>
  </si>
  <si>
    <t>Obstetrics &amp; Gynecology</t>
  </si>
  <si>
    <t>Maternal &amp; Fetal Medicine</t>
  </si>
  <si>
    <t>207VM0101X</t>
  </si>
  <si>
    <t>Maternal Fetal Medicine</t>
  </si>
  <si>
    <t>Pathology -</t>
  </si>
  <si>
    <t xml:space="preserve">Hematology </t>
  </si>
  <si>
    <t>207ZH0000X</t>
  </si>
  <si>
    <t>Neonatal-Perinatal Medicine</t>
  </si>
  <si>
    <t>2080N0001X</t>
  </si>
  <si>
    <t>Neonatologist</t>
  </si>
  <si>
    <t>Pediatric Hematology-Oncology</t>
  </si>
  <si>
    <t>2080P0207X</t>
  </si>
  <si>
    <t>Pediatric Oncology</t>
  </si>
  <si>
    <t>Psychiatry &amp; Neurology -</t>
  </si>
  <si>
    <t xml:space="preserve">Addiction Medicine## </t>
  </si>
  <si>
    <t>2084A0401X</t>
  </si>
  <si>
    <t xml:space="preserve">Surgery </t>
  </si>
  <si>
    <t xml:space="preserve">Pediatric Surgery </t>
  </si>
  <si>
    <t>2086S0120X</t>
  </si>
  <si>
    <t>Pediatric Surgeon</t>
  </si>
  <si>
    <t xml:space="preserve">Surgical Oncology## </t>
  </si>
  <si>
    <t>2086X0206X</t>
  </si>
  <si>
    <t>Surgical Oncology</t>
  </si>
  <si>
    <r>
      <t>Independent Medical Examiner** </t>
    </r>
    <r>
      <rPr>
        <b/>
        <sz val="12"/>
        <rFont val="Times New Roman"/>
        <family val="1"/>
      </rPr>
      <t/>
    </r>
  </si>
  <si>
    <t>202C00000X</t>
  </si>
  <si>
    <t>Pathologist</t>
  </si>
  <si>
    <t>Neuromusculoskeletal Medicine, Sports Medicine</t>
  </si>
  <si>
    <t>204C00000X</t>
  </si>
  <si>
    <t>Nuclear Medicine Practitioner</t>
  </si>
  <si>
    <t>Neuromusculoskeletal Medicine &amp; OMM</t>
  </si>
  <si>
    <t>204D00000X</t>
  </si>
  <si>
    <t>Osteopathic Manipulative Medicine</t>
  </si>
  <si>
    <t>Oral &amp; Maxillofacial Surgery</t>
  </si>
  <si>
    <t>204E00000X</t>
  </si>
  <si>
    <t>General Surgeon</t>
  </si>
  <si>
    <t xml:space="preserve">Transplant Surgery </t>
  </si>
  <si>
    <t>204F00000X</t>
  </si>
  <si>
    <t>Allergy &amp; Immunology</t>
  </si>
  <si>
    <t>207K00000X</t>
  </si>
  <si>
    <t>Allergist</t>
  </si>
  <si>
    <t>Allergy</t>
  </si>
  <si>
    <t>207KA0200X</t>
  </si>
  <si>
    <t>Allergist - Pediatric</t>
  </si>
  <si>
    <t>Clinical &amp; Laboratory Immunology</t>
  </si>
  <si>
    <t>207KI0005X</t>
  </si>
  <si>
    <t>Anesthesiologist</t>
  </si>
  <si>
    <t>Critical Care Medicine</t>
  </si>
  <si>
    <t>207LC0200X</t>
  </si>
  <si>
    <t>Hospice and Palliative Medicine**</t>
  </si>
  <si>
    <t>207LH0002X</t>
  </si>
  <si>
    <t>Pain Medicine</t>
  </si>
  <si>
    <t>207LP2900X</t>
  </si>
  <si>
    <t>Pediatric Anesthesiology</t>
  </si>
  <si>
    <t>207LP3000X</t>
  </si>
  <si>
    <t>Dermatology </t>
  </si>
  <si>
    <t>207N00000X</t>
  </si>
  <si>
    <t>Dermatologist</t>
  </si>
  <si>
    <t>MOHS-Micrographic Surgery## </t>
  </si>
  <si>
    <t>207ND0101X</t>
  </si>
  <si>
    <r>
      <t>Dermatopathology </t>
    </r>
    <r>
      <rPr>
        <b/>
        <sz val="12"/>
        <rFont val="Times New Roman"/>
        <family val="1"/>
      </rPr>
      <t/>
    </r>
  </si>
  <si>
    <t>207ND0900X</t>
  </si>
  <si>
    <t>Clinical &amp; Laboratory Dermatological Immunology </t>
  </si>
  <si>
    <t>207NI0002X</t>
  </si>
  <si>
    <t>Pediatric Dermatology </t>
  </si>
  <si>
    <t>207NP0225X</t>
  </si>
  <si>
    <t>Procedural Dermatology (title change from Dermatological Surgery effective 20080401)## </t>
  </si>
  <si>
    <t>207NS0135X</t>
  </si>
  <si>
    <t>Emergency Medicine </t>
  </si>
  <si>
    <t>207P00000X</t>
  </si>
  <si>
    <t>Emergency Medicine Practitioner</t>
  </si>
  <si>
    <t>Emergency Medical Services </t>
  </si>
  <si>
    <t>207PE0004X</t>
  </si>
  <si>
    <t>Undersea and Hyperbaric Medicine </t>
  </si>
  <si>
    <t>207PE0005X</t>
  </si>
  <si>
    <t>Hospice and Palliative Medicine** </t>
  </si>
  <si>
    <t>207PH0002X</t>
  </si>
  <si>
    <t>Pediatric Emergency Medicine </t>
  </si>
  <si>
    <t>207PP0204X</t>
  </si>
  <si>
    <t>Sports Medicine </t>
  </si>
  <si>
    <t>207PS0010X</t>
  </si>
  <si>
    <r>
      <t>Medical Toxicology </t>
    </r>
    <r>
      <rPr>
        <b/>
        <sz val="12"/>
        <rFont val="Times New Roman"/>
        <family val="1"/>
      </rPr>
      <t/>
    </r>
  </si>
  <si>
    <t>207PT0002X</t>
  </si>
  <si>
    <t>207Q00000X</t>
  </si>
  <si>
    <t>Family Practitioner</t>
  </si>
  <si>
    <t xml:space="preserve">Adolescent Medicine </t>
  </si>
  <si>
    <t>207QA0000X</t>
  </si>
  <si>
    <t xml:space="preserve">Adult Medicine </t>
  </si>
  <si>
    <t>207QA0505X</t>
  </si>
  <si>
    <t xml:space="preserve">Bariatric Medicine**** </t>
  </si>
  <si>
    <t>207QB0002X</t>
  </si>
  <si>
    <t>207QH0002X</t>
  </si>
  <si>
    <r>
      <t>Sports Medicine </t>
    </r>
    <r>
      <rPr>
        <b/>
        <sz val="12"/>
        <rFont val="Times New Roman"/>
        <family val="1"/>
      </rPr>
      <t/>
    </r>
  </si>
  <si>
    <t>207QS0010X</t>
  </si>
  <si>
    <t>207R00000X</t>
  </si>
  <si>
    <t>Internist</t>
  </si>
  <si>
    <r>
      <t>Adolescent Medicine </t>
    </r>
    <r>
      <rPr>
        <b/>
        <sz val="12"/>
        <rFont val="Times New Roman"/>
        <family val="1"/>
      </rPr>
      <t/>
    </r>
  </si>
  <si>
    <t>207RA0000X</t>
  </si>
  <si>
    <t>Allergy &amp; Immunology </t>
  </si>
  <si>
    <t>207RA0201X</t>
  </si>
  <si>
    <t>Bariatric Medicine**** </t>
  </si>
  <si>
    <t>207RB0002X</t>
  </si>
  <si>
    <t xml:space="preserve">Cardiovascular Disease  </t>
  </si>
  <si>
    <t>207RC0000X</t>
  </si>
  <si>
    <t>Cardiologist</t>
  </si>
  <si>
    <t>Clinical Cardiac Electrophysiology</t>
  </si>
  <si>
    <t>207RC0001X</t>
  </si>
  <si>
    <t>207RC0200X</t>
  </si>
  <si>
    <t>Gastroenterology</t>
  </si>
  <si>
    <t>207RG0100X</t>
  </si>
  <si>
    <t>Gastroenterologist</t>
  </si>
  <si>
    <t>Geriatric Medicine</t>
  </si>
  <si>
    <t>207RG0300X</t>
  </si>
  <si>
    <t>207RH0002X</t>
  </si>
  <si>
    <t>Clinical &amp; Laboratory Immunology </t>
  </si>
  <si>
    <t>207RI0001X</t>
  </si>
  <si>
    <t>Hepatology</t>
  </si>
  <si>
    <t>207RI0008X</t>
  </si>
  <si>
    <t>Interventional Cardiology</t>
  </si>
  <si>
    <t>207RI0011X</t>
  </si>
  <si>
    <t>Magnetic Resonance Imaging (MRI)</t>
  </si>
  <si>
    <t>207RM1200X</t>
  </si>
  <si>
    <t>Nephrology</t>
  </si>
  <si>
    <t>207RN0300X</t>
  </si>
  <si>
    <t>Nephrologist</t>
  </si>
  <si>
    <t>Pulmonary Disease</t>
  </si>
  <si>
    <t>207RP1001X</t>
  </si>
  <si>
    <t>Pulmonary Disease Specialist</t>
  </si>
  <si>
    <t>Sports Medicine</t>
  </si>
  <si>
    <t>207RS0010X</t>
  </si>
  <si>
    <t>Sleep Medicine</t>
  </si>
  <si>
    <t>207RS0012X</t>
  </si>
  <si>
    <t>Transplant Hepatology****</t>
  </si>
  <si>
    <t>207RT0003X</t>
  </si>
  <si>
    <t>Neurological Surgery</t>
  </si>
  <si>
    <t>207T00000X</t>
  </si>
  <si>
    <t>Neurological Surgeon</t>
  </si>
  <si>
    <t>Nuclear Medicine</t>
  </si>
  <si>
    <t>207U00000X</t>
  </si>
  <si>
    <t>Nuclear Cardiology</t>
  </si>
  <si>
    <t>207UN0901X</t>
  </si>
  <si>
    <t>Nuclear Imaging &amp; Therapy</t>
  </si>
  <si>
    <t>207UN0902X</t>
  </si>
  <si>
    <t>In Vivo &amp; In Vitro Nuclear Medicine</t>
  </si>
  <si>
    <t>207UN0903X</t>
  </si>
  <si>
    <t>207V00000X</t>
  </si>
  <si>
    <t>Obstetrician/Gynecologist</t>
  </si>
  <si>
    <t>Bariatric Medicine****</t>
  </si>
  <si>
    <t>207VB0002X</t>
  </si>
  <si>
    <t>207VC0200X</t>
  </si>
  <si>
    <t>Reproductive Endocrinology</t>
  </si>
  <si>
    <t>207VE0102X</t>
  </si>
  <si>
    <t>Gynecology</t>
  </si>
  <si>
    <t>207VG0400X</t>
  </si>
  <si>
    <t>Gynecologist</t>
  </si>
  <si>
    <t>207VH0002X</t>
  </si>
  <si>
    <t>Obstetrics</t>
  </si>
  <si>
    <t>207VX0000X</t>
  </si>
  <si>
    <t>Obstetrician</t>
  </si>
  <si>
    <t>Gynecologic Oncology</t>
  </si>
  <si>
    <t>207VX0201X</t>
  </si>
  <si>
    <t>Ophthalmology</t>
  </si>
  <si>
    <t>207W00000X</t>
  </si>
  <si>
    <t>Opthamologist</t>
  </si>
  <si>
    <t>Orthopaedic Surgery</t>
  </si>
  <si>
    <t>207X00000X</t>
  </si>
  <si>
    <t>Orthopedic Surgeon</t>
  </si>
  <si>
    <t>Pediatric Orthopaedic Surgery</t>
  </si>
  <si>
    <t>207XP3100X</t>
  </si>
  <si>
    <t xml:space="preserve">Hand Surgery </t>
  </si>
  <si>
    <t>207XS0106X</t>
  </si>
  <si>
    <t>Hand Surgeon</t>
  </si>
  <si>
    <t>Adult Reconstructive Orthopaedic Surgery</t>
  </si>
  <si>
    <t>207XS0114X</t>
  </si>
  <si>
    <t>Orthopaedic Surgery of the Spine</t>
  </si>
  <si>
    <t>207XS0117X</t>
  </si>
  <si>
    <t>Foot and Ankle Orthopaedics</t>
  </si>
  <si>
    <t>207XX0004X</t>
  </si>
  <si>
    <t>207XX0005X</t>
  </si>
  <si>
    <t>Orthopaedic Trauma</t>
  </si>
  <si>
    <t>207XX0801X</t>
  </si>
  <si>
    <t>Otolaryngology</t>
  </si>
  <si>
    <t>207Y00000X</t>
  </si>
  <si>
    <t>Otologist, Laryngologist, Rhinologist</t>
  </si>
  <si>
    <t>Pediatric Otolaryngology</t>
  </si>
  <si>
    <t>207YP0228X</t>
  </si>
  <si>
    <t>Sleep Medicine </t>
  </si>
  <si>
    <t>207YS0012X</t>
  </si>
  <si>
    <t>Facial Plastic Surgery</t>
  </si>
  <si>
    <t>207YS0123X</t>
  </si>
  <si>
    <t>Plastic Surgeon</t>
  </si>
  <si>
    <t>Plastic Surgery within the Head &amp; Neck</t>
  </si>
  <si>
    <t>207YX0007X</t>
  </si>
  <si>
    <t>Otolaryngic Allergy</t>
  </si>
  <si>
    <t>207YX0602X</t>
  </si>
  <si>
    <t>Otology &amp; Neurotology</t>
  </si>
  <si>
    <t>207YX0901X</t>
  </si>
  <si>
    <t>Otolaryngology/Facial Plastic Surgery</t>
  </si>
  <si>
    <t>207YX0905X</t>
  </si>
  <si>
    <t xml:space="preserve">Blood Banking &amp; Transfusion Medicine </t>
  </si>
  <si>
    <t>207ZB0001X</t>
  </si>
  <si>
    <t xml:space="preserve">Clinical Pathology**** </t>
  </si>
  <si>
    <t>207ZC0006X</t>
  </si>
  <si>
    <t>Pathology - Clinical</t>
  </si>
  <si>
    <t xml:space="preserve">Cytopathology </t>
  </si>
  <si>
    <t>207ZC0500X</t>
  </si>
  <si>
    <t xml:space="preserve">Dermatopathology </t>
  </si>
  <si>
    <t>207ZD0900X</t>
  </si>
  <si>
    <t xml:space="preserve">Forensic Pathology </t>
  </si>
  <si>
    <t>207ZF0201X</t>
  </si>
  <si>
    <t xml:space="preserve">Immunopathology </t>
  </si>
  <si>
    <t>207ZI0100X</t>
  </si>
  <si>
    <t xml:space="preserve">Medical Microbiology </t>
  </si>
  <si>
    <t>207ZM0300X</t>
  </si>
  <si>
    <t xml:space="preserve">Neuropathology </t>
  </si>
  <si>
    <t>207ZN0500X</t>
  </si>
  <si>
    <t xml:space="preserve">Molecular Genetic Pathology </t>
  </si>
  <si>
    <t>207ZP0007X</t>
  </si>
  <si>
    <t xml:space="preserve">Anatomic Pathology </t>
  </si>
  <si>
    <t>207ZP0101X</t>
  </si>
  <si>
    <t xml:space="preserve">Anatomic Pathology &amp; Clinical Pathology </t>
  </si>
  <si>
    <t>207ZP0102X</t>
  </si>
  <si>
    <t xml:space="preserve">Chemical Pathology </t>
  </si>
  <si>
    <t>207ZP0104X</t>
  </si>
  <si>
    <t xml:space="preserve">Clinical Pathology/Laboratory Medicine </t>
  </si>
  <si>
    <t>207ZP0105X</t>
  </si>
  <si>
    <t xml:space="preserve">Pediatric Pathology </t>
  </si>
  <si>
    <t>207ZP0213X</t>
  </si>
  <si>
    <t>208000000X</t>
  </si>
  <si>
    <t>General Pediatrician</t>
  </si>
  <si>
    <t>2080A0000X</t>
  </si>
  <si>
    <t xml:space="preserve">Allopathic &amp; Osteopathic Physicians </t>
  </si>
  <si>
    <t>Pediatrics</t>
  </si>
  <si>
    <t xml:space="preserve">Child Abuse Pediatrics Specialization </t>
  </si>
  <si>
    <t>2080C0008X</t>
  </si>
  <si>
    <t xml:space="preserve">Hospice and Palliative Medicine** </t>
  </si>
  <si>
    <t>2080H0002X</t>
  </si>
  <si>
    <t xml:space="preserve">Clinical &amp; Laboratory Immunology </t>
  </si>
  <si>
    <t>2080I0007X</t>
  </si>
  <si>
    <t xml:space="preserve">Developmental – Behavioral Pediatrics </t>
  </si>
  <si>
    <t>2080P0006X</t>
  </si>
  <si>
    <t xml:space="preserve">Neurodevelopmental Disabilities </t>
  </si>
  <si>
    <t>2080P0008X</t>
  </si>
  <si>
    <t xml:space="preserve">Pediatric Allergy &amp; Immunology </t>
  </si>
  <si>
    <t>2080P0201X</t>
  </si>
  <si>
    <t xml:space="preserve">Pediatric Cardiology </t>
  </si>
  <si>
    <t>2080P0202X</t>
  </si>
  <si>
    <t xml:space="preserve">Pediatric Critical Care Medicine </t>
  </si>
  <si>
    <t>2080P0203X</t>
  </si>
  <si>
    <t xml:space="preserve">Pediatric Emergency Medicine </t>
  </si>
  <si>
    <t>2080P0204X</t>
  </si>
  <si>
    <t xml:space="preserve">Pediatric Endocrinology </t>
  </si>
  <si>
    <t>2080P0205X</t>
  </si>
  <si>
    <t xml:space="preserve">Pediatric Gastroenterology </t>
  </si>
  <si>
    <t>2080P0206X</t>
  </si>
  <si>
    <t xml:space="preserve">Pediatric Infectious Diseases </t>
  </si>
  <si>
    <t>2080P0208X</t>
  </si>
  <si>
    <t xml:space="preserve">Pediatric Nephrology </t>
  </si>
  <si>
    <t>2080P0210X</t>
  </si>
  <si>
    <t xml:space="preserve">Pediatric Pulmonology </t>
  </si>
  <si>
    <t>2080P0214X</t>
  </si>
  <si>
    <t xml:space="preserve">Pediatric Rheumatology </t>
  </si>
  <si>
    <t>2080P0216X</t>
  </si>
  <si>
    <t>2080S0010X</t>
  </si>
  <si>
    <t xml:space="preserve">Sleep Medicine </t>
  </si>
  <si>
    <t>2080S0012X</t>
  </si>
  <si>
    <t xml:space="preserve">Medical Toxicology </t>
  </si>
  <si>
    <t>2080T0002X</t>
  </si>
  <si>
    <t>Pediatric Transplant Hepatology****</t>
  </si>
  <si>
    <t>2080T0004X</t>
  </si>
  <si>
    <t xml:space="preserve">Physical Medicine &amp; Rehabilitation </t>
  </si>
  <si>
    <t>208100000X</t>
  </si>
  <si>
    <t>Physical Medicine and Rehabilitation Practitioner</t>
  </si>
  <si>
    <t>2081H0002X</t>
  </si>
  <si>
    <t xml:space="preserve">Neuromuscular Medicine**** </t>
  </si>
  <si>
    <t>2081N0008X</t>
  </si>
  <si>
    <t xml:space="preserve">Spinal Cord Injury Medicine </t>
  </si>
  <si>
    <t>2081P0004X</t>
  </si>
  <si>
    <t xml:space="preserve">Pediatric Rehabilitation Medicine </t>
  </si>
  <si>
    <t>2081P0010X</t>
  </si>
  <si>
    <t xml:space="preserve">Pain Medicine </t>
  </si>
  <si>
    <t>2081P2900X</t>
  </si>
  <si>
    <t>2081S0010X</t>
  </si>
  <si>
    <t>208200000X</t>
  </si>
  <si>
    <t xml:space="preserve">Plastic Surgery Within the Head and Neck </t>
  </si>
  <si>
    <t>2082S0099X</t>
  </si>
  <si>
    <t xml:space="preserve">Surgery of the Hand </t>
  </si>
  <si>
    <t>2082S0105X</t>
  </si>
  <si>
    <t>Preventive Medicine -</t>
  </si>
  <si>
    <t xml:space="preserve">Aerospace Medicine </t>
  </si>
  <si>
    <t>2083A0100X</t>
  </si>
  <si>
    <t>General Practitioner</t>
  </si>
  <si>
    <t xml:space="preserve">Undersea and Hyperbaric Medicine  </t>
  </si>
  <si>
    <t>2083P0011X</t>
  </si>
  <si>
    <t xml:space="preserve">Preventive Medicine/Occupational Environmental Medicine </t>
  </si>
  <si>
    <t>2083P0500X</t>
  </si>
  <si>
    <t xml:space="preserve">Public Health &amp; General Preventive Medicine </t>
  </si>
  <si>
    <t>2083P0901X</t>
  </si>
  <si>
    <t>2083S0010X</t>
  </si>
  <si>
    <t>2083T0002X</t>
  </si>
  <si>
    <t>2083X0100X</t>
  </si>
  <si>
    <t>2084B0002X</t>
  </si>
  <si>
    <t>Psychiatry</t>
  </si>
  <si>
    <t xml:space="preserve">Diagnostic Neuroimaging** </t>
  </si>
  <si>
    <t>2084D0003X</t>
  </si>
  <si>
    <t xml:space="preserve">Forensic Psychiatry# </t>
  </si>
  <si>
    <t>2084F0202X</t>
  </si>
  <si>
    <t>Psychiatrist</t>
  </si>
  <si>
    <t>2084H0002X</t>
  </si>
  <si>
    <t>2084N0008X</t>
  </si>
  <si>
    <t>Neurologist</t>
  </si>
  <si>
    <t xml:space="preserve">Neurology# </t>
  </si>
  <si>
    <t>2084N0400X</t>
  </si>
  <si>
    <t xml:space="preserve">Neurology with Special Qualifications in Child Neurology# </t>
  </si>
  <si>
    <t>2084N0402X</t>
  </si>
  <si>
    <t xml:space="preserve">Clinical Neurophysiology#  </t>
  </si>
  <si>
    <t>2084N0600X</t>
  </si>
  <si>
    <t>2084P0005X</t>
  </si>
  <si>
    <t xml:space="preserve">Psychosomatic Medicine** </t>
  </si>
  <si>
    <t>2084P0015X</t>
  </si>
  <si>
    <t>Psychiatry#</t>
  </si>
  <si>
    <t>2084P0800X</t>
  </si>
  <si>
    <t xml:space="preserve">Addiction Psychiatry# </t>
  </si>
  <si>
    <t>2084P0802X</t>
  </si>
  <si>
    <t>Child &amp; Adolescent Psychiatry#</t>
  </si>
  <si>
    <t>2084P0804X</t>
  </si>
  <si>
    <t>Geriatric Psychiatry#</t>
  </si>
  <si>
    <t>2084P0805X</t>
  </si>
  <si>
    <t>2084P2900X</t>
  </si>
  <si>
    <t>2084S0010X</t>
  </si>
  <si>
    <t>2084S0012X</t>
  </si>
  <si>
    <t xml:space="preserve">Vascular Neurology# </t>
  </si>
  <si>
    <t>2084V0102X</t>
  </si>
  <si>
    <t>Radiology -</t>
  </si>
  <si>
    <t xml:space="preserve">Body Imaging </t>
  </si>
  <si>
    <t>2085B0100X</t>
  </si>
  <si>
    <t>2085D0003X</t>
  </si>
  <si>
    <t>2085H0002X</t>
  </si>
  <si>
    <t xml:space="preserve">Neuroradiology </t>
  </si>
  <si>
    <t>2085N0700X</t>
  </si>
  <si>
    <t xml:space="preserve">Nuclear Radiology </t>
  </si>
  <si>
    <t>2085N0904X</t>
  </si>
  <si>
    <t xml:space="preserve">Pediatric Radiology </t>
  </si>
  <si>
    <t>2085P0229X</t>
  </si>
  <si>
    <t xml:space="preserve">Radiation Oncology </t>
  </si>
  <si>
    <t>2085R0001X</t>
  </si>
  <si>
    <t>Radiation Oncology</t>
  </si>
  <si>
    <t xml:space="preserve">Diagnostic Radiology </t>
  </si>
  <si>
    <t>2085R0202X</t>
  </si>
  <si>
    <t xml:space="preserve">Therapeutic Radiology </t>
  </si>
  <si>
    <t>2085R0203X</t>
  </si>
  <si>
    <t>Radiation Therapist</t>
  </si>
  <si>
    <t xml:space="preserve">Vascular &amp; Interventional Radiology </t>
  </si>
  <si>
    <t>2085R0204X</t>
  </si>
  <si>
    <t xml:space="preserve">Radiological Physics </t>
  </si>
  <si>
    <t>2085R0205X</t>
  </si>
  <si>
    <t xml:space="preserve">Diagnostic Ultrasound  </t>
  </si>
  <si>
    <t>2085U0001X</t>
  </si>
  <si>
    <t>208600000X</t>
  </si>
  <si>
    <t>2086H0002X</t>
  </si>
  <si>
    <t xml:space="preserve">Surgical Critical Care </t>
  </si>
  <si>
    <t>2086S0102X</t>
  </si>
  <si>
    <t>2086S0105X</t>
  </si>
  <si>
    <t xml:space="preserve">Plastic and Reconstructive Surgery </t>
  </si>
  <si>
    <t>2086S0122X</t>
  </si>
  <si>
    <t xml:space="preserve">Trauma Surgery## </t>
  </si>
  <si>
    <t>2086S0127X</t>
  </si>
  <si>
    <t xml:space="preserve">Vascular Surgery </t>
  </si>
  <si>
    <t>2086S0129X</t>
  </si>
  <si>
    <t>Cardiovascular Surgeon</t>
  </si>
  <si>
    <t>208800000X</t>
  </si>
  <si>
    <t>Urologist</t>
  </si>
  <si>
    <t xml:space="preserve">Pediatric Urology </t>
  </si>
  <si>
    <t>2088P0231X</t>
  </si>
  <si>
    <t xml:space="preserve">Colon &amp; Rectal Surgery </t>
  </si>
  <si>
    <t>208C00000X</t>
  </si>
  <si>
    <t>Proctologist</t>
  </si>
  <si>
    <t>General Practice</t>
  </si>
  <si>
    <t>208D00000X</t>
  </si>
  <si>
    <t xml:space="preserve">Thoracic Surgery (Cardiothoracic Vascular Surgery) </t>
  </si>
  <si>
    <t>208G00000X</t>
  </si>
  <si>
    <t>Thoracic Surgeon</t>
  </si>
  <si>
    <t>Hospitalist </t>
  </si>
  <si>
    <t>208M00000X</t>
  </si>
  <si>
    <t>Pain Medicine -</t>
  </si>
  <si>
    <t>208VP0000X</t>
  </si>
  <si>
    <t xml:space="preserve">Interventional Pain Medicine </t>
  </si>
  <si>
    <t>208VP0014X</t>
  </si>
  <si>
    <t xml:space="preserve">Legal Medicine </t>
  </si>
  <si>
    <t>173000000X</t>
  </si>
  <si>
    <t>Legal Medicine</t>
  </si>
  <si>
    <t xml:space="preserve">Phlebology** </t>
  </si>
  <si>
    <t>202K00000X</t>
  </si>
  <si>
    <t>Phlebology</t>
  </si>
  <si>
    <t>Allopathic &amp; Osteopathic Physicians  </t>
  </si>
  <si>
    <t>Family Medicine</t>
  </si>
  <si>
    <t>Sleep Medicine Specialization</t>
  </si>
  <si>
    <t>207QS1201X</t>
  </si>
  <si>
    <t xml:space="preserve">Internal Medicine </t>
  </si>
  <si>
    <t xml:space="preserve">Hypertension Specialist </t>
  </si>
  <si>
    <t>207RH0005X</t>
  </si>
  <si>
    <t>Hpertension Specialist Physician</t>
  </si>
  <si>
    <t xml:space="preserve">Clinical Pharmacology  </t>
  </si>
  <si>
    <t>208U00000X</t>
  </si>
  <si>
    <t>Clinical Pharmacology</t>
  </si>
  <si>
    <t>209800000X</t>
  </si>
  <si>
    <t xml:space="preserve">Female Pelvic Medicine and Reconstructive Surgery </t>
  </si>
  <si>
    <t>207VF0040X</t>
  </si>
  <si>
    <t xml:space="preserve">Psychiatry &amp; Neurology </t>
  </si>
  <si>
    <t xml:space="preserve">Behavioral Neurology &amp; Neuropsychiatry Speciality </t>
  </si>
  <si>
    <t>2084B0040X</t>
  </si>
  <si>
    <t>2088F0040X</t>
  </si>
  <si>
    <t xml:space="preserve">Group   </t>
  </si>
  <si>
    <t>Multi-Specialty</t>
  </si>
  <si>
    <t>193200000X</t>
  </si>
  <si>
    <t>Single Specialty</t>
  </si>
  <si>
    <t>193400000X</t>
  </si>
  <si>
    <t>Personal Care Services</t>
  </si>
  <si>
    <t>Personal Care - Agency</t>
  </si>
  <si>
    <t xml:space="preserve">Chore Provider </t>
  </si>
  <si>
    <t>372500000X</t>
  </si>
  <si>
    <t>Personal Care - Individual</t>
  </si>
  <si>
    <t xml:space="preserve">Day Training/Habilitation Specialist </t>
  </si>
  <si>
    <t>373H00000X</t>
  </si>
  <si>
    <t xml:space="preserve">Technician </t>
  </si>
  <si>
    <t xml:space="preserve">Personal Care Attendant </t>
  </si>
  <si>
    <t>3747P1801X</t>
  </si>
  <si>
    <t>Doula</t>
  </si>
  <si>
    <t>374J00000X</t>
  </si>
  <si>
    <t xml:space="preserve">Religious Nonmedical Practitioner </t>
  </si>
  <si>
    <t>374K00000X</t>
  </si>
  <si>
    <t xml:space="preserve">Home Health Aide </t>
  </si>
  <si>
    <t>374U00000X</t>
  </si>
  <si>
    <t xml:space="preserve">Nurse's Aide </t>
  </si>
  <si>
    <t>376K00000X</t>
  </si>
  <si>
    <t>Room and Board</t>
  </si>
  <si>
    <t>Respite Care</t>
  </si>
  <si>
    <t>Respite Care - Community Based</t>
  </si>
  <si>
    <t>Respite Care - Home Based</t>
  </si>
  <si>
    <t>Emergency Medical Service Providers</t>
  </si>
  <si>
    <t xml:space="preserve">Personal Emergency Response Attendant </t>
  </si>
  <si>
    <t>146D00000X</t>
  </si>
  <si>
    <t>Direct Support Services</t>
  </si>
  <si>
    <t>Daily Living Supports</t>
  </si>
  <si>
    <t>Habilitation Training Specialist</t>
  </si>
  <si>
    <t>Agency Companion</t>
  </si>
  <si>
    <t xml:space="preserve">Attendant Care Provider </t>
  </si>
  <si>
    <t>3747A0650X</t>
  </si>
  <si>
    <t>Foster Care Agency</t>
  </si>
  <si>
    <t>Foster Care Agency*****</t>
  </si>
  <si>
    <t>253J00000X</t>
  </si>
  <si>
    <t>Specialized Foster Care/MR</t>
  </si>
  <si>
    <t xml:space="preserve">Adult Day Care </t>
  </si>
  <si>
    <t>261QA0600X</t>
  </si>
  <si>
    <t>Adult Day Care</t>
  </si>
  <si>
    <t xml:space="preserve">Adult Companion </t>
  </si>
  <si>
    <t>372600000X</t>
  </si>
  <si>
    <t>Employee Training Specialist</t>
  </si>
  <si>
    <t xml:space="preserve">Homemaker </t>
  </si>
  <si>
    <t>376J00000X</t>
  </si>
  <si>
    <t>Homemaker Services</t>
  </si>
  <si>
    <t xml:space="preserve">Contractor </t>
  </si>
  <si>
    <t>171W00000X</t>
  </si>
  <si>
    <t>Architectural Modification</t>
  </si>
  <si>
    <t xml:space="preserve">Home Modifications </t>
  </si>
  <si>
    <t>171WH0202X</t>
  </si>
  <si>
    <t xml:space="preserve">Vehicle Modifications </t>
  </si>
  <si>
    <t>171WV0202X</t>
  </si>
  <si>
    <t xml:space="preserve">Residential Treatment Facility, Emotionally Disturbed Children </t>
  </si>
  <si>
    <t>322D00000X</t>
  </si>
  <si>
    <t>Residential Behavior Management Services (RBMS)</t>
  </si>
  <si>
    <t>RBMS Therapeutic Foster Care</t>
  </si>
  <si>
    <t>RBMS Room and Board</t>
  </si>
  <si>
    <t xml:space="preserve">Other Service Providers </t>
  </si>
  <si>
    <t>meals</t>
  </si>
  <si>
    <t>174200000X</t>
  </si>
  <si>
    <t>Advantage Home Delivered Meal</t>
  </si>
  <si>
    <t xml:space="preserve">Home Delivered Meals </t>
  </si>
  <si>
    <t>332U00000X</t>
  </si>
  <si>
    <t xml:space="preserve">Birthing </t>
  </si>
  <si>
    <t>261QB0400X</t>
  </si>
  <si>
    <t>Free Standing Birthing Center</t>
  </si>
  <si>
    <t>DDSD-NFM</t>
  </si>
  <si>
    <t xml:space="preserve">Lodging </t>
  </si>
  <si>
    <t>177F00000X</t>
  </si>
  <si>
    <t>Submitter Only</t>
  </si>
  <si>
    <t>State Agency</t>
  </si>
  <si>
    <t>TPL Carrier</t>
  </si>
  <si>
    <t>Insurance Carrier</t>
  </si>
  <si>
    <t>Mastectomy Fitter Classification</t>
  </si>
  <si>
    <t xml:space="preserve">Mastectomy Fitter </t>
  </si>
  <si>
    <t>224900000X</t>
  </si>
  <si>
    <t xml:space="preserve">Pedorthist </t>
  </si>
  <si>
    <t>224L00000X</t>
  </si>
  <si>
    <t>Agencies</t>
  </si>
  <si>
    <t xml:space="preserve">In Home Supportive Care </t>
  </si>
  <si>
    <t>253Z00000X</t>
  </si>
  <si>
    <t>HCBS - MR Waiver Facility</t>
  </si>
  <si>
    <t xml:space="preserve">Dental Laboratory Technician </t>
  </si>
  <si>
    <t>126900000X</t>
  </si>
  <si>
    <t>Dental Laboratory Techinician</t>
  </si>
  <si>
    <t xml:space="preserve">Emergency Medical Technician, Paramedic </t>
  </si>
  <si>
    <t>146L00000X</t>
  </si>
  <si>
    <t>Emergency Medical Technician, Paramedic</t>
  </si>
  <si>
    <t xml:space="preserve">Emergency Medical Technician, Intermediate </t>
  </si>
  <si>
    <t>146M00000X</t>
  </si>
  <si>
    <t>Emergency Medical Technician, Intermediate</t>
  </si>
  <si>
    <t xml:space="preserve">Emergency Medical Technician, Basic </t>
  </si>
  <si>
    <t>146N00000X</t>
  </si>
  <si>
    <t>Emergency Medical Technician, Basic</t>
  </si>
  <si>
    <t xml:space="preserve">Licensed Psychiatric Technician </t>
  </si>
  <si>
    <t>167G00000X</t>
  </si>
  <si>
    <t>Licensed Psychiatric Techinician</t>
  </si>
  <si>
    <t>Pharmacy Service Providers</t>
  </si>
  <si>
    <t xml:space="preserve">Pharmacy Technician </t>
  </si>
  <si>
    <t>183700000X</t>
  </si>
  <si>
    <t>Pharmacy Technician</t>
  </si>
  <si>
    <t xml:space="preserve">Orthotist </t>
  </si>
  <si>
    <t>222Z00000X</t>
  </si>
  <si>
    <t>Prothesis / Orthotics</t>
  </si>
  <si>
    <t xml:space="preserve">Prosthetist </t>
  </si>
  <si>
    <t>224P00000X</t>
  </si>
  <si>
    <t xml:space="preserve">Orthotics/Prosthetics Fitter </t>
  </si>
  <si>
    <t>225000000X</t>
  </si>
  <si>
    <t xml:space="preserve">Technologists, Technicians &amp; Other Technical Service Providers </t>
  </si>
  <si>
    <t xml:space="preserve">Technician, Pathology </t>
  </si>
  <si>
    <t>246R00000X</t>
  </si>
  <si>
    <t xml:space="preserve">Pathology </t>
  </si>
  <si>
    <t xml:space="preserve">Histology </t>
  </si>
  <si>
    <t>246RH0600X</t>
  </si>
  <si>
    <t xml:space="preserve">Medical Laboratory </t>
  </si>
  <si>
    <t>246RM2200X</t>
  </si>
  <si>
    <t xml:space="preserve">Phlebotomy </t>
  </si>
  <si>
    <t>246RP1900X</t>
  </si>
  <si>
    <t xml:space="preserve">Technician, Cardiology </t>
  </si>
  <si>
    <t>246W00000X</t>
  </si>
  <si>
    <t>Cardiology</t>
  </si>
  <si>
    <t xml:space="preserve">Technician, Health Information </t>
  </si>
  <si>
    <t>247000000X</t>
  </si>
  <si>
    <t>Specialist/Technologist, Health Information / Coding Specialist</t>
  </si>
  <si>
    <t xml:space="preserve">Assistant Record Technician </t>
  </si>
  <si>
    <t>2470A2800X</t>
  </si>
  <si>
    <t xml:space="preserve">Technician, Other </t>
  </si>
  <si>
    <t>247200000X</t>
  </si>
  <si>
    <t>Miscelleneous</t>
  </si>
  <si>
    <t xml:space="preserve">Biomedical Engineering </t>
  </si>
  <si>
    <t>2472B0301X</t>
  </si>
  <si>
    <t xml:space="preserve">Darkroom </t>
  </si>
  <si>
    <t>2472D0500X</t>
  </si>
  <si>
    <t xml:space="preserve">EEG </t>
  </si>
  <si>
    <t>2472E0500X</t>
  </si>
  <si>
    <t xml:space="preserve">Renal Dialysis </t>
  </si>
  <si>
    <t>2472R0900X</t>
  </si>
  <si>
    <t xml:space="preserve">Veterinary </t>
  </si>
  <si>
    <t>2472V0600X</t>
  </si>
  <si>
    <t>Clinical Laboratory Director, Non physician**</t>
  </si>
  <si>
    <t>247ZC0005X</t>
  </si>
  <si>
    <t>Clinical Laboratory Director, Non physician</t>
  </si>
  <si>
    <t>374700000X</t>
  </si>
  <si>
    <t>Nurse Technician</t>
  </si>
  <si>
    <t xml:space="preserve">Specialist/Technologist, Other </t>
  </si>
  <si>
    <t>246ZC0007X</t>
  </si>
  <si>
    <t>Technologist</t>
  </si>
  <si>
    <t>Certified First Assistant</t>
  </si>
  <si>
    <t>225B00000X</t>
  </si>
  <si>
    <t xml:space="preserve">Perfusionist** </t>
  </si>
  <si>
    <t>242T00000X</t>
  </si>
  <si>
    <t>Perfusionist</t>
  </si>
  <si>
    <t xml:space="preserve">Radiologic Technologist </t>
  </si>
  <si>
    <t>247100000X</t>
  </si>
  <si>
    <t xml:space="preserve">Bone Densitometry </t>
  </si>
  <si>
    <t>2471B0102X</t>
  </si>
  <si>
    <t xml:space="preserve">Cardiovascular-Interventional Technology  </t>
  </si>
  <si>
    <t>2471C1101X</t>
  </si>
  <si>
    <t xml:space="preserve">Cardiac/Cardiovascular-Interventional Technology </t>
  </si>
  <si>
    <t xml:space="preserve">Cardiac-Interventional Technology </t>
  </si>
  <si>
    <t>2471C1106X</t>
  </si>
  <si>
    <t xml:space="preserve">Computed Tomography </t>
  </si>
  <si>
    <t>2471C3401X</t>
  </si>
  <si>
    <t xml:space="preserve">Radiography </t>
  </si>
  <si>
    <t>2471C3402X</t>
  </si>
  <si>
    <t xml:space="preserve">Magnetic Resonance Imaging  </t>
  </si>
  <si>
    <t>2471M1202X</t>
  </si>
  <si>
    <t xml:space="preserve">Mammography </t>
  </si>
  <si>
    <t>2471M2300X</t>
  </si>
  <si>
    <t xml:space="preserve">Nuclear Medicine Technology </t>
  </si>
  <si>
    <t>2471N0900X</t>
  </si>
  <si>
    <t xml:space="preserve">Quality Management </t>
  </si>
  <si>
    <t>2471Q0001X</t>
  </si>
  <si>
    <t xml:space="preserve">Radiation Therapy </t>
  </si>
  <si>
    <t>2471R0002X</t>
  </si>
  <si>
    <t xml:space="preserve">Radiation Therapist </t>
  </si>
  <si>
    <t xml:space="preserve">Sonography </t>
  </si>
  <si>
    <t>2471S1302X</t>
  </si>
  <si>
    <t>Sonography / Vascular</t>
  </si>
  <si>
    <t xml:space="preserve">Vascular Sonography </t>
  </si>
  <si>
    <t>2471V0105X</t>
  </si>
  <si>
    <t xml:space="preserve">Vascular-Interventional Technology </t>
  </si>
  <si>
    <t>2471V0106X</t>
  </si>
  <si>
    <t xml:space="preserve">Dental Assistant </t>
  </si>
  <si>
    <t>126800000X</t>
  </si>
  <si>
    <t>Assistant</t>
  </si>
  <si>
    <t>Dental Assistant</t>
  </si>
  <si>
    <t xml:space="preserve">Specialist/Technologist </t>
  </si>
  <si>
    <t xml:space="preserve">Audiology Assistant </t>
  </si>
  <si>
    <t>2355A2700X</t>
  </si>
  <si>
    <t>Audiology Assistant</t>
  </si>
  <si>
    <t xml:space="preserve">Speech-Language Assistant </t>
  </si>
  <si>
    <t>2355S0801X</t>
  </si>
  <si>
    <t xml:space="preserve">Radiology Practitioner Assistant </t>
  </si>
  <si>
    <t>243U00000X</t>
  </si>
  <si>
    <t>Radiology Practitioner Assistants</t>
  </si>
  <si>
    <t xml:space="preserve">Dental Hygienist </t>
  </si>
  <si>
    <t>124Q00000X</t>
  </si>
  <si>
    <t>Dental Hygienist</t>
  </si>
  <si>
    <t xml:space="preserve">Nursing Home Administrator </t>
  </si>
  <si>
    <t>376G00000X</t>
  </si>
  <si>
    <t>Administrator</t>
  </si>
  <si>
    <t>Nursing Home Administrator</t>
  </si>
  <si>
    <t xml:space="preserve">Homeopath </t>
  </si>
  <si>
    <t>175L00000X</t>
  </si>
  <si>
    <t>Homeopath</t>
  </si>
  <si>
    <t xml:space="preserve">Interpreter </t>
  </si>
  <si>
    <t>171R00000X</t>
  </si>
  <si>
    <t>Interpreter</t>
  </si>
  <si>
    <t xml:space="preserve">Medical Genetics, Ph.D. Medical Genetics </t>
  </si>
  <si>
    <t>170100000X</t>
  </si>
  <si>
    <t>Medical Genetics, Non-physician</t>
  </si>
  <si>
    <t xml:space="preserve">Midwife, Lay </t>
  </si>
  <si>
    <t>175M00000X</t>
  </si>
  <si>
    <t>Midwife, Lay</t>
  </si>
  <si>
    <t>Non-certified Midwife</t>
  </si>
  <si>
    <t xml:space="preserve">Military Health Care Provider </t>
  </si>
  <si>
    <t>171000000X</t>
  </si>
  <si>
    <t>Military Health Care Provider</t>
  </si>
  <si>
    <t xml:space="preserve">Independent Duty Corpsman </t>
  </si>
  <si>
    <t>1710I1002X</t>
  </si>
  <si>
    <t xml:space="preserve">Independent Duty Medical Technicians </t>
  </si>
  <si>
    <t>1710I1003X</t>
  </si>
  <si>
    <t xml:space="preserve">Electrodiagnostic Medicine </t>
  </si>
  <si>
    <t>204R00000X</t>
  </si>
  <si>
    <t>Electrodiagnostic Medicine Specialist</t>
  </si>
  <si>
    <t>Neurophysiologic Tech Specialist</t>
  </si>
  <si>
    <t>Naprapath**</t>
  </si>
  <si>
    <t>172P00000X</t>
  </si>
  <si>
    <t>Naprapath</t>
  </si>
  <si>
    <t xml:space="preserve">Naturopath </t>
  </si>
  <si>
    <t>175F00000X</t>
  </si>
  <si>
    <t>Naturopath</t>
  </si>
  <si>
    <t xml:space="preserve">Specialist </t>
  </si>
  <si>
    <t>174400000X</t>
  </si>
  <si>
    <t>Specialist</t>
  </si>
  <si>
    <t xml:space="preserve">Graphics Designer </t>
  </si>
  <si>
    <t>1744G0900X</t>
  </si>
  <si>
    <t>Graphic Designer</t>
  </si>
  <si>
    <t xml:space="preserve">Prosthetics Case Management </t>
  </si>
  <si>
    <t>1744P3200X</t>
  </si>
  <si>
    <t>Prosthetics Case Manager</t>
  </si>
  <si>
    <t xml:space="preserve">Research Study </t>
  </si>
  <si>
    <t>1744R1102X</t>
  </si>
  <si>
    <t>Research Study</t>
  </si>
  <si>
    <t xml:space="preserve">Research Data Abstracter/Coder </t>
  </si>
  <si>
    <t>1744R1103X</t>
  </si>
  <si>
    <t>Research Data Abstractor/Coder</t>
  </si>
  <si>
    <t>225500000X</t>
  </si>
  <si>
    <t xml:space="preserve">Athletic Trainer </t>
  </si>
  <si>
    <t>2255A2300X</t>
  </si>
  <si>
    <t>Athletic Trainer</t>
  </si>
  <si>
    <t xml:space="preserve">Rehabilitation, Blind </t>
  </si>
  <si>
    <t>2255R0406X</t>
  </si>
  <si>
    <t>Rehabilitation, Blind</t>
  </si>
  <si>
    <t>235500000X</t>
  </si>
  <si>
    <t xml:space="preserve">Hearing Instrument Specialist </t>
  </si>
  <si>
    <t>237700000X</t>
  </si>
  <si>
    <t xml:space="preserve">Specialist/Technologist, Pathology </t>
  </si>
  <si>
    <t>246Q00000X</t>
  </si>
  <si>
    <t xml:space="preserve">Blood Banking </t>
  </si>
  <si>
    <t>246QB0000X</t>
  </si>
  <si>
    <t xml:space="preserve">Chemistry </t>
  </si>
  <si>
    <t>246QC1000X</t>
  </si>
  <si>
    <t xml:space="preserve">Cytotechnology </t>
  </si>
  <si>
    <t>246QC2700X</t>
  </si>
  <si>
    <t>246QH0000X</t>
  </si>
  <si>
    <t xml:space="preserve">Hemapheresis Practitioner </t>
  </si>
  <si>
    <t>246QH0401X</t>
  </si>
  <si>
    <t>246QH0600X</t>
  </si>
  <si>
    <t xml:space="preserve">Immunology </t>
  </si>
  <si>
    <t>246QI0000X</t>
  </si>
  <si>
    <t xml:space="preserve">Laboratory Management </t>
  </si>
  <si>
    <t>246QL0900X</t>
  </si>
  <si>
    <t xml:space="preserve">Laboratory Management, Diplomate </t>
  </si>
  <si>
    <t>246QL0901X</t>
  </si>
  <si>
    <t xml:space="preserve">Medical Technologist </t>
  </si>
  <si>
    <t>246QM0706X</t>
  </si>
  <si>
    <t xml:space="preserve">Microbiology </t>
  </si>
  <si>
    <t>246QM0900X</t>
  </si>
  <si>
    <t xml:space="preserve">Specialist/Technologist Cardiovascular </t>
  </si>
  <si>
    <t>246X00000X</t>
  </si>
  <si>
    <t xml:space="preserve">Cardiovascular Invasive Specialist </t>
  </si>
  <si>
    <t>246XC2901X</t>
  </si>
  <si>
    <t xml:space="preserve">Vascular Specialist </t>
  </si>
  <si>
    <t>246XC2903X</t>
  </si>
  <si>
    <t>246XS1301X</t>
  </si>
  <si>
    <t xml:space="preserve">Specialist/Technologist, Health Information </t>
  </si>
  <si>
    <t>246Y00000X</t>
  </si>
  <si>
    <t xml:space="preserve">Coding Specialist, Hospital Based </t>
  </si>
  <si>
    <t>246YC3301X</t>
  </si>
  <si>
    <t xml:space="preserve">Coding Specialist, Physician Office Based </t>
  </si>
  <si>
    <t>246YC3302X</t>
  </si>
  <si>
    <t xml:space="preserve">Registered Record Administrator </t>
  </si>
  <si>
    <t>246YR1600X</t>
  </si>
  <si>
    <t>246Z00000X</t>
  </si>
  <si>
    <t xml:space="preserve">Art, Medical </t>
  </si>
  <si>
    <t>246ZA2600X</t>
  </si>
  <si>
    <t>246ZB0301X</t>
  </si>
  <si>
    <t xml:space="preserve">Biomedical Photographer </t>
  </si>
  <si>
    <t>246ZB0302X</t>
  </si>
  <si>
    <t xml:space="preserve">Biochemist </t>
  </si>
  <si>
    <t>246ZB0500X</t>
  </si>
  <si>
    <t xml:space="preserve">Biostatistician </t>
  </si>
  <si>
    <t>246ZB0600X</t>
  </si>
  <si>
    <t>246ZE0500X</t>
  </si>
  <si>
    <t xml:space="preserve">Electroneurodiagnostic </t>
  </si>
  <si>
    <t>246ZE0600X</t>
  </si>
  <si>
    <t xml:space="preserve">Graphics Methods </t>
  </si>
  <si>
    <t>246ZG0701X</t>
  </si>
  <si>
    <t xml:space="preserve">Geneticist, Medical (PhD) </t>
  </si>
  <si>
    <t>246ZG1000X</t>
  </si>
  <si>
    <t xml:space="preserve">Illustration, Medical </t>
  </si>
  <si>
    <t>246ZI1000X</t>
  </si>
  <si>
    <t>246ZN0300X</t>
  </si>
  <si>
    <t xml:space="preserve">Pharmacist </t>
  </si>
  <si>
    <t>183500000X</t>
  </si>
  <si>
    <t>Pharmacist</t>
  </si>
  <si>
    <t>General Practice^^ (use 183500000X)</t>
  </si>
  <si>
    <t>1835G0000X</t>
  </si>
  <si>
    <t xml:space="preserve">Geriatric </t>
  </si>
  <si>
    <t>1835G0303X</t>
  </si>
  <si>
    <t>Geriatric Pharmacist</t>
  </si>
  <si>
    <t xml:space="preserve">Nuclear </t>
  </si>
  <si>
    <t>1835N0905X</t>
  </si>
  <si>
    <t>Nuclear Pharmacist</t>
  </si>
  <si>
    <t>1835N1003X</t>
  </si>
  <si>
    <t>Nutrition Support Pharmacist</t>
  </si>
  <si>
    <t>Pharmacist Clinician (PhC)/ Clinical Pharmacy Specialist*****</t>
  </si>
  <si>
    <t>1835P0018X</t>
  </si>
  <si>
    <t xml:space="preserve">Pharmacotherapy </t>
  </si>
  <si>
    <t>1835P1200X</t>
  </si>
  <si>
    <t>Pharmacology Pharmacist</t>
  </si>
  <si>
    <t xml:space="preserve">Psychiatric </t>
  </si>
  <si>
    <t>1835P1300X</t>
  </si>
  <si>
    <t xml:space="preserve">Psychiatric Pharmacist </t>
  </si>
  <si>
    <t>1835X0200X</t>
  </si>
  <si>
    <t>Oncology Pharmacist</t>
  </si>
  <si>
    <t xml:space="preserve">Anaplastologist </t>
  </si>
  <si>
    <t>229N00000X</t>
  </si>
  <si>
    <t>Anaplastologist</t>
  </si>
  <si>
    <t>Prosthesis / Orthotics</t>
  </si>
  <si>
    <t xml:space="preserve">Art Therapist </t>
  </si>
  <si>
    <t>221700000X</t>
  </si>
  <si>
    <t>Therapist - Non-Certified</t>
  </si>
  <si>
    <t>Art Therapist</t>
  </si>
  <si>
    <t xml:space="preserve">Developmental Therapist** </t>
  </si>
  <si>
    <t>222Q00000X</t>
  </si>
  <si>
    <t>Developmental Therapist</t>
  </si>
  <si>
    <t xml:space="preserve">Dance Therapist </t>
  </si>
  <si>
    <t>225600000X</t>
  </si>
  <si>
    <t>Dance Therapist</t>
  </si>
  <si>
    <t xml:space="preserve">Massage Therapist </t>
  </si>
  <si>
    <t>225700000X</t>
  </si>
  <si>
    <t xml:space="preserve">Recreation Therapist </t>
  </si>
  <si>
    <t>225800000X</t>
  </si>
  <si>
    <t>Recreation Therapist</t>
  </si>
  <si>
    <t xml:space="preserve">Music Therapist </t>
  </si>
  <si>
    <t>225A00000X</t>
  </si>
  <si>
    <t xml:space="preserve">Kinesiotherapist </t>
  </si>
  <si>
    <t>226300000X</t>
  </si>
  <si>
    <t xml:space="preserve">Lactation Consultant, Non-RN </t>
  </si>
  <si>
    <t>174N00000X</t>
  </si>
  <si>
    <t>Lactation Consultant, Non-RN Counselor</t>
  </si>
  <si>
    <t>Lactation Non-RN Counselor</t>
  </si>
  <si>
    <t xml:space="preserve">Clinical Ethicist </t>
  </si>
  <si>
    <t>174V00000X</t>
  </si>
  <si>
    <t>Clinical Ethicist Counselor</t>
  </si>
  <si>
    <t>Ethics Case consultant</t>
  </si>
  <si>
    <t xml:space="preserve">Rehabilitation Counselor </t>
  </si>
  <si>
    <t>225C00000X</t>
  </si>
  <si>
    <t>Counselor</t>
  </si>
  <si>
    <t>225CA2400X</t>
  </si>
  <si>
    <t>225CA2500X</t>
  </si>
  <si>
    <t xml:space="preserve">Orientation and Mobility Training Provider </t>
  </si>
  <si>
    <t>225CX0006X</t>
  </si>
  <si>
    <t>Student, Health Care</t>
  </si>
  <si>
    <t xml:space="preserve">Student in an Organized Health Care Education/Training Program </t>
  </si>
  <si>
    <t>390200000X</t>
  </si>
  <si>
    <t>Non-capitation Provider</t>
  </si>
  <si>
    <t>Blood Bank</t>
  </si>
  <si>
    <t>Eye Bank</t>
  </si>
  <si>
    <t xml:space="preserve">Non-Pharmacy Dispensing Site </t>
  </si>
  <si>
    <t>Emergency Response System Companies</t>
  </si>
  <si>
    <t>Emergency Response System Companies****</t>
  </si>
  <si>
    <t>333300000X</t>
  </si>
  <si>
    <t>Community Health Worker</t>
  </si>
  <si>
    <t>Community Health Worker****</t>
  </si>
  <si>
    <t>172V00000X</t>
  </si>
  <si>
    <t>Other</t>
  </si>
  <si>
    <t>Community Health - Non-Professional</t>
  </si>
  <si>
    <t xml:space="preserve">Veterinarian </t>
  </si>
  <si>
    <t>174M00000X</t>
  </si>
  <si>
    <t xml:space="preserve">Medical Research </t>
  </si>
  <si>
    <t>174MM1900X</t>
  </si>
  <si>
    <t xml:space="preserve">Health Educator </t>
  </si>
  <si>
    <t>174H00000X</t>
  </si>
  <si>
    <t>other</t>
  </si>
  <si>
    <t>Health Educator</t>
  </si>
  <si>
    <t>Added the following taxonomies:</t>
  </si>
  <si>
    <t>125Q00000X</t>
  </si>
  <si>
    <t>125K00000X</t>
  </si>
  <si>
    <t>Surgical Assistant</t>
  </si>
  <si>
    <t>246ZS0410X</t>
  </si>
  <si>
    <t>Surgical Technologist</t>
  </si>
  <si>
    <t>This taxonomy will not be used by Tenncare at the instruction of Dr. Gilcrist and Dr. Frigon</t>
  </si>
  <si>
    <r>
      <t xml:space="preserve">Health Educator  </t>
    </r>
    <r>
      <rPr>
        <sz val="8"/>
        <rFont val="Times New Roman"/>
        <family val="1"/>
      </rPr>
      <t>(Weight Watchers)</t>
    </r>
  </si>
  <si>
    <t>Groups (of Individuals)</t>
  </si>
  <si>
    <t xml:space="preserve">Individual </t>
  </si>
  <si>
    <t>, Pest Control</t>
  </si>
  <si>
    <t>Provider Type Key</t>
  </si>
  <si>
    <t>Distinct Provider Type Keys</t>
  </si>
  <si>
    <t>01+Inpatient Facility</t>
  </si>
  <si>
    <t>02+Ambulatory Surgical Center (ASC)</t>
  </si>
  <si>
    <t>03+Extended Care Facility</t>
  </si>
  <si>
    <t>04+Rehabilitation Facility</t>
  </si>
  <si>
    <t>05+Home Health Agency</t>
  </si>
  <si>
    <t>06+Hospice</t>
  </si>
  <si>
    <t>07+Capitation Provider</t>
  </si>
  <si>
    <t>08+Clinic</t>
  </si>
  <si>
    <t>32/33+Single/Multi Specialty group</t>
  </si>
  <si>
    <t>33+Single/Multi Specialty group</t>
  </si>
  <si>
    <t>09+Advance Practice Nurse</t>
  </si>
  <si>
    <t>10+Mid-Level Practitioner</t>
  </si>
  <si>
    <t>11+Mental Health Provider</t>
  </si>
  <si>
    <t>11+Mental Health</t>
  </si>
  <si>
    <t>12+School Corporation</t>
  </si>
  <si>
    <t>13+Public Health Agency</t>
  </si>
  <si>
    <t>14+Podiatrist</t>
  </si>
  <si>
    <t>15+Chiropractor</t>
  </si>
  <si>
    <t>17+Therapist</t>
  </si>
  <si>
    <t>17+Clinical Exercise Physiologist</t>
  </si>
  <si>
    <t>17+Assistant Therapist</t>
  </si>
  <si>
    <t>18+Optometrist</t>
  </si>
  <si>
    <t>19+Optician</t>
  </si>
  <si>
    <t>20+Audiologist</t>
  </si>
  <si>
    <t>22+Hearing Aid Dealer</t>
  </si>
  <si>
    <t>23+Nutritionist</t>
  </si>
  <si>
    <t>24+Pharmacy</t>
  </si>
  <si>
    <t>25+DME/Medical Supply Dealer</t>
  </si>
  <si>
    <t>25+Medical Foods Supplier/DME</t>
  </si>
  <si>
    <t>26+Transportation Provider</t>
  </si>
  <si>
    <t>27+Dentist</t>
  </si>
  <si>
    <t>27+Dental Therapist</t>
  </si>
  <si>
    <t>27+Advanced Dental Therapist</t>
  </si>
  <si>
    <t>28+Laboratory</t>
  </si>
  <si>
    <t>29+X-Ray Clinic</t>
  </si>
  <si>
    <t>30+End-Stage Renal Disease (RSD) Clinic</t>
  </si>
  <si>
    <t>31+Physician</t>
  </si>
  <si>
    <t>32+Multi-specialty group</t>
  </si>
  <si>
    <t>33+Single specialty group</t>
  </si>
  <si>
    <t>31+Case Manager (Targeted)</t>
  </si>
  <si>
    <t>31+Hpertension Specialist Physician</t>
  </si>
  <si>
    <t>32+Group/Multi-Specialty</t>
  </si>
  <si>
    <t>33+Group/Single-Specialty</t>
  </si>
  <si>
    <t>36+Personal Care Services</t>
  </si>
  <si>
    <t>37+Room and Board</t>
  </si>
  <si>
    <t>38+Respite Care</t>
  </si>
  <si>
    <t>39+Direct Support Services</t>
  </si>
  <si>
    <t>40+Specialized Foster Care/MR</t>
  </si>
  <si>
    <t>41+Adult Day Care</t>
  </si>
  <si>
    <t>42+Employee Training Specialist</t>
  </si>
  <si>
    <t>43+Homemaker Services</t>
  </si>
  <si>
    <t>44+Architectural Modification</t>
  </si>
  <si>
    <t>45+Residential Behavior Management Services (RBMS)</t>
  </si>
  <si>
    <t>46+Advantage Home Delivered Meal</t>
  </si>
  <si>
    <t>47+Free Standing Birthing Center</t>
  </si>
  <si>
    <t>48+DDSD-NFM</t>
  </si>
  <si>
    <t>49+DDSD-Supportive Living Arrangements</t>
  </si>
  <si>
    <t>50+Submitter Only</t>
  </si>
  <si>
    <t>51+HCBS Facility</t>
  </si>
  <si>
    <t>52+Techinician</t>
  </si>
  <si>
    <t>53+Technologist</t>
  </si>
  <si>
    <t>54+Assistant</t>
  </si>
  <si>
    <t>55+Dental Hygienist</t>
  </si>
  <si>
    <t>56+Administrator</t>
  </si>
  <si>
    <t>57+Homeopath</t>
  </si>
  <si>
    <t>58+Interpreter</t>
  </si>
  <si>
    <t>59+Medical Genetics, Non-physician</t>
  </si>
  <si>
    <t>60+Midwife, Lay</t>
  </si>
  <si>
    <t>61+Military Health Care Provider</t>
  </si>
  <si>
    <t>61+Electrodiagnostic Medicine Specialist</t>
  </si>
  <si>
    <t>62+Naprapath</t>
  </si>
  <si>
    <t>63+Naturopath</t>
  </si>
  <si>
    <t>64+Specialist</t>
  </si>
  <si>
    <t>65+Pharmacist</t>
  </si>
  <si>
    <t>66+Anaplastologist</t>
  </si>
  <si>
    <t>67+Therapist - Non-Certified</t>
  </si>
  <si>
    <t>68+Counselor</t>
  </si>
  <si>
    <t>68+Lactation Consultant, Non-RN Counselor</t>
  </si>
  <si>
    <t>68+Clinical Ethicist Counselor</t>
  </si>
  <si>
    <t>69+Student, Health Care</t>
  </si>
  <si>
    <t>70+Non-capitation Provider</t>
  </si>
  <si>
    <t>71+Blood Bank</t>
  </si>
  <si>
    <t>72+Eye Bank</t>
  </si>
  <si>
    <t xml:space="preserve">73+Non-Pharmacy Dispensing Site </t>
  </si>
  <si>
    <t xml:space="preserve">74+Organ Procurement Organization </t>
  </si>
  <si>
    <t>75+Emergency Response System Companies</t>
  </si>
  <si>
    <t>99+Other</t>
  </si>
  <si>
    <t>N+</t>
  </si>
  <si>
    <t>Hospital</t>
  </si>
  <si>
    <t>Remove?</t>
  </si>
  <si>
    <t>Rural Health Clinic</t>
  </si>
  <si>
    <t>Federally Qualified Health Clinic</t>
  </si>
  <si>
    <t>HCBS Provider</t>
  </si>
  <si>
    <t>??? It is highlighted</t>
  </si>
  <si>
    <t>Single-Specialty</t>
  </si>
  <si>
    <t>PROVIDER_TYPE_ID</t>
  </si>
  <si>
    <t>MMIS_PROVIDER_TYPE_ID</t>
  </si>
  <si>
    <t>PROVIDER_TYPE_NAME</t>
  </si>
  <si>
    <t>PROVIDER_CATEGORY_TYPE_ID</t>
  </si>
  <si>
    <t>Transportation Provider (non-medical)</t>
  </si>
  <si>
    <t>Technician</t>
  </si>
  <si>
    <t>Non-Capitation Provider</t>
  </si>
  <si>
    <t>Non-Pharmacy Dispensing Site</t>
  </si>
  <si>
    <t>Organ Procurement Organization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</si>
  <si>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</si>
  <si>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</si>
  <si>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</si>
  <si>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</si>
  <si>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</si>
  <si>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</si>
  <si>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</si>
  <si>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</si>
  <si>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</si>
  <si>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</si>
  <si>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</si>
  <si>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</si>
  <si>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</si>
  <si>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</si>
  <si>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</si>
  <si>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</si>
  <si>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</si>
  <si>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</si>
  <si>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</si>
  <si>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</si>
  <si>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</si>
  <si>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</si>
  <si>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</si>
  <si>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</si>
  <si>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</si>
  <si>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</si>
  <si>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</si>
  <si>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</si>
  <si>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</si>
  <si>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</si>
  <si>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</si>
  <si>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</si>
  <si>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</si>
  <si>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</si>
  <si>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</si>
  <si>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</si>
  <si>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</si>
  <si>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</si>
  <si>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</si>
  <si>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</si>
  <si>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</si>
  <si>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</si>
  <si>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</si>
  <si>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</si>
  <si>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</si>
  <si>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</si>
  <si>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</si>
  <si>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</si>
  <si>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</si>
  <si>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</si>
  <si>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</si>
  <si>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</si>
  <si>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</si>
  <si>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</si>
  <si>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</si>
  <si>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</si>
  <si>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</si>
  <si>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</si>
  <si>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</si>
  <si>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</si>
  <si>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</si>
  <si>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</si>
  <si>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99</t>
  </si>
  <si>
    <t>KEY</t>
  </si>
  <si>
    <t>Column1</t>
  </si>
  <si>
    <t>PDMS Provider Type ID</t>
  </si>
  <si>
    <t>Emergency Response System Company</t>
  </si>
  <si>
    <t>Specialty Type Key</t>
  </si>
  <si>
    <t>Unique Specialities</t>
  </si>
  <si>
    <t xml:space="preserve">52+010+Acute Care </t>
  </si>
  <si>
    <t>52+010+Acute Care</t>
  </si>
  <si>
    <t>52+011+Psychiatric</t>
  </si>
  <si>
    <t>52+012+Rehabilitation</t>
  </si>
  <si>
    <t>52+013+Residential Treatment Center</t>
  </si>
  <si>
    <t>52+014+Critical Access</t>
  </si>
  <si>
    <t>52+015+Children's Specialty</t>
  </si>
  <si>
    <t>52+016+Emergency</t>
  </si>
  <si>
    <t>52+017+Acute Care - Rural</t>
  </si>
  <si>
    <t>52+018+Mental Health Inpatient Hospitals Under 21</t>
  </si>
  <si>
    <t>52+019+Mental Health Inpatient Hospitals Over 65</t>
  </si>
  <si>
    <t>53+020+Ambulatory Surgical Center (ASC)</t>
  </si>
  <si>
    <t>54+030+Nursing Facility - ICF</t>
  </si>
  <si>
    <t>54+031+ICF/MR</t>
  </si>
  <si>
    <t>54+032+Pediatric Nursing Facility</t>
  </si>
  <si>
    <t xml:space="preserve">54+033+Residential Care Facility </t>
  </si>
  <si>
    <t>54+034+Skilled Nursing Facility (SNF) - Other</t>
  </si>
  <si>
    <t>54+035+Skilled Nursing Facility (SNF)</t>
  </si>
  <si>
    <t xml:space="preserve">54+035+Skilled Nursing Facility (SNF) </t>
  </si>
  <si>
    <t xml:space="preserve">54+036+Respite Care - Facility Based                     </t>
  </si>
  <si>
    <t>54+037+Assisted Living</t>
  </si>
  <si>
    <t>54+038+ICF/MR - Other</t>
  </si>
  <si>
    <t>54+039+Nursing Facility - ICF - Other</t>
  </si>
  <si>
    <t>55+040+Rehabilitation Facility</t>
  </si>
  <si>
    <t>56+050+Home Health Agency</t>
  </si>
  <si>
    <t>56+051+Specialized Home Nursing Services</t>
  </si>
  <si>
    <t>56+052+Voluntary or Charitable</t>
  </si>
  <si>
    <t>56+210+Care Coordinator for Pregnant Women</t>
  </si>
  <si>
    <t>56+211+HIV Case Manager</t>
  </si>
  <si>
    <t>56+998+Specialty not yet defined</t>
  </si>
  <si>
    <t>57+060+Hospice</t>
  </si>
  <si>
    <t>59+080+Federally Qualified Health Clinic (FQHC)</t>
  </si>
  <si>
    <t>59+081+Rural Health Clinic (RHC)</t>
  </si>
  <si>
    <t>51+082+Medical Clinic</t>
  </si>
  <si>
    <t>51+083+Family Planning Clinic</t>
  </si>
  <si>
    <t>51+084+Nurse Practitioner Clinic</t>
  </si>
  <si>
    <t>51+085+EPSDT Clinic</t>
  </si>
  <si>
    <t>51+086+Dental Clinic</t>
  </si>
  <si>
    <t>51+087+Therapy Clinic</t>
  </si>
  <si>
    <t>51+088+Pediatric Clinic</t>
  </si>
  <si>
    <t>51+089+Tuberculosis Clinic</t>
  </si>
  <si>
    <t>51+181+Maternity</t>
  </si>
  <si>
    <t>51+182+Speech/Hearing Clinic</t>
  </si>
  <si>
    <t>51+183+Early Intervention Services</t>
  </si>
  <si>
    <t>51+186+Community Health</t>
  </si>
  <si>
    <t>100+090+Pediatric Nurse Practitioner</t>
  </si>
  <si>
    <t>100+091+Obstetric Nurse Practitioner</t>
  </si>
  <si>
    <t>100+092+Family Nurse Practitioner</t>
  </si>
  <si>
    <t>100+093+Nurse Practitioner (Other)</t>
  </si>
  <si>
    <t>100+094+Certified Registered Nurse Anesthetist (CRNA)</t>
  </si>
  <si>
    <t>100+095+Certified Nurse Midwife</t>
  </si>
  <si>
    <t>100+210+Care Coordinator for Pregnant Women</t>
  </si>
  <si>
    <t>100+211+HIV Case Manager</t>
  </si>
  <si>
    <t>101+100+Physician Assistant</t>
  </si>
  <si>
    <t>101+101+Anesthesiology Assistant</t>
  </si>
  <si>
    <t>103+110+Outpatient Mental Health Clinic</t>
  </si>
  <si>
    <t>103+111+Community Mental Health Center (CMHC)</t>
  </si>
  <si>
    <t>103+112+Psychologist</t>
  </si>
  <si>
    <t>103+113+Clinical Psychologist</t>
  </si>
  <si>
    <t>103+114+Health Service Provider in Psychology (HSPP)</t>
  </si>
  <si>
    <t>103+115+Certified Clinical Social Worker</t>
  </si>
  <si>
    <t>103+116+Certified Social Worker</t>
  </si>
  <si>
    <t>103+117+Psychiatric Nurse</t>
  </si>
  <si>
    <t>103+118+Mental Health - DMHSAS</t>
  </si>
  <si>
    <t>103+119+Marriage and Family Counselor</t>
  </si>
  <si>
    <t>103+121+Licensed Practical Counselor</t>
  </si>
  <si>
    <t>103+122+Behavioral Analyst</t>
  </si>
  <si>
    <t>103+210+Care Coordinator for Pregnant Women</t>
  </si>
  <si>
    <t>103+211+HIV Case Manager</t>
  </si>
  <si>
    <t>103+212+Addiction Counselor</t>
  </si>
  <si>
    <t>103+357+Genetics</t>
  </si>
  <si>
    <t>103+493+DDSD-Supportive Living Arrangements</t>
  </si>
  <si>
    <t>102+617+Poetry Therapist</t>
  </si>
  <si>
    <t>60+120+School Corporation</t>
  </si>
  <si>
    <t>60+120+Teaching Institute</t>
  </si>
  <si>
    <t>61+130+County Health Department</t>
  </si>
  <si>
    <t>61+183+Early Intervention Services</t>
  </si>
  <si>
    <t>104+140+Podiatrist</t>
  </si>
  <si>
    <t>105+150+Chiropractor</t>
  </si>
  <si>
    <t>108+170+Physical Therapist</t>
  </si>
  <si>
    <t>108+171+Occupational Therapist</t>
  </si>
  <si>
    <t>108+172+Respiratory Therapist</t>
  </si>
  <si>
    <t>107+172+Respiratory Therapist</t>
  </si>
  <si>
    <t>108+173+Speech/Hearing Therapist</t>
  </si>
  <si>
    <t>108+174+Occupational Therapy Assistant</t>
  </si>
  <si>
    <t>106+174+Occupational Therapy Assistant</t>
  </si>
  <si>
    <t>108+175+Physical Therapy Assistant</t>
  </si>
  <si>
    <t>41+180+Optometrist</t>
  </si>
  <si>
    <t>40+190+Optician</t>
  </si>
  <si>
    <t>22+200+Audiologist</t>
  </si>
  <si>
    <t>22+251+Assistive Technology</t>
  </si>
  <si>
    <t>22+621+Assistive Technology Supplier</t>
  </si>
  <si>
    <t xml:space="preserve">22+625+Audiologist-Hearing Aid Fitter </t>
  </si>
  <si>
    <t>38+210+Care Coordinator for Pregnant Women</t>
  </si>
  <si>
    <t>38+211+HIV Case Manager</t>
  </si>
  <si>
    <t>38+230+Nutritionist</t>
  </si>
  <si>
    <t>64+250+DME/Medical Supply Dealer</t>
  </si>
  <si>
    <t>64+250+DME/Medical Supplier</t>
  </si>
  <si>
    <t>64+251+Assistive Technology</t>
  </si>
  <si>
    <t>64+277+Prosthesis</t>
  </si>
  <si>
    <t>65+260+Ambulance</t>
  </si>
  <si>
    <t>65+261+Air Ambulance</t>
  </si>
  <si>
    <t>65+262+Bus</t>
  </si>
  <si>
    <t>65+263+Taxi</t>
  </si>
  <si>
    <t>65+264+Common Carrier (Ambulatory)</t>
  </si>
  <si>
    <t>65+265+Common Carrier (Non-ambulatory)</t>
  </si>
  <si>
    <t>65+266+Family Member</t>
  </si>
  <si>
    <t>65+267+Volunteer</t>
  </si>
  <si>
    <t>65+268+Secured Medical Transport (VAN)</t>
  </si>
  <si>
    <t>111+270+Endodontist</t>
  </si>
  <si>
    <t>111+271+General Dentistry Practitioner</t>
  </si>
  <si>
    <t>111+272+Oral Surgeon</t>
  </si>
  <si>
    <t>111+273+Orthodontist</t>
  </si>
  <si>
    <t>111+274+Pediatric Dentist</t>
  </si>
  <si>
    <t>111+275+Periodontist</t>
  </si>
  <si>
    <t>111+276+Oral Pathologist</t>
  </si>
  <si>
    <t>111+278+Prosthodontist</t>
  </si>
  <si>
    <t>111+341+Radiologist</t>
  </si>
  <si>
    <t>111+669+Anesthesiologist - Other</t>
  </si>
  <si>
    <t>110+999+Miscellaneous</t>
  </si>
  <si>
    <t>109+999+Miscellaneous</t>
  </si>
  <si>
    <t>66+280+Independent Lab</t>
  </si>
  <si>
    <t>66+281+Mobile Lab</t>
  </si>
  <si>
    <t>67+290+Freestanding X-Ray Clinic</t>
  </si>
  <si>
    <t>67+291+Mobile X-Ray Clinic</t>
  </si>
  <si>
    <t>67+292+Mammography</t>
  </si>
  <si>
    <t>68+300+Free-standing Renal Dialysis Clinic</t>
  </si>
  <si>
    <t>114+150+Chiropractor</t>
  </si>
  <si>
    <t>50+150+Chiropractor</t>
  </si>
  <si>
    <t>51+150+Chiropractor</t>
  </si>
  <si>
    <t>114+190+Optician</t>
  </si>
  <si>
    <t>50+190+Optician</t>
  </si>
  <si>
    <t>51+190+Optician</t>
  </si>
  <si>
    <t>112+217+Child Welfare Targeted Case Management</t>
  </si>
  <si>
    <t>50+217+Child Welfare Targeted Case Management</t>
  </si>
  <si>
    <t>51+217+Child Welfare Targeted Case Management</t>
  </si>
  <si>
    <t>114+272+Oral Surgeon</t>
  </si>
  <si>
    <t>50+272+Oral Surgeon</t>
  </si>
  <si>
    <t>51+272+Oral Surgeon</t>
  </si>
  <si>
    <t>114+310+Allergist</t>
  </si>
  <si>
    <t>50+310+Allergist</t>
  </si>
  <si>
    <t>51+310+Allergist</t>
  </si>
  <si>
    <t>114+311+Anesthesiologist</t>
  </si>
  <si>
    <t>50+311+Anesthesiologist</t>
  </si>
  <si>
    <t>51+311+Anesthesiologist</t>
  </si>
  <si>
    <t>114+312+Cardiologist</t>
  </si>
  <si>
    <t>50+312+Cardiologist</t>
  </si>
  <si>
    <t>51+312+Cardiologist</t>
  </si>
  <si>
    <t>114+313+Cardiovascular Surgeon</t>
  </si>
  <si>
    <t>50+313+Cardiovascular Surgeon</t>
  </si>
  <si>
    <t>51+313+Cardiovascular Surgeon</t>
  </si>
  <si>
    <t>114+314+Dermatologist</t>
  </si>
  <si>
    <t>50+314+Dermatologist</t>
  </si>
  <si>
    <t>51+314+Dermatologist</t>
  </si>
  <si>
    <t>114+315+Emergency Medicine Practitioner</t>
  </si>
  <si>
    <t>50+315+Emergency Medicine Practitioner</t>
  </si>
  <si>
    <t>51+315+Emergency Medicine Practitioner</t>
  </si>
  <si>
    <t>114+316+Family Practitioner</t>
  </si>
  <si>
    <t>50+316+Family Practitioner</t>
  </si>
  <si>
    <t>51+316+Family Practitioner</t>
  </si>
  <si>
    <t>114+317+Gastroenterologist</t>
  </si>
  <si>
    <t>50+317+Gastroenterologist</t>
  </si>
  <si>
    <t>51+317+Gastroenterologist</t>
  </si>
  <si>
    <t>50+318+Gastroenterologist</t>
  </si>
  <si>
    <t>51+319+Gastroenterologist</t>
  </si>
  <si>
    <t>114+318+General Practitioner</t>
  </si>
  <si>
    <t>50+319+General Practitioner</t>
  </si>
  <si>
    <t>51+320+General Practitioner</t>
  </si>
  <si>
    <t>50+318+General Practitioner</t>
  </si>
  <si>
    <t>51+318+General Practitioner</t>
  </si>
  <si>
    <t>114+319+General Surgeon</t>
  </si>
  <si>
    <t>50+319+General Surgeon</t>
  </si>
  <si>
    <t>51+319+General Surgeon</t>
  </si>
  <si>
    <t>114+320+Geriatric Practitioner</t>
  </si>
  <si>
    <t>50+320+Geriatric Practitioner</t>
  </si>
  <si>
    <t>51+320+Geriatric Practitioner</t>
  </si>
  <si>
    <t>114+321+Hand Surgeon</t>
  </si>
  <si>
    <t>50+321+Hand Surgeon</t>
  </si>
  <si>
    <t>51+321+Hand Surgeon</t>
  </si>
  <si>
    <t>114+322+Internist</t>
  </si>
  <si>
    <t>50+322+Internist</t>
  </si>
  <si>
    <t>51+322+Internist</t>
  </si>
  <si>
    <t xml:space="preserve">113+322+Internist </t>
  </si>
  <si>
    <t xml:space="preserve">50+322+Internist </t>
  </si>
  <si>
    <t xml:space="preserve">51+322+Internist </t>
  </si>
  <si>
    <t>114+323+Neonatologist</t>
  </si>
  <si>
    <t>50+323+Neonatologist</t>
  </si>
  <si>
    <t>51+323+Neonatologist</t>
  </si>
  <si>
    <t>114+324+Nephrologist</t>
  </si>
  <si>
    <t>50+324+Nephrologist</t>
  </si>
  <si>
    <t>51+324+Nephrologist</t>
  </si>
  <si>
    <t>114+325+Neurological Surgeon</t>
  </si>
  <si>
    <t>50+325+Neurological Surgeon</t>
  </si>
  <si>
    <t>51+325+Neurological Surgeon</t>
  </si>
  <si>
    <t>114+326+Neurologist</t>
  </si>
  <si>
    <t>50+326+Neurologist</t>
  </si>
  <si>
    <t>51+326+Neurologist</t>
  </si>
  <si>
    <t>114+327+Nuclear Medicine Practitioner</t>
  </si>
  <si>
    <t>50+327+Nuclear Medicine Practitioner</t>
  </si>
  <si>
    <t>51+327+Nuclear Medicine Practitioner</t>
  </si>
  <si>
    <t>114+328+Obstetrician/Gynecologist</t>
  </si>
  <si>
    <t>50+328+Obstetrician/Gynecologist</t>
  </si>
  <si>
    <t>51+328+Obstetrician/Gynecologist</t>
  </si>
  <si>
    <t>114+328+Obstretrician/Gyn</t>
  </si>
  <si>
    <t>50+328+Obstretrician/Gyn</t>
  </si>
  <si>
    <t>51+328+Obstretrician/Gyn</t>
  </si>
  <si>
    <t>114+329+Oncologist (including Hematology)</t>
  </si>
  <si>
    <t>50+329+Oncologist (including Hematology)</t>
  </si>
  <si>
    <t>51+329+Oncologist (including Hematology)</t>
  </si>
  <si>
    <t>114+330+Opthamologist</t>
  </si>
  <si>
    <t>50+330+Opthamologist</t>
  </si>
  <si>
    <t>51+330+Opthamologist</t>
  </si>
  <si>
    <t>114+331+Orthopedic Surgeon</t>
  </si>
  <si>
    <t>50+331+Orthopedic Surgeon</t>
  </si>
  <si>
    <t>51+331+Orthopedic Surgeon</t>
  </si>
  <si>
    <t>114+332+Otologist, Laryngologist, Rhinologist</t>
  </si>
  <si>
    <t>50+332+Otologist, Laryngologist, Rhinologist</t>
  </si>
  <si>
    <t>51+332+Otologist, Laryngologist, Rhinologist</t>
  </si>
  <si>
    <t>50+333+Otologist, Laryngologist, Rhinologist</t>
  </si>
  <si>
    <t>51+334+Otologist, Laryngologist, Rhinologist</t>
  </si>
  <si>
    <t>114+333+Pathologist</t>
  </si>
  <si>
    <t>50+333+Pathologist</t>
  </si>
  <si>
    <t>51+333+Pathologist</t>
  </si>
  <si>
    <t>114+334+Pediatric Surgeon</t>
  </si>
  <si>
    <t>50+334+Pediatric Surgeon</t>
  </si>
  <si>
    <t>51+334+Pediatric Surgeon</t>
  </si>
  <si>
    <t>114+335+Maternal Fetal Medicine</t>
  </si>
  <si>
    <t>50+335+Maternal Fetal Medicine</t>
  </si>
  <si>
    <t>51+335+Maternal Fetal Medicine</t>
  </si>
  <si>
    <t>114+336+Physical Medicine and Rehabilitation Practitioner</t>
  </si>
  <si>
    <t>50+336+Physical Medicine and Rehabilitation Practitioner</t>
  </si>
  <si>
    <t>51+336+Physical Medicine and Rehabilitation Practitioner</t>
  </si>
  <si>
    <t>114+337+Plastic Surgeon</t>
  </si>
  <si>
    <t>50+337+Plastic Surgeon</t>
  </si>
  <si>
    <t>51+337+Plastic Surgeon</t>
  </si>
  <si>
    <t>114+338+Proctologist</t>
  </si>
  <si>
    <t>50+338+Proctologist</t>
  </si>
  <si>
    <t>51+338+Proctologist</t>
  </si>
  <si>
    <t>114+339+Psychiatry</t>
  </si>
  <si>
    <t>50+339+Psychiatry</t>
  </si>
  <si>
    <t>51+339+Psychiatry</t>
  </si>
  <si>
    <t>114+339+Psychiatrist</t>
  </si>
  <si>
    <t>50+339+Psychiatrist</t>
  </si>
  <si>
    <t>51+339+Psychiatrist</t>
  </si>
  <si>
    <t>114+340+Pulmonary Disease Specialist</t>
  </si>
  <si>
    <t>50+340+Pulmonary Disease Specialist</t>
  </si>
  <si>
    <t>51+340+Pulmonary Disease Specialist</t>
  </si>
  <si>
    <t>114+341+Radiologist</t>
  </si>
  <si>
    <t>50+341+Radiologist</t>
  </si>
  <si>
    <t>51+341+Radiologist</t>
  </si>
  <si>
    <t>114+342+Thoracic Surgeon</t>
  </si>
  <si>
    <t>50+342+Thoracic Surgeon</t>
  </si>
  <si>
    <t>51+342+Thoracic Surgeon</t>
  </si>
  <si>
    <t>114+343+Urologist</t>
  </si>
  <si>
    <t>50+343+Urologist</t>
  </si>
  <si>
    <t>51+343+Urologist</t>
  </si>
  <si>
    <t>114+344+General Internist</t>
  </si>
  <si>
    <t>50+344+General Internist</t>
  </si>
  <si>
    <t>51+344+General Internist</t>
  </si>
  <si>
    <t>114+345+General Pediatrician</t>
  </si>
  <si>
    <t>50+345+General Pediatrician</t>
  </si>
  <si>
    <t>51+345+General Pediatrician</t>
  </si>
  <si>
    <t>114+347+Radiation Therapist</t>
  </si>
  <si>
    <t>50+347+Radiation Therapist</t>
  </si>
  <si>
    <t>51+347+Radiation Therapist</t>
  </si>
  <si>
    <t>114+348+Osteopathic Manipulative Medicine</t>
  </si>
  <si>
    <t>50+349+Osteopathic Manipulative Medicine</t>
  </si>
  <si>
    <t>51+350+Osteopathic Manipulative Medicine</t>
  </si>
  <si>
    <t>114+349+Pediatric Oncology</t>
  </si>
  <si>
    <t>50+349+Pediatric Oncology</t>
  </si>
  <si>
    <t>51+349+Pediatric Oncology</t>
  </si>
  <si>
    <t>114+350+Rheumatologist</t>
  </si>
  <si>
    <t>50+350+Rheumatologist</t>
  </si>
  <si>
    <t>51+350+Rheumatologist</t>
  </si>
  <si>
    <t>114+351+Radiation Oncology</t>
  </si>
  <si>
    <t>50+351+Radiation Oncology</t>
  </si>
  <si>
    <t>51+351+Radiation Oncology</t>
  </si>
  <si>
    <t>114+352+Surgical Oncology</t>
  </si>
  <si>
    <t>50+352+Surgical Oncology</t>
  </si>
  <si>
    <t>51+352+Surgical Oncology</t>
  </si>
  <si>
    <t>114+353+Gynecologist</t>
  </si>
  <si>
    <t>50+353+Gynecologist</t>
  </si>
  <si>
    <t>51+353+Gynecologist</t>
  </si>
  <si>
    <t>114+354+Obstetrician</t>
  </si>
  <si>
    <t>50+354+Obstetrician</t>
  </si>
  <si>
    <t>51+354+Obstetrician</t>
  </si>
  <si>
    <t>114+355+Pathology - Clinical</t>
  </si>
  <si>
    <t>50+355+Pathology - Clinical</t>
  </si>
  <si>
    <t>51+355+Pathology - Clinical</t>
  </si>
  <si>
    <t>114+356+Addiction Medicine</t>
  </si>
  <si>
    <t>50+356+Addiction Medicine</t>
  </si>
  <si>
    <t>51+356+Addiction Medicine</t>
  </si>
  <si>
    <t>114+357+Genetics</t>
  </si>
  <si>
    <t>50+357+Genetics</t>
  </si>
  <si>
    <t>51+357+Genetics</t>
  </si>
  <si>
    <t>114+358+Hematology</t>
  </si>
  <si>
    <t>50+358+Hematology</t>
  </si>
  <si>
    <t>51+358+Hematology</t>
  </si>
  <si>
    <t>114+359+Infectious Diseases</t>
  </si>
  <si>
    <t>50+359+Infectious Diseases</t>
  </si>
  <si>
    <t>51+359+Infectious Diseases</t>
  </si>
  <si>
    <t>114+365+Oncologist</t>
  </si>
  <si>
    <t>50+365+Oncologist</t>
  </si>
  <si>
    <t>51+365+Oncologist</t>
  </si>
  <si>
    <t>114+366+Allergist - Pediatric</t>
  </si>
  <si>
    <t>50+366+Allergist - Pediatric</t>
  </si>
  <si>
    <t>51+366+Allergist - Pediatric</t>
  </si>
  <si>
    <t>114+495+Anesthesiologist - Other</t>
  </si>
  <si>
    <t>50+495+Anesthesiologist - Other</t>
  </si>
  <si>
    <t>51+495+Anesthesiologist - Other</t>
  </si>
  <si>
    <t>114+520+Clinical Pharmacology</t>
  </si>
  <si>
    <t>50+520+Clinical Pharmacology</t>
  </si>
  <si>
    <t>51+520+Clinical Pharmacology</t>
  </si>
  <si>
    <t>114+530+Legal Medicine</t>
  </si>
  <si>
    <t>50+530+Legal Medicine</t>
  </si>
  <si>
    <t>51+530+Legal Medicine</t>
  </si>
  <si>
    <t>114+540+Phlebology</t>
  </si>
  <si>
    <t>50+540+Phlebology</t>
  </si>
  <si>
    <t>51+540+Phlebology</t>
  </si>
  <si>
    <t>50+082+Medical Clinic</t>
  </si>
  <si>
    <t>51+348+Osteopathic Manipulative Medicine</t>
  </si>
  <si>
    <t>69+360+Personal Care - Individual</t>
  </si>
  <si>
    <t>69+361+Personal Care - Agency</t>
  </si>
  <si>
    <t>71+380+Respite Care - Community Based</t>
  </si>
  <si>
    <t>71+381+Respite Care - Home Based</t>
  </si>
  <si>
    <t>72+390+Habilitation Training Specialist</t>
  </si>
  <si>
    <t>72+391+Agency Companion</t>
  </si>
  <si>
    <t>72+392+Daily Living Supports</t>
  </si>
  <si>
    <t>74+410+Adult Day Care</t>
  </si>
  <si>
    <t>75+420+Employee Training Specialist</t>
  </si>
  <si>
    <t>76+430+Homemaker Services</t>
  </si>
  <si>
    <t>77+440+Architectural Modification</t>
  </si>
  <si>
    <t>78+450+RBMS Room and Board</t>
  </si>
  <si>
    <t>78+451+RBMS Therapeutic Foster Care</t>
  </si>
  <si>
    <t>79+460+Advantage Home Delivered Meal</t>
  </si>
  <si>
    <t>80+470+Free Standing Birthing Center</t>
  </si>
  <si>
    <t>81+480+DDSD-NFM</t>
  </si>
  <si>
    <t>82+493+DDSD-Supportive Living Arrangements</t>
  </si>
  <si>
    <t>83+277+Prosthesis</t>
  </si>
  <si>
    <t>83+500+State Agency</t>
  </si>
  <si>
    <t>83+501+TPL Carrier</t>
  </si>
  <si>
    <t>83+502+Insurance Carrier</t>
  </si>
  <si>
    <t>84+510+HCBS - MR Waiver Facility</t>
  </si>
  <si>
    <t>85+248+Pharmacy Technician</t>
  </si>
  <si>
    <t>85+277+Prothesis / Orthotics</t>
  </si>
  <si>
    <t>85+540+Phlebology</t>
  </si>
  <si>
    <t>85+552+Dental Laboratory Techinician</t>
  </si>
  <si>
    <t>85+560+Emergency Medical Technician, Basic</t>
  </si>
  <si>
    <t>85+561+Emergency Medical Technician, Intermediate</t>
  </si>
  <si>
    <t>85+562+Emergency Medical Technician, Paramedic</t>
  </si>
  <si>
    <t>85+570+Licensed Psychiatric Techinician</t>
  </si>
  <si>
    <t>85+580+Nurse Technician</t>
  </si>
  <si>
    <t>85+641+Specialist/Technologist, Health Information / Coding Specialist</t>
  </si>
  <si>
    <t xml:space="preserve">85+643+Pathology </t>
  </si>
  <si>
    <t>85+644+Cardiology</t>
  </si>
  <si>
    <t xml:space="preserve">85+645+Biomedical Engineering </t>
  </si>
  <si>
    <t>85+646+Clinical Laboratory Director, Non physician</t>
  </si>
  <si>
    <t>85+998+Specialty not yet defined</t>
  </si>
  <si>
    <t>85+999+Miscelleneous</t>
  </si>
  <si>
    <t>115+292+Mammography</t>
  </si>
  <si>
    <t>115+340+Pulmonary Disease Specialist</t>
  </si>
  <si>
    <t xml:space="preserve">115+347+Radiation Therapist </t>
  </si>
  <si>
    <t>115+630+Perfusionist</t>
  </si>
  <si>
    <t xml:space="preserve">115+631+Radiologic Technologist </t>
  </si>
  <si>
    <t xml:space="preserve">115+632+Bone Densitometry </t>
  </si>
  <si>
    <t xml:space="preserve">115+633+Cardiac/Cardiovascular-Interventional Technology </t>
  </si>
  <si>
    <t xml:space="preserve">115+634+Computed Tomography </t>
  </si>
  <si>
    <t xml:space="preserve">115+635+Magnetic Resonance Imaging  </t>
  </si>
  <si>
    <t xml:space="preserve">115+636+Nuclear Medicine Technology </t>
  </si>
  <si>
    <t xml:space="preserve">115+637+Quality Management </t>
  </si>
  <si>
    <t xml:space="preserve">115+638+Radiography </t>
  </si>
  <si>
    <t>115+639+Sonography / Vascular</t>
  </si>
  <si>
    <t xml:space="preserve">115+640+Vascular-Interventional Technology </t>
  </si>
  <si>
    <t>115+647+Certified First Assistant</t>
  </si>
  <si>
    <t>116+282+Radiology Practitioner Assistants</t>
  </si>
  <si>
    <t>116+550+Dental Assistant</t>
  </si>
  <si>
    <t>116+627+Audiology Assistant</t>
  </si>
  <si>
    <t xml:space="preserve">116+628+Speech-Language Assistant </t>
  </si>
  <si>
    <t>117+551+Dental Hygienist</t>
  </si>
  <si>
    <t>118+581+Nursing Home Administrator</t>
  </si>
  <si>
    <t>119+590+Homeopath</t>
  </si>
  <si>
    <t>120+591+Interpreter</t>
  </si>
  <si>
    <t>121+357+Genetics</t>
  </si>
  <si>
    <t>35+592+Non-certified Midwife</t>
  </si>
  <si>
    <t>123+593+Military Health Care Provider</t>
  </si>
  <si>
    <t xml:space="preserve">123+594+Independent Duty Corpsman </t>
  </si>
  <si>
    <t xml:space="preserve">123+595+Independent Duty Medical Technicians </t>
  </si>
  <si>
    <t>122+667+Neurophysiologic Tech Specialist</t>
  </si>
  <si>
    <t>124+596+Naprapath</t>
  </si>
  <si>
    <t>33+597+Naturopath</t>
  </si>
  <si>
    <t>125+598+Graphic Designer</t>
  </si>
  <si>
    <t>125+599+Prosthetics Case Manager</t>
  </si>
  <si>
    <t>125+600+Research Data Abstractor/Coder</t>
  </si>
  <si>
    <t>125+601+Research Study</t>
  </si>
  <si>
    <t>125+623+Athletic Trainer</t>
  </si>
  <si>
    <t>125+624+Rehabilitation, Blind</t>
  </si>
  <si>
    <t xml:space="preserve">125+626+Hearing Instrument Specialist </t>
  </si>
  <si>
    <t xml:space="preserve">125+633+Cardiac/Cardiovascular-Interventional Technology </t>
  </si>
  <si>
    <t>125+639+Sonography / Vascular</t>
  </si>
  <si>
    <t>125+641+Specialist/Technologist, Health Information / Coding Specialist</t>
  </si>
  <si>
    <t xml:space="preserve">125+642+Registered Record Administrator </t>
  </si>
  <si>
    <t xml:space="preserve">125+643+Pathology </t>
  </si>
  <si>
    <t>125+998+Specialty not yet defined</t>
  </si>
  <si>
    <t>125+999+Miscelleneous</t>
  </si>
  <si>
    <t>42+241+Pharmacist</t>
  </si>
  <si>
    <t>42+242+Geriatric Pharmacist</t>
  </si>
  <si>
    <t>42+243+Nuclear Pharmacist</t>
  </si>
  <si>
    <t>42+244+Nutrition Support Pharmacist</t>
  </si>
  <si>
    <t>42+245+Oncology Pharmacist</t>
  </si>
  <si>
    <t>42+246+Pharmacology Pharmacist</t>
  </si>
  <si>
    <t xml:space="preserve">42+247+Psychiatric Pharmacist </t>
  </si>
  <si>
    <t>42+520+Clinical Pharmacology</t>
  </si>
  <si>
    <t>126+277+Prosthesis / Orthotics</t>
  </si>
  <si>
    <t>127+610+Art Therapist</t>
  </si>
  <si>
    <t>127+611+Dance Therapist</t>
  </si>
  <si>
    <t>127+612+Developmental Therapist</t>
  </si>
  <si>
    <t xml:space="preserve">127+613+Kinesiotherapist </t>
  </si>
  <si>
    <t xml:space="preserve">127+614+Massage Therapist </t>
  </si>
  <si>
    <t xml:space="preserve">127+615+Music Therapist </t>
  </si>
  <si>
    <t>127+616+Recreation Therapist</t>
  </si>
  <si>
    <t>129+251+Assistive Technology</t>
  </si>
  <si>
    <t xml:space="preserve">129+620+Rehabilitation Counselor </t>
  </si>
  <si>
    <t>129+621+Assistive Technology Supplier</t>
  </si>
  <si>
    <t xml:space="preserve">129+622+Orientation and Mobility Training Provider </t>
  </si>
  <si>
    <t>130+665+Lactation Non-RN Counselor</t>
  </si>
  <si>
    <t>128+666+Ethics Case consultant</t>
  </si>
  <si>
    <t xml:space="preserve">131+629+Student in an Organized Health Care Education/Training Program </t>
  </si>
  <si>
    <t>91+664+Emergency Response System Companies</t>
  </si>
  <si>
    <t>132+187+Community Health - Non-Professional</t>
  </si>
  <si>
    <t>132+511+Health Educator</t>
  </si>
  <si>
    <t>132+999+Miscelleneous</t>
  </si>
  <si>
    <t>50+083+Family Planning Clinic</t>
  </si>
  <si>
    <t>50+084+Nurse Practitioner Clinic</t>
  </si>
  <si>
    <t>50+085+EPSDT Clinic</t>
  </si>
  <si>
    <t>50+086+Dental Clinic</t>
  </si>
  <si>
    <t>50+087+Therapy Clinic</t>
  </si>
  <si>
    <t>50+088+Pediatric Clinic</t>
  </si>
  <si>
    <t>50+089+Tuberculosis Clinic</t>
  </si>
  <si>
    <t>50+181+Maternity</t>
  </si>
  <si>
    <t>50+182+Speech/Hearing Clinic</t>
  </si>
  <si>
    <t>50+183+Early Intervention Services</t>
  </si>
  <si>
    <t>50+186+Community Health</t>
  </si>
  <si>
    <t>SPECIALTY_TYPE_ID</t>
  </si>
  <si>
    <t>MMIS_SPECIALTY_TYPE_ID</t>
  </si>
  <si>
    <t>SPECIALTY_TYPE_NAME</t>
  </si>
  <si>
    <t>ICF/IID</t>
  </si>
  <si>
    <t>Residential Care Facility</t>
  </si>
  <si>
    <t>Respite Care - Facility Based</t>
  </si>
  <si>
    <t>ICF/IID - Other</t>
  </si>
  <si>
    <t>120</t>
  </si>
  <si>
    <t>130</t>
  </si>
  <si>
    <t>150</t>
  </si>
  <si>
    <t>181</t>
  </si>
  <si>
    <t>182</t>
  </si>
  <si>
    <t>183</t>
  </si>
  <si>
    <t>184</t>
  </si>
  <si>
    <t>Hospital Based Rural Health Clinic</t>
  </si>
  <si>
    <t>185</t>
  </si>
  <si>
    <t>Free Standing Rural Health Clinic</t>
  </si>
  <si>
    <t>186</t>
  </si>
  <si>
    <t>190</t>
  </si>
  <si>
    <t>210</t>
  </si>
  <si>
    <t>211</t>
  </si>
  <si>
    <t>250</t>
  </si>
  <si>
    <t>251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</si>
  <si>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</si>
  <si>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</si>
  <si>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</si>
  <si>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</si>
  <si>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</si>
  <si>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</si>
  <si>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</si>
  <si>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</si>
  <si>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</si>
  <si>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272</t>
  </si>
  <si>
    <t>277</t>
  </si>
  <si>
    <t>280</t>
  </si>
  <si>
    <t>281</t>
  </si>
  <si>
    <t>290</t>
  </si>
  <si>
    <t>291</t>
  </si>
  <si>
    <t>292</t>
  </si>
  <si>
    <t>300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</si>
  <si>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</si>
  <si>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</si>
  <si>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</si>
  <si>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</si>
  <si>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</si>
  <si>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</si>
  <si>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</si>
  <si>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</si>
  <si>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</si>
  <si>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</si>
  <si>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</si>
  <si>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</si>
  <si>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</si>
  <si>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</si>
  <si>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</si>
  <si>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</si>
  <si>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</si>
  <si>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</si>
  <si>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</si>
  <si>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</si>
  <si>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</si>
  <si>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</si>
  <si>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</si>
  <si>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</si>
  <si>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</si>
  <si>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</si>
  <si>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</si>
  <si>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</si>
  <si>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</si>
  <si>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</si>
  <si>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</si>
  <si>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</si>
  <si>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</si>
  <si>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</si>
  <si>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</si>
  <si>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</si>
  <si>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</si>
  <si>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</si>
  <si>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</si>
  <si>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</si>
  <si>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</si>
  <si>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</si>
  <si>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</si>
  <si>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</si>
  <si>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</si>
  <si>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</si>
  <si>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</si>
  <si>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</si>
  <si>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</si>
  <si>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365</t>
  </si>
  <si>
    <t>366</t>
  </si>
  <si>
    <t>495</t>
  </si>
  <si>
    <t>510</t>
  </si>
  <si>
    <t>HCBS - IID Waiver Facility</t>
  </si>
  <si>
    <t>520</t>
  </si>
  <si>
    <t>530</t>
  </si>
  <si>
    <t>540</t>
  </si>
  <si>
    <t>998</t>
  </si>
  <si>
    <t>PDMS Specialty Type ID</t>
  </si>
  <si>
    <t>Possible Duplicates:</t>
  </si>
  <si>
    <t>INSERT [dbo].[Import_20150213_Specialty] ([SPECIALTY_TYPE_ID], [DSC_PROV_TYPE], [CDE_PROV_SPEC_PRIM], [DSC_PROV_SPEC]) VALUES (2125, N'Hospital', '010', N'Acute Care')</t>
  </si>
  <si>
    <t>100</t>
  </si>
  <si>
    <t>101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</si>
  <si>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</si>
  <si>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</si>
  <si>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</si>
  <si>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</si>
  <si>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</si>
  <si>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</si>
  <si>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</si>
  <si>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</si>
  <si>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</si>
  <si>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</si>
  <si>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</si>
  <si>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</si>
  <si>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140</t>
  </si>
  <si>
    <t>170</t>
  </si>
  <si>
    <t>171</t>
  </si>
  <si>
    <t>172</t>
  </si>
  <si>
    <t>173</t>
  </si>
  <si>
    <t>174</t>
  </si>
  <si>
    <t>175</t>
  </si>
  <si>
    <t>180</t>
  </si>
  <si>
    <t>187</t>
  </si>
  <si>
    <t>200</t>
  </si>
  <si>
    <t>212</t>
  </si>
  <si>
    <t>217</t>
  </si>
  <si>
    <t>230</t>
  </si>
  <si>
    <t>241</t>
  </si>
  <si>
    <t>242</t>
  </si>
  <si>
    <t>243</t>
  </si>
  <si>
    <t>244</t>
  </si>
  <si>
    <t>245</t>
  </si>
  <si>
    <t>246</t>
  </si>
  <si>
    <t>247</t>
  </si>
  <si>
    <t>Psychiatric Pharmacist</t>
  </si>
  <si>
    <t>248</t>
  </si>
  <si>
    <t>270</t>
  </si>
  <si>
    <t>271</t>
  </si>
  <si>
    <t>273</t>
  </si>
  <si>
    <t>274</t>
  </si>
  <si>
    <t>275</t>
  </si>
  <si>
    <t>276</t>
  </si>
  <si>
    <t>278</t>
  </si>
  <si>
    <t>282</t>
  </si>
  <si>
    <t>360</t>
  </si>
  <si>
    <t>361</t>
  </si>
  <si>
    <t>380</t>
  </si>
  <si>
    <t>381</t>
  </si>
  <si>
    <t>390</t>
  </si>
  <si>
    <t>391</t>
  </si>
  <si>
    <t>392</t>
  </si>
  <si>
    <t>410</t>
  </si>
  <si>
    <t>420</t>
  </si>
  <si>
    <t>430</t>
  </si>
  <si>
    <t>440</t>
  </si>
  <si>
    <t>450</t>
  </si>
  <si>
    <t>451</t>
  </si>
  <si>
    <t>460</t>
  </si>
  <si>
    <t>470</t>
  </si>
  <si>
    <t>480</t>
  </si>
  <si>
    <t>493</t>
  </si>
  <si>
    <t>500</t>
  </si>
  <si>
    <t>501</t>
  </si>
  <si>
    <t>502</t>
  </si>
  <si>
    <t>511</t>
  </si>
  <si>
    <t>550</t>
  </si>
  <si>
    <t>551</t>
  </si>
  <si>
    <t>552</t>
  </si>
  <si>
    <t>560</t>
  </si>
  <si>
    <t>561</t>
  </si>
  <si>
    <t>562</t>
  </si>
  <si>
    <t>570</t>
  </si>
  <si>
    <t>580</t>
  </si>
  <si>
    <t>581</t>
  </si>
  <si>
    <t>590</t>
  </si>
  <si>
    <t>591</t>
  </si>
  <si>
    <t>592</t>
  </si>
  <si>
    <t>593</t>
  </si>
  <si>
    <t>594</t>
  </si>
  <si>
    <t>Independent Duty Corpsman</t>
  </si>
  <si>
    <t>595</t>
  </si>
  <si>
    <t>Independent Duty Medical Technicians</t>
  </si>
  <si>
    <t>596</t>
  </si>
  <si>
    <t>597</t>
  </si>
  <si>
    <t>598</t>
  </si>
  <si>
    <t>599</t>
  </si>
  <si>
    <t>600</t>
  </si>
  <si>
    <t>601</t>
  </si>
  <si>
    <t>610</t>
  </si>
  <si>
    <t>611</t>
  </si>
  <si>
    <t>612</t>
  </si>
  <si>
    <t>613</t>
  </si>
  <si>
    <t>Kinesiotherapist</t>
  </si>
  <si>
    <t>614</t>
  </si>
  <si>
    <t>Massage Therapist</t>
  </si>
  <si>
    <t>615</t>
  </si>
  <si>
    <t>Music Therapist</t>
  </si>
  <si>
    <t>616</t>
  </si>
  <si>
    <t>617</t>
  </si>
  <si>
    <t>620</t>
  </si>
  <si>
    <t>Rehabilitation Counselor</t>
  </si>
  <si>
    <t>621</t>
  </si>
  <si>
    <t>622</t>
  </si>
  <si>
    <t>Orientation and Mobility Training Provider</t>
  </si>
  <si>
    <t>623</t>
  </si>
  <si>
    <t>624</t>
  </si>
  <si>
    <t>625</t>
  </si>
  <si>
    <t>Audiologist-Hearing Aid Fitter</t>
  </si>
  <si>
    <t>626</t>
  </si>
  <si>
    <t>Hearing Instrument Specialist</t>
  </si>
  <si>
    <t>627</t>
  </si>
  <si>
    <t>628</t>
  </si>
  <si>
    <t>Speech-Language Assistant</t>
  </si>
  <si>
    <t>629</t>
  </si>
  <si>
    <t>Student in an Organized Health Care Education/Training Program</t>
  </si>
  <si>
    <t>630</t>
  </si>
  <si>
    <t>631</t>
  </si>
  <si>
    <t>Radiologic Technologist</t>
  </si>
  <si>
    <t>632</t>
  </si>
  <si>
    <t>Bone Densitometry</t>
  </si>
  <si>
    <t>633</t>
  </si>
  <si>
    <t>Cardiac/Cardiovascular-Interventional Technology</t>
  </si>
  <si>
    <t>634</t>
  </si>
  <si>
    <t>Computed Tomography</t>
  </si>
  <si>
    <t>635</t>
  </si>
  <si>
    <t>Magnetic Resonance Imaging</t>
  </si>
  <si>
    <t>636</t>
  </si>
  <si>
    <t>Nuclear Medicine Technology</t>
  </si>
  <si>
    <t>637</t>
  </si>
  <si>
    <t>Quality Management</t>
  </si>
  <si>
    <t>638</t>
  </si>
  <si>
    <t>Radiography</t>
  </si>
  <si>
    <t>639</t>
  </si>
  <si>
    <t>640</t>
  </si>
  <si>
    <t>Vascular-Interventional Technology</t>
  </si>
  <si>
    <t>641</t>
  </si>
  <si>
    <t>642</t>
  </si>
  <si>
    <t>Registered Record Administrator</t>
  </si>
  <si>
    <t>643</t>
  </si>
  <si>
    <t>Pathology</t>
  </si>
  <si>
    <t>644</t>
  </si>
  <si>
    <t>645</t>
  </si>
  <si>
    <t>Biomedical Engineering</t>
  </si>
  <si>
    <t>646</t>
  </si>
  <si>
    <t>647</t>
  </si>
  <si>
    <t>664</t>
  </si>
  <si>
    <t>665</t>
  </si>
  <si>
    <t>666</t>
  </si>
  <si>
    <t>667</t>
  </si>
  <si>
    <t>669</t>
  </si>
  <si>
    <t>999</t>
  </si>
  <si>
    <t>TAXONOMY_TYPE_ID</t>
  </si>
  <si>
    <t>TAXONOMY_CODE</t>
  </si>
  <si>
    <t>TAXONOMY_NAME</t>
  </si>
  <si>
    <t>111NI0900N</t>
  </si>
  <si>
    <t>111NN0400N</t>
  </si>
  <si>
    <t>Neurology</t>
  </si>
  <si>
    <t>111NN1001N</t>
  </si>
  <si>
    <t>Nutrition</t>
  </si>
  <si>
    <t>111NX0100N</t>
  </si>
  <si>
    <t>Occupational Medicine</t>
  </si>
  <si>
    <t>111NX0800N</t>
  </si>
  <si>
    <t>Orthopedic</t>
  </si>
  <si>
    <t>111NR0200N</t>
  </si>
  <si>
    <t>Radiology</t>
  </si>
  <si>
    <t>111NS0005N</t>
  </si>
  <si>
    <t>Sports Physician</t>
  </si>
  <si>
    <t>111NT0100N</t>
  </si>
  <si>
    <t>1223D0001Y</t>
  </si>
  <si>
    <t>Dental Public Health</t>
  </si>
  <si>
    <t>1223E0200Y</t>
  </si>
  <si>
    <t>Endodontics</t>
  </si>
  <si>
    <t>1223X0400Y</t>
  </si>
  <si>
    <t>Orthodontics</t>
  </si>
  <si>
    <t>1223P0106Y</t>
  </si>
  <si>
    <t>Pathology, Oral &amp; Maxillofacial</t>
  </si>
  <si>
    <t>1223P0221Y</t>
  </si>
  <si>
    <t>Pediatrics Dentistry (Pedodontics)</t>
  </si>
  <si>
    <t>1223P0300Y</t>
  </si>
  <si>
    <t>Periodontics</t>
  </si>
  <si>
    <t>1223P0700Y</t>
  </si>
  <si>
    <t>Prosthodontics</t>
  </si>
  <si>
    <t>1223S0112Y</t>
  </si>
  <si>
    <t>Surgery, Oral &amp; Maxillofacial</t>
  </si>
  <si>
    <t>203BA0401N</t>
  </si>
  <si>
    <t>203BA0000Y</t>
  </si>
  <si>
    <t>Adolescent Medicine</t>
  </si>
  <si>
    <t>203BA0001N</t>
  </si>
  <si>
    <t>Adolescent Medicine: Family Practice</t>
  </si>
  <si>
    <t>203BA0002Y</t>
  </si>
  <si>
    <t>Adolescent Medicine: Internal Medicine</t>
  </si>
  <si>
    <t>203BA0003Y</t>
  </si>
  <si>
    <t>Adolescent Medicine: Pediatrics</t>
  </si>
  <si>
    <t>203BA0501N</t>
  </si>
  <si>
    <t>Adolescent Only, Under 16</t>
  </si>
  <si>
    <t>203BA0502N</t>
  </si>
  <si>
    <t>Adolescent Only, Under 21</t>
  </si>
  <si>
    <t>203BA0100Y</t>
  </si>
  <si>
    <t>Aerospace Medicine</t>
  </si>
  <si>
    <t>203BA0101Y</t>
  </si>
  <si>
    <t>Aerospace Medicine: Preventive Medicine</t>
  </si>
  <si>
    <t>203BA0503N</t>
  </si>
  <si>
    <t>Age Specific, Greater than 1 Year Old</t>
  </si>
  <si>
    <t>203BA0504N</t>
  </si>
  <si>
    <t>Age Specific, Newborns Only</t>
  </si>
  <si>
    <t>203BA0200N</t>
  </si>
  <si>
    <t>203BA0202N</t>
  </si>
  <si>
    <t>Allergy &amp; Immunology: Internal Medicine</t>
  </si>
  <si>
    <t>203BB0000N</t>
  </si>
  <si>
    <t>Blood Banking</t>
  </si>
  <si>
    <t>203BB0001Y</t>
  </si>
  <si>
    <t>Blood Banking &amp; Transfusion Medicine</t>
  </si>
  <si>
    <t>203BB0100Y</t>
  </si>
  <si>
    <t>Body Imaging</t>
  </si>
  <si>
    <t>203BC0000Y</t>
  </si>
  <si>
    <t>Cardiac Electrophysiology</t>
  </si>
  <si>
    <t>203BC0001Y</t>
  </si>
  <si>
    <t>Cardiac Electrophysiology, Clinical</t>
  </si>
  <si>
    <t>203BC0100Y</t>
  </si>
  <si>
    <t>203BC2500Y</t>
  </si>
  <si>
    <t>Cardiovascular Disease</t>
  </si>
  <si>
    <t>203BC0200Y</t>
  </si>
  <si>
    <t>203BC0201Y</t>
  </si>
  <si>
    <t>Critical Care Medicine: Anesthesiology</t>
  </si>
  <si>
    <t>203BC0202Y</t>
  </si>
  <si>
    <t>Critical Care Medicine: Internal Medicine</t>
  </si>
  <si>
    <t>203BC0203Y</t>
  </si>
  <si>
    <t>Critical Care Medicine: OB/GYN</t>
  </si>
  <si>
    <t>203BC0300Y</t>
  </si>
  <si>
    <t>Cytogenetics, Clinical</t>
  </si>
  <si>
    <t>203BC0500Y</t>
  </si>
  <si>
    <t>Cytopathology</t>
  </si>
  <si>
    <t>Dermatology</t>
  </si>
  <si>
    <t>203BD0101Y</t>
  </si>
  <si>
    <t>Dermatology Micrographic Surgery</t>
  </si>
  <si>
    <t>203BD0900Y</t>
  </si>
  <si>
    <t>Dermatopathology</t>
  </si>
  <si>
    <t>203BD0901N</t>
  </si>
  <si>
    <t>Dermatopathology: Dermatology</t>
  </si>
  <si>
    <t>203BD0300N</t>
  </si>
  <si>
    <t>Diabetes</t>
  </si>
  <si>
    <t>Emergency Medicine</t>
  </si>
  <si>
    <t>203BE0100Y</t>
  </si>
  <si>
    <t>Endocrinology</t>
  </si>
  <si>
    <t>203BE0101Y</t>
  </si>
  <si>
    <t>203BE0102Y</t>
  </si>
  <si>
    <t>Endocrinology, Reproductive</t>
  </si>
  <si>
    <t>Family Practice</t>
  </si>
  <si>
    <t>203BF0201Y</t>
  </si>
  <si>
    <t>Forensic Pathology</t>
  </si>
  <si>
    <t>203BF0202N</t>
  </si>
  <si>
    <t>Forensic Psychiatry</t>
  </si>
  <si>
    <t>203BG0100Y</t>
  </si>
  <si>
    <t>203BG0201Y</t>
  </si>
  <si>
    <t>Genetics, Clinical (M.D.)</t>
  </si>
  <si>
    <t>203BG0202Y</t>
  </si>
  <si>
    <t>Genetics, Clinical Biochemical</t>
  </si>
  <si>
    <t>203BG0204Y</t>
  </si>
  <si>
    <t>Genetics, Clinical Biochemical/ Molecular</t>
  </si>
  <si>
    <t>203BG0203Y</t>
  </si>
  <si>
    <t>Genetics, Clinical Molecular</t>
  </si>
  <si>
    <t>203BG0200Y</t>
  </si>
  <si>
    <t>Genetics, Medical</t>
  </si>
  <si>
    <t>203BG0300N</t>
  </si>
  <si>
    <t>203BG0301Y</t>
  </si>
  <si>
    <t>Geriatric Medicine: Family Practice</t>
  </si>
  <si>
    <t>203BG0302Y</t>
  </si>
  <si>
    <t>Geriatric Medicine: General Practice</t>
  </si>
  <si>
    <t>203BG0303Y</t>
  </si>
  <si>
    <t>Geriatric Medicine: Internal Medicine</t>
  </si>
  <si>
    <t>203BG0400N</t>
  </si>
  <si>
    <t>203BH0000Y</t>
  </si>
  <si>
    <t>203BH0003Y</t>
  </si>
  <si>
    <t>203BH0001Y</t>
  </si>
  <si>
    <t>Hematology: Internal Medicine</t>
  </si>
  <si>
    <t>203BH0002Y</t>
  </si>
  <si>
    <t>Hematology: Pathology</t>
  </si>
  <si>
    <t>203BI0001N</t>
  </si>
  <si>
    <t>Immunology, Clinical &amp; Laboratory</t>
  </si>
  <si>
    <t>203BI0002N</t>
  </si>
  <si>
    <t>Immunology, Clinical &amp; Laboratory Dermatological</t>
  </si>
  <si>
    <t>203BI0005N</t>
  </si>
  <si>
    <t>Immunology, Clinical &amp; Laboratory: Allergy &amp; Immunology</t>
  </si>
  <si>
    <t>203BI0006N</t>
  </si>
  <si>
    <t>Immunology, Clinical &amp; Laboratory: Internal Medicine</t>
  </si>
  <si>
    <t>203BI0007N</t>
  </si>
  <si>
    <t>Immunology, Clinical &amp; Laboratory: Pediatric</t>
  </si>
  <si>
    <t>203BI0003Y</t>
  </si>
  <si>
    <t>Immunology, Dermatological</t>
  </si>
  <si>
    <t>203BI0004Y</t>
  </si>
  <si>
    <t>Immunology: Laboratory , Diagnostic</t>
  </si>
  <si>
    <t>203BI0100Y</t>
  </si>
  <si>
    <t>Immunopathology</t>
  </si>
  <si>
    <t>203BI0200Y</t>
  </si>
  <si>
    <t>203BI0400N</t>
  </si>
  <si>
    <t>Infertility</t>
  </si>
  <si>
    <t>203BL0000Y</t>
  </si>
  <si>
    <t>Laboratory Medicine</t>
  </si>
  <si>
    <t>203BM0101Y</t>
  </si>
  <si>
    <t>203BM0200Y</t>
  </si>
  <si>
    <t>Medical Diseases of the Chest</t>
  </si>
  <si>
    <t>203BM0300Y</t>
  </si>
  <si>
    <t>Medical Microbiology</t>
  </si>
  <si>
    <t>203BN0001Y</t>
  </si>
  <si>
    <t>Neonatal - Perinatal Medicine</t>
  </si>
  <si>
    <t>203BN0100Y</t>
  </si>
  <si>
    <t>Neonatology</t>
  </si>
  <si>
    <t>203BN0200N</t>
  </si>
  <si>
    <t>Neopathology</t>
  </si>
  <si>
    <t>203BN0300Y</t>
  </si>
  <si>
    <t>203BN0400Y</t>
  </si>
  <si>
    <t>203BN0402Y</t>
  </si>
  <si>
    <t>Neurology, Child</t>
  </si>
  <si>
    <t>203BN0500Y</t>
  </si>
  <si>
    <t>Neuropathology</t>
  </si>
  <si>
    <t>203BN0600Y</t>
  </si>
  <si>
    <t>Neurophysiology, Clinical</t>
  </si>
  <si>
    <t>203BN0700Y</t>
  </si>
  <si>
    <t>Neuroradiology</t>
  </si>
  <si>
    <t>203BN0901Y</t>
  </si>
  <si>
    <t>203BN0902Y</t>
  </si>
  <si>
    <t>203BN0903Y</t>
  </si>
  <si>
    <t>Nuclear Medicine, In Vivo &amp; In Vitro</t>
  </si>
  <si>
    <t>203BN0904Y</t>
  </si>
  <si>
    <t>Nuclear Radiology</t>
  </si>
  <si>
    <t>203BX0000N</t>
  </si>
  <si>
    <t>203BX0100Y</t>
  </si>
  <si>
    <t>203BX0104Y</t>
  </si>
  <si>
    <t>Occupational Medicine: Preventive Medicine</t>
  </si>
  <si>
    <t>203BX0105Y</t>
  </si>
  <si>
    <t>Occupational - Environmental Medicine: Preventive Medicine</t>
  </si>
  <si>
    <t>203BX0200Y</t>
  </si>
  <si>
    <t>Oncology</t>
  </si>
  <si>
    <t>203BX0201Y</t>
  </si>
  <si>
    <t>Oncology, Gynecologic</t>
  </si>
  <si>
    <t>203BX0202Y</t>
  </si>
  <si>
    <t>Oncology, Medical</t>
  </si>
  <si>
    <t>203BX0800N</t>
  </si>
  <si>
    <t>203BX2100Y</t>
  </si>
  <si>
    <t>Osteopathic Manipulative Medicine, Special Proficiency</t>
  </si>
  <si>
    <t>203BX0900N</t>
  </si>
  <si>
    <t>Otology</t>
  </si>
  <si>
    <t>203BX0901N</t>
  </si>
  <si>
    <t>203BX0600Y</t>
  </si>
  <si>
    <t>Otorhinolaryngology</t>
  </si>
  <si>
    <t>203BX0601N</t>
  </si>
  <si>
    <t>Otorhinolaryngology &amp; Head - Neck</t>
  </si>
  <si>
    <t>203BP0001Y</t>
  </si>
  <si>
    <t>Pain Management - Anesthesiology</t>
  </si>
  <si>
    <t>203BP2900N</t>
  </si>
  <si>
    <t>203BP0100Y</t>
  </si>
  <si>
    <t>203BP0101Y</t>
  </si>
  <si>
    <t>Pathology, Anatomic</t>
  </si>
  <si>
    <t>203BP0102Y</t>
  </si>
  <si>
    <t>Pathology, Anatomic &amp; Clinical</t>
  </si>
  <si>
    <t>203BP0103Y</t>
  </si>
  <si>
    <t>Pathology, Anatomic &amp; Laboratory Medicine</t>
  </si>
  <si>
    <t>203BP0104Y</t>
  </si>
  <si>
    <t>Pathology, Chemical</t>
  </si>
  <si>
    <t>203BP0105Y</t>
  </si>
  <si>
    <t>Pathology, Clinical</t>
  </si>
  <si>
    <t>203BP0107N</t>
  </si>
  <si>
    <t>Pathology, Radioisotopic</t>
  </si>
  <si>
    <t>203BP0201Y</t>
  </si>
  <si>
    <t>Pediatrics, Allergy/Immunology</t>
  </si>
  <si>
    <t>203BP0202Y</t>
  </si>
  <si>
    <t>Pediatric Cardiology</t>
  </si>
  <si>
    <t>203BP0203Y</t>
  </si>
  <si>
    <t>Pediatric Critical Care Medicine</t>
  </si>
  <si>
    <t>203BP0204Y</t>
  </si>
  <si>
    <t>Pediatric Emergency Medicine</t>
  </si>
  <si>
    <t>203BP0205Y</t>
  </si>
  <si>
    <t>Pediatric Endocrinology</t>
  </si>
  <si>
    <t>203BP0206Y</t>
  </si>
  <si>
    <t>Pediatric Gastroenterology</t>
  </si>
  <si>
    <t>203BP0207Y</t>
  </si>
  <si>
    <t>Pediatric Hematology Oncology</t>
  </si>
  <si>
    <t>203BP0208Y</t>
  </si>
  <si>
    <t>Pediatric Infectious Diseases</t>
  </si>
  <si>
    <t>203BP0209Y</t>
  </si>
  <si>
    <t>Pediatric Intensive Care</t>
  </si>
  <si>
    <t>203BP0220N</t>
  </si>
  <si>
    <t>Pediatric Medical Toxocology</t>
  </si>
  <si>
    <t>203BP0210Y</t>
  </si>
  <si>
    <t>Pediatric Nephrology</t>
  </si>
  <si>
    <t>203BP0211Y</t>
  </si>
  <si>
    <t>Pediatric Neurology</t>
  </si>
  <si>
    <t>203BP0212Y</t>
  </si>
  <si>
    <t>203BP0213Y</t>
  </si>
  <si>
    <t>Pediatric Pathology</t>
  </si>
  <si>
    <t>203BP0214Y</t>
  </si>
  <si>
    <t>Pediatric Pulmonology</t>
  </si>
  <si>
    <t>203BP0215N</t>
  </si>
  <si>
    <t>Pediatric Radiology</t>
  </si>
  <si>
    <t>203BP0216Y</t>
  </si>
  <si>
    <t>Pediatric Rheumatology</t>
  </si>
  <si>
    <t>203BP0200Y</t>
  </si>
  <si>
    <t>203BP2600N</t>
  </si>
  <si>
    <t>Pharmacology, Clinical</t>
  </si>
  <si>
    <t>203BP1200N</t>
  </si>
  <si>
    <t>Pharmacotherapy</t>
  </si>
  <si>
    <t>Physical Medicine &amp; Rehabilitation</t>
  </si>
  <si>
    <t>203BP0500Y</t>
  </si>
  <si>
    <t>Preventive Medicine, General</t>
  </si>
  <si>
    <t>203BP0600Y</t>
  </si>
  <si>
    <t>Proctology</t>
  </si>
  <si>
    <t>203BP0800Y</t>
  </si>
  <si>
    <t>203BP0801Y</t>
  </si>
  <si>
    <t>Psychiatry &amp; Neurology</t>
  </si>
  <si>
    <t>203BP0802Y</t>
  </si>
  <si>
    <t>Psychiatry, Addiction</t>
  </si>
  <si>
    <t>203BP0803Y</t>
  </si>
  <si>
    <t>Psychiatry, Child</t>
  </si>
  <si>
    <t>203BP0804Y</t>
  </si>
  <si>
    <t>Psychiatry, Child &amp; Adolescent</t>
  </si>
  <si>
    <t>203BP0805Y</t>
  </si>
  <si>
    <t>Psychiatry, Geriatric</t>
  </si>
  <si>
    <t>203BP0806N</t>
  </si>
  <si>
    <t>Psychiatry, Pediatric</t>
  </si>
  <si>
    <t>203BP1300N</t>
  </si>
  <si>
    <t>Psychopharmacy</t>
  </si>
  <si>
    <t>203BP0901N</t>
  </si>
  <si>
    <t>Public Health &amp; General Preventive Medicine</t>
  </si>
  <si>
    <t>203BP0903Y</t>
  </si>
  <si>
    <t>Public Health: Preventive Medicine</t>
  </si>
  <si>
    <t>203BP1001Y</t>
  </si>
  <si>
    <t>Pulmonary Diseases</t>
  </si>
  <si>
    <t>203BP1003Y</t>
  </si>
  <si>
    <t>Pulmonary Medicine</t>
  </si>
  <si>
    <t>203BR0001Y</t>
  </si>
  <si>
    <t>203BR0002Y</t>
  </si>
  <si>
    <t>Radiation Therapy</t>
  </si>
  <si>
    <t>203BR0205N</t>
  </si>
  <si>
    <t>Radiological Physics</t>
  </si>
  <si>
    <t>203BR0200Y</t>
  </si>
  <si>
    <t>203BR0201Y</t>
  </si>
  <si>
    <t>Radiology, Angiography &amp; Interventional</t>
  </si>
  <si>
    <t>203BR0202Y</t>
  </si>
  <si>
    <t>Radiology, Diagnostic</t>
  </si>
  <si>
    <t>203BR0203N</t>
  </si>
  <si>
    <t>Radiology, Therapeutic</t>
  </si>
  <si>
    <t>203BR0204N</t>
  </si>
  <si>
    <t>Radiology, Vascular &amp; Interventional</t>
  </si>
  <si>
    <t>203BR0300N</t>
  </si>
  <si>
    <t>Radium Therapy</t>
  </si>
  <si>
    <t>203BR0402Y</t>
  </si>
  <si>
    <t>Rehabilitation Medicine</t>
  </si>
  <si>
    <t>203BR0500Y</t>
  </si>
  <si>
    <t>203BR0600N</t>
  </si>
  <si>
    <t>Rhinology</t>
  </si>
  <si>
    <t>203BR0700Y</t>
  </si>
  <si>
    <t>Roentgenology</t>
  </si>
  <si>
    <t>203BR0701Y</t>
  </si>
  <si>
    <t>Roentgenology, Diagnostic</t>
  </si>
  <si>
    <t>203BS0000Y</t>
  </si>
  <si>
    <t>203BS0001Y</t>
  </si>
  <si>
    <t>Sports Medicine: Emergency Medicine</t>
  </si>
  <si>
    <t>203BS0002Y</t>
  </si>
  <si>
    <t>Sports Medicine: Family Practice</t>
  </si>
  <si>
    <t>203BS0003Y</t>
  </si>
  <si>
    <t>Sports Medicine: Internal Medicine</t>
  </si>
  <si>
    <t>203BS0004Y</t>
  </si>
  <si>
    <t>Sports Medicine: Pediatrics</t>
  </si>
  <si>
    <t>203BS0104N</t>
  </si>
  <si>
    <t>Surgery, Abdominal</t>
  </si>
  <si>
    <t>203BS0133N</t>
  </si>
  <si>
    <t>Surgery, Cardiovascular</t>
  </si>
  <si>
    <t>203BS0101Y</t>
  </si>
  <si>
    <t>Surgery, Colon &amp; Rectal Surgery</t>
  </si>
  <si>
    <t>203BS0123Y</t>
  </si>
  <si>
    <t>Surgery, Facial Plastic</t>
  </si>
  <si>
    <t>203BS0100Y</t>
  </si>
  <si>
    <t>Surgery, General</t>
  </si>
  <si>
    <t>203BS0129Y</t>
  </si>
  <si>
    <t>Surgery, General Vascular</t>
  </si>
  <si>
    <t>203BS0105Y</t>
  </si>
  <si>
    <t>Surgery, Hand</t>
  </si>
  <si>
    <t>203BS0106Y</t>
  </si>
  <si>
    <t>Surgery, Hand: Orthopedic Surgery</t>
  </si>
  <si>
    <t>203BS0107Y</t>
  </si>
  <si>
    <t>Surgery, Hand: Plastic Surgery</t>
  </si>
  <si>
    <t>203BS0108N</t>
  </si>
  <si>
    <t>Surgery, Head &amp; Neck</t>
  </si>
  <si>
    <t>203BS0110Y</t>
  </si>
  <si>
    <t>Surgery, Neurological</t>
  </si>
  <si>
    <t>203BS0111Y</t>
  </si>
  <si>
    <t>Surgery, Obstetric &amp; Gynecologic</t>
  </si>
  <si>
    <t>203BS0113Y</t>
  </si>
  <si>
    <t>Surgery, Orthopedic</t>
  </si>
  <si>
    <t>203BS0114N</t>
  </si>
  <si>
    <t>Surgery, Orthopedic, Adult Reconstructive</t>
  </si>
  <si>
    <t>203BS0115N</t>
  </si>
  <si>
    <t>Surgery, Orthopedic, Musculoskeletal Oncology</t>
  </si>
  <si>
    <t>203BS0116N</t>
  </si>
  <si>
    <t>Surgery, Orthopedic, Pediatric</t>
  </si>
  <si>
    <t>203BS0117N</t>
  </si>
  <si>
    <t>Surgery, Orthopedic, Spine</t>
  </si>
  <si>
    <t>203BS0119N</t>
  </si>
  <si>
    <t>Surgery, Orthopedic, Trauma</t>
  </si>
  <si>
    <t>203BS0130Y</t>
  </si>
  <si>
    <t>Surgery, Otorhinolaryngology &amp; Facial Plastic Surgery</t>
  </si>
  <si>
    <t>203BS0120Y</t>
  </si>
  <si>
    <t>Surgery, Pediatric</t>
  </si>
  <si>
    <t>203BS0121Y</t>
  </si>
  <si>
    <t>Surgery, Plastic</t>
  </si>
  <si>
    <t>203BS0122Y</t>
  </si>
  <si>
    <t>Surgery, Plastic &amp; Reconstructive</t>
  </si>
  <si>
    <t>203BS0125Y</t>
  </si>
  <si>
    <t>Surgery, Thoracic</t>
  </si>
  <si>
    <t>203BS0126Y</t>
  </si>
  <si>
    <t>Surgery, Thoracic Cardiovascular</t>
  </si>
  <si>
    <t>203BS0127N</t>
  </si>
  <si>
    <t>Surgery, Traumatic</t>
  </si>
  <si>
    <t>203BS0128Y</t>
  </si>
  <si>
    <t>Surgery, Urological</t>
  </si>
  <si>
    <t>203BS0102Y</t>
  </si>
  <si>
    <t>Surgical Critical Care: Surgery</t>
  </si>
  <si>
    <t>203BT0100N</t>
  </si>
  <si>
    <t>203BT0000Y</t>
  </si>
  <si>
    <t>Toxicology, Medical</t>
  </si>
  <si>
    <t>203BT0002Y</t>
  </si>
  <si>
    <t>Toxicology, Medical: Emergency Medicine</t>
  </si>
  <si>
    <t>203BT0001Y</t>
  </si>
  <si>
    <t>Toxicology, Medical: Preventive Medicine</t>
  </si>
  <si>
    <t>203BU0001Y</t>
  </si>
  <si>
    <t>Ultrasound, Diagnostic</t>
  </si>
  <si>
    <t>203BU0300Y</t>
  </si>
  <si>
    <t>Underseas Medicine: Preventive Medicine</t>
  </si>
  <si>
    <t>203BU0100Y</t>
  </si>
  <si>
    <t>Urology</t>
  </si>
  <si>
    <t>353BL0002N</t>
  </si>
  <si>
    <t>Laboratory Service Provider</t>
  </si>
  <si>
    <t>353BS0900N</t>
  </si>
  <si>
    <t>Supplier</t>
  </si>
  <si>
    <t>213EG0000N</t>
  </si>
  <si>
    <t>213EP0504N</t>
  </si>
  <si>
    <t>Preventive Medicine: Public Health</t>
  </si>
  <si>
    <t>213EP1101N</t>
  </si>
  <si>
    <t>Primary Podiatric Medicine</t>
  </si>
  <si>
    <t>213ER0200N</t>
  </si>
  <si>
    <t>213ES0000N</t>
  </si>
  <si>
    <t>213ES0131N</t>
  </si>
  <si>
    <t>Surgery, Foot</t>
  </si>
  <si>
    <t>213ES0103N</t>
  </si>
  <si>
    <t>Surgery, Foot &amp; Ankle</t>
  </si>
  <si>
    <t>203BG0000Y</t>
  </si>
  <si>
    <t>Allergy &amp; Immunology, Allergy</t>
  </si>
  <si>
    <t>Allergy &amp; Immunology, Clinical &amp; Laboratory Immunology</t>
  </si>
  <si>
    <t>Anesthesiology, Addiction Medicine</t>
  </si>
  <si>
    <t>Anesthesiology, Critical Care Medicine</t>
  </si>
  <si>
    <t>Anesthesiology, Pain Medicine</t>
  </si>
  <si>
    <t>Chiropractor, Internist</t>
  </si>
  <si>
    <t>Chiropractor, Neurology</t>
  </si>
  <si>
    <t>Chiropractor, Nutrition</t>
  </si>
  <si>
    <t>Chiropractor, Occupational Health</t>
  </si>
  <si>
    <t>Chiropractor, Orthopedic</t>
  </si>
  <si>
    <t>Chiropractor, Radiology</t>
  </si>
  <si>
    <t>Chiropractor, Sports Physician</t>
  </si>
  <si>
    <t>Chiropractor, Thermography</t>
  </si>
  <si>
    <t>Colon &amp; Rectal Surgery</t>
  </si>
  <si>
    <t>Dentist, Dental Public Health</t>
  </si>
  <si>
    <t>Dentist, Endodontics</t>
  </si>
  <si>
    <t>Dentist, General Practice</t>
  </si>
  <si>
    <t>Dentist, Oral and Maxillofacial Pathology</t>
  </si>
  <si>
    <t>Dentist, Oral and Maxillofacial Radiology</t>
  </si>
  <si>
    <t>Dentist, Oral and Maxillofacial Surgery</t>
  </si>
  <si>
    <t>Dentist, Orthodontics and Dentofacial Orthopedics</t>
  </si>
  <si>
    <t>Dentist, Pediatric Dentistry</t>
  </si>
  <si>
    <t>Dentist, Periodontics</t>
  </si>
  <si>
    <t>Dentist, Prosthodontics</t>
  </si>
  <si>
    <t>Dermatology, Clinical &amp; Laboratory Dermatological Immunology</t>
  </si>
  <si>
    <t>Dermatology, Procedural Dermatology</t>
  </si>
  <si>
    <t>Dermatology, Dermatopathology</t>
  </si>
  <si>
    <t>Dermatology, MOHS-Micrographic Surgery</t>
  </si>
  <si>
    <t>Dermatology, Pediatric Dermatology</t>
  </si>
  <si>
    <t>Emergency Medicine, Emergency Medical Services</t>
  </si>
  <si>
    <t>Emergency Medicine, Medical Toxicology</t>
  </si>
  <si>
    <t>Emergency Medicine, Pediatric Emergency Medicine</t>
  </si>
  <si>
    <t>Emergency Medicine, Sports Medicine</t>
  </si>
  <si>
    <t>Emergency Medicine, Undersea and Hyperbaric Medicine</t>
  </si>
  <si>
    <t>Otolaryngology, Facial Plastic Surgery</t>
  </si>
  <si>
    <t>Family Practice, Addiction Medicine</t>
  </si>
  <si>
    <t>Family Practice, Adolescent Medicine</t>
  </si>
  <si>
    <t>Family Practice, Adult Medicine</t>
  </si>
  <si>
    <t>Family Practice, Geriatric Medicine</t>
  </si>
  <si>
    <t>Family Practice, Sports Medicine</t>
  </si>
  <si>
    <t>Hospitalist</t>
  </si>
  <si>
    <t>Internal Medicine, Addiction Medicine</t>
  </si>
  <si>
    <t>Internal Medicine, Adolescent Medicine</t>
  </si>
  <si>
    <t>Internal Medicine, Allergy &amp; Immunology</t>
  </si>
  <si>
    <t>Internal Medicine, Cardiovascular Disease</t>
  </si>
  <si>
    <t>Internal Medicine, Clinical &amp; Laboratory Immunology</t>
  </si>
  <si>
    <t>Internal Medicine, Clinical Cardiac Electrophysiology</t>
  </si>
  <si>
    <t>Internal Medicine, Critical Care Medicine</t>
  </si>
  <si>
    <t>Internal Medicine, Endocrinology, Diabetes &amp; Metabolism</t>
  </si>
  <si>
    <t>Internal Medicine, Gastroenterology</t>
  </si>
  <si>
    <t>Internal Medicine, Geriatric Medicine</t>
  </si>
  <si>
    <t>Internal Medicine, Hematology</t>
  </si>
  <si>
    <t>Internal Medicine, Hematology &amp; Oncology</t>
  </si>
  <si>
    <t>Internal Medicine, Hepatology</t>
  </si>
  <si>
    <t>Internal Medicine, Infectious Disease</t>
  </si>
  <si>
    <t>Internal Medicine, Interventional Cardiology</t>
  </si>
  <si>
    <t>Internal Medicine, Magnetic Resonance Imaging (MRI)</t>
  </si>
  <si>
    <t>Internal Medicine, Medical Oncology</t>
  </si>
  <si>
    <t>Internal Medicine, Nephrology</t>
  </si>
  <si>
    <t>Internal Medicine, Pulmonary Disease</t>
  </si>
  <si>
    <t>Internal Medicine, Rheumatology</t>
  </si>
  <si>
    <t>Internal Medicine, Sports Medicine</t>
  </si>
  <si>
    <t>Laboratories, Clinical Medical Laboratory</t>
  </si>
  <si>
    <t>Medical Genetics, Clinical Biochemical Genetics</t>
  </si>
  <si>
    <t>Medical Genetics, Clinical Cytogenetic</t>
  </si>
  <si>
    <t>Medical Genetics, Clinical Genetics (M.D.)</t>
  </si>
  <si>
    <t>Medical Genetics, Clinical Molecular Genetics</t>
  </si>
  <si>
    <t>Medical Genetics, Molecular Genetic Pathology</t>
  </si>
  <si>
    <t>Medical Genetics, Ph.D. Medical Genetics</t>
  </si>
  <si>
    <t>Pediatrics, Neonatal-Perinatal Medicine</t>
  </si>
  <si>
    <t>Psychiatry &amp; Neurology, Neurology</t>
  </si>
  <si>
    <t>Nuclear Medicine, In Vivo &amp; In Vitro Nuclear Medicine</t>
  </si>
  <si>
    <t>Nuclear Medicine, Nuclear Cardiology</t>
  </si>
  <si>
    <t>Nuclear Medicine, Nuclear Imaging &amp; Therapy</t>
  </si>
  <si>
    <t>Obstetrics &amp; Gynecology, Critical Care Medicine</t>
  </si>
  <si>
    <t>Obstetrics &amp; Gynecology, Gynecologic Oncology</t>
  </si>
  <si>
    <t>Obstetrics &amp; Gynecology, Gynecology</t>
  </si>
  <si>
    <t>Obstetrics &amp; Gynecology, Maternal &amp; Fetal Medicine</t>
  </si>
  <si>
    <t>Obstetrics &amp; Gynecology, Obstetrics</t>
  </si>
  <si>
    <t>Obstetrics &amp; Gynecology, Reproductive Endocrinology</t>
  </si>
  <si>
    <t>Orthopaedic Surgery, Adult Reconstructive Orthopaedic Surgery</t>
  </si>
  <si>
    <t>Orthopaedic Surgery, Foot and Ankle Orthopaedics</t>
  </si>
  <si>
    <t>Orthopaedic Surgery, Hand Surgery</t>
  </si>
  <si>
    <t>Orthopaedic Surgery, Orthopaedic Surgery of the Spine</t>
  </si>
  <si>
    <t>Orthopaedic Surgery, Orthopaedic Trauma</t>
  </si>
  <si>
    <t>Orthopaedic Surgery, Sports Medicine</t>
  </si>
  <si>
    <t>Otolaryngology, Otolaryngic Allergy</t>
  </si>
  <si>
    <t>Otolaryngology, Otolaryngology/Facial Plastic Surgery</t>
  </si>
  <si>
    <t>Otolaryngology, Otology &amp; Neurotology</t>
  </si>
  <si>
    <t>Otolaryngology, Pediatric Otolaryngology</t>
  </si>
  <si>
    <t>Otolaryngology, Plastic Surgery within the Head &amp; Neck</t>
  </si>
  <si>
    <t>Pain Medicine, Interventional Pain Medicine</t>
  </si>
  <si>
    <t>Pathology, Anatomic Pathology</t>
  </si>
  <si>
    <t>Pathology, Anatomic Pathology &amp; Clinical Pathology</t>
  </si>
  <si>
    <t>Pathology, Blood Banking &amp; Transfusion Medicine</t>
  </si>
  <si>
    <t>Pathology, Chemical Pathology</t>
  </si>
  <si>
    <t>Pathology, Clinical Pathology/Laboratory Medicine</t>
  </si>
  <si>
    <t>Pathology, Cytopathology</t>
  </si>
  <si>
    <t>Pathology, Dermatopathology</t>
  </si>
  <si>
    <t>Pathology, Forensic Pathology</t>
  </si>
  <si>
    <t>Pathology, Hematology</t>
  </si>
  <si>
    <t>Pathology, Immunopathology</t>
  </si>
  <si>
    <t>Pathology, Medical Microbiology</t>
  </si>
  <si>
    <t>Pathology, Molecular Genetic Pathology</t>
  </si>
  <si>
    <t>Pathology, Neuropathology</t>
  </si>
  <si>
    <t>Pathology, Pediatric Pathology</t>
  </si>
  <si>
    <t>Pediatrics, Adolescent Medicine</t>
  </si>
  <si>
    <t>Pediatrics, Clinical &amp; Laboratory Immunology</t>
  </si>
  <si>
    <t>Pediatrics, Developmental - Behavioral Pediatrics</t>
  </si>
  <si>
    <t>Pediatrics, Medical Toxicology</t>
  </si>
  <si>
    <t>Pediatrics, Neurodevelopmental Disabilities</t>
  </si>
  <si>
    <t>Pediatrics, Pediatric Allergy &amp; Immunology</t>
  </si>
  <si>
    <t>Pediatrics, Pediatric Cardiology</t>
  </si>
  <si>
    <t>Pediatrics, Pediatric Critical Care Medicine</t>
  </si>
  <si>
    <t>Pediatrics, Pediatric Emergency Medicine</t>
  </si>
  <si>
    <t>Pediatrics, Pediatric Endocrinology</t>
  </si>
  <si>
    <t>Pediatrics, Pediatric Gastroenterology</t>
  </si>
  <si>
    <t>Pediatrics, Pediatric Hematology-Oncology</t>
  </si>
  <si>
    <t>Pediatrics, Pediatric Infectious Diseases</t>
  </si>
  <si>
    <t>Pediatrics, Pediatric Nephrology</t>
  </si>
  <si>
    <t>Pediatrics, Pediatric Pulmonology</t>
  </si>
  <si>
    <t>Pediatrics, Pediatric Rheumatology</t>
  </si>
  <si>
    <t>Pediatrics, Sports Medicine</t>
  </si>
  <si>
    <t>Physical Medicine &amp; Rehabilitation, Pain Medicine</t>
  </si>
  <si>
    <t>Physical Medicine &amp; Rehabilitation, Pediatric Rehabilitation Medicine</t>
  </si>
  <si>
    <t>Physical Medicine &amp; Rehabilitation, Spinal Cord Injury Medicine</t>
  </si>
  <si>
    <t>Physical Medicine &amp; Rehabilitation, Sports Medicine</t>
  </si>
  <si>
    <t>Plastic Surgery</t>
  </si>
  <si>
    <t>Plastic Surgery, Plastic Surgery Within the Head and Neck</t>
  </si>
  <si>
    <t>Plastic Surgery, Surgery of the Hand</t>
  </si>
  <si>
    <t>Podiatrist, Foot &amp; Ankle Surgery</t>
  </si>
  <si>
    <t>Podiatrist, Foot Surgery</t>
  </si>
  <si>
    <t>Podiatrist, General Practice</t>
  </si>
  <si>
    <t>Podiatrist, Primary Podiatric Medicine</t>
  </si>
  <si>
    <t>Podiatrist, Public Medicine</t>
  </si>
  <si>
    <t>Podiatrist, Radiology</t>
  </si>
  <si>
    <t>Podiatrist, Sports Medicine</t>
  </si>
  <si>
    <t>Preventive Medicine, Aerospace Medicine</t>
  </si>
  <si>
    <t>Preventive Medicine, Medical Toxicology</t>
  </si>
  <si>
    <t>Preventive Medicine, Occupational Medicine</t>
  </si>
  <si>
    <t>Preventive Medicine, Sports Medicine</t>
  </si>
  <si>
    <t>Preventive Medicine, Undersea and Hyperbaric Medicine</t>
  </si>
  <si>
    <t>Preventive Medicine/Occupational Environmental Medicine</t>
  </si>
  <si>
    <t>Psychiatry &amp; Neurology, Addiction Medicine</t>
  </si>
  <si>
    <t>Psychiatry &amp; Neurology, Addiction Psychiatry</t>
  </si>
  <si>
    <t>Psychiatry &amp; Neurology, Child &amp; Adolescent Psychiatry</t>
  </si>
  <si>
    <t>Psychiatry &amp; Neurology, Clinical Neurophysiology</t>
  </si>
  <si>
    <t>Psychiatry &amp; Neurology, Forensic Psychiatry</t>
  </si>
  <si>
    <t>Psychiatry &amp; Neurology, Geriatric Psychiatry</t>
  </si>
  <si>
    <t>Psychiatry &amp; Neurology, Neurodevelopmental Disabilities</t>
  </si>
  <si>
    <t>Psychiatry &amp; Neurology, Neurology with Special Qualifications in Child Neurology</t>
  </si>
  <si>
    <t>Psychiatry &amp; Neurology, Pain Medicine</t>
  </si>
  <si>
    <t>Psychiatry &amp; Neurology, Psychiatry</t>
  </si>
  <si>
    <t>Psychiatry &amp; Neurology, Sports Medicine</t>
  </si>
  <si>
    <t>Psychiatry &amp; Neurology, Vascular Neurology</t>
  </si>
  <si>
    <t>Radiology, Body Imaging</t>
  </si>
  <si>
    <t>Radiology, Diagnostic Radiology</t>
  </si>
  <si>
    <t>Radiology, Diagnostic Ultrasound</t>
  </si>
  <si>
    <t>Radiology, Neuroradiology</t>
  </si>
  <si>
    <t>Radiology, Nuclear Radiology</t>
  </si>
  <si>
    <t>Radiology, Pediatric Radiology</t>
  </si>
  <si>
    <t>Radiology, Radiation Oncology</t>
  </si>
  <si>
    <t>Radiology, Radiological Physics</t>
  </si>
  <si>
    <t>Radiology, Therapeutic Radiology</t>
  </si>
  <si>
    <t>Radiology, Vascular &amp; Interventional Radiology</t>
  </si>
  <si>
    <t>Surgery</t>
  </si>
  <si>
    <t>Surgery, Pediatric Surgery</t>
  </si>
  <si>
    <t>Surgery, Plastic and Reconstructive Surgery</t>
  </si>
  <si>
    <t>Surgery, Surgery of the Hand</t>
  </si>
  <si>
    <t>Surgery, Surgical Critical Care</t>
  </si>
  <si>
    <t>Surgery, Surgical Oncology</t>
  </si>
  <si>
    <t>Surgery, Trauma Surgery</t>
  </si>
  <si>
    <t>Surgery, Vascular Surgery</t>
  </si>
  <si>
    <t>Thoracic Surgery (Cardiothoracic Vascular Surgery)</t>
  </si>
  <si>
    <t>Transplant Surgery</t>
  </si>
  <si>
    <t>Acupuncturist</t>
  </si>
  <si>
    <t>Audiologist, Assistive Technology Practitioner</t>
  </si>
  <si>
    <t>Audiologist, Assistive Technology Supplier</t>
  </si>
  <si>
    <t>Speech-Language Pathologist</t>
  </si>
  <si>
    <t>Counselor, Addiction (Substance Use Disorder)</t>
  </si>
  <si>
    <t>Counselor, Mental Health</t>
  </si>
  <si>
    <t>Counselor, Professional</t>
  </si>
  <si>
    <t>Marriage &amp; Family Therapist</t>
  </si>
  <si>
    <t>Religious Nonmedical Nursing Personnel</t>
  </si>
  <si>
    <t>Dietician, Registered</t>
  </si>
  <si>
    <t>Dietician, Registered, Nutrition, Pediatric</t>
  </si>
  <si>
    <t>Dietician, Registered, Nutrition, Renal</t>
  </si>
  <si>
    <t>Dietician, Registered, Nutrition, Metabolic</t>
  </si>
  <si>
    <t>Nutritionist, Nutrition, Education</t>
  </si>
  <si>
    <t>Midwife, Certified</t>
  </si>
  <si>
    <t>Neuropsychologist</t>
  </si>
  <si>
    <t>Occupational Therapist, Ergonomics</t>
  </si>
  <si>
    <t>Occupational Therapist, Hand</t>
  </si>
  <si>
    <t>Occupational Therapist, Human Factors</t>
  </si>
  <si>
    <t>Occupational Therapist, Neurorehabilitation</t>
  </si>
  <si>
    <t>Occupational Therapist, Pediatrics</t>
  </si>
  <si>
    <t>Occupational Therapist, Driving and Community Mobility</t>
  </si>
  <si>
    <t>Optometrist, Corneal and Contact Management</t>
  </si>
  <si>
    <t>Optometrist, Low Vision Rehabilitation</t>
  </si>
  <si>
    <t>Optometrist, Pediatrics</t>
  </si>
  <si>
    <t>Optometrist, Sports Vision</t>
  </si>
  <si>
    <t>Optometrist, Vision Therapy</t>
  </si>
  <si>
    <t>Optometrist, Occupational Vision</t>
  </si>
  <si>
    <t>Pharmacist, General Practice</t>
  </si>
  <si>
    <t>Pharmacist, Nuclear Pharmacy</t>
  </si>
  <si>
    <t>Pharmacist, Nutrition Support</t>
  </si>
  <si>
    <t>Pharmacist, Pharmacotherapy</t>
  </si>
  <si>
    <t>Pharmacist, Psychopharmacy</t>
  </si>
  <si>
    <t>Physical Therapist, Cardiopulmonary</t>
  </si>
  <si>
    <t>Physical Therapist, Ergonomics</t>
  </si>
  <si>
    <t>Physical Therapist, Electrophysiology, Clinical</t>
  </si>
  <si>
    <t>Physical Therapist, Geriatrics</t>
  </si>
  <si>
    <t>Physical Therapist, Hand</t>
  </si>
  <si>
    <t>Physical Therapist, Human Factors</t>
  </si>
  <si>
    <t>Physical Therapist, Neurology</t>
  </si>
  <si>
    <t>Physical Therapist, Pediatrics</t>
  </si>
  <si>
    <t>Physical Therapist, Sports</t>
  </si>
  <si>
    <t>Physical Therapist, Orthopedic</t>
  </si>
  <si>
    <t>Physician Assistant, Medical</t>
  </si>
  <si>
    <t>Physician Assistant, Surgical</t>
  </si>
  <si>
    <t>Psychologist, Addiction (Substance Use Disorder)</t>
  </si>
  <si>
    <t>Psychologist, Adult Development &amp; Aging</t>
  </si>
  <si>
    <t>Psychologist, Behavioral</t>
  </si>
  <si>
    <t>Psychologist, Clinical</t>
  </si>
  <si>
    <t>Psychologist, Counseling</t>
  </si>
  <si>
    <t>Psychologist, Child, Youth &amp; Family</t>
  </si>
  <si>
    <t>Psychologist, Educational</t>
  </si>
  <si>
    <t>Psychologist, Exercise &amp; Sports</t>
  </si>
  <si>
    <t>Psychologist, Family</t>
  </si>
  <si>
    <t>Psychologist, Forensic</t>
  </si>
  <si>
    <t>Psychologist, Health</t>
  </si>
  <si>
    <t>Psychologist, Men &amp; Masculinity</t>
  </si>
  <si>
    <t>Psychologist, Mental Retardation &amp; Developmental Disabilities</t>
  </si>
  <si>
    <t>Psychologist, Psychoanalysis</t>
  </si>
  <si>
    <t>Psychologist, Psychotherapy</t>
  </si>
  <si>
    <t>Psychologist, Psychotherapy, Group</t>
  </si>
  <si>
    <t>Psychologist, Rehabilitation</t>
  </si>
  <si>
    <t>Psychologist, School</t>
  </si>
  <si>
    <t>Psychologist, Women</t>
  </si>
  <si>
    <t>Respiratory Therapist, Certified</t>
  </si>
  <si>
    <t>Respiratory Therapist, Certified, Critical Care</t>
  </si>
  <si>
    <t>Respiratory Therapist, Certified, Emergency Care</t>
  </si>
  <si>
    <t>Respiratory Therapist, Certified, Educational</t>
  </si>
  <si>
    <t>Respiratory Therapist, Certified, Geriatric Care</t>
  </si>
  <si>
    <t>Respiratory Therapist, Certified, General Care</t>
  </si>
  <si>
    <t>Respiratory Therapist, Certified, Home Health</t>
  </si>
  <si>
    <t>Respiratory Therapist, Certified, Pulmonary Diagnostics</t>
  </si>
  <si>
    <t>Respiratory Therapist, Certified, Pulmonary Rehabilitation</t>
  </si>
  <si>
    <t>Respiratory Therapist, Certified, Pulmonary Function Technologist</t>
  </si>
  <si>
    <t>Respiratory Therapist, Certified, Palliative/Hospice</t>
  </si>
  <si>
    <t>Respiratory Therapist, Certified, Neonatal/Pediatrics</t>
  </si>
  <si>
    <t>Respiratory Therapist, Certified, Patient Transport</t>
  </si>
  <si>
    <t>Respiratory Therapist, Certified, SNF/Subacute Care</t>
  </si>
  <si>
    <t>Respiratory Therapist, Registered</t>
  </si>
  <si>
    <t>Respiratory Therapist, Registered, Critical Care</t>
  </si>
  <si>
    <t>Respiratory Therapist, Registered, Emergency Care</t>
  </si>
  <si>
    <t>Respiratory Therapist, Registered, Educational</t>
  </si>
  <si>
    <t>Respiratory Therapist, Registered, Geriatric Care</t>
  </si>
  <si>
    <t>Respiratory Therapist, Registered, General Care</t>
  </si>
  <si>
    <t>Respiratory Therapist, Registered, Home Health</t>
  </si>
  <si>
    <t>Respiratory Therapist, Registered, Pulmonary Diagnostics</t>
  </si>
  <si>
    <t>Respiratory Therapist, Registered, Pulmonary Rehabilitation</t>
  </si>
  <si>
    <t>Respiratory Therapist, Registered, Pulmonary Function Technologist</t>
  </si>
  <si>
    <t>Respiratory Therapist, Registered, Palliative/Hospice</t>
  </si>
  <si>
    <t>Respiratory Therapist, Registered, Neonatal/Pediatrics</t>
  </si>
  <si>
    <t>Respiratory Therapist, Registered, Patient Transport</t>
  </si>
  <si>
    <t>Respiratory Therapist, Registered, SNF/Subacute Care</t>
  </si>
  <si>
    <t>Social Worker, Clinical</t>
  </si>
  <si>
    <t>Specialist/Technologist, Other, Biomedical Engineering</t>
  </si>
  <si>
    <t>Technician, Other, Biomedical Engineering</t>
  </si>
  <si>
    <t>Licensed Practical Nurse</t>
  </si>
  <si>
    <t>Advanced Practice Midwife</t>
  </si>
  <si>
    <t>Nurse Anesthetist, Certified Registered</t>
  </si>
  <si>
    <t>Nurse Practitioner</t>
  </si>
  <si>
    <t>Nurse Practitioner, Acute Care</t>
  </si>
  <si>
    <t>Nurse Practitioner, Adult Health</t>
  </si>
  <si>
    <t>Nurse Practitioner, Critical Care Medicine</t>
  </si>
  <si>
    <t>Nurse Practitioner, Community Health</t>
  </si>
  <si>
    <t>Nurse Practitioner, Family</t>
  </si>
  <si>
    <t>Nurse Practitioner, Gerontology</t>
  </si>
  <si>
    <t>Nurse Practitioner, Neonatal</t>
  </si>
  <si>
    <t>Nurse Practitioner, Neonatal, Critical Care</t>
  </si>
  <si>
    <t>Nurse Practitioner, Pediatrics</t>
  </si>
  <si>
    <t>Nurse Practitioner, Pediatrics, Critical Care</t>
  </si>
  <si>
    <t>Nurse Practitioner, Psych/Mental Health</t>
  </si>
  <si>
    <t>Nurse Practitioner, Perinatal</t>
  </si>
  <si>
    <t>Nurse Practitioner, Primary Care</t>
  </si>
  <si>
    <t>Nurse Practitioner, School</t>
  </si>
  <si>
    <t>Nurse Practitioner, Women's Health</t>
  </si>
  <si>
    <t>Nurse Practitioner, Obstetrics &amp; Gynecology</t>
  </si>
  <si>
    <t>Nurse Practitioner, Occupational Health</t>
  </si>
  <si>
    <t>Registered Nurse</t>
  </si>
  <si>
    <t>Registered Nurse, Addiction (Substance Use Disorder)</t>
  </si>
  <si>
    <t>Registered Nurse, Administrator</t>
  </si>
  <si>
    <t>Registered Nurse, Critical Care Medicine</t>
  </si>
  <si>
    <t>Registered Nurse, Case Management</t>
  </si>
  <si>
    <t>Registered Nurse, College Health</t>
  </si>
  <si>
    <t>Registered Nurse, Community Health</t>
  </si>
  <si>
    <t>Registered Nurse, Continuing Education/Staff Development</t>
  </si>
  <si>
    <t>Registered Nurse, Continence Care</t>
  </si>
  <si>
    <t>Registered Nurse, Cardiac Rehabilitation</t>
  </si>
  <si>
    <t>Registered Nurse, Diabetes Educator</t>
  </si>
  <si>
    <t>Registered Nurse, Dialysis, Peritoneal</t>
  </si>
  <si>
    <t>Registered Nurse, Emergency</t>
  </si>
  <si>
    <t>Registered Nurse, Enterostomal Therapy</t>
  </si>
  <si>
    <t>Registered Nurse, Flight</t>
  </si>
  <si>
    <t>Registered Nurse, General Practice</t>
  </si>
  <si>
    <t>Registered Nurse, Gastroenterology</t>
  </si>
  <si>
    <t>Registered Nurse, Gerontology</t>
  </si>
  <si>
    <t>Registered Nurse, Home Health</t>
  </si>
  <si>
    <t>Registered Nurse, Hemodialysis</t>
  </si>
  <si>
    <t>Registered Nurse, Hospice</t>
  </si>
  <si>
    <t>Registered Nurse, Infusion Therapy</t>
  </si>
  <si>
    <t>Registered Nurse, Infection Control</t>
  </si>
  <si>
    <t>Registered Nurse, Lactation Consultant</t>
  </si>
  <si>
    <t>Registered Nurse, Maternal Newborn</t>
  </si>
  <si>
    <t>Registered Nurse, Medical-Surgical</t>
  </si>
  <si>
    <t>Registered Nurse, Nurse Massage Therapist (NMT)</t>
  </si>
  <si>
    <t>Registered Nurse, Neonatal Intensive Care</t>
  </si>
  <si>
    <t>Registered Nurse, Neonatal, Low-Risk</t>
  </si>
  <si>
    <t>Registered Nurse, Nephrology</t>
  </si>
  <si>
    <t>Registered Nurse, Neuroscience</t>
  </si>
  <si>
    <t>Registered Nurse, Nutrition Support</t>
  </si>
  <si>
    <t>Registered Nurse, Pain Management</t>
  </si>
  <si>
    <t>Registered Nurse, Pediatrics</t>
  </si>
  <si>
    <t>Registered Nurse, Pediatric Oncology</t>
  </si>
  <si>
    <t>Registered Nurse, Psych/Mental Health, Child &amp; Adolescent</t>
  </si>
  <si>
    <t>Registered Nurse, Psych/Mental Health</t>
  </si>
  <si>
    <t>Registered Nurse, Psych/Mental Health, Adult</t>
  </si>
  <si>
    <t>Registered Nurse, Perinatal</t>
  </si>
  <si>
    <t>Registered Nurse, Ambulatory Care</t>
  </si>
  <si>
    <t>Registered Nurse, Rehabilitation</t>
  </si>
  <si>
    <t>Registered Nurse, Reproductive Endocrinology/Infertility</t>
  </si>
  <si>
    <t>Registered Nurse, Plastic Surgery</t>
  </si>
  <si>
    <t>Registered Nurse, School</t>
  </si>
  <si>
    <t>Registered Nurse, Urology</t>
  </si>
  <si>
    <t>Registered Nurse, Wound Care</t>
  </si>
  <si>
    <t>Registered Nurse, Women's Health Care, Ambulatory</t>
  </si>
  <si>
    <t>Registered Nurse, Obstetric, High-Risk</t>
  </si>
  <si>
    <t>Registered Nurse, Obstetric, Inpatient</t>
  </si>
  <si>
    <t>Registered Nurse, Occupational Health</t>
  </si>
  <si>
    <t>Registered Nurse, Oncology</t>
  </si>
  <si>
    <t>Registered Nurse, Otorhinolaryngology &amp; Head-Neck</t>
  </si>
  <si>
    <t>Registered Nurse, Orthopedic</t>
  </si>
  <si>
    <t>Registered Nurse, Ophthalmic</t>
  </si>
  <si>
    <t>Registered Nurse, Ostomy Care</t>
  </si>
  <si>
    <t>Clinical Nurse Specialist</t>
  </si>
  <si>
    <t>Clinical Nurse Specialist, Acute Care</t>
  </si>
  <si>
    <t>Clinical Nurse Specialist, Adult Health</t>
  </si>
  <si>
    <t>Clinical Nurse Specialist, Chronic Care</t>
  </si>
  <si>
    <t>Clinical Nurse Specialist, Community Health/Public Health</t>
  </si>
  <si>
    <t>Clinical Nurse Specialist, Critical Care Medicine</t>
  </si>
  <si>
    <t>Clinical Nurse Specialist, Emergency</t>
  </si>
  <si>
    <t>Clinical Nurse Specialist, Ethics</t>
  </si>
  <si>
    <t>Clinical Nurse Specialist, Family Health</t>
  </si>
  <si>
    <t>Clinical Nurse Specialist, Gerontology</t>
  </si>
  <si>
    <t>Clinical Nurse Specialist, Holistic</t>
  </si>
  <si>
    <t>Clinical Nurse Specialist, Home Health</t>
  </si>
  <si>
    <t>Clinical Nurse Specialist, Informatics</t>
  </si>
  <si>
    <t>Clinical Nurse Specialist, Long-Term Care</t>
  </si>
  <si>
    <t>Clinical Nurse Specialist, Medical-Surgical</t>
  </si>
  <si>
    <t>Clinical Nurse Specialist, Neonatal</t>
  </si>
  <si>
    <t>Clinical Nurse Specialist, Neuroscience</t>
  </si>
  <si>
    <t>Clinical Nurse Specialist, Occupational Health</t>
  </si>
  <si>
    <t>Clinical Nurse Specialist, Oncology</t>
  </si>
  <si>
    <t>Clinical Nurse Specialist, Oncology, Pediatrics</t>
  </si>
  <si>
    <t>Clinical Nurse Specialist, Pediatrics</t>
  </si>
  <si>
    <t>Clinical Nurse Specialist, Perinatal</t>
  </si>
  <si>
    <t>Clinical Nurse Specialist, Perioperative</t>
  </si>
  <si>
    <t>Clinical Nurse Specialist, Psychiatric/Mental Health</t>
  </si>
  <si>
    <t>Clinical Nurse Specialist, Psychiatric/Mental Health, Adult</t>
  </si>
  <si>
    <t>Clinical Nurse Specialist, Psychiatric/Mental Health, Child &amp; Adolescent</t>
  </si>
  <si>
    <t>Clinical Nurse Specialist, Psychiatric/Mental Health, Child &amp; Family</t>
  </si>
  <si>
    <t>Clinical Nurse Specialist, Psychiatric/Mental Health, Chronically Ill</t>
  </si>
  <si>
    <t>Clinical Nurse Specialist, Psychiatric/Mental Health, Community</t>
  </si>
  <si>
    <t>Clinical Nurse Specialist, Psychiatric/Mental Health, Geropsychiatric</t>
  </si>
  <si>
    <t>Clinical Nurse Specialist, Rehabilitation</t>
  </si>
  <si>
    <t>Clinical Nurse Specialist, Transplantation</t>
  </si>
  <si>
    <t>Clinical Nurse Specialist, School</t>
  </si>
  <si>
    <t>Clinical Nurse Specialist, Women's Health</t>
  </si>
  <si>
    <t xml:space="preserve">Chiropractor, Rehabilitation Specialization </t>
  </si>
  <si>
    <t xml:space="preserve">Internal Medicine, Sleep Medicine </t>
  </si>
  <si>
    <t xml:space="preserve">Orthopaedic Surgery, Pediatric Orthopaedic Surgery </t>
  </si>
  <si>
    <t xml:space="preserve">Otolaryngology, Sleep Medicine </t>
  </si>
  <si>
    <t xml:space="preserve">Pediatric Anesthesiology </t>
  </si>
  <si>
    <t>Pediatrics, Sleep Medicine</t>
  </si>
  <si>
    <t>Pharmacist, Geriatric</t>
  </si>
  <si>
    <t>Pharmacist, Oncology</t>
  </si>
  <si>
    <t xml:space="preserve">Pharmacist, Nuclear </t>
  </si>
  <si>
    <t>Pharmacist, Psychiatric</t>
  </si>
  <si>
    <t xml:space="preserve">Psychiatry &amp; Neurology, Sleep Medicine </t>
  </si>
  <si>
    <t>Psychologist, Health Service</t>
  </si>
  <si>
    <t xml:space="preserve">Registered Nurse, Registered Nurse First Assistant </t>
  </si>
  <si>
    <t>Urology, Pediatric Urology</t>
  </si>
  <si>
    <t>Anesthesiology, Hospice and Palliative Medicine</t>
  </si>
  <si>
    <t>Emergency Medicine,Hospice and Palliative Medicine</t>
  </si>
  <si>
    <t>Family Medicine, Addiction Medicine</t>
  </si>
  <si>
    <t>Family Medicine, Adolescent Medicine</t>
  </si>
  <si>
    <t>Family Medicine, Adult Medicine</t>
  </si>
  <si>
    <t>Family Medicine, Geriatric Medicine</t>
  </si>
  <si>
    <t>Family Medicine, Hospice and Palliative Medicine</t>
  </si>
  <si>
    <t>Family Medicine, Sports Medicine</t>
  </si>
  <si>
    <t>Independent Medical Examiner</t>
  </si>
  <si>
    <t>Internal Medicine , Hospice and Palliative Medicine</t>
  </si>
  <si>
    <t>Obstetrics &amp; Gynecology, Hospice and Palliative Medicine</t>
  </si>
  <si>
    <t>Pediatrics, Hospice and Palliative Medicine</t>
  </si>
  <si>
    <t>Physical Medicine &amp; Rehabilitation, Hospice and Palliative Medicine</t>
  </si>
  <si>
    <t>Psychiatry &amp; Neurology, Diagnostic Neuroimaging</t>
  </si>
  <si>
    <t>Psychiatry &amp; Neurology, Hospice and Palliative Medicine</t>
  </si>
  <si>
    <t>Psychiatry &amp; Neurology, Psychosomatic Medicine</t>
  </si>
  <si>
    <t>Radiology, Diagnostic Neuroimaging</t>
  </si>
  <si>
    <t>Radiology, Hospice and Palliative Medicine</t>
  </si>
  <si>
    <t>Surgery, Hospice and Palliative Medicine</t>
  </si>
  <si>
    <t>Chiropractor, Independent Medical Examiner</t>
  </si>
  <si>
    <t>Clinical Neuropsychologist</t>
  </si>
  <si>
    <t>Psychoanalyst</t>
  </si>
  <si>
    <t>Psychologist, Cognitive &amp; Behavioral</t>
  </si>
  <si>
    <t>Psychologist, Clinical Child &amp; Adolescent</t>
  </si>
  <si>
    <t>Psychologist, Group Psychotherapy</t>
  </si>
  <si>
    <t>Psychologist, Prescribing</t>
  </si>
  <si>
    <t xml:space="preserve">Family Medicine, Bariatric Medicine Specialization </t>
  </si>
  <si>
    <t xml:space="preserve">Internal Medicine, Bariatric Medicine Specialization </t>
  </si>
  <si>
    <t>Internal Medicine, Transplant Hepatology</t>
  </si>
  <si>
    <t xml:space="preserve">Obstetrics &amp; Gynecology, Bariatric Medicine Specialization </t>
  </si>
  <si>
    <t>Orthopaedic Surgery, Foot and Ankle Surgery</t>
  </si>
  <si>
    <t>Pathology, Clinical Pathology</t>
  </si>
  <si>
    <t>Pediatrics, Pediatric Transplant Hepatology</t>
  </si>
  <si>
    <t>Physical Medicine &amp; Rehabilitation, Neuromuscular Medicine</t>
  </si>
  <si>
    <t>Psychiatry &amp; Neurology, Bariatric Medicine</t>
  </si>
  <si>
    <t>Psychiatry &amp; Neurology, Neuromuscular Medicine</t>
  </si>
  <si>
    <t xml:space="preserve">Poetry Therapist </t>
  </si>
  <si>
    <t>Pharmacist, Pharmacist Clinician (PhC)/ Clinical Pharmacy Specialist</t>
  </si>
  <si>
    <t xml:space="preserve">Chiropractor, Pediatric Chiropractor </t>
  </si>
  <si>
    <t>Family Medicine, Sleep Medicine</t>
  </si>
  <si>
    <t xml:space="preserve">Occupational Therapist, Gerontology  </t>
  </si>
  <si>
    <t xml:space="preserve">Occupational Therapist, Mental Health </t>
  </si>
  <si>
    <t>Occupational Therapist, Physical Rehabilitation</t>
  </si>
  <si>
    <t>Occupational Therapist, Environmental Modification</t>
  </si>
  <si>
    <t>Pediatrics, Child Abuse Pediatrics</t>
  </si>
  <si>
    <t>Preventive Medicine, Public Health &amp; General Preventive Medicine</t>
  </si>
  <si>
    <t>Social Worker</t>
  </si>
  <si>
    <t>Occupational Therapist, Low Vision</t>
  </si>
  <si>
    <t>Clinical Ethicist</t>
  </si>
  <si>
    <t>Electrodiagnostic Medicine Classification</t>
  </si>
  <si>
    <t>Orthotics Fitter</t>
  </si>
  <si>
    <t>Internal Medicine, Hypertension Specialist</t>
  </si>
  <si>
    <t xml:space="preserve">Obstetrics &amp; Gynecology, Female Pelvic Medicine and Reconstructive Surgery </t>
  </si>
  <si>
    <t xml:space="preserve">Psychiatry &amp; Neurology, Behavioral Neurology &amp; Neuropsychiatry Specialty </t>
  </si>
  <si>
    <t>Urology, Female Pelvic Medicine and Reconstructive Surgery</t>
  </si>
  <si>
    <t>1223D0004X</t>
  </si>
  <si>
    <t>Dentist, Anesthesiologist</t>
  </si>
  <si>
    <t>FQHC</t>
  </si>
  <si>
    <t>RHC</t>
  </si>
  <si>
    <t>2083C0008X</t>
  </si>
  <si>
    <t>Preventive Medicine, Clinical Informatics</t>
  </si>
  <si>
    <t>207ZC0008X</t>
  </si>
  <si>
    <t>Pathology, Clinical Informatics</t>
  </si>
  <si>
    <t>Clinic/Center</t>
  </si>
  <si>
    <t>Clinic/Center - Endoscopy</t>
  </si>
  <si>
    <t>Clinic/Center - Magnetic Resonance Imaging (MRI)</t>
  </si>
  <si>
    <t>Clinic/Center - Multi-Specialty</t>
  </si>
  <si>
    <t>Clinic/Center - Oncology, Radiation</t>
  </si>
  <si>
    <t>Clinic/Center - Pain</t>
  </si>
  <si>
    <t>Clinic/Center - Primary Care</t>
  </si>
  <si>
    <t>Clinic/Center - Recovery Care</t>
  </si>
  <si>
    <t>Clinic/Center - Sleep Disorder Diagnostic</t>
  </si>
  <si>
    <t>Clinic/Center - Urgent Care</t>
  </si>
  <si>
    <t>Clinic/Center - Developmental Disabilities</t>
  </si>
  <si>
    <t>Clinic/Center - Medical Specialty</t>
  </si>
  <si>
    <t>Clinic/Center - Oncology</t>
  </si>
  <si>
    <t>Chronic Disease Hospital - Children</t>
  </si>
  <si>
    <t>General Acute Care Hospital - Women</t>
  </si>
  <si>
    <t>General Acute Care Hospital - Rural</t>
  </si>
  <si>
    <t>Ambulance - Air Transport</t>
  </si>
  <si>
    <t>Ambulance - Land Transport</t>
  </si>
  <si>
    <t>Assisted Living Facility - Assisted Living, Mental Illness</t>
  </si>
  <si>
    <t>General Acute Care Hospital - Children</t>
  </si>
  <si>
    <t>Clinic/Center - Community Health</t>
  </si>
  <si>
    <t>General Acute Care Hospital - Critical Access</t>
  </si>
  <si>
    <t>Clinic/Center - Dental</t>
  </si>
  <si>
    <t>Durable Medical Equipment &amp; Medical Supplies - Customized Equipment</t>
  </si>
  <si>
    <t>Durable Medical Equipment &amp; Medical Supplies - Dialysis Equipment &amp; Supplies</t>
  </si>
  <si>
    <t>Durable Medical Equipment &amp; Medical Supplies - Nursing Facility Supplies</t>
  </si>
  <si>
    <t>Durable Medical Equipment &amp; Medical Supplies - Oxygen Equipment &amp; Supplies</t>
  </si>
  <si>
    <t>Durable Medical Equipment &amp; Medical Supplies - Parenteral &amp; Enteral Nutrition</t>
  </si>
  <si>
    <t>Clinic/Center - Health Service</t>
  </si>
  <si>
    <t>Clinic/Center - Public Health, State or Local</t>
  </si>
  <si>
    <t>Clinic/Center - Rural Health</t>
  </si>
  <si>
    <t>Clinic/Center - End-Stage Renal Disease (ESRD) Treatment</t>
  </si>
  <si>
    <t>Clinic/Center - Adolescent and Children Mental Health</t>
  </si>
  <si>
    <t>Rehabilitation Hospital - Children</t>
  </si>
  <si>
    <t>Clinic/Center - Rehabilitation</t>
  </si>
  <si>
    <t>Clinic/Center - Rehabilitation, Comprehensive Outpatient Rehabilitation Facility (CORF)</t>
  </si>
  <si>
    <t>Clinic/Center - Rehabilitation, Substance Use Disorder</t>
  </si>
  <si>
    <t>Clinic/Center - Student Health</t>
  </si>
  <si>
    <t>Clinic/Center - Hearing and Speech</t>
  </si>
  <si>
    <t>Clinic/Center - Infusion Therapy</t>
  </si>
  <si>
    <t>Clinic/Center - Physical Therapy</t>
  </si>
  <si>
    <t>Clinic/Center - Ambulatory Family Planning Facility</t>
  </si>
  <si>
    <t>Clinic/Center - Ambulatory Fertility Facility</t>
  </si>
  <si>
    <t>Clinic/Center - Amputee</t>
  </si>
  <si>
    <t>Clinic/Center - Augmentative Communication</t>
  </si>
  <si>
    <t>Clinic/Center - Critical Access Hospital</t>
  </si>
  <si>
    <t>Clinic/Center - Corporate Health</t>
  </si>
  <si>
    <t>Clinic/Center - Emergency Care</t>
  </si>
  <si>
    <t>Clinic/Center - Family Planning, Non-Surgical</t>
  </si>
  <si>
    <t>Clinic/Center - Genetics</t>
  </si>
  <si>
    <t>Clinic/Center - Lithotripsy</t>
  </si>
  <si>
    <t>Clinic/Center - Migrant Health</t>
  </si>
  <si>
    <t>Clinic/Center - Military/U.S. Coast Guard Outpatient</t>
  </si>
  <si>
    <t>Clinic/Center - Military Outpatient Operational (Transportable) Component</t>
  </si>
  <si>
    <t>Clinic/Center - Military Ambulatory Procedure Visits Operational (Transportable)</t>
  </si>
  <si>
    <t>Clinic/Center - Methadone</t>
  </si>
  <si>
    <t>Clinic/Center - Medically Fragile Infants and Children Day Care</t>
  </si>
  <si>
    <t>Clinic/Center - Public Health, Federal</t>
  </si>
  <si>
    <t>Clinic/Center - Podiatric</t>
  </si>
  <si>
    <t>Clinic/Center - Prison Health</t>
  </si>
  <si>
    <t>Clinic/Center - Research</t>
  </si>
  <si>
    <t>Clinic/Center - VA</t>
  </si>
  <si>
    <t>Clinic/Center - Occupational Medicine</t>
  </si>
  <si>
    <t>Durable Medical Equipment &amp; Medical Supplies - Durable Medical Equipment &amp; Medical Supplies</t>
  </si>
  <si>
    <t>Assisted Living Facility - Assisted Living Facility</t>
  </si>
  <si>
    <t>Assisted Living Facility - Assisted Living, Behavioral Disturbances</t>
  </si>
  <si>
    <t>Intermediate Care Facility, Mental Illness - Intermediate Care Facility, Mental Illness</t>
  </si>
  <si>
    <t>Alzheimer Center (Dementia Center) - Alzheimer Center (Dementia Center)</t>
  </si>
  <si>
    <t>Custodial Care Facility - Custodial Care Facility</t>
  </si>
  <si>
    <t>Custodial Care Facility - Adult Care Home</t>
  </si>
  <si>
    <t>Nursing Facility/Intermediate Care Facility - Nursing Facility/Intermediate Care Facility</t>
  </si>
  <si>
    <t>Skilled Nursing Facility - Skilled Nursing Facility</t>
  </si>
  <si>
    <t>Skilled Nursing Facility - Nursing Care, Pediatric</t>
  </si>
  <si>
    <t>Christian Science Facility - Christian Science Facility</t>
  </si>
  <si>
    <t>Respite Care - Respite Care Camp</t>
  </si>
  <si>
    <t>Respite Care - Respite Care, Mental Illness, Child</t>
  </si>
  <si>
    <t>Respite Care - Respite Care, Physical Disabilities, Child</t>
  </si>
  <si>
    <t>Home Health - Home Health</t>
  </si>
  <si>
    <t>Home Infusion - Home Infusion</t>
  </si>
  <si>
    <t>Voluntary or Charitable - Voluntary or Charitable</t>
  </si>
  <si>
    <t>Chronic Disease Hospital - Chronic Disease Hospital</t>
  </si>
  <si>
    <t>General Acute Care Hospital - General Acute Care Hospital</t>
  </si>
  <si>
    <t>Military Hospital - Military General Acute Care Hospital</t>
  </si>
  <si>
    <t>Military Hospital - Military General Acute Care Hospital. Operational (Transportable)</t>
  </si>
  <si>
    <t>Christian Science Sanitorium - Christian Science Sanitorium</t>
  </si>
  <si>
    <t>Military Hospital - Military Hospital</t>
  </si>
  <si>
    <t>Clinic/Center - Radiology, Mobile</t>
  </si>
  <si>
    <t>Dental Laboratory - Dental Laboratory</t>
  </si>
  <si>
    <t>Medical Foods Supplier - Medical Foods Supplier</t>
  </si>
  <si>
    <t>Clinic/Center - Rehabilitation, Cardiac Facilities</t>
  </si>
  <si>
    <t>Residential Treatment Facility, Physical Disabilities - Residential Treatment Facility, Physical Disabilities</t>
  </si>
  <si>
    <t>Substance Abuse Rehabilitation Facility - Substance Abuse Treatment, Children</t>
  </si>
  <si>
    <t>Ambulance - Water Transport</t>
  </si>
  <si>
    <t>Military/U.S. Coast Guard Transport - Military/U.S. Coast Guard Transport</t>
  </si>
  <si>
    <t>Military/U.S. Coast Guard Transport - Military or U.S. Coast Guard Ambulance, Ground Transport</t>
  </si>
  <si>
    <t>Military/U.S. Coast Guard Transport - Military or U.S. Coast Guard Ambulance, Air Transport</t>
  </si>
  <si>
    <t>Military/U.S. Coast Guard Transport - Military or U.S. Coast Guard Ambulance, Water Transport</t>
  </si>
  <si>
    <t>Clinic/Center - Radiology, Mammography</t>
  </si>
  <si>
    <t>Clinic/Center - Federally Qualified Health Center (FQHC)</t>
  </si>
  <si>
    <t>Rehabilitation, Substance Use Disorder Unit - Rehabilitation, Substance Use Disorder Unit</t>
  </si>
  <si>
    <t>PDMS Taxonomy ID</t>
  </si>
  <si>
    <t>Chiropractor - Chiropractor</t>
  </si>
  <si>
    <t>Single Specialty - Single Specialty</t>
  </si>
  <si>
    <t>Chiropractor - Independent Medical Examiner**</t>
  </si>
  <si>
    <t>Chiropractor - Internist</t>
  </si>
  <si>
    <t>Chiropractor - Neurology</t>
  </si>
  <si>
    <t>Chiropractor - Nutrition</t>
  </si>
  <si>
    <t>Chiropractor - Pediatric*****</t>
  </si>
  <si>
    <t>Chiropractor - Radiology</t>
  </si>
  <si>
    <t>Chiropractor - Rehabilitation</t>
  </si>
  <si>
    <t>Chiropractor - Sports Physician</t>
  </si>
  <si>
    <t>Chiropractor - Thermography</t>
  </si>
  <si>
    <t>Chiropractor - Occupational Medicine</t>
  </si>
  <si>
    <t>Chiropractor - Orthopedic</t>
  </si>
  <si>
    <t>Internal Medicine - Internal Medicine</t>
  </si>
  <si>
    <t>Internal Medicine - Adolescent Medicine </t>
  </si>
  <si>
    <t>Internal Medicine - Bariatric Medicine**** </t>
  </si>
  <si>
    <t>Internal Medicine - Clinical Cardiac Electrophysiology</t>
  </si>
  <si>
    <t>Internal Medicine - Critical Care Medicine</t>
  </si>
  <si>
    <t>Internal Medicine - Geriatric Medicine</t>
  </si>
  <si>
    <t>Internal Medicine - Hospice and Palliative Medicine**</t>
  </si>
  <si>
    <t>Internal Medicine - Hypertension Specialist</t>
  </si>
  <si>
    <t>Internal Medicine - Clinical &amp; Laboratory Immunology </t>
  </si>
  <si>
    <t>Internal Medicine - Magnetic Resonance Imaging (MRI)</t>
  </si>
  <si>
    <t>Internal Medicine - Sports Medicine</t>
  </si>
  <si>
    <t>Internal Medicine - Sleep Medicine</t>
  </si>
  <si>
    <t>Internal Medicine - Transplant Hepatology****</t>
  </si>
  <si>
    <t>Internal Medicine - Hematology</t>
  </si>
  <si>
    <t>Pathology - - Hematology</t>
  </si>
  <si>
    <t>Radiology - - Radiation Oncology</t>
  </si>
  <si>
    <t>Anesthesiology - Addiction Medicine</t>
  </si>
  <si>
    <t>Family Medicine+  - Addiction Medicine</t>
  </si>
  <si>
    <t>Internal Medicine - Addiction Medicine </t>
  </si>
  <si>
    <t>Psychiatry &amp; Neurology - - Addiction Medicine##</t>
  </si>
  <si>
    <t>Internal Medicine - Infectious Disease</t>
  </si>
  <si>
    <t>Pharmacist - Pharmacist Clinician (PhC)/ Clinical Pharmacy Specialist*****</t>
  </si>
  <si>
    <t>Clinical Pharmacology  - Clinical Pharmacology </t>
  </si>
  <si>
    <t>Legal Medicine - Legal Medicine</t>
  </si>
  <si>
    <t>Technician/Technologist - Technician/Technologist</t>
  </si>
  <si>
    <t>Technician/Technologist - Contact Lens</t>
  </si>
  <si>
    <t>Technician/Technologist - Contact Lens Fitter</t>
  </si>
  <si>
    <t>Technician/Technologist - Ophthalmic</t>
  </si>
  <si>
    <t>Technician/Technologist - Ophthalmic Assistant</t>
  </si>
  <si>
    <t>Technician/Technologist - Optometric Assistant</t>
  </si>
  <si>
    <t>Technician/Technologist - Optometric Technician</t>
  </si>
  <si>
    <t>Technician/Technologist - Ocularist</t>
  </si>
  <si>
    <t>Technician/Technologist - Optician</t>
  </si>
  <si>
    <t>Technician/Technologist - Orthoptist</t>
  </si>
  <si>
    <t>Phlebology** - Phlebology**</t>
  </si>
  <si>
    <t>Technician, Pathology - Phlebotomy</t>
  </si>
  <si>
    <t>Dentist - Oral and Maxillofacial Surgery</t>
  </si>
  <si>
    <t>Allergy &amp; Immunology - Allergy &amp; Immunology</t>
  </si>
  <si>
    <t>Allergy &amp; Immunology - Allergy</t>
  </si>
  <si>
    <t>Allergy &amp; Immunology - Clinical &amp; Laboratory Immunology</t>
  </si>
  <si>
    <t>Allergy &amp; Immunology - Allergy &amp; Immunology </t>
  </si>
  <si>
    <t>Anesthesiology - Anesthesiology</t>
  </si>
  <si>
    <t>Anesthesiology - Critical Care Medicine</t>
  </si>
  <si>
    <t>Anesthesiology - Hospice and Palliative Medicine**</t>
  </si>
  <si>
    <t>Anesthesiology - Pain Medicine</t>
  </si>
  <si>
    <t>Anesthesiology - Pediatric Anesthesiology</t>
  </si>
  <si>
    <t>Internal Medicine - Cardiovascular Disease </t>
  </si>
  <si>
    <t>Internal Medicine - Interventional Cardiology</t>
  </si>
  <si>
    <t>Pediatrics - Pediatric Cardiology</t>
  </si>
  <si>
    <t>Surgery - Vascular Surgery</t>
  </si>
  <si>
    <t>Dermatology  - Dermatology </t>
  </si>
  <si>
    <t>Dermatology  - MOHS-Micrographic Surgery## </t>
  </si>
  <si>
    <t>Dermatology  - Dermatopathology </t>
  </si>
  <si>
    <t>Dermatology  - Clinical &amp; Laboratory Dermatological Immunology </t>
  </si>
  <si>
    <t>Dermatology  - Pediatric Dermatology </t>
  </si>
  <si>
    <t>Dermatology  - Procedural Dermatology (title change from Dermatological Surgery effective 20080401)## </t>
  </si>
  <si>
    <t>Emergency Medicine  - Emergency Medicine </t>
  </si>
  <si>
    <t>Emergency Medicine  - Emergency Medical Services </t>
  </si>
  <si>
    <t>Emergency Medicine  - Undersea and Hyperbaric Medicine </t>
  </si>
  <si>
    <t>Emergency Medicine  - Hospice and Palliative Medicine** </t>
  </si>
  <si>
    <t>Emergency Medicine  - Pediatric Emergency Medicine </t>
  </si>
  <si>
    <t>Emergency Medicine  - Sports Medicine </t>
  </si>
  <si>
    <t>Emergency Medicine  - Medical Toxicology </t>
  </si>
  <si>
    <t>Pediatrics - Pediatric Emergency Medicine</t>
  </si>
  <si>
    <t>Family Medicine+  - Family Medicine+ </t>
  </si>
  <si>
    <t>Family Medicine+  - Adolescent Medicine</t>
  </si>
  <si>
    <t>Family Medicine+  - Adult Medicine</t>
  </si>
  <si>
    <t>Family Medicine+  - Bariatric Medicine****</t>
  </si>
  <si>
    <t>Family Medicine+  - Hospice and Palliative Medicine**</t>
  </si>
  <si>
    <t>Family Medicine+  - Sports Medicine </t>
  </si>
  <si>
    <t>Family Medicine - Sleep Medicine Specialization</t>
  </si>
  <si>
    <t>Internal Medicine - Gastroenterology</t>
  </si>
  <si>
    <t>Internal Medicine - Hepatology</t>
  </si>
  <si>
    <t>Pediatrics - Pediatric Gastroenterology</t>
  </si>
  <si>
    <t>Preventive Medicine - - Undersea and Hyperbaric Medicine</t>
  </si>
  <si>
    <t>Preventive Medicine - - Preventive Medicine/Occupational Environmental Medicine</t>
  </si>
  <si>
    <t>Preventive Medicine - - Public Health &amp; General Preventive Medicine</t>
  </si>
  <si>
    <t>Preventive Medicine - - Sports Medicine</t>
  </si>
  <si>
    <t>Preventive Medicine - - Medical Toxicology</t>
  </si>
  <si>
    <t>Preventive Medicine - - Occupational Medicine</t>
  </si>
  <si>
    <t>General Practice - General Practice</t>
  </si>
  <si>
    <t>Hospitalist  - Hospitalist </t>
  </si>
  <si>
    <t>Preventive Medicine - - Aerospace Medicine</t>
  </si>
  <si>
    <t>Oral &amp; Maxillofacial Surgery - Oral &amp; Maxillofacial Surgery</t>
  </si>
  <si>
    <t>Transplant Surgery - Transplant Surgery</t>
  </si>
  <si>
    <t>Surgery - Surgery</t>
  </si>
  <si>
    <t>Surgery - Hospice and Palliative Medicine**</t>
  </si>
  <si>
    <t>Surgery - Surgical Critical Care</t>
  </si>
  <si>
    <t>Surgery - Trauma Surgery##</t>
  </si>
  <si>
    <t>Family Medicine+  - Geriatric Medicine</t>
  </si>
  <si>
    <t>Orthopaedic Surgery - Hand Surgery</t>
  </si>
  <si>
    <t>Plastic Surgery - Surgery of the Hand</t>
  </si>
  <si>
    <t>Surgery - Surgery of the Hand</t>
  </si>
  <si>
    <t>Pediatrics - Neonatal-Perinatal Medicine</t>
  </si>
  <si>
    <t>Internal Medicine - Nephrology</t>
  </si>
  <si>
    <t>Pediatrics - Pediatric Nephrology</t>
  </si>
  <si>
    <t>Neurological Surgery - Neurological Surgery</t>
  </si>
  <si>
    <t>Psychiatry &amp; Neurology - Behavioral Neurology &amp; Neuropsychiatry Speciality</t>
  </si>
  <si>
    <t>Psychiatry &amp; Neurology - - Neuromuscular Medicine****</t>
  </si>
  <si>
    <t>Psychiatry &amp; Neurology - - Neurology#</t>
  </si>
  <si>
    <t>Psychiatry &amp; Neurology - - Neurology with Special Qualifications in Child Neurology#</t>
  </si>
  <si>
    <t>Psychiatry &amp; Neurology - - Clinical Neurophysiology#</t>
  </si>
  <si>
    <t>Psychiatry &amp; Neurology - - Neurodevelopmental Disabilities</t>
  </si>
  <si>
    <t>Psychiatry &amp; Neurology - - Psychosomatic Medicine**</t>
  </si>
  <si>
    <t>Psychiatry &amp; Neurology - - Pain Medicine</t>
  </si>
  <si>
    <t>Psychiatry &amp; Neurology - - Sports Medicine</t>
  </si>
  <si>
    <t>Psychiatry &amp; Neurology - - Sleep Medicine</t>
  </si>
  <si>
    <t>Psychiatry &amp; Neurology - - Vascular Neurology#</t>
  </si>
  <si>
    <t>Neuromusculoskeletal Medicine, Sports Medicine - Neuromusculoskeletal Medicine, Sports Medicine</t>
  </si>
  <si>
    <t>Nuclear Medicine - Nuclear Medicine</t>
  </si>
  <si>
    <t>Nuclear Medicine - Nuclear Cardiology</t>
  </si>
  <si>
    <t>Nuclear Medicine - Nuclear Imaging &amp; Therapy</t>
  </si>
  <si>
    <t>Nuclear Medicine - In Vivo &amp; In Vitro Nuclear Medicine</t>
  </si>
  <si>
    <t>Obstetrics &amp; Gynecology - Obstetrics &amp; Gynecology</t>
  </si>
  <si>
    <t>Obstetrics &amp; Gynecology - Bariatric Medicine****</t>
  </si>
  <si>
    <t>Obstetrics &amp; Gynecology - Critical Care Medicine</t>
  </si>
  <si>
    <t>Obstetrics &amp; Gynecology - Reproductive Endocrinology</t>
  </si>
  <si>
    <t>Obstetrics &amp; Gynecology - Female Pelvic Medicine and Reconstructive Surgery</t>
  </si>
  <si>
    <t>Obstetrics &amp; Gynecology - Hospice and Palliative Medicine**</t>
  </si>
  <si>
    <t>Internal Medicine - Hematology &amp; Oncology</t>
  </si>
  <si>
    <t>Ophthalmology - Ophthalmology</t>
  </si>
  <si>
    <t>Orthopaedic Surgery - Orthopaedic Surgery</t>
  </si>
  <si>
    <t>Orthopaedic Surgery - Pediatric Orthopaedic Surgery</t>
  </si>
  <si>
    <t>Orthopaedic Surgery - Adult Reconstructive Orthopaedic Surgery</t>
  </si>
  <si>
    <t>Orthopaedic Surgery - Orthopaedic Surgery of the Spine</t>
  </si>
  <si>
    <t>Orthopaedic Surgery - Foot and Ankle Orthopaedics</t>
  </si>
  <si>
    <t>Orthopaedic Surgery - Sports Medicine</t>
  </si>
  <si>
    <t>Orthopaedic Surgery - Orthopaedic Trauma</t>
  </si>
  <si>
    <t>Otolaryngology - Otolaryngology</t>
  </si>
  <si>
    <t>Otolaryngology - Pediatric Otolaryngology</t>
  </si>
  <si>
    <t>Otolaryngology - Sleep Medicine </t>
  </si>
  <si>
    <t>Otolaryngology - Otology &amp; Neurotology</t>
  </si>
  <si>
    <t>Otolaryngology - Otolaryngic Allergy</t>
  </si>
  <si>
    <t>Independent Medical Examiner**  - Independent Medical Examiner** </t>
  </si>
  <si>
    <t>Pathology - - Blood Banking &amp; Transfusion Medicine</t>
  </si>
  <si>
    <t>Pathology - - Cytopathology</t>
  </si>
  <si>
    <t>Pathology - - Dermatopathology</t>
  </si>
  <si>
    <t>Pathology - - Forensic Pathology</t>
  </si>
  <si>
    <t>Pathology - - Immunopathology</t>
  </si>
  <si>
    <t>Pathology - - Medical Microbiology</t>
  </si>
  <si>
    <t>Pathology - - Neuropathology</t>
  </si>
  <si>
    <t>Pathology - - Molecular Genetic Pathology</t>
  </si>
  <si>
    <t>Pathology - - Anatomic Pathology</t>
  </si>
  <si>
    <t>Pathology - - Chemical Pathology</t>
  </si>
  <si>
    <t>Pathology - - Pediatric Pathology</t>
  </si>
  <si>
    <t>Surgery - Pediatric Surgery</t>
  </si>
  <si>
    <t>Obstetrics &amp; Gynecology - Maternal &amp; Fetal Medicine</t>
  </si>
  <si>
    <t>Physical Medicine &amp; Rehabilitation - Physical Medicine &amp; Rehabilitation</t>
  </si>
  <si>
    <t>Physical Medicine &amp; Rehabilitation - Hospice and Palliative Medicine**</t>
  </si>
  <si>
    <t>Physical Medicine &amp; Rehabilitation - Neuromuscular Medicine****</t>
  </si>
  <si>
    <t>Physical Medicine &amp; Rehabilitation - Spinal Cord Injury Medicine</t>
  </si>
  <si>
    <t>Physical Medicine &amp; Rehabilitation - Pediatric Rehabilitation Medicine</t>
  </si>
  <si>
    <t>Physical Medicine &amp; Rehabilitation - Pain Medicine</t>
  </si>
  <si>
    <t>Physical Medicine &amp; Rehabilitation - Sports Medicine</t>
  </si>
  <si>
    <t>Pain Medicine - - Pain Medicine</t>
  </si>
  <si>
    <t>Pain Medicine - - Interventional Pain Medicine</t>
  </si>
  <si>
    <t>Otolaryngology - Facial Plastic Surgery</t>
  </si>
  <si>
    <t>Otolaryngology - Plastic Surgery within the Head &amp; Neck</t>
  </si>
  <si>
    <t>Otolaryngology - Otolaryngology/Facial Plastic Surgery</t>
  </si>
  <si>
    <t>Plastic Surgery - Plastic Surgery</t>
  </si>
  <si>
    <t>Plastic Surgery - Plastic Surgery Within the Head and Neck</t>
  </si>
  <si>
    <t>Surgery - Plastic and Reconstructive Surgery</t>
  </si>
  <si>
    <t>Colon &amp; Rectal Surgery - Colon &amp; Rectal Surgery</t>
  </si>
  <si>
    <t>Psychiatry &amp; Neurology - - Bariatric Medicine****</t>
  </si>
  <si>
    <t>Psychiatry &amp; Neurology - - Forensic Psychiatry#</t>
  </si>
  <si>
    <t>Psychiatry &amp; Neurology - - Hospice and Palliative Medicine**</t>
  </si>
  <si>
    <t>Psychiatry &amp; Neurology - - Psychiatry#</t>
  </si>
  <si>
    <t>Psychiatry &amp; Neurology - - Addiction Psychiatry#</t>
  </si>
  <si>
    <t>Psychiatry &amp; Neurology - - Child &amp; Adolescent Psychiatry#</t>
  </si>
  <si>
    <t>Psychiatry &amp; Neurology - - Geriatric Psychiatry#</t>
  </si>
  <si>
    <t>Internal Medicine - Pulmonary Disease</t>
  </si>
  <si>
    <t>Pulmonary Function Technologist - Pulmonary Function Technologist</t>
  </si>
  <si>
    <t>Psychiatry &amp; Neurology - - Diagnostic Neuroimaging**</t>
  </si>
  <si>
    <t>Radiology - - Body Imaging</t>
  </si>
  <si>
    <t>Radiology - - Diagnostic Neuroimaging**</t>
  </si>
  <si>
    <t>Radiology - - Hospice and Palliative Medicine**</t>
  </si>
  <si>
    <t>Radiology - - Neuroradiology</t>
  </si>
  <si>
    <t>Radiology - - Nuclear Radiology</t>
  </si>
  <si>
    <t>Radiology - - Pediatric Radiology</t>
  </si>
  <si>
    <t>Radiology - - Diagnostic Radiology</t>
  </si>
  <si>
    <t>Radiology - - Vascular &amp; Interventional Radiology</t>
  </si>
  <si>
    <t>Radiology - - Radiological Physics</t>
  </si>
  <si>
    <t>Radiology - - Diagnostic Ultrasound</t>
  </si>
  <si>
    <t>Dentist - Oral and Maxillofacial Radiology</t>
  </si>
  <si>
    <t>Thoracic Surgery (Cardiothoracic Vascular Surgery) - Thoracic Surgery (Cardiothoracic Vascular Surgery)</t>
  </si>
  <si>
    <t>Urology - Urology</t>
  </si>
  <si>
    <t>Urology - Female Pelvic Medicine and Reconstructive Surgery</t>
  </si>
  <si>
    <t>Urology - Pediatric Urology</t>
  </si>
  <si>
    <t>Internal Medicine - Endocrinology, Diabetes &amp; Metabolism</t>
  </si>
  <si>
    <t>Pediatrics - Pediatrics</t>
  </si>
  <si>
    <t>Pediatrics - Adolescent Medicine</t>
  </si>
  <si>
    <t>Pediatrics - Hospice and Palliative Medicine**</t>
  </si>
  <si>
    <t>Pediatrics - Clinical &amp; Laboratory Immunology</t>
  </si>
  <si>
    <t>Pediatrics - Developmental – Behavioral Pediatrics</t>
  </si>
  <si>
    <t>Pediatrics - Neurodevelopmental Disabilities</t>
  </si>
  <si>
    <t>Pediatrics - Pediatric Critical Care Medicine</t>
  </si>
  <si>
    <t>Pediatrics - Pediatric Endocrinology</t>
  </si>
  <si>
    <t>Pediatrics - Pediatric Infectious Diseases</t>
  </si>
  <si>
    <t>Pediatrics - Pediatric Pulmonology</t>
  </si>
  <si>
    <t>Pediatrics - Pediatric Rheumatology</t>
  </si>
  <si>
    <t>Pediatrics - Sports Medicine</t>
  </si>
  <si>
    <t>Pediatrics - Sleep Medicine</t>
  </si>
  <si>
    <t>Pediatrics - Medical Toxicology</t>
  </si>
  <si>
    <t>Pediatrics - Pediatric Transplant Hepatology****</t>
  </si>
  <si>
    <t>Radiology - - Therapeutic Radiology</t>
  </si>
  <si>
    <t>Radiologic Technologist - Radiation Therapy</t>
  </si>
  <si>
    <t>Neuromusculoskeletal Medicine &amp; OMM - Neuromusculoskeletal Medicine &amp; OMM</t>
  </si>
  <si>
    <t>Pediatrics - Pediatric Hematology-Oncology</t>
  </si>
  <si>
    <t>Internal Medicine - Rheumatology</t>
  </si>
  <si>
    <t>Surgery - Surgical Oncology##</t>
  </si>
  <si>
    <t>Obstetrics &amp; Gynecology - Gynecology</t>
  </si>
  <si>
    <t>Obstetrics &amp; Gynecology - Gynecologic Oncology</t>
  </si>
  <si>
    <t>Obstetrics &amp; Gynecology - Obstetrics</t>
  </si>
  <si>
    <t>Pathology - - Clinical Pathology****</t>
  </si>
  <si>
    <t>Pathology - - Anatomic Pathology &amp; Clinical Pathology</t>
  </si>
  <si>
    <t>Pathology - - Clinical Pathology/Laboratory Medicine</t>
  </si>
  <si>
    <t>Medical Genetics - - Clinical Cytogenetic</t>
  </si>
  <si>
    <t>Medical Genetics - - Clinical Genetics (M.D.)</t>
  </si>
  <si>
    <t>Medical Genetics - - Clinical Biochemical Genetics</t>
  </si>
  <si>
    <t>Medical Genetics - - Clinical Molecular Genetics</t>
  </si>
  <si>
    <t>Medical Genetics - - Ph.D. Medical Genetics</t>
  </si>
  <si>
    <t>Medical Genetics - - Molecular Genetic Pathology</t>
  </si>
  <si>
    <t>Genetic Counselor, MS - Genetic Counselor, MS</t>
  </si>
  <si>
    <t>Medical Genetics, Ph.D. Medical Genetics - Medical Genetics, Ph.D. Medical Genetics</t>
  </si>
  <si>
    <t>Internal Medicine - Medical Oncology</t>
  </si>
  <si>
    <t>Pediatrics - Pediatric Allergy &amp; Immunology</t>
  </si>
  <si>
    <t>Epilepsy Unit - Epilepsy Unit****</t>
  </si>
  <si>
    <t>Medicare Defined Swing Bed Unit - Medicare Defined Swing Bed Unit</t>
  </si>
  <si>
    <t>Long Term Care Hospital - Long Term Care Hospital</t>
  </si>
  <si>
    <t>Special Hospital - Special Hospital</t>
  </si>
  <si>
    <t>Military Hospital - Community Health^^^^</t>
  </si>
  <si>
    <t>Ambulance - Ambulance</t>
  </si>
  <si>
    <t>Driver - Driver</t>
  </si>
  <si>
    <t>Non-emergency Medical Transport (VAN) - Non-emergency Medical Transport (VAN)</t>
  </si>
  <si>
    <t>Funeral Director - Funeral Director</t>
  </si>
  <si>
    <t>Air Carrier - Air Carrier</t>
  </si>
  <si>
    <t>Train - Train</t>
  </si>
  <si>
    <t>Transportation Broker - Transportation Broker</t>
  </si>
  <si>
    <t>Public Health or Welfare - Public Health or Welfare</t>
  </si>
  <si>
    <t>Eyewear Supplier (Equipment, not the service) - Eyewear Supplier (Equipment, not the service)</t>
  </si>
  <si>
    <t>Portable X-Ray Supplier - Portable X-Ray Supplier</t>
  </si>
  <si>
    <t>Early InterventionProvider Agency - Early Intervention Provider Agency****</t>
  </si>
  <si>
    <t>Private Vehicle - Private Vehicle</t>
  </si>
  <si>
    <t>Clinic/Center - Radiology</t>
  </si>
  <si>
    <t>In Home Supportive Care - Agencies</t>
  </si>
  <si>
    <t>Hospice Care, Community Based - Hospice Care, Community Based</t>
  </si>
  <si>
    <t>Hospice, Inpatient - Hospice, Inpatient</t>
  </si>
  <si>
    <t>Intermediate Care Facility, Mentally Retarded - Intermediate Care Facility, Mentally Retarded</t>
  </si>
  <si>
    <t>Military Clinical Medical Laboratory - Military Clinical Medical Laboratory</t>
  </si>
  <si>
    <t>Clinical Medical Laboratory - Clinical Medical Laboratory</t>
  </si>
  <si>
    <t>Physiological Laboratory - Physiological Laboratory</t>
  </si>
  <si>
    <t>Psychiatric Hospital - Psychiatric Hospital</t>
  </si>
  <si>
    <t>Clinic/Center - Radiology, Mobile Mammography</t>
  </si>
  <si>
    <t>Nurse Practitioner - Nurse Practitioner</t>
  </si>
  <si>
    <t>Prosthetic/Orthotic Supplier - Prosthetic/Orthotic Supplier</t>
  </si>
  <si>
    <t>Mastectomy Fitter Classification - Mastectomy Fitter</t>
  </si>
  <si>
    <t>Pedorthist - Pedorthist</t>
  </si>
  <si>
    <t>Psychiatric Unit - Psychiatric Unit</t>
  </si>
  <si>
    <t>Rehabilitation Unit - Rehabilitation Unit</t>
  </si>
  <si>
    <t>Rehabilitation Hospital - Rehabilitation Hospital</t>
  </si>
  <si>
    <t>Residential Treatment Facility, Mental Retardation and/or Developmental Disabilities - Residential Treatment Facility, Mental Retardation and/or Developmental Disabilities</t>
  </si>
  <si>
    <t>Community Based Residential Treatment Facility, Mental Illness - Community Based Residential Treatment Facility, Mental Illness</t>
  </si>
  <si>
    <t>Community Based Residential Treatment Facility, Mental Retardation and/or Developmental Disabilities - Community Based Residential Treatment Facility, Mental Retardation and/or Developmental Disabilities</t>
  </si>
  <si>
    <t>Substance Abuse Rehabilitation Facility - Substance Abuse Rehabilitation Facility</t>
  </si>
  <si>
    <t>Psychiatric Residential Treatment Facility - Psychiatric Residential Treatment Facility</t>
  </si>
  <si>
    <t>Local Education Agency (LEA) - Local Education Agency (LEA)</t>
  </si>
  <si>
    <t>Secured Medical Transport (VAN) - Secured Medical Transport (VAN)</t>
  </si>
  <si>
    <t>Taxi - Taxi</t>
  </si>
  <si>
    <t>Clinic/Center - Military and U.S. Coast Guard Ambulatory Procedure</t>
  </si>
  <si>
    <t>Clinic/Center - Oral and Maxillofacial Surgery</t>
  </si>
  <si>
    <t>Clinic/Center - Ophthalmologic Surgery</t>
  </si>
  <si>
    <t>Multi-Specialty - Multi-Specialty</t>
  </si>
  <si>
    <t>Clinic/Center - Clinic/Center</t>
  </si>
  <si>
    <t>Audiologist - Assistive Technology Practitioner</t>
  </si>
  <si>
    <t>Rehabilitation Counselor - Assistive Technology Practitioner</t>
  </si>
  <si>
    <t>Respite Care - Respite Care</t>
  </si>
  <si>
    <t>Respite Care - Respite Care, Mental Retardation and/or Developmental Disabilities</t>
  </si>
  <si>
    <t>Nutritionist - Nutritionist</t>
  </si>
  <si>
    <t>Clinic/Center - Mental Health (Including Community Mental Health Center)</t>
  </si>
  <si>
    <t>Technician, Pathology - Histology</t>
  </si>
  <si>
    <t>Technician, Pathology - Medical Laboratory</t>
  </si>
  <si>
    <t>Technician, Other - Darkroom</t>
  </si>
  <si>
    <t>Technician, Other - EEG</t>
  </si>
  <si>
    <t>Technician, Other - Renal Dialysis</t>
  </si>
  <si>
    <t>Technician, Other - Veterinary</t>
  </si>
  <si>
    <t>Specialist/Technologist, Other - Art, Medical</t>
  </si>
  <si>
    <t>Specialist/Technologist, Other - Biomedical Engineering</t>
  </si>
  <si>
    <t>Specialist/Technologist, Other - Biomedical Photographer</t>
  </si>
  <si>
    <t>Specialist/Technologist, Other - Biochemist</t>
  </si>
  <si>
    <t>Specialist/Technologist, Other - Biostatistician</t>
  </si>
  <si>
    <t>Specialist/Technologist, Other - EEG</t>
  </si>
  <si>
    <t>Specialist/Technologist, Other - Electroneurodiagnostic</t>
  </si>
  <si>
    <t>Specialist/Technologist, Other - Graphics Methods</t>
  </si>
  <si>
    <t>Specialist/Technologist, Other - Geneticist, Medical (PhD)</t>
  </si>
  <si>
    <t>Specialist/Technologist, Other - Illustration, Medical</t>
  </si>
  <si>
    <t>Specialist/Technologist, Other - Nephrology</t>
  </si>
  <si>
    <t>Specialist/Technologist, Other - Surgical Technologist</t>
  </si>
  <si>
    <t>Bus - Bus</t>
  </si>
  <si>
    <t>Radiologic Technologist - Mammography</t>
  </si>
  <si>
    <t>Assistant, Podiatric - Assistant, Podiatric</t>
  </si>
  <si>
    <t>Physician Assistant - Physician Assistant</t>
  </si>
  <si>
    <t>Physician Assistant - Medical</t>
  </si>
  <si>
    <t>Physician Assistant - Surgical</t>
  </si>
  <si>
    <t>Nurse Anesthetist, Certified Registered - Nurse Anesthetist, Certified Registered</t>
  </si>
  <si>
    <t>Anesthesiologist Assistant - Anesthesiologist Assistant</t>
  </si>
  <si>
    <t>Community/Behavioral Health***&amp; - Community/Behavioral Health***&amp;</t>
  </si>
  <si>
    <t>Clinic/Center - Adult Mental Health</t>
  </si>
  <si>
    <t>Psychoanalyst** - Psychoanalyst**</t>
  </si>
  <si>
    <t>Psychologist&amp; - Psychologist&amp;</t>
  </si>
  <si>
    <t>Psychologist&amp; - Addiction (Substance Use Disorder)</t>
  </si>
  <si>
    <t>Psychologist&amp; - Adult Development &amp; Aging</t>
  </si>
  <si>
    <t>Psychologist&amp; - Cognitive &amp; Behavioral+</t>
  </si>
  <si>
    <t>Psychologist&amp; - Counseling</t>
  </si>
  <si>
    <t>Psychologist&amp; - Educational^</t>
  </si>
  <si>
    <t>Psychologist&amp; - Exercise &amp; Sports</t>
  </si>
  <si>
    <t>Psychologist&amp; - Family</t>
  </si>
  <si>
    <t>Psychologist&amp; - Forensic</t>
  </si>
  <si>
    <t>Psychologist&amp; - Health**</t>
  </si>
  <si>
    <t>Psychologist&amp; - Health Service</t>
  </si>
  <si>
    <t>Psychologist&amp; - Men &amp; Masculinity^</t>
  </si>
  <si>
    <t>Psychologist&amp; - Mental Retardation &amp; Developmental Disabilities</t>
  </si>
  <si>
    <t>Psychologist&amp; - Prescribing (Medical)**</t>
  </si>
  <si>
    <t>Psychologist&amp; - Psychoanalysis</t>
  </si>
  <si>
    <t>Psychologist&amp; - Psychotherapy^</t>
  </si>
  <si>
    <t>Psychologist&amp; - Group Psychotherapy+</t>
  </si>
  <si>
    <t>Psychologist&amp; - Rehabilitation</t>
  </si>
  <si>
    <t>Psychologist&amp; - School</t>
  </si>
  <si>
    <t>Psychologist&amp; - Women^</t>
  </si>
  <si>
    <t>Clinical Neuropsychologist+ - Clinical Neuropsychologist+</t>
  </si>
  <si>
    <t>Clinical Neuropsychologist+ - Clinical^ (use 103G00000X)</t>
  </si>
  <si>
    <t>Psychologist&amp; - Clinical</t>
  </si>
  <si>
    <t>Psychologist&amp; - Clinical Child &amp; Adolescent+</t>
  </si>
  <si>
    <t>Sleep Specialist, PhD - Sleep Specialist, PhD*****</t>
  </si>
  <si>
    <t>Social Worker - Clinical</t>
  </si>
  <si>
    <t>Social Worker - Social Worker</t>
  </si>
  <si>
    <t>Social Worker - School</t>
  </si>
  <si>
    <t>Registered Nurse - Psychiatric/Mental Health</t>
  </si>
  <si>
    <t>Marriage &amp; Family Therapist - Marriage &amp; Family Therapist</t>
  </si>
  <si>
    <t>Counselor - Counselor</t>
  </si>
  <si>
    <t>Counselor - Mental Health</t>
  </si>
  <si>
    <t>Counselor - Pastoral</t>
  </si>
  <si>
    <t>Counselor - Professional</t>
  </si>
  <si>
    <t>Counselor - School</t>
  </si>
  <si>
    <t>Behavioral Analyst Classification - Behavioral Analyst Classification</t>
  </si>
  <si>
    <t>Podiatrist - Podiatrist</t>
  </si>
  <si>
    <t>Podiatrist - General Practice^^^ (use 213E00000X)</t>
  </si>
  <si>
    <t>Podiatrist - Public Medicine</t>
  </si>
  <si>
    <t>Podiatrist - Primary Podiatric Medicine</t>
  </si>
  <si>
    <t>Podiatrist - Radiology</t>
  </si>
  <si>
    <t>Podiatrist - Sports Medicine</t>
  </si>
  <si>
    <t>Podiatrist - Foot &amp; Ankle Surgery</t>
  </si>
  <si>
    <t>Podiatrist - Foot Surgery</t>
  </si>
  <si>
    <t>Acupuncturist - Acupuncturist</t>
  </si>
  <si>
    <t>Mechanotherapist** - Mechanotherapist**</t>
  </si>
  <si>
    <t>Reflexologist - Reflexologist*****</t>
  </si>
  <si>
    <t>Physical Therapist - Physical Therapist</t>
  </si>
  <si>
    <t>Physical Therapist - Cardiopulmonary</t>
  </si>
  <si>
    <t>Physical Therapist - Ergonomics</t>
  </si>
  <si>
    <t>Physical Therapist - Electrophysiology, Clinical</t>
  </si>
  <si>
    <t>Physical Therapist - Geriatrics</t>
  </si>
  <si>
    <t>Physical Therapist - Hand</t>
  </si>
  <si>
    <t>Physical Therapist - Human Factors</t>
  </si>
  <si>
    <t>Physical Therapist - Neurology</t>
  </si>
  <si>
    <t>Physical Therapist - Pediatrics</t>
  </si>
  <si>
    <t>Physical Therapist - Sports</t>
  </si>
  <si>
    <t>Physical Therapist - Orthopedic</t>
  </si>
  <si>
    <t>Rehabilitation Practitioner - Rehabilitation Practitioner</t>
  </si>
  <si>
    <t>Occupational Therapist - Occupational Therapist</t>
  </si>
  <si>
    <t>Occupational Therapist - Environmental Modification Specialization</t>
  </si>
  <si>
    <t>Occupational Therapist - Ergonomics</t>
  </si>
  <si>
    <t>Restorative Service Providers - Occupational Therapist</t>
  </si>
  <si>
    <t>Rehabilitative and Restorative Service Providers Type, Occupational Therapist - Gerontology Specialization</t>
  </si>
  <si>
    <t>Occupational Therapist - Hand</t>
  </si>
  <si>
    <t>Occupational Therapist - Human Factors</t>
  </si>
  <si>
    <t>Occupational Therapist - Low Vision Specialization</t>
  </si>
  <si>
    <t>Occupational Therapist - Mental Health Specialization</t>
  </si>
  <si>
    <t>Occupational Therapist - Neurorehabilitation</t>
  </si>
  <si>
    <t>Occupational Therapist - Physical Rehabilitation</t>
  </si>
  <si>
    <t>Occupational Therapist - Pediatrics</t>
  </si>
  <si>
    <t>Occupational Therapist - Rehabilitation, Driver</t>
  </si>
  <si>
    <t>Clinical Exercise Physiologist - Clinical Exercise Physiologist</t>
  </si>
  <si>
    <t>Respiratory Therapist, Certified - Respiratory Therapist, Certified</t>
  </si>
  <si>
    <t>Respiratory Therapist, Certified - Critical Care</t>
  </si>
  <si>
    <t>Respiratory Therapist, Certified - Emergency Care</t>
  </si>
  <si>
    <t>Respiratory Therapist, Certified - Educational</t>
  </si>
  <si>
    <t>Respiratory Therapist, Certified - Geriatric Care</t>
  </si>
  <si>
    <t>Respiratory Therapist, Certified - General Care</t>
  </si>
  <si>
    <t>Respiratory Therapist, Certified - Home Health</t>
  </si>
  <si>
    <t>Respiratory Therapist, Certified - Pulmonary Diagnostics</t>
  </si>
  <si>
    <t>Respiratory Therapist, Certified - Pulmonary Rehabilitation</t>
  </si>
  <si>
    <t>Respiratory Therapist, Certified - Pulmonary Function Technologist</t>
  </si>
  <si>
    <t>Respiratory Therapist, Certified - Palliative/Hospice</t>
  </si>
  <si>
    <t>Respiratory Therapist, Certified - Neonatal/Pediatrics</t>
  </si>
  <si>
    <t>Respiratory Therapist, Certified - Patient Transport</t>
  </si>
  <si>
    <t>Respiratory Therapist, Certified - SNF/Subacute Care</t>
  </si>
  <si>
    <t>Respiratory Therapist, Registered - Respiratory Therapist, Registered</t>
  </si>
  <si>
    <t>Respiratory Therapist, Registered - Critical Care</t>
  </si>
  <si>
    <t>Respiratory Therapist, Registered - Emergency Care</t>
  </si>
  <si>
    <t>Respiratory Therapist, Registered - Educational</t>
  </si>
  <si>
    <t>Respiratory Therapist, Registered - Geriatric Care</t>
  </si>
  <si>
    <t>Respiratory Therapist, Registered - General Care</t>
  </si>
  <si>
    <t>Respiratory Therapist, Registered - Home Health</t>
  </si>
  <si>
    <t>Respiratory Therapist, Registered - Pulmonary Diagnostics</t>
  </si>
  <si>
    <t>Respiratory Therapist, Registered - Pulmonary Rehabilitation</t>
  </si>
  <si>
    <t>Respiratory Therapist, Registered - Pulmonary Function Technologist</t>
  </si>
  <si>
    <t>Respiratory Therapist, Registered - Palliative/Hospice</t>
  </si>
  <si>
    <t>Respiratory Therapist, Registered - Neonatal/Pediatrics</t>
  </si>
  <si>
    <t>Respiratory Therapist, Registered - Patient Transport</t>
  </si>
  <si>
    <t>Respiratory Therapist, Registered - SNF/Subacute Care</t>
  </si>
  <si>
    <t>Speech-Language Pathologist - Speech-Language Pathologist</t>
  </si>
  <si>
    <t>Occupational Therapy Assistant - Environmental Modification Specialization</t>
  </si>
  <si>
    <t>Occupational Therapy Assistant - Feeding, Eating &amp; Swallowing Specialization</t>
  </si>
  <si>
    <t>Occupational Therapy Assistant - Low Vision Specialization</t>
  </si>
  <si>
    <t>Occupational Therapy Assistant - Driving &amp; Community Mobility Specialization</t>
  </si>
  <si>
    <t>Occupational Therapy Assistant - Occupational Therapy Assistant</t>
  </si>
  <si>
    <t>Physical Therapy Assistant - Physical Therapy Assistant</t>
  </si>
  <si>
    <t>Optometrist - Optometrist</t>
  </si>
  <si>
    <t>Optometrist - Corneal and Contact Management</t>
  </si>
  <si>
    <t>Optometrist - Low Vision Rehabilitation</t>
  </si>
  <si>
    <t>Optometrist - Pediatrics</t>
  </si>
  <si>
    <t>Optometrist - Sports Vision</t>
  </si>
  <si>
    <t>Optometrist - Vision Therapy</t>
  </si>
  <si>
    <t>Optometrist - Occupational Vision</t>
  </si>
  <si>
    <t>Community Health Worker - Community Health Worker****</t>
  </si>
  <si>
    <t>Audiologist - Audiologist</t>
  </si>
  <si>
    <t>Counselor - Addiction (Substance Use Disorder)</t>
  </si>
  <si>
    <t>Pediatrics - Child Abuse Pediatrics Specialization</t>
  </si>
  <si>
    <t>Dietary Manager - Dietary Manager</t>
  </si>
  <si>
    <t>Nutritionist - Nutrition, Education</t>
  </si>
  <si>
    <t>Dietitian, Registered - Dietitian, Registered</t>
  </si>
  <si>
    <t>Dietitian, Registered - Nutrition, Pediatric</t>
  </si>
  <si>
    <t>Dietitian, Registered - Nutrition, Renal</t>
  </si>
  <si>
    <t>Dietitian, Registered - Nutrition, Metabolic</t>
  </si>
  <si>
    <t>Dietetic Technician, Registered - Dietetic Technician, Registered</t>
  </si>
  <si>
    <t>Pharmacist - Pharmacist</t>
  </si>
  <si>
    <t>Pharmacist - General Practice^^ (use 183500000X)</t>
  </si>
  <si>
    <t>Pharmacist - Geriatric</t>
  </si>
  <si>
    <t>Pharmacist - Nuclear</t>
  </si>
  <si>
    <t>Pharmacist - Nutrition Support</t>
  </si>
  <si>
    <t>Pharmacist - Oncology</t>
  </si>
  <si>
    <t>Pharmacist - Pharmacotherapy</t>
  </si>
  <si>
    <t>Pharmacist - Psychiatric</t>
  </si>
  <si>
    <t>Pharmacy Technician - Pharmacy Technician</t>
  </si>
  <si>
    <t>Dentist - Endodontics</t>
  </si>
  <si>
    <t>Dentist - Dentist</t>
  </si>
  <si>
    <t>Dentist - Dental Public Health</t>
  </si>
  <si>
    <t>Dentist - General Practice</t>
  </si>
  <si>
    <t>Denturist - Denturist</t>
  </si>
  <si>
    <t>Dentist - Orthodontics and Dentofacial Orthopedics</t>
  </si>
  <si>
    <t>Dentist - Pediatric Dentistry</t>
  </si>
  <si>
    <t>Dentist - Periodontics</t>
  </si>
  <si>
    <t>Dentist - Oral and Maxillofacial Pathology</t>
  </si>
  <si>
    <t>Orthotist - Orthotist</t>
  </si>
  <si>
    <t>Prosthetist - Prosthetist</t>
  </si>
  <si>
    <t>Orthotics/Prosthetics Fitter - Orthotics/Prosthetics Fitter</t>
  </si>
  <si>
    <t>Anaplastologist - Anaplastologist</t>
  </si>
  <si>
    <t>Dentist - Prosthodontics</t>
  </si>
  <si>
    <t>Radiology Practitioner Assistant - Radiology Practitioner Assistant</t>
  </si>
  <si>
    <t>Chore Provider - Chore Provider</t>
  </si>
  <si>
    <t>Day Training/Habilitation Specialist - Day Training/Habilitation Specialist</t>
  </si>
  <si>
    <t>Technician - Personal Care Attendant</t>
  </si>
  <si>
    <t>Doula - Doula</t>
  </si>
  <si>
    <t>Religious Nonmedical Practitioner - Religious Nonmedical Practitioner</t>
  </si>
  <si>
    <t>Home Health Aide - Home Health Aide</t>
  </si>
  <si>
    <t>Nurse's Aide - Nurse's Aide</t>
  </si>
  <si>
    <t>Nursing Care - Nursing Care</t>
  </si>
  <si>
    <t>Personal Emergency Response Attendant - Personal Emergency Response Attendant</t>
  </si>
  <si>
    <t>Foster Care Agency - Foster Care Agency*****</t>
  </si>
  <si>
    <t>Technician - Attendant Care Provider</t>
  </si>
  <si>
    <t>Clinic/Center - Adult Day Care</t>
  </si>
  <si>
    <t>Adult Companion - Adult Companion</t>
  </si>
  <si>
    <t>Homemaker - Homemaker</t>
  </si>
  <si>
    <t>Contractor - Contractor</t>
  </si>
  <si>
    <t>Contractor - Home Modifications</t>
  </si>
  <si>
    <t>Contractor - Vehicle Modifications</t>
  </si>
  <si>
    <t>Residential Treatment Facility, Emotionally Disturbed Children - Residential Treatment Facility, Emotionally Disturbed Children</t>
  </si>
  <si>
    <t>meals - meals</t>
  </si>
  <si>
    <t>Home Delivered Meals - Home Delivered Meals</t>
  </si>
  <si>
    <t>Clinic/Center - Birthing</t>
  </si>
  <si>
    <t>Day Training, Developmentally Disabled Services - Day Training, Developmentally Disabled Services</t>
  </si>
  <si>
    <t>Lodging - Lodging</t>
  </si>
  <si>
    <t>Health Educator (Weight Watchers) - Health Educator</t>
  </si>
  <si>
    <t>Dental Assistant - Dental Assistant</t>
  </si>
  <si>
    <t>Dental Hygienist - Dental Hygienist</t>
  </si>
  <si>
    <t>Dental Laboratory Technician - Dental Laboratory Technician</t>
  </si>
  <si>
    <t>Emergency Medical Technician, Basic - Emergency Medical Technician, Basic</t>
  </si>
  <si>
    <t>Emergency Medical Technician, Intermediate - Emergency Medical Technician, Intermediate</t>
  </si>
  <si>
    <t>Emergency Medical Technician, Paramedic - Emergency Medical Technician, Paramedic</t>
  </si>
  <si>
    <t>Licensed Psychiatric Technician - Licensed Psychiatric Technician</t>
  </si>
  <si>
    <t>Technician - Technician</t>
  </si>
  <si>
    <t>Nursing Home Administrator - Nursing Home Administrator</t>
  </si>
  <si>
    <t>Homeopath - Homeopath</t>
  </si>
  <si>
    <t>Interpreter - Interpreter</t>
  </si>
  <si>
    <t>Midwife, Lay - Midwife, Lay</t>
  </si>
  <si>
    <t>Military Health Care Provider - Military Health Care Provider</t>
  </si>
  <si>
    <t>Military Health Care Provider - Independent Duty Corpsman</t>
  </si>
  <si>
    <t>Military Health Care Provider - Independent Duty Medical Technicians</t>
  </si>
  <si>
    <t>Naprapath** - Naprapath**</t>
  </si>
  <si>
    <t>Naturopath - Naturopath</t>
  </si>
  <si>
    <t>Specialist - Graphics Designer</t>
  </si>
  <si>
    <t>Specialist - Prosthetics Case Management</t>
  </si>
  <si>
    <t>Specialist - Research Data Abstracter/Coder</t>
  </si>
  <si>
    <t>Specialist - Research Study</t>
  </si>
  <si>
    <t>Art Therapist - Art Therapist</t>
  </si>
  <si>
    <t>Dance Therapist - Dance Therapist</t>
  </si>
  <si>
    <t>Developmental Therapist** - Developmental Therapist**</t>
  </si>
  <si>
    <t>Kinesiotherapist - Kinesiotherapist</t>
  </si>
  <si>
    <t>Massage Therapist - Massage Therapist</t>
  </si>
  <si>
    <t>Music Therapist - Music Therapist</t>
  </si>
  <si>
    <t>Recreation Therapist - Recreation Therapist</t>
  </si>
  <si>
    <t>Poetry Therapist - Poetry Therapist****</t>
  </si>
  <si>
    <t>Rehabilitation Counselor - Rehabilitation Counselor</t>
  </si>
  <si>
    <t>Audiologist - Assistive Technology Supplier</t>
  </si>
  <si>
    <t>Rehabilitation Counselor - Assistive Technology Supplier</t>
  </si>
  <si>
    <t>Rehabilitation Counselor - Orientation and Mobility Training Provider</t>
  </si>
  <si>
    <t>Specialist/Technologist - Athletic Trainer</t>
  </si>
  <si>
    <t>Specialist/Technologist - Rehabilitation, Blind</t>
  </si>
  <si>
    <t>Audiologist-Hearing Aid Fitter - Audiologist-Hearing Aid Fitter</t>
  </si>
  <si>
    <t>Hearing Instrument Specialist - Hearing Instrument Specialist</t>
  </si>
  <si>
    <t>Specialist/Technologist - Audiology Assistant</t>
  </si>
  <si>
    <t>Specialist/Technologist - Speech-Language Assistant</t>
  </si>
  <si>
    <t>Student in an Organized Health Care Education/Training Program - Student in an Organized Health Care Education/Training Program</t>
  </si>
  <si>
    <t>Perfusionist** - Perfusionist**</t>
  </si>
  <si>
    <t>Radiologic Technologist - Radiologic Technologist</t>
  </si>
  <si>
    <t>Radiologic Technologist - Bone Densitometry</t>
  </si>
  <si>
    <t>Radiologic Technologist - Cardiovascular-Interventional Technology</t>
  </si>
  <si>
    <t>Radiologic Technologist - Cardiac-Interventional Technology</t>
  </si>
  <si>
    <t>Specialist/Technologist Cardiovascular - Specialist/Technologist Cardiovascular</t>
  </si>
  <si>
    <t>Specialist/Technologist Cardiovascular - Cardiovascular Invasive Specialist</t>
  </si>
  <si>
    <t>Radiologic Technologist - Computed Tomography</t>
  </si>
  <si>
    <t>Radiologic Technologist - Magnetic Resonance Imaging</t>
  </si>
  <si>
    <t>Radiologic Technologist - Nuclear Medicine Technology</t>
  </si>
  <si>
    <t>Radiologic Technologist - Quality Management</t>
  </si>
  <si>
    <t>Radiologic Technologist - Radiography</t>
  </si>
  <si>
    <t>Radiologic Technologist - Sonography</t>
  </si>
  <si>
    <t>Radiologic Technologist - Vascular Sonography</t>
  </si>
  <si>
    <t>Specialist/Technologist Cardiovascular - Vascular Specialist</t>
  </si>
  <si>
    <t>Specialist/Technologist Cardiovascular - Sonography</t>
  </si>
  <si>
    <t>Radiologic Technologist - Vascular-Interventional Technology</t>
  </si>
  <si>
    <t>Technician, Health Information - Technician, Health Information</t>
  </si>
  <si>
    <t>Technician, Health Information - Assistant Record Technician</t>
  </si>
  <si>
    <t>Specialist/Technologist, Health Information - Specialist/Technologist, Health Information</t>
  </si>
  <si>
    <t>Specialist/Technologist, Health Information - Coding Specialist, Hospital Based</t>
  </si>
  <si>
    <t>Specialist/Technologist, Health Information - Coding Specialist, Physician Office Based</t>
  </si>
  <si>
    <t>Specialist/Technologist, Health Information - Registered Record Administrator</t>
  </si>
  <si>
    <t>Technician, Pathology - Technician, Pathology</t>
  </si>
  <si>
    <t>Specialist/Technologist, Pathology - Specialist/Technologist, Pathology</t>
  </si>
  <si>
    <t>Specialist/Technologist, Pathology - Blood Banking</t>
  </si>
  <si>
    <t>Specialist/Technologist, Pathology - Chemistry</t>
  </si>
  <si>
    <t>Specialist/Technologist, Pathology - Cytotechnology</t>
  </si>
  <si>
    <t>Specialist/Technologist, Pathology - Hematology</t>
  </si>
  <si>
    <t>Specialist/Technologist, Pathology - Hemapheresis Practitioner</t>
  </si>
  <si>
    <t>Specialist/Technologist, Pathology - Histology</t>
  </si>
  <si>
    <t>Specialist/Technologist, Pathology - Immunology</t>
  </si>
  <si>
    <t>Specialist/Technologist, Pathology - Laboratory Management</t>
  </si>
  <si>
    <t>Specialist/Technologist, Pathology - Laboratory Management, Diplomate</t>
  </si>
  <si>
    <t>Specialist/Technologist, Pathology - Medical Technologist</t>
  </si>
  <si>
    <t>Specialist/Technologist, Pathology - Microbiology</t>
  </si>
  <si>
    <t>Technician, Cardiology - Technician, Cardiology</t>
  </si>
  <si>
    <t>Technician, Other - Biomedical Engineering</t>
  </si>
  <si>
    <t>Technician, Pathology - Clinical Laboratory Director, Non physician**</t>
  </si>
  <si>
    <t>Specialist/Technologist, Other - Surgical Assistant</t>
  </si>
  <si>
    <t>Emergency Response System Companies - Emergency Response System Companies****</t>
  </si>
  <si>
    <t>Lactation Consultant, Non-RN - Lactation Consultant, Non-RN</t>
  </si>
  <si>
    <t>Clinical Ethicist - Clinical Ethicist</t>
  </si>
  <si>
    <t>Electrodiagnostic Medicine - Electrodiagnostic Medicine</t>
  </si>
  <si>
    <t>Dentist - Dentist Anesthesiologist</t>
  </si>
  <si>
    <t>Technician, Other - Technician, Other</t>
  </si>
  <si>
    <t>Dentist - Advanced Practice Dental Therapist</t>
  </si>
  <si>
    <t>Dentist - Dentist Therapist</t>
  </si>
  <si>
    <t>Specialist - Specialist</t>
  </si>
  <si>
    <t>Specialist/Technologist - Specialist/Technologist</t>
  </si>
  <si>
    <t>Specialist/Technologist, Other - Specialist/Technologist, Other</t>
  </si>
  <si>
    <t>Veterinarian - Veterinarian</t>
  </si>
  <si>
    <t>Veterinarian - Medical Research</t>
  </si>
  <si>
    <t>Nurse Practitioner - Pediatrics</t>
  </si>
  <si>
    <t>Nurse Practitioner - Pediatrics, Critical Care</t>
  </si>
  <si>
    <t>Clinical Nurse Specialist - Pediatrics</t>
  </si>
  <si>
    <t>Nurse Practitioner - Obstetrics &amp; Gynecology</t>
  </si>
  <si>
    <t>Nurse Practitioner - Family</t>
  </si>
  <si>
    <t>Nurse Practitioner - Acute Care</t>
  </si>
  <si>
    <t>Nurse Practitioner - Adult Health</t>
  </si>
  <si>
    <t>Nurse Practitioner - Critical Care Medicine</t>
  </si>
  <si>
    <t>Nurse Practitioner - Community Health</t>
  </si>
  <si>
    <t>Nurse Practitioner - Gerontology</t>
  </si>
  <si>
    <t>Nurse Practitioner - Neonatal</t>
  </si>
  <si>
    <t>Nurse Practitioner - Neonatal, Critical Care</t>
  </si>
  <si>
    <t>Nurse Practitioner - Psychiatric/Mental Health</t>
  </si>
  <si>
    <t>Nurse Practitioner - Perinatal</t>
  </si>
  <si>
    <t>Nurse Practitioner - Primary Care</t>
  </si>
  <si>
    <t>Nurse Practitioner - School</t>
  </si>
  <si>
    <t>Nurse Practitioner - Women's Health</t>
  </si>
  <si>
    <t>Nurse Practitioner - Occupational Health</t>
  </si>
  <si>
    <t>Clinical Nurse Specialist - Clinical Nurse Specialist</t>
  </si>
  <si>
    <t>Clinical Nurse Specialist - Acute Care</t>
  </si>
  <si>
    <t>Clinical Nurse Specialist - Adult Health</t>
  </si>
  <si>
    <t>Clinical Nurse Specialist - Critical Care Medicine</t>
  </si>
  <si>
    <t>Clinical Nurse Specialist - Community Health/Public Health</t>
  </si>
  <si>
    <t>Clinical Nurse Specialist - Chronic Care</t>
  </si>
  <si>
    <t>Clinical Nurse Specialist - Emergency</t>
  </si>
  <si>
    <t>Clinical Nurse Specialist - Ethics</t>
  </si>
  <si>
    <t>Clinical Nurse Specialist - Family Health</t>
  </si>
  <si>
    <t>Clinical Nurse Specialist - Gerontology</t>
  </si>
  <si>
    <t>Clinical Nurse Specialist - Home Health</t>
  </si>
  <si>
    <t>Clinical Nurse Specialist - Holistic</t>
  </si>
  <si>
    <t>Clinical Nurse Specialist - Informatics</t>
  </si>
  <si>
    <t>Clinical Nurse Specialist - Long-Term Care</t>
  </si>
  <si>
    <t>Clinical Nurse Specialist - Medical-Surgical</t>
  </si>
  <si>
    <t>Clinical Nurse Specialist - Neonatal</t>
  </si>
  <si>
    <t>Clinical Nurse Specialist - Neuroscience</t>
  </si>
  <si>
    <t>Clinical Nurse Specialist - Psychiatric/Mental Health, Child &amp; Adolescent</t>
  </si>
  <si>
    <t>Clinical Nurse Specialist - Psychiatric/Mental Health</t>
  </si>
  <si>
    <t>Clinical Nurse Specialist - Psychiatric/Mental Health, Adult</t>
  </si>
  <si>
    <t>Clinical Nurse Specialist - Psychiatric/Mental Health, Child &amp; Family</t>
  </si>
  <si>
    <t>Clinical Nurse Specialist - Psychiatric/Mental Health, Chronically Ill</t>
  </si>
  <si>
    <t>Clinical Nurse Specialist - Psychiatric/Mental Health, Community</t>
  </si>
  <si>
    <t>Clinical Nurse Specialist - Psychiatric/Mental Health, Geropsychiatric</t>
  </si>
  <si>
    <t>Clinical Nurse Specialist - Perinatal</t>
  </si>
  <si>
    <t>Clinical Nurse Specialist - Perioperative</t>
  </si>
  <si>
    <t>Clinical Nurse Specialist - Rehabilitation</t>
  </si>
  <si>
    <t>Clinical Nurse Specialist - School</t>
  </si>
  <si>
    <t>Clinical Nurse Specialist - Transplantation</t>
  </si>
  <si>
    <t>Clinical Nurse Specialist - Women's Health</t>
  </si>
  <si>
    <t>Clinical Nurse Specialist - Occupational Health</t>
  </si>
  <si>
    <t>Clinical Nurse Specialist - Oncology</t>
  </si>
  <si>
    <t>Clinical Nurse Specialist - Oncology, Pediatrics</t>
  </si>
  <si>
    <t>Midwife, Certified - Midwife, Certified</t>
  </si>
  <si>
    <t>Midwife, Certified Nurse - Midwife, Certified Nurse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</si>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</sst>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0"/>
      <name val="MS Sans Serif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45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1" xfId="1" applyFont="1" applyFill="1" applyBorder="1" applyAlignment="1">
      <alignment horizontal="center" vertical="center" wrapText="1"/>
    </xf>
    <xf numFmtId="0" fontId="6" fillId="0" borderId="1" xfId="1" quotePrefix="1" applyFont="1" applyFill="1" applyBorder="1" applyAlignment="1">
      <alignment horizontal="center" vertical="center" wrapText="1"/>
    </xf>
    <xf numFmtId="49" fontId="6" fillId="0" borderId="1" xfId="1" quotePrefix="1" applyNumberFormat="1" applyFont="1" applyFill="1" applyBorder="1" applyAlignment="1">
      <alignment horizontal="center" vertical="center" wrapText="1"/>
    </xf>
    <xf numFmtId="0" fontId="4" fillId="0" borderId="1" xfId="1" quotePrefix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3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6" fillId="0" borderId="0" xfId="1" applyFont="1" applyFill="1"/>
    <xf numFmtId="0" fontId="8" fillId="0" borderId="0" xfId="1" applyFont="1" applyFill="1"/>
    <xf numFmtId="0" fontId="8" fillId="0" borderId="0" xfId="1" applyFont="1" applyFill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3" xfId="1" quotePrefix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4" fillId="0" borderId="0" xfId="1" applyFont="1" applyFill="1"/>
    <xf numFmtId="0" fontId="4" fillId="0" borderId="4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4" xfId="1" applyFont="1" applyFill="1" applyBorder="1"/>
    <xf numFmtId="0" fontId="4" fillId="0" borderId="7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49" fontId="0" fillId="0" borderId="0" xfId="0" applyNumberFormat="1"/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10" xfId="1" applyNumberFormat="1" applyFont="1" applyFill="1" applyBorder="1" applyAlignment="1">
      <alignment horizontal="center" vertical="center" wrapText="1"/>
    </xf>
    <xf numFmtId="11" fontId="0" fillId="0" borderId="0" xfId="0" applyNumberFormat="1"/>
    <xf numFmtId="0" fontId="6" fillId="0" borderId="0" xfId="1" applyNumberFormat="1" applyFont="1" applyFill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_TC Taxonomy" xfId="3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S1338" totalsRowShown="0" headerRowDxfId="22" dataDxfId="20" headerRowBorderDxfId="21" tableBorderDxfId="19" headerRowCellStyle="Normal 3" dataCellStyle="Normal 3">
  <autoFilter ref="A1:S1338">
    <filterColumn colId="0">
      <filters>
        <filter val="Individual or Groups (of Individuals)"/>
        <filter val="Non-individual"/>
      </filters>
    </filterColumn>
    <filterColumn colId="8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</filters>
    </filterColumn>
  </autoFilter>
  <tableColumns count="19">
    <tableColumn id="1" name="TAXONOMY Grouping 1" dataDxfId="18" dataCellStyle="Normal 3"/>
    <tableColumn id="2" name="TAXONOMY Grouping 2" dataDxfId="17" dataCellStyle="Normal 3"/>
    <tableColumn id="3" name="TAXONOMY Grouping 3" dataDxfId="16" dataCellStyle="Normal 3"/>
    <tableColumn id="4" name="DESCRIPTION" dataDxfId="15" dataCellStyle="Normal 3"/>
    <tableColumn id="5" name="TAXONOMY" dataDxfId="14" dataCellStyle="Normal 3"/>
    <tableColumn id="17" name="PDMS Taxonomy ID" dataDxfId="13" dataCellStyle="Normal 3">
      <calculatedColumnFormula>VLOOKUP(Table1[[#This Row],[Specialty Type Key]], TAXONOMY_TYPE, 2, FALSE)</calculatedColumnFormula>
    </tableColumn>
    <tableColumn id="6" name="Provider Type" dataDxfId="12" dataCellStyle="Normal 3"/>
    <tableColumn id="7" name="Provider Type Description" dataDxfId="11" dataCellStyle="Normal 3"/>
    <tableColumn id="13" name="PDMS Provider Type ID" dataDxfId="10" dataCellStyle="Normal 3">
      <calculatedColumnFormula>VLOOKUP(Table1[[#This Row],[Provider Type]] &amp; Table1[[#This Row],[Provider Type Description]], PROVIDER_TYPE, 2, FALSE)</calculatedColumnFormula>
    </tableColumn>
    <tableColumn id="8" name="Provider Specialty" dataDxfId="9" dataCellStyle="Normal 3"/>
    <tableColumn id="9" name="Provider Specialty Description" dataDxfId="8" dataCellStyle="Normal 3"/>
    <tableColumn id="15" name="PDMS Specialty Type ID" dataDxfId="7" dataCellStyle="Normal 3">
      <calculatedColumnFormula>VLOOKUP(TRIM(Table1[[#This Row],[Provider Specialty]]) &amp; TRIM(Table1[[#This Row],[Provider Specialty Description]]), SPECIALTY_TYPE, 2, FALSE)</calculatedColumnFormula>
    </tableColumn>
    <tableColumn id="10" name="iC Fund Code" dataDxfId="6" dataCellStyle="Normal 3"/>
    <tableColumn id="11" name="Healthcare Prov" dataDxfId="5" dataCellStyle="Normal 3"/>
    <tableColumn id="12" name="Column1" dataDxfId="4" dataCellStyle="Normal 3">
      <calculatedColumnFormula>VLOOKUP(TRIM(Table1[[#This Row],[Provider Specialty]]) &amp; TRIM(Table1[[#This Row],[Provider Specialty Description]]), SPECIALTY_TYPE, 2, FALSE)</calculatedColumnFormula>
    </tableColumn>
    <tableColumn id="14" name="Provider Type Key" dataDxfId="3" dataCellStyle="Normal 3">
      <calculatedColumnFormula>Table1[[#This Row],[Provider Type]] &amp; "+" &amp; Table1[[#This Row],[Provider Type Description]]</calculatedColumnFormula>
    </tableColumn>
    <tableColumn id="16" name="Specialty Type Key" dataDxfId="2" dataCellStyle="Normal 3">
      <calculatedColumnFormula>Table1[[#This Row],[Provider Specialty]] &amp; "+" &amp; Table1[[#This Row],[Provider Specialty Description]]</calculatedColumnFormula>
    </tableColumn>
    <tableColumn id="19" name="Column2" dataDxfId="1" dataCellStyle="Normal 3">
      <calculatedColumnFormula>Table1[[#This Row],[PDMS Specialty Type ID]] &amp; "+" &amp; Table1[[#This Row],[PDMS Provider Type ID]] &amp; "+" &amp;Table1[[#This Row],[TAXONOMY]]</calculatedColumnFormula>
    </tableColumn>
    <tableColumn id="20" name="Column3" dataDxfId="0" dataCellStyle="Normal 3">
      <calculatedColumnFormula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0"/>
  <sheetViews>
    <sheetView tabSelected="1" workbookViewId="0">
      <pane ySplit="1" topLeftCell="A125" activePane="bottomLeft" state="frozen"/>
      <selection pane="bottomLeft" activeCell="A132" sqref="A132"/>
    </sheetView>
  </sheetViews>
  <sheetFormatPr defaultColWidth="9.140625" defaultRowHeight="47.25" customHeight="1" x14ac:dyDescent="0.25"/>
  <cols>
    <col min="1" max="3" width="23" style="10" customWidth="1"/>
    <col min="4" max="4" width="19.7109375" style="10" customWidth="1"/>
    <col min="5" max="6" width="13.7109375" style="10" customWidth="1"/>
    <col min="7" max="7" width="19.42578125" style="10" customWidth="1"/>
    <col min="8" max="9" width="23.5703125" style="10" customWidth="1"/>
    <col min="10" max="10" width="17.42578125" style="10" customWidth="1"/>
    <col min="11" max="12" width="27" style="10" customWidth="1"/>
    <col min="13" max="13" width="13.5703125" style="10" customWidth="1"/>
    <col min="14" max="14" width="15.7109375" style="10" customWidth="1"/>
    <col min="15" max="15" width="23.140625" style="10" customWidth="1"/>
    <col min="16" max="16" width="23.42578125" style="10" customWidth="1"/>
    <col min="17" max="17" width="23.7109375" style="10" customWidth="1"/>
    <col min="18" max="18" width="27.42578125" style="10" customWidth="1"/>
    <col min="19" max="16384" width="9.140625" style="10"/>
  </cols>
  <sheetData>
    <row r="1" spans="1:19" ht="47.25" customHeight="1" x14ac:dyDescent="0.2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3678</v>
      </c>
      <c r="G1" s="30" t="s">
        <v>5</v>
      </c>
      <c r="H1" s="30" t="s">
        <v>6</v>
      </c>
      <c r="I1" s="30" t="s">
        <v>2028</v>
      </c>
      <c r="J1" s="30" t="s">
        <v>7</v>
      </c>
      <c r="K1" s="30" t="s">
        <v>8</v>
      </c>
      <c r="L1" s="30" t="s">
        <v>2572</v>
      </c>
      <c r="M1" s="30" t="s">
        <v>9</v>
      </c>
      <c r="N1" s="31" t="s">
        <v>10</v>
      </c>
      <c r="O1" s="30" t="s">
        <v>2027</v>
      </c>
      <c r="P1" s="30" t="s">
        <v>1857</v>
      </c>
      <c r="Q1" s="30" t="s">
        <v>2030</v>
      </c>
      <c r="R1" s="30" t="s">
        <v>4320</v>
      </c>
      <c r="S1" s="30" t="s">
        <v>4321</v>
      </c>
    </row>
    <row r="2" spans="1:19" ht="47.25" hidden="1" customHeight="1" x14ac:dyDescent="0.25">
      <c r="A2" s="22" t="s">
        <v>11</v>
      </c>
      <c r="B2" s="3" t="s">
        <v>33</v>
      </c>
      <c r="C2" s="3" t="s">
        <v>34</v>
      </c>
      <c r="D2" s="3" t="s">
        <v>35</v>
      </c>
      <c r="E2" s="3" t="s">
        <v>36</v>
      </c>
      <c r="F2" s="3">
        <f>VLOOKUP(Table1[[#This Row],[Column2]], TAXONOMY_TYPE, 2, FALSE)</f>
        <v>9049</v>
      </c>
      <c r="G2" s="4" t="s">
        <v>15</v>
      </c>
      <c r="H2" s="3" t="s">
        <v>1947</v>
      </c>
      <c r="I2" s="3">
        <f>VLOOKUP(Table1[[#This Row],[Provider Type]] &amp; Table1[[#This Row],[Provider Type Description]], PROVIDER_TYPE, 2, FALSE)</f>
        <v>52</v>
      </c>
      <c r="J2" s="5" t="s">
        <v>37</v>
      </c>
      <c r="K2" s="3" t="s">
        <v>38</v>
      </c>
      <c r="L2" s="3">
        <f>VLOOKUP(TRIM(Table1[[#This Row],[Provider Specialty]]) &amp; TRIM(Table1[[#This Row],[Provider Specialty Description]]), SPECIALTY_TYPE, 2, FALSE)</f>
        <v>2125</v>
      </c>
      <c r="M2" s="3" t="s">
        <v>19</v>
      </c>
      <c r="N2" s="27" t="s">
        <v>18</v>
      </c>
      <c r="O2" s="39">
        <f>VLOOKUP(TRIM(Table1[[#This Row],[Provider Specialty]]) &amp; TRIM(Table1[[#This Row],[Provider Specialty Description]]), SPECIALTY_TYPE, 2, FALSE)</f>
        <v>2125</v>
      </c>
      <c r="P2" s="17" t="str">
        <f>Table1[[#This Row],[Provider Type]] &amp; "+" &amp; Table1[[#This Row],[Provider Type Description]]</f>
        <v>01+Hospital</v>
      </c>
      <c r="Q2" s="7" t="str">
        <f>Table1[[#This Row],[Provider Specialty]] &amp; "+" &amp; Table1[[#This Row],[Provider Specialty Description]]</f>
        <v xml:space="preserve">010+Acute Care </v>
      </c>
      <c r="R2" s="7" t="str">
        <f>Table1[[#This Row],[PDMS Specialty Type ID]] &amp; "+" &amp; Table1[[#This Row],[PDMS Provider Type ID]] &amp; "+" &amp;Table1[[#This Row],[TAXONOMY]]</f>
        <v>2125+52+273100000X</v>
      </c>
      <c r="S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(9049, 2125, 52, N'273100000X', N'Epilepsy Unit - Epilepsy Unit****')</v>
      </c>
    </row>
    <row r="3" spans="1:19" ht="47.25" hidden="1" customHeight="1" x14ac:dyDescent="0.25">
      <c r="A3" s="22" t="s">
        <v>11</v>
      </c>
      <c r="B3" s="3" t="s">
        <v>33</v>
      </c>
      <c r="C3" s="3" t="s">
        <v>47</v>
      </c>
      <c r="D3" s="3" t="s">
        <v>47</v>
      </c>
      <c r="E3" s="3" t="s">
        <v>48</v>
      </c>
      <c r="F3" s="3">
        <f>VLOOKUP(Table1[[#This Row],[Column2]], TAXONOMY_TYPE, 2, FALSE)</f>
        <v>4610</v>
      </c>
      <c r="G3" s="4" t="s">
        <v>15</v>
      </c>
      <c r="H3" s="3" t="s">
        <v>1947</v>
      </c>
      <c r="I3" s="3">
        <f>VLOOKUP(Table1[[#This Row],[Provider Type]] &amp; Table1[[#This Row],[Provider Type Description]], PROVIDER_TYPE, 2, FALSE)</f>
        <v>52</v>
      </c>
      <c r="J3" s="4" t="s">
        <v>37</v>
      </c>
      <c r="K3" s="3" t="s">
        <v>49</v>
      </c>
      <c r="L3" s="3">
        <f>VLOOKUP(TRIM(Table1[[#This Row],[Provider Specialty]]) &amp; TRIM(Table1[[#This Row],[Provider Specialty Description]]), SPECIALTY_TYPE, 2, FALSE)</f>
        <v>2125</v>
      </c>
      <c r="M3" s="3" t="s">
        <v>19</v>
      </c>
      <c r="N3" s="27" t="s">
        <v>19</v>
      </c>
      <c r="O3" s="38">
        <f>VLOOKUP(TRIM(Table1[[#This Row],[Provider Specialty]]) &amp; TRIM(Table1[[#This Row],[Provider Specialty Description]]), SPECIALTY_TYPE, 2, FALSE)</f>
        <v>2125</v>
      </c>
      <c r="P3" s="3" t="str">
        <f>Table1[[#This Row],[Provider Type]] &amp; "+" &amp; Table1[[#This Row],[Provider Type Description]]</f>
        <v>01+Hospital</v>
      </c>
      <c r="Q3" s="7" t="str">
        <f>Table1[[#This Row],[Provider Specialty]] &amp; "+" &amp; Table1[[#This Row],[Provider Specialty Description]]</f>
        <v>010+Acute Care</v>
      </c>
      <c r="R3" s="7" t="str">
        <f>Table1[[#This Row],[PDMS Specialty Type ID]] &amp; "+" &amp; Table1[[#This Row],[PDMS Provider Type ID]] &amp; "+" &amp;Table1[[#This Row],[TAXONOMY]]</f>
        <v>2125+52+275N00000X</v>
      </c>
      <c r="S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(4610, 2125, 52, N'275N00000X', N'Medicare Defined Swing Bed Unit - Medicare Defined Swing Bed Unit')</v>
      </c>
    </row>
    <row r="4" spans="1:19" ht="47.25" hidden="1" customHeight="1" x14ac:dyDescent="0.25">
      <c r="A4" s="22" t="s">
        <v>11</v>
      </c>
      <c r="B4" s="3" t="s">
        <v>12</v>
      </c>
      <c r="C4" s="3" t="s">
        <v>52</v>
      </c>
      <c r="D4" s="3" t="s">
        <v>52</v>
      </c>
      <c r="E4" s="3" t="s">
        <v>53</v>
      </c>
      <c r="F4" s="3">
        <f>VLOOKUP(Table1[[#This Row],[Column2]], TAXONOMY_TYPE, 2, FALSE)</f>
        <v>9050</v>
      </c>
      <c r="G4" s="4" t="s">
        <v>15</v>
      </c>
      <c r="H4" s="3" t="s">
        <v>1947</v>
      </c>
      <c r="I4" s="3">
        <f>VLOOKUP(Table1[[#This Row],[Provider Type]] &amp; Table1[[#This Row],[Provider Type Description]], PROVIDER_TYPE, 2, FALSE)</f>
        <v>52</v>
      </c>
      <c r="J4" s="4" t="s">
        <v>37</v>
      </c>
      <c r="K4" s="3" t="s">
        <v>49</v>
      </c>
      <c r="L4" s="3">
        <f>VLOOKUP(TRIM(Table1[[#This Row],[Provider Specialty]]) &amp; TRIM(Table1[[#This Row],[Provider Specialty Description]]), SPECIALTY_TYPE, 2, FALSE)</f>
        <v>2125</v>
      </c>
      <c r="M4" s="3" t="s">
        <v>19</v>
      </c>
      <c r="N4" s="27" t="s">
        <v>19</v>
      </c>
      <c r="O4" s="38">
        <f>VLOOKUP(TRIM(Table1[[#This Row],[Provider Specialty]]) &amp; TRIM(Table1[[#This Row],[Provider Specialty Description]]), SPECIALTY_TYPE, 2, FALSE)</f>
        <v>2125</v>
      </c>
      <c r="P4" s="3" t="str">
        <f>Table1[[#This Row],[Provider Type]] &amp; "+" &amp; Table1[[#This Row],[Provider Type Description]]</f>
        <v>01+Hospital</v>
      </c>
      <c r="Q4" s="7" t="str">
        <f>Table1[[#This Row],[Provider Specialty]] &amp; "+" &amp; Table1[[#This Row],[Provider Specialty Description]]</f>
        <v>010+Acute Care</v>
      </c>
      <c r="R4" s="7" t="str">
        <f>Table1[[#This Row],[PDMS Specialty Type ID]] &amp; "+" &amp; Table1[[#This Row],[PDMS Provider Type ID]] &amp; "+" &amp;Table1[[#This Row],[TAXONOMY]]</f>
        <v>2125+52+281P00000X</v>
      </c>
      <c r="S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(9050, 2125, 52, N'281P00000X', N'Chronic Disease Hospital - Chronic Disease Hospital')</v>
      </c>
    </row>
    <row r="5" spans="1:19" ht="47.25" hidden="1" customHeight="1" x14ac:dyDescent="0.25">
      <c r="A5" s="22" t="s">
        <v>11</v>
      </c>
      <c r="B5" s="3" t="s">
        <v>12</v>
      </c>
      <c r="C5" s="3" t="s">
        <v>52</v>
      </c>
      <c r="D5" s="3" t="s">
        <v>20</v>
      </c>
      <c r="E5" s="3" t="s">
        <v>54</v>
      </c>
      <c r="F5" s="3">
        <f>VLOOKUP(Table1[[#This Row],[Column2]], TAXONOMY_TYPE, 2, FALSE)</f>
        <v>4603</v>
      </c>
      <c r="G5" s="4" t="s">
        <v>15</v>
      </c>
      <c r="H5" s="3" t="s">
        <v>1947</v>
      </c>
      <c r="I5" s="3">
        <f>VLOOKUP(Table1[[#This Row],[Provider Type]] &amp; Table1[[#This Row],[Provider Type Description]], PROVIDER_TYPE, 2, FALSE)</f>
        <v>52</v>
      </c>
      <c r="J5" s="4" t="s">
        <v>37</v>
      </c>
      <c r="K5" s="3" t="s">
        <v>49</v>
      </c>
      <c r="L5" s="3">
        <f>VLOOKUP(TRIM(Table1[[#This Row],[Provider Specialty]]) &amp; TRIM(Table1[[#This Row],[Provider Specialty Description]]), SPECIALTY_TYPE, 2, FALSE)</f>
        <v>2125</v>
      </c>
      <c r="M5" s="3" t="s">
        <v>19</v>
      </c>
      <c r="N5" s="27" t="s">
        <v>19</v>
      </c>
      <c r="O5" s="38">
        <f>VLOOKUP(TRIM(Table1[[#This Row],[Provider Specialty]]) &amp; TRIM(Table1[[#This Row],[Provider Specialty Description]]), SPECIALTY_TYPE, 2, FALSE)</f>
        <v>2125</v>
      </c>
      <c r="P5" s="3" t="str">
        <f>Table1[[#This Row],[Provider Type]] &amp; "+" &amp; Table1[[#This Row],[Provider Type Description]]</f>
        <v>01+Hospital</v>
      </c>
      <c r="Q5" s="7" t="str">
        <f>Table1[[#This Row],[Provider Specialty]] &amp; "+" &amp; Table1[[#This Row],[Provider Specialty Description]]</f>
        <v>010+Acute Care</v>
      </c>
      <c r="R5" s="7" t="str">
        <f>Table1[[#This Row],[PDMS Specialty Type ID]] &amp; "+" &amp; Table1[[#This Row],[PDMS Provider Type ID]] &amp; "+" &amp;Table1[[#This Row],[TAXONOMY]]</f>
        <v>2125+52+281PC2000X</v>
      </c>
      <c r="S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(4603, 2125, 52, N'281PC2000X', N'Chronic Disease Hospital - Children')</v>
      </c>
    </row>
    <row r="6" spans="1:19" ht="47.25" hidden="1" customHeight="1" x14ac:dyDescent="0.25">
      <c r="A6" s="22" t="s">
        <v>11</v>
      </c>
      <c r="B6" s="3" t="s">
        <v>12</v>
      </c>
      <c r="C6" s="3" t="s">
        <v>55</v>
      </c>
      <c r="D6" s="3" t="s">
        <v>55</v>
      </c>
      <c r="E6" s="3" t="s">
        <v>56</v>
      </c>
      <c r="F6" s="3">
        <f>VLOOKUP(Table1[[#This Row],[Column2]], TAXONOMY_TYPE, 2, FALSE)</f>
        <v>4609</v>
      </c>
      <c r="G6" s="4" t="s">
        <v>15</v>
      </c>
      <c r="H6" s="3" t="s">
        <v>1947</v>
      </c>
      <c r="I6" s="3">
        <f>VLOOKUP(Table1[[#This Row],[Provider Type]] &amp; Table1[[#This Row],[Provider Type Description]], PROVIDER_TYPE, 2, FALSE)</f>
        <v>52</v>
      </c>
      <c r="J6" s="4" t="s">
        <v>37</v>
      </c>
      <c r="K6" s="3" t="s">
        <v>49</v>
      </c>
      <c r="L6" s="3">
        <f>VLOOKUP(TRIM(Table1[[#This Row],[Provider Specialty]]) &amp; TRIM(Table1[[#This Row],[Provider Specialty Description]]), SPECIALTY_TYPE, 2, FALSE)</f>
        <v>2125</v>
      </c>
      <c r="M6" s="3" t="s">
        <v>19</v>
      </c>
      <c r="N6" s="27" t="s">
        <v>19</v>
      </c>
      <c r="O6" s="38">
        <f>VLOOKUP(TRIM(Table1[[#This Row],[Provider Specialty]]) &amp; TRIM(Table1[[#This Row],[Provider Specialty Description]]), SPECIALTY_TYPE, 2, FALSE)</f>
        <v>2125</v>
      </c>
      <c r="P6" s="3" t="str">
        <f>Table1[[#This Row],[Provider Type]] &amp; "+" &amp; Table1[[#This Row],[Provider Type Description]]</f>
        <v>01+Hospital</v>
      </c>
      <c r="Q6" s="7" t="str">
        <f>Table1[[#This Row],[Provider Specialty]] &amp; "+" &amp; Table1[[#This Row],[Provider Specialty Description]]</f>
        <v>010+Acute Care</v>
      </c>
      <c r="R6" s="7" t="str">
        <f>Table1[[#This Row],[PDMS Specialty Type ID]] &amp; "+" &amp; Table1[[#This Row],[PDMS Provider Type ID]] &amp; "+" &amp;Table1[[#This Row],[TAXONOMY]]</f>
        <v>2125+52+282E00000X</v>
      </c>
      <c r="S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(4609, 2125, 52, N'282E00000X', N'Long Term Care Hospital - Long Term Care Hospital')</v>
      </c>
    </row>
    <row r="7" spans="1:19" ht="47.25" hidden="1" customHeight="1" x14ac:dyDescent="0.25">
      <c r="A7" s="22" t="s">
        <v>11</v>
      </c>
      <c r="B7" s="3" t="s">
        <v>12</v>
      </c>
      <c r="C7" s="3" t="s">
        <v>13</v>
      </c>
      <c r="D7" s="3" t="s">
        <v>13</v>
      </c>
      <c r="E7" s="3" t="s">
        <v>14</v>
      </c>
      <c r="F7" s="3">
        <f>VLOOKUP(Table1[[#This Row],[Column2]], TAXONOMY_TYPE, 2, FALSE)</f>
        <v>4604</v>
      </c>
      <c r="G7" s="4" t="s">
        <v>15</v>
      </c>
      <c r="H7" s="3" t="s">
        <v>1947</v>
      </c>
      <c r="I7" s="3">
        <f>VLOOKUP(Table1[[#This Row],[Provider Type]] &amp; Table1[[#This Row],[Provider Type Description]], PROVIDER_TYPE, 2, FALSE)</f>
        <v>52</v>
      </c>
      <c r="J7" s="4" t="s">
        <v>37</v>
      </c>
      <c r="K7" s="3" t="s">
        <v>49</v>
      </c>
      <c r="L7" s="3">
        <f>VLOOKUP(TRIM(Table1[[#This Row],[Provider Specialty]]) &amp; TRIM(Table1[[#This Row],[Provider Specialty Description]]), SPECIALTY_TYPE, 2, FALSE)</f>
        <v>2125</v>
      </c>
      <c r="M7" s="3" t="s">
        <v>19</v>
      </c>
      <c r="N7" s="27" t="s">
        <v>19</v>
      </c>
      <c r="O7" s="38">
        <f>VLOOKUP(TRIM(Table1[[#This Row],[Provider Specialty]]) &amp; TRIM(Table1[[#This Row],[Provider Specialty Description]]), SPECIALTY_TYPE, 2, FALSE)</f>
        <v>2125</v>
      </c>
      <c r="P7" s="3" t="str">
        <f>Table1[[#This Row],[Provider Type]] &amp; "+" &amp; Table1[[#This Row],[Provider Type Description]]</f>
        <v>01+Hospital</v>
      </c>
      <c r="Q7" s="7" t="str">
        <f>Table1[[#This Row],[Provider Specialty]] &amp; "+" &amp; Table1[[#This Row],[Provider Specialty Description]]</f>
        <v>010+Acute Care</v>
      </c>
      <c r="R7" s="7" t="str">
        <f>Table1[[#This Row],[PDMS Specialty Type ID]] &amp; "+" &amp; Table1[[#This Row],[PDMS Provider Type ID]] &amp; "+" &amp;Table1[[#This Row],[TAXONOMY]]</f>
        <v>2125+52+282N00000X</v>
      </c>
      <c r="S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(4604, 2125, 52, N'282N00000X', N'General Acute Care Hospital - General Acute Care Hospital')</v>
      </c>
    </row>
    <row r="8" spans="1:19" ht="47.25" hidden="1" customHeight="1" x14ac:dyDescent="0.25">
      <c r="A8" s="22" t="s">
        <v>11</v>
      </c>
      <c r="B8" s="3" t="s">
        <v>12</v>
      </c>
      <c r="C8" s="3" t="s">
        <v>13</v>
      </c>
      <c r="D8" s="3" t="s">
        <v>65</v>
      </c>
      <c r="E8" s="3" t="s">
        <v>66</v>
      </c>
      <c r="F8" s="3">
        <f>VLOOKUP(Table1[[#This Row],[Column2]], TAXONOMY_TYPE, 2, FALSE)</f>
        <v>4607</v>
      </c>
      <c r="G8" s="4" t="s">
        <v>15</v>
      </c>
      <c r="H8" s="3" t="s">
        <v>1947</v>
      </c>
      <c r="I8" s="3">
        <f>VLOOKUP(Table1[[#This Row],[Provider Type]] &amp; Table1[[#This Row],[Provider Type Description]], PROVIDER_TYPE, 2, FALSE)</f>
        <v>52</v>
      </c>
      <c r="J8" s="4" t="s">
        <v>37</v>
      </c>
      <c r="K8" s="3" t="s">
        <v>49</v>
      </c>
      <c r="L8" s="3">
        <f>VLOOKUP(TRIM(Table1[[#This Row],[Provider Specialty]]) &amp; TRIM(Table1[[#This Row],[Provider Specialty Description]]), SPECIALTY_TYPE, 2, FALSE)</f>
        <v>2125</v>
      </c>
      <c r="M8" s="3" t="s">
        <v>19</v>
      </c>
      <c r="N8" s="27" t="s">
        <v>19</v>
      </c>
      <c r="O8" s="38">
        <f>VLOOKUP(TRIM(Table1[[#This Row],[Provider Specialty]]) &amp; TRIM(Table1[[#This Row],[Provider Specialty Description]]), SPECIALTY_TYPE, 2, FALSE)</f>
        <v>2125</v>
      </c>
      <c r="P8" s="3" t="str">
        <f>Table1[[#This Row],[Provider Type]] &amp; "+" &amp; Table1[[#This Row],[Provider Type Description]]</f>
        <v>01+Hospital</v>
      </c>
      <c r="Q8" s="7" t="str">
        <f>Table1[[#This Row],[Provider Specialty]] &amp; "+" &amp; Table1[[#This Row],[Provider Specialty Description]]</f>
        <v>010+Acute Care</v>
      </c>
      <c r="R8" s="7" t="str">
        <f>Table1[[#This Row],[PDMS Specialty Type ID]] &amp; "+" &amp; Table1[[#This Row],[PDMS Provider Type ID]] &amp; "+" &amp;Table1[[#This Row],[TAXONOMY]]</f>
        <v>2125+52+282NW0100X</v>
      </c>
      <c r="S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(4607, 2125, 52, N'282NW0100X', N'General Acute Care Hospital - Women')</v>
      </c>
    </row>
    <row r="9" spans="1:19" ht="47.25" hidden="1" customHeight="1" x14ac:dyDescent="0.25">
      <c r="A9" s="22" t="s">
        <v>11</v>
      </c>
      <c r="B9" s="3" t="s">
        <v>12</v>
      </c>
      <c r="C9" s="3" t="s">
        <v>72</v>
      </c>
      <c r="D9" s="3" t="s">
        <v>72</v>
      </c>
      <c r="E9" s="3" t="s">
        <v>73</v>
      </c>
      <c r="F9" s="3">
        <f>VLOOKUP(Table1[[#This Row],[Column2]], TAXONOMY_TYPE, 2, FALSE)</f>
        <v>4614</v>
      </c>
      <c r="G9" s="4" t="s">
        <v>15</v>
      </c>
      <c r="H9" s="3" t="s">
        <v>1947</v>
      </c>
      <c r="I9" s="3">
        <f>VLOOKUP(Table1[[#This Row],[Provider Type]] &amp; Table1[[#This Row],[Provider Type Description]], PROVIDER_TYPE, 2, FALSE)</f>
        <v>52</v>
      </c>
      <c r="J9" s="4" t="s">
        <v>37</v>
      </c>
      <c r="K9" s="3" t="s">
        <v>49</v>
      </c>
      <c r="L9" s="3">
        <f>VLOOKUP(TRIM(Table1[[#This Row],[Provider Specialty]]) &amp; TRIM(Table1[[#This Row],[Provider Specialty Description]]), SPECIALTY_TYPE, 2, FALSE)</f>
        <v>2125</v>
      </c>
      <c r="M9" s="3" t="s">
        <v>19</v>
      </c>
      <c r="N9" s="27" t="s">
        <v>19</v>
      </c>
      <c r="O9" s="38">
        <f>VLOOKUP(TRIM(Table1[[#This Row],[Provider Specialty]]) &amp; TRIM(Table1[[#This Row],[Provider Specialty Description]]), SPECIALTY_TYPE, 2, FALSE)</f>
        <v>2125</v>
      </c>
      <c r="P9" s="3" t="str">
        <f>Table1[[#This Row],[Provider Type]] &amp; "+" &amp; Table1[[#This Row],[Provider Type Description]]</f>
        <v>01+Hospital</v>
      </c>
      <c r="Q9" s="7" t="str">
        <f>Table1[[#This Row],[Provider Specialty]] &amp; "+" &amp; Table1[[#This Row],[Provider Specialty Description]]</f>
        <v>010+Acute Care</v>
      </c>
      <c r="R9" s="7" t="str">
        <f>Table1[[#This Row],[PDMS Specialty Type ID]] &amp; "+" &amp; Table1[[#This Row],[PDMS Provider Type ID]] &amp; "+" &amp;Table1[[#This Row],[TAXONOMY]]</f>
        <v>2125+52+284300000X</v>
      </c>
      <c r="S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(4614, 2125, 52, N'284300000X', N'Special Hospital - Special Hospital')</v>
      </c>
    </row>
    <row r="10" spans="1:19" ht="47.25" hidden="1" customHeight="1" x14ac:dyDescent="0.25">
      <c r="A10" s="22" t="s">
        <v>11</v>
      </c>
      <c r="B10" s="3" t="s">
        <v>12</v>
      </c>
      <c r="C10" s="3" t="s">
        <v>74</v>
      </c>
      <c r="D10" s="3" t="s">
        <v>74</v>
      </c>
      <c r="E10" s="3" t="s">
        <v>75</v>
      </c>
      <c r="F10" s="3">
        <f>VLOOKUP(Table1[[#This Row],[Column2]], TAXONOMY_TYPE, 2, FALSE)</f>
        <v>9056</v>
      </c>
      <c r="G10" s="4" t="s">
        <v>15</v>
      </c>
      <c r="H10" s="3" t="s">
        <v>1947</v>
      </c>
      <c r="I10" s="3">
        <f>VLOOKUP(Table1[[#This Row],[Provider Type]] &amp; Table1[[#This Row],[Provider Type Description]], PROVIDER_TYPE, 2, FALSE)</f>
        <v>52</v>
      </c>
      <c r="J10" s="4" t="s">
        <v>37</v>
      </c>
      <c r="K10" s="3" t="s">
        <v>49</v>
      </c>
      <c r="L10" s="3">
        <f>VLOOKUP(TRIM(Table1[[#This Row],[Provider Specialty]]) &amp; TRIM(Table1[[#This Row],[Provider Specialty Description]]), SPECIALTY_TYPE, 2, FALSE)</f>
        <v>2125</v>
      </c>
      <c r="M10" s="3" t="s">
        <v>19</v>
      </c>
      <c r="N10" s="27" t="s">
        <v>19</v>
      </c>
      <c r="O10" s="38">
        <f>VLOOKUP(TRIM(Table1[[#This Row],[Provider Specialty]]) &amp; TRIM(Table1[[#This Row],[Provider Specialty Description]]), SPECIALTY_TYPE, 2, FALSE)</f>
        <v>2125</v>
      </c>
      <c r="P10" s="3" t="str">
        <f>Table1[[#This Row],[Provider Type]] &amp; "+" &amp; Table1[[#This Row],[Provider Type Description]]</f>
        <v>01+Hospital</v>
      </c>
      <c r="Q10" s="7" t="str">
        <f>Table1[[#This Row],[Provider Specialty]] &amp; "+" &amp; Table1[[#This Row],[Provider Specialty Description]]</f>
        <v>010+Acute Care</v>
      </c>
      <c r="R10" s="7" t="str">
        <f>Table1[[#This Row],[PDMS Specialty Type ID]] &amp; "+" &amp; Table1[[#This Row],[PDMS Provider Type ID]] &amp; "+" &amp;Table1[[#This Row],[TAXONOMY]]</f>
        <v>2125+52+286500000X</v>
      </c>
      <c r="S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(9056, 2125, 52, N'286500000X', N'Military Hospital - Military Hospital')</v>
      </c>
    </row>
    <row r="11" spans="1:19" ht="47.25" hidden="1" customHeight="1" x14ac:dyDescent="0.25">
      <c r="A11" s="22" t="s">
        <v>11</v>
      </c>
      <c r="B11" s="3" t="s">
        <v>12</v>
      </c>
      <c r="C11" s="3" t="s">
        <v>74</v>
      </c>
      <c r="D11" s="3" t="s">
        <v>76</v>
      </c>
      <c r="E11" s="3" t="s">
        <v>77</v>
      </c>
      <c r="F11" s="3">
        <f>VLOOKUP(Table1[[#This Row],[Column2]], TAXONOMY_TYPE, 2, FALSE)</f>
        <v>9052</v>
      </c>
      <c r="G11" s="4" t="s">
        <v>15</v>
      </c>
      <c r="H11" s="3" t="s">
        <v>1947</v>
      </c>
      <c r="I11" s="3">
        <f>VLOOKUP(Table1[[#This Row],[Provider Type]] &amp; Table1[[#This Row],[Provider Type Description]], PROVIDER_TYPE, 2, FALSE)</f>
        <v>52</v>
      </c>
      <c r="J11" s="4" t="s">
        <v>37</v>
      </c>
      <c r="K11" s="3" t="s">
        <v>49</v>
      </c>
      <c r="L11" s="3">
        <f>VLOOKUP(TRIM(Table1[[#This Row],[Provider Specialty]]) &amp; TRIM(Table1[[#This Row],[Provider Specialty Description]]), SPECIALTY_TYPE, 2, FALSE)</f>
        <v>2125</v>
      </c>
      <c r="M11" s="3" t="s">
        <v>19</v>
      </c>
      <c r="N11" s="27" t="s">
        <v>19</v>
      </c>
      <c r="O11" s="38">
        <f>VLOOKUP(TRIM(Table1[[#This Row],[Provider Specialty]]) &amp; TRIM(Table1[[#This Row],[Provider Specialty Description]]), SPECIALTY_TYPE, 2, FALSE)</f>
        <v>2125</v>
      </c>
      <c r="P11" s="3" t="str">
        <f>Table1[[#This Row],[Provider Type]] &amp; "+" &amp; Table1[[#This Row],[Provider Type Description]]</f>
        <v>01+Hospital</v>
      </c>
      <c r="Q11" s="7" t="str">
        <f>Table1[[#This Row],[Provider Specialty]] &amp; "+" &amp; Table1[[#This Row],[Provider Specialty Description]]</f>
        <v>010+Acute Care</v>
      </c>
      <c r="R11" s="7" t="str">
        <f>Table1[[#This Row],[PDMS Specialty Type ID]] &amp; "+" &amp; Table1[[#This Row],[PDMS Provider Type ID]] &amp; "+" &amp;Table1[[#This Row],[TAXONOMY]]</f>
        <v>2125+52+2865C1500X</v>
      </c>
      <c r="S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(9052, 2125, 52, N'2865C1500X', N'Military Hospital - Community Health^^^^')</v>
      </c>
    </row>
    <row r="12" spans="1:19" ht="47.25" hidden="1" customHeight="1" x14ac:dyDescent="0.25">
      <c r="A12" s="22" t="s">
        <v>11</v>
      </c>
      <c r="B12" s="3" t="s">
        <v>12</v>
      </c>
      <c r="C12" s="3" t="s">
        <v>74</v>
      </c>
      <c r="D12" s="3" t="s">
        <v>78</v>
      </c>
      <c r="E12" s="3" t="s">
        <v>79</v>
      </c>
      <c r="F12" s="3">
        <f>VLOOKUP(Table1[[#This Row],[Column2]], TAXONOMY_TYPE, 2, FALSE)</f>
        <v>9053</v>
      </c>
      <c r="G12" s="4" t="s">
        <v>15</v>
      </c>
      <c r="H12" s="3" t="s">
        <v>1947</v>
      </c>
      <c r="I12" s="3">
        <f>VLOOKUP(Table1[[#This Row],[Provider Type]] &amp; Table1[[#This Row],[Provider Type Description]], PROVIDER_TYPE, 2, FALSE)</f>
        <v>52</v>
      </c>
      <c r="J12" s="4" t="s">
        <v>37</v>
      </c>
      <c r="K12" s="3" t="s">
        <v>49</v>
      </c>
      <c r="L12" s="3">
        <f>VLOOKUP(TRIM(Table1[[#This Row],[Provider Specialty]]) &amp; TRIM(Table1[[#This Row],[Provider Specialty Description]]), SPECIALTY_TYPE, 2, FALSE)</f>
        <v>2125</v>
      </c>
      <c r="M12" s="3" t="s">
        <v>19</v>
      </c>
      <c r="N12" s="27" t="s">
        <v>19</v>
      </c>
      <c r="O12" s="38">
        <f>VLOOKUP(TRIM(Table1[[#This Row],[Provider Specialty]]) &amp; TRIM(Table1[[#This Row],[Provider Specialty Description]]), SPECIALTY_TYPE, 2, FALSE)</f>
        <v>2125</v>
      </c>
      <c r="P12" s="3" t="str">
        <f>Table1[[#This Row],[Provider Type]] &amp; "+" &amp; Table1[[#This Row],[Provider Type Description]]</f>
        <v>01+Hospital</v>
      </c>
      <c r="Q12" s="7" t="str">
        <f>Table1[[#This Row],[Provider Specialty]] &amp; "+" &amp; Table1[[#This Row],[Provider Specialty Description]]</f>
        <v>010+Acute Care</v>
      </c>
      <c r="R12" s="7" t="str">
        <f>Table1[[#This Row],[PDMS Specialty Type ID]] &amp; "+" &amp; Table1[[#This Row],[PDMS Provider Type ID]] &amp; "+" &amp;Table1[[#This Row],[TAXONOMY]]</f>
        <v>2125+52+2865M2000X</v>
      </c>
      <c r="S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(9053, 2125, 52, N'2865M2000X', N'Military Hospital - Military General Acute Care Hospital')</v>
      </c>
    </row>
    <row r="13" spans="1:19" ht="47.25" hidden="1" customHeight="1" x14ac:dyDescent="0.25">
      <c r="A13" s="22" t="s">
        <v>11</v>
      </c>
      <c r="B13" s="3" t="s">
        <v>12</v>
      </c>
      <c r="C13" s="3" t="s">
        <v>74</v>
      </c>
      <c r="D13" s="3" t="s">
        <v>80</v>
      </c>
      <c r="E13" s="3" t="s">
        <v>81</v>
      </c>
      <c r="F13" s="3">
        <f>VLOOKUP(Table1[[#This Row],[Column2]], TAXONOMY_TYPE, 2, FALSE)</f>
        <v>9054</v>
      </c>
      <c r="G13" s="4" t="s">
        <v>15</v>
      </c>
      <c r="H13" s="3" t="s">
        <v>1947</v>
      </c>
      <c r="I13" s="3">
        <f>VLOOKUP(Table1[[#This Row],[Provider Type]] &amp; Table1[[#This Row],[Provider Type Description]], PROVIDER_TYPE, 2, FALSE)</f>
        <v>52</v>
      </c>
      <c r="J13" s="4" t="s">
        <v>37</v>
      </c>
      <c r="K13" s="3" t="s">
        <v>49</v>
      </c>
      <c r="L13" s="3">
        <f>VLOOKUP(TRIM(Table1[[#This Row],[Provider Specialty]]) &amp; TRIM(Table1[[#This Row],[Provider Specialty Description]]), SPECIALTY_TYPE, 2, FALSE)</f>
        <v>2125</v>
      </c>
      <c r="M13" s="3" t="s">
        <v>19</v>
      </c>
      <c r="N13" s="27" t="s">
        <v>19</v>
      </c>
      <c r="O13" s="38">
        <f>VLOOKUP(TRIM(Table1[[#This Row],[Provider Specialty]]) &amp; TRIM(Table1[[#This Row],[Provider Specialty Description]]), SPECIALTY_TYPE, 2, FALSE)</f>
        <v>2125</v>
      </c>
      <c r="P13" s="3" t="str">
        <f>Table1[[#This Row],[Provider Type]] &amp; "+" &amp; Table1[[#This Row],[Provider Type Description]]</f>
        <v>01+Hospital</v>
      </c>
      <c r="Q13" s="7" t="str">
        <f>Table1[[#This Row],[Provider Specialty]] &amp; "+" &amp; Table1[[#This Row],[Provider Specialty Description]]</f>
        <v>010+Acute Care</v>
      </c>
      <c r="R13" s="7" t="str">
        <f>Table1[[#This Row],[PDMS Specialty Type ID]] &amp; "+" &amp; Table1[[#This Row],[PDMS Provider Type ID]] &amp; "+" &amp;Table1[[#This Row],[TAXONOMY]]</f>
        <v>2125+52+2865X1600X</v>
      </c>
      <c r="S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(9054, 2125, 52, N'2865X1600X', N'Military Hospital - Military General Acute Care Hospital. Operational (Transportable)')</v>
      </c>
    </row>
    <row r="14" spans="1:19" ht="47.25" hidden="1" customHeight="1" x14ac:dyDescent="0.25">
      <c r="A14" s="22" t="s">
        <v>11</v>
      </c>
      <c r="B14" s="3" t="s">
        <v>12</v>
      </c>
      <c r="C14" s="3" t="s">
        <v>82</v>
      </c>
      <c r="D14" s="3" t="s">
        <v>82</v>
      </c>
      <c r="E14" s="3" t="s">
        <v>83</v>
      </c>
      <c r="F14" s="3">
        <f>VLOOKUP(Table1[[#This Row],[Column2]], TAXONOMY_TYPE, 2, FALSE)</f>
        <v>9055</v>
      </c>
      <c r="G14" s="4" t="s">
        <v>15</v>
      </c>
      <c r="H14" s="3" t="s">
        <v>1947</v>
      </c>
      <c r="I14" s="3">
        <f>VLOOKUP(Table1[[#This Row],[Provider Type]] &amp; Table1[[#This Row],[Provider Type Description]], PROVIDER_TYPE, 2, FALSE)</f>
        <v>52</v>
      </c>
      <c r="J14" s="4" t="s">
        <v>37</v>
      </c>
      <c r="K14" s="3" t="s">
        <v>49</v>
      </c>
      <c r="L14" s="3">
        <f>VLOOKUP(TRIM(Table1[[#This Row],[Provider Specialty]]) &amp; TRIM(Table1[[#This Row],[Provider Specialty Description]]), SPECIALTY_TYPE, 2, FALSE)</f>
        <v>2125</v>
      </c>
      <c r="M14" s="3" t="s">
        <v>19</v>
      </c>
      <c r="N14" s="27" t="s">
        <v>19</v>
      </c>
      <c r="O14" s="38">
        <f>VLOOKUP(TRIM(Table1[[#This Row],[Provider Specialty]]) &amp; TRIM(Table1[[#This Row],[Provider Specialty Description]]), SPECIALTY_TYPE, 2, FALSE)</f>
        <v>2125</v>
      </c>
      <c r="P14" s="3" t="str">
        <f>Table1[[#This Row],[Provider Type]] &amp; "+" &amp; Table1[[#This Row],[Provider Type Description]]</f>
        <v>01+Hospital</v>
      </c>
      <c r="Q14" s="7" t="str">
        <f>Table1[[#This Row],[Provider Specialty]] &amp; "+" &amp; Table1[[#This Row],[Provider Specialty Description]]</f>
        <v>010+Acute Care</v>
      </c>
      <c r="R14" s="7" t="str">
        <f>Table1[[#This Row],[PDMS Specialty Type ID]] &amp; "+" &amp; Table1[[#This Row],[PDMS Provider Type ID]] &amp; "+" &amp;Table1[[#This Row],[TAXONOMY]]</f>
        <v>2125+52+287300000X</v>
      </c>
      <c r="S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(9055, 2125, 52, N'287300000X', N'Christian Science Sanitorium - Christian Science Sanitorium')</v>
      </c>
    </row>
    <row r="15" spans="1:19" ht="47.25" hidden="1" customHeight="1" x14ac:dyDescent="0.25">
      <c r="A15" s="22" t="s">
        <v>11</v>
      </c>
      <c r="B15" s="3" t="s">
        <v>33</v>
      </c>
      <c r="C15" s="3" t="s">
        <v>39</v>
      </c>
      <c r="D15" s="3" t="s">
        <v>39</v>
      </c>
      <c r="E15" s="3" t="s">
        <v>40</v>
      </c>
      <c r="F15" s="3">
        <f>VLOOKUP(Table1[[#This Row],[Column2]], TAXONOMY_TYPE, 2, FALSE)</f>
        <v>4800</v>
      </c>
      <c r="G15" s="4" t="s">
        <v>15</v>
      </c>
      <c r="H15" s="3" t="s">
        <v>1947</v>
      </c>
      <c r="I15" s="3">
        <f>VLOOKUP(Table1[[#This Row],[Provider Type]] &amp; Table1[[#This Row],[Provider Type Description]], PROVIDER_TYPE, 2, FALSE)</f>
        <v>52</v>
      </c>
      <c r="J15" s="4" t="s">
        <v>41</v>
      </c>
      <c r="K15" s="3" t="s">
        <v>42</v>
      </c>
      <c r="L15" s="3">
        <f>VLOOKUP(TRIM(Table1[[#This Row],[Provider Specialty]]) &amp; TRIM(Table1[[#This Row],[Provider Specialty Description]]), SPECIALTY_TYPE, 2, FALSE)</f>
        <v>2158</v>
      </c>
      <c r="M15" s="3" t="s">
        <v>19</v>
      </c>
      <c r="N15" s="27" t="s">
        <v>19</v>
      </c>
      <c r="O15" s="38">
        <f>VLOOKUP(TRIM(Table1[[#This Row],[Provider Specialty]]) &amp; TRIM(Table1[[#This Row],[Provider Specialty Description]]), SPECIALTY_TYPE, 2, FALSE)</f>
        <v>2158</v>
      </c>
      <c r="P15" s="3" t="str">
        <f>Table1[[#This Row],[Provider Type]] &amp; "+" &amp; Table1[[#This Row],[Provider Type Description]]</f>
        <v>01+Hospital</v>
      </c>
      <c r="Q15" s="7" t="str">
        <f>Table1[[#This Row],[Provider Specialty]] &amp; "+" &amp; Table1[[#This Row],[Provider Specialty Description]]</f>
        <v>011+Psychiatric</v>
      </c>
      <c r="R15" s="7" t="str">
        <f>Table1[[#This Row],[PDMS Specialty Type ID]] &amp; "+" &amp; Table1[[#This Row],[PDMS Provider Type ID]] &amp; "+" &amp;Table1[[#This Row],[TAXONOMY]]</f>
        <v>2158+52+273R00000X</v>
      </c>
      <c r="S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(4800, 2158, 52, N'273R00000X', N'Psychiatric Unit - Psychiatric Unit')</v>
      </c>
    </row>
    <row r="16" spans="1:19" ht="47.25" hidden="1" customHeight="1" x14ac:dyDescent="0.25">
      <c r="A16" s="22" t="s">
        <v>11</v>
      </c>
      <c r="B16" s="3" t="s">
        <v>12</v>
      </c>
      <c r="C16" s="3" t="s">
        <v>24</v>
      </c>
      <c r="D16" s="3" t="s">
        <v>24</v>
      </c>
      <c r="E16" s="3" t="s">
        <v>25</v>
      </c>
      <c r="F16" s="3">
        <f>VLOOKUP(Table1[[#This Row],[Column2]], TAXONOMY_TYPE, 2, FALSE)</f>
        <v>4798</v>
      </c>
      <c r="G16" s="4" t="s">
        <v>15</v>
      </c>
      <c r="H16" s="3" t="s">
        <v>1947</v>
      </c>
      <c r="I16" s="3">
        <f>VLOOKUP(Table1[[#This Row],[Provider Type]] &amp; Table1[[#This Row],[Provider Type Description]], PROVIDER_TYPE, 2, FALSE)</f>
        <v>52</v>
      </c>
      <c r="J16" s="4" t="s">
        <v>41</v>
      </c>
      <c r="K16" s="3" t="s">
        <v>42</v>
      </c>
      <c r="L16" s="3">
        <f>VLOOKUP(TRIM(Table1[[#This Row],[Provider Specialty]]) &amp; TRIM(Table1[[#This Row],[Provider Specialty Description]]), SPECIALTY_TYPE, 2, FALSE)</f>
        <v>2158</v>
      </c>
      <c r="M16" s="3" t="s">
        <v>19</v>
      </c>
      <c r="N16" s="27" t="s">
        <v>19</v>
      </c>
      <c r="O16" s="38">
        <f>VLOOKUP(TRIM(Table1[[#This Row],[Provider Specialty]]) &amp; TRIM(Table1[[#This Row],[Provider Specialty Description]]), SPECIALTY_TYPE, 2, FALSE)</f>
        <v>2158</v>
      </c>
      <c r="P16" s="3" t="str">
        <f>Table1[[#This Row],[Provider Type]] &amp; "+" &amp; Table1[[#This Row],[Provider Type Description]]</f>
        <v>01+Hospital</v>
      </c>
      <c r="Q16" s="7" t="str">
        <f>Table1[[#This Row],[Provider Specialty]] &amp; "+" &amp; Table1[[#This Row],[Provider Specialty Description]]</f>
        <v>011+Psychiatric</v>
      </c>
      <c r="R16" s="7" t="str">
        <f>Table1[[#This Row],[PDMS Specialty Type ID]] &amp; "+" &amp; Table1[[#This Row],[PDMS Provider Type ID]] &amp; "+" &amp;Table1[[#This Row],[TAXONOMY]]</f>
        <v>2158+52+283Q00000X</v>
      </c>
      <c r="S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(4798, 2158, 52, N'283Q00000X', N'Psychiatric Hospital - Psychiatric Hospital')</v>
      </c>
    </row>
    <row r="17" spans="1:19" ht="47.25" hidden="1" customHeight="1" x14ac:dyDescent="0.25">
      <c r="A17" s="22" t="s">
        <v>11</v>
      </c>
      <c r="B17" s="3" t="s">
        <v>33</v>
      </c>
      <c r="C17" s="3" t="s">
        <v>43</v>
      </c>
      <c r="D17" s="3" t="s">
        <v>43</v>
      </c>
      <c r="E17" s="3" t="s">
        <v>44</v>
      </c>
      <c r="F17" s="3">
        <f>VLOOKUP(Table1[[#This Row],[Column2]], TAXONOMY_TYPE, 2, FALSE)</f>
        <v>4809</v>
      </c>
      <c r="G17" s="4" t="s">
        <v>15</v>
      </c>
      <c r="H17" s="3" t="s">
        <v>1947</v>
      </c>
      <c r="I17" s="3">
        <f>VLOOKUP(Table1[[#This Row],[Provider Type]] &amp; Table1[[#This Row],[Provider Type Description]], PROVIDER_TYPE, 2, FALSE)</f>
        <v>52</v>
      </c>
      <c r="J17" s="4" t="s">
        <v>45</v>
      </c>
      <c r="K17" s="3" t="s">
        <v>46</v>
      </c>
      <c r="L17" s="3">
        <f>VLOOKUP(TRIM(Table1[[#This Row],[Provider Specialty]]) &amp; TRIM(Table1[[#This Row],[Provider Specialty Description]]), SPECIALTY_TYPE, 2, FALSE)</f>
        <v>2159</v>
      </c>
      <c r="M17" s="3" t="s">
        <v>19</v>
      </c>
      <c r="N17" s="27" t="s">
        <v>19</v>
      </c>
      <c r="O17" s="38">
        <f>VLOOKUP(TRIM(Table1[[#This Row],[Provider Specialty]]) &amp; TRIM(Table1[[#This Row],[Provider Specialty Description]]), SPECIALTY_TYPE, 2, FALSE)</f>
        <v>2159</v>
      </c>
      <c r="P17" s="3" t="str">
        <f>Table1[[#This Row],[Provider Type]] &amp; "+" &amp; Table1[[#This Row],[Provider Type Description]]</f>
        <v>01+Hospital</v>
      </c>
      <c r="Q17" s="7" t="str">
        <f>Table1[[#This Row],[Provider Specialty]] &amp; "+" &amp; Table1[[#This Row],[Provider Specialty Description]]</f>
        <v>012+Rehabilitation</v>
      </c>
      <c r="R17" s="7" t="str">
        <f>Table1[[#This Row],[PDMS Specialty Type ID]] &amp; "+" &amp; Table1[[#This Row],[PDMS Provider Type ID]] &amp; "+" &amp;Table1[[#This Row],[TAXONOMY]]</f>
        <v>2159+52+273Y00000X</v>
      </c>
      <c r="S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(4809, 2159, 52, N'273Y00000X', N'Rehabilitation Unit - Rehabilitation Unit')</v>
      </c>
    </row>
    <row r="18" spans="1:19" ht="47.25" hidden="1" customHeight="1" x14ac:dyDescent="0.25">
      <c r="A18" s="22" t="s">
        <v>11</v>
      </c>
      <c r="B18" s="3" t="s">
        <v>33</v>
      </c>
      <c r="C18" s="3" t="s">
        <v>50</v>
      </c>
      <c r="D18" s="3" t="s">
        <v>50</v>
      </c>
      <c r="E18" s="3" t="s">
        <v>51</v>
      </c>
      <c r="F18" s="3">
        <f>VLOOKUP(Table1[[#This Row],[Column2]], TAXONOMY_TYPE, 2, FALSE)</f>
        <v>9082</v>
      </c>
      <c r="G18" s="4" t="s">
        <v>15</v>
      </c>
      <c r="H18" s="3" t="s">
        <v>1947</v>
      </c>
      <c r="I18" s="3">
        <f>VLOOKUP(Table1[[#This Row],[Provider Type]] &amp; Table1[[#This Row],[Provider Type Description]], PROVIDER_TYPE, 2, FALSE)</f>
        <v>52</v>
      </c>
      <c r="J18" s="4" t="s">
        <v>45</v>
      </c>
      <c r="K18" s="3" t="s">
        <v>46</v>
      </c>
      <c r="L18" s="3">
        <f>VLOOKUP(TRIM(Table1[[#This Row],[Provider Specialty]]) &amp; TRIM(Table1[[#This Row],[Provider Specialty Description]]), SPECIALTY_TYPE, 2, FALSE)</f>
        <v>2159</v>
      </c>
      <c r="M18" s="3" t="s">
        <v>19</v>
      </c>
      <c r="N18" s="27" t="s">
        <v>19</v>
      </c>
      <c r="O18" s="38">
        <f>VLOOKUP(TRIM(Table1[[#This Row],[Provider Specialty]]) &amp; TRIM(Table1[[#This Row],[Provider Specialty Description]]), SPECIALTY_TYPE, 2, FALSE)</f>
        <v>2159</v>
      </c>
      <c r="P18" s="3" t="str">
        <f>Table1[[#This Row],[Provider Type]] &amp; "+" &amp; Table1[[#This Row],[Provider Type Description]]</f>
        <v>01+Hospital</v>
      </c>
      <c r="Q18" s="7" t="str">
        <f>Table1[[#This Row],[Provider Specialty]] &amp; "+" &amp; Table1[[#This Row],[Provider Specialty Description]]</f>
        <v>012+Rehabilitation</v>
      </c>
      <c r="R18" s="7" t="str">
        <f>Table1[[#This Row],[PDMS Specialty Type ID]] &amp; "+" &amp; Table1[[#This Row],[PDMS Provider Type ID]] &amp; "+" &amp;Table1[[#This Row],[TAXONOMY]]</f>
        <v>2159+52+276400000X</v>
      </c>
      <c r="S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(9082, 2159, 52, N'276400000X', N'Rehabilitation, Substance Use Disorder Unit - Rehabilitation, Substance Use Disorder Unit')</v>
      </c>
    </row>
    <row r="19" spans="1:19" ht="47.25" hidden="1" customHeight="1" x14ac:dyDescent="0.25">
      <c r="A19" s="22" t="s">
        <v>11</v>
      </c>
      <c r="B19" s="3" t="s">
        <v>12</v>
      </c>
      <c r="C19" s="3" t="s">
        <v>69</v>
      </c>
      <c r="D19" s="3" t="s">
        <v>69</v>
      </c>
      <c r="E19" s="3" t="s">
        <v>70</v>
      </c>
      <c r="F19" s="3">
        <f>VLOOKUP(Table1[[#This Row],[Column2]], TAXONOMY_TYPE, 2, FALSE)</f>
        <v>4807</v>
      </c>
      <c r="G19" s="4" t="s">
        <v>15</v>
      </c>
      <c r="H19" s="3" t="s">
        <v>1947</v>
      </c>
      <c r="I19" s="3">
        <f>VLOOKUP(Table1[[#This Row],[Provider Type]] &amp; Table1[[#This Row],[Provider Type Description]], PROVIDER_TYPE, 2, FALSE)</f>
        <v>52</v>
      </c>
      <c r="J19" s="4" t="s">
        <v>45</v>
      </c>
      <c r="K19" s="3" t="s">
        <v>46</v>
      </c>
      <c r="L19" s="3">
        <f>VLOOKUP(TRIM(Table1[[#This Row],[Provider Specialty]]) &amp; TRIM(Table1[[#This Row],[Provider Specialty Description]]), SPECIALTY_TYPE, 2, FALSE)</f>
        <v>2159</v>
      </c>
      <c r="M19" s="3" t="s">
        <v>19</v>
      </c>
      <c r="N19" s="27" t="s">
        <v>19</v>
      </c>
      <c r="O19" s="38">
        <f>VLOOKUP(TRIM(Table1[[#This Row],[Provider Specialty]]) &amp; TRIM(Table1[[#This Row],[Provider Specialty Description]]), SPECIALTY_TYPE, 2, FALSE)</f>
        <v>2159</v>
      </c>
      <c r="P19" s="3" t="str">
        <f>Table1[[#This Row],[Provider Type]] &amp; "+" &amp; Table1[[#This Row],[Provider Type Description]]</f>
        <v>01+Hospital</v>
      </c>
      <c r="Q19" s="7" t="str">
        <f>Table1[[#This Row],[Provider Specialty]] &amp; "+" &amp; Table1[[#This Row],[Provider Specialty Description]]</f>
        <v>012+Rehabilitation</v>
      </c>
      <c r="R19" s="7" t="str">
        <f>Table1[[#This Row],[PDMS Specialty Type ID]] &amp; "+" &amp; Table1[[#This Row],[PDMS Provider Type ID]] &amp; "+" &amp;Table1[[#This Row],[TAXONOMY]]</f>
        <v>2159+52+283X00000X</v>
      </c>
      <c r="S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(4807, 2159, 52, N'283X00000X', N'Rehabilitation Hospital - Rehabilitation Hospital')</v>
      </c>
    </row>
    <row r="20" spans="1:19" ht="47.25" hidden="1" customHeight="1" x14ac:dyDescent="0.25">
      <c r="A20" s="22" t="s">
        <v>11</v>
      </c>
      <c r="B20" s="3" t="s">
        <v>12</v>
      </c>
      <c r="C20" s="3" t="s">
        <v>69</v>
      </c>
      <c r="D20" s="3" t="s">
        <v>20</v>
      </c>
      <c r="E20" s="3" t="s">
        <v>71</v>
      </c>
      <c r="F20" s="3">
        <f>VLOOKUP(Table1[[#This Row],[Column2]], TAXONOMY_TYPE, 2, FALSE)</f>
        <v>4808</v>
      </c>
      <c r="G20" s="4" t="s">
        <v>15</v>
      </c>
      <c r="H20" s="3" t="s">
        <v>1947</v>
      </c>
      <c r="I20" s="3">
        <f>VLOOKUP(Table1[[#This Row],[Provider Type]] &amp; Table1[[#This Row],[Provider Type Description]], PROVIDER_TYPE, 2, FALSE)</f>
        <v>52</v>
      </c>
      <c r="J20" s="4" t="s">
        <v>45</v>
      </c>
      <c r="K20" s="3" t="s">
        <v>46</v>
      </c>
      <c r="L20" s="3">
        <f>VLOOKUP(TRIM(Table1[[#This Row],[Provider Specialty]]) &amp; TRIM(Table1[[#This Row],[Provider Specialty Description]]), SPECIALTY_TYPE, 2, FALSE)</f>
        <v>2159</v>
      </c>
      <c r="M20" s="3" t="s">
        <v>19</v>
      </c>
      <c r="N20" s="27" t="s">
        <v>19</v>
      </c>
      <c r="O20" s="38">
        <f>VLOOKUP(TRIM(Table1[[#This Row],[Provider Specialty]]) &amp; TRIM(Table1[[#This Row],[Provider Specialty Description]]), SPECIALTY_TYPE, 2, FALSE)</f>
        <v>2159</v>
      </c>
      <c r="P20" s="3" t="str">
        <f>Table1[[#This Row],[Provider Type]] &amp; "+" &amp; Table1[[#This Row],[Provider Type Description]]</f>
        <v>01+Hospital</v>
      </c>
      <c r="Q20" s="7" t="str">
        <f>Table1[[#This Row],[Provider Specialty]] &amp; "+" &amp; Table1[[#This Row],[Provider Specialty Description]]</f>
        <v>012+Rehabilitation</v>
      </c>
      <c r="R20" s="7" t="str">
        <f>Table1[[#This Row],[PDMS Specialty Type ID]] &amp; "+" &amp; Table1[[#This Row],[PDMS Provider Type ID]] &amp; "+" &amp;Table1[[#This Row],[TAXONOMY]]</f>
        <v>2159+52+283XC2000X</v>
      </c>
      <c r="S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(4808, 2159, 52, N'283XC2000X', N'Rehabilitation Hospital - Children')</v>
      </c>
    </row>
    <row r="21" spans="1:19" ht="47.25" hidden="1" customHeight="1" x14ac:dyDescent="0.25">
      <c r="A21" s="22" t="s">
        <v>11</v>
      </c>
      <c r="B21" s="3" t="s">
        <v>28</v>
      </c>
      <c r="C21" s="3" t="s">
        <v>29</v>
      </c>
      <c r="D21" s="3" t="s">
        <v>29</v>
      </c>
      <c r="E21" s="3" t="s">
        <v>30</v>
      </c>
      <c r="F21" s="3">
        <f>VLOOKUP(Table1[[#This Row],[Column2]], TAXONOMY_TYPE, 2, FALSE)</f>
        <v>4833</v>
      </c>
      <c r="G21" s="4" t="s">
        <v>15</v>
      </c>
      <c r="H21" s="3" t="s">
        <v>1947</v>
      </c>
      <c r="I21" s="3">
        <f>VLOOKUP(Table1[[#This Row],[Provider Type]] &amp; Table1[[#This Row],[Provider Type Description]], PROVIDER_TYPE, 2, FALSE)</f>
        <v>52</v>
      </c>
      <c r="J21" s="4" t="s">
        <v>31</v>
      </c>
      <c r="K21" s="3" t="s">
        <v>32</v>
      </c>
      <c r="L21" s="3">
        <f>VLOOKUP(TRIM(Table1[[#This Row],[Provider Specialty]]) &amp; TRIM(Table1[[#This Row],[Provider Specialty Description]]), SPECIALTY_TYPE, 2, FALSE)</f>
        <v>2161</v>
      </c>
      <c r="M21" s="3" t="s">
        <v>18</v>
      </c>
      <c r="N21" s="27" t="s">
        <v>19</v>
      </c>
      <c r="O21" s="38">
        <f>VLOOKUP(TRIM(Table1[[#This Row],[Provider Specialty]]) &amp; TRIM(Table1[[#This Row],[Provider Specialty Description]]), SPECIALTY_TYPE, 2, FALSE)</f>
        <v>2161</v>
      </c>
      <c r="P21" s="3" t="str">
        <f>Table1[[#This Row],[Provider Type]] &amp; "+" &amp; Table1[[#This Row],[Provider Type Description]]</f>
        <v>01+Hospital</v>
      </c>
      <c r="Q21" s="7" t="str">
        <f>Table1[[#This Row],[Provider Specialty]] &amp; "+" &amp; Table1[[#This Row],[Provider Specialty Description]]</f>
        <v>013+Residential Treatment Center</v>
      </c>
      <c r="R21" s="7" t="str">
        <f>Table1[[#This Row],[PDMS Specialty Type ID]] &amp; "+" &amp; Table1[[#This Row],[PDMS Provider Type ID]] &amp; "+" &amp;Table1[[#This Row],[TAXONOMY]]</f>
        <v>2161+52+323P00000X</v>
      </c>
      <c r="S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(4833, 2161, 52, N'323P00000X', N'Psychiatric Residential Treatment Facility - Psychiatric Residential Treatment Facility')</v>
      </c>
    </row>
    <row r="22" spans="1:19" ht="47.25" hidden="1" customHeight="1" x14ac:dyDescent="0.25">
      <c r="A22" s="22" t="s">
        <v>11</v>
      </c>
      <c r="B22" s="3" t="s">
        <v>28</v>
      </c>
      <c r="C22" s="3" t="s">
        <v>29</v>
      </c>
      <c r="D22" s="3" t="s">
        <v>29</v>
      </c>
      <c r="E22" s="3" t="s">
        <v>30</v>
      </c>
      <c r="F22" s="3">
        <f>VLOOKUP(Table1[[#This Row],[Column2]], TAXONOMY_TYPE, 2, FALSE)</f>
        <v>4833</v>
      </c>
      <c r="G22" s="4" t="s">
        <v>15</v>
      </c>
      <c r="H22" s="3" t="s">
        <v>1947</v>
      </c>
      <c r="I22" s="3">
        <f>VLOOKUP(Table1[[#This Row],[Provider Type]] &amp; Table1[[#This Row],[Provider Type Description]], PROVIDER_TYPE, 2, FALSE)</f>
        <v>52</v>
      </c>
      <c r="J22" s="4" t="s">
        <v>31</v>
      </c>
      <c r="K22" s="3" t="s">
        <v>32</v>
      </c>
      <c r="L22" s="3">
        <f>VLOOKUP(TRIM(Table1[[#This Row],[Provider Specialty]]) &amp; TRIM(Table1[[#This Row],[Provider Specialty Description]]), SPECIALTY_TYPE, 2, FALSE)</f>
        <v>2161</v>
      </c>
      <c r="M22" s="3" t="s">
        <v>18</v>
      </c>
      <c r="N22" s="27" t="s">
        <v>19</v>
      </c>
      <c r="O22" s="38">
        <f>VLOOKUP(TRIM(Table1[[#This Row],[Provider Specialty]]) &amp; TRIM(Table1[[#This Row],[Provider Specialty Description]]), SPECIALTY_TYPE, 2, FALSE)</f>
        <v>2161</v>
      </c>
      <c r="P22" s="3" t="str">
        <f>Table1[[#This Row],[Provider Type]] &amp; "+" &amp; Table1[[#This Row],[Provider Type Description]]</f>
        <v>01+Hospital</v>
      </c>
      <c r="Q22" s="7" t="str">
        <f>Table1[[#This Row],[Provider Specialty]] &amp; "+" &amp; Table1[[#This Row],[Provider Specialty Description]]</f>
        <v>013+Residential Treatment Center</v>
      </c>
      <c r="R22" s="7" t="str">
        <f>Table1[[#This Row],[PDMS Specialty Type ID]] &amp; "+" &amp; Table1[[#This Row],[PDMS Provider Type ID]] &amp; "+" &amp;Table1[[#This Row],[TAXONOMY]]</f>
        <v>2161+52+323P00000X</v>
      </c>
      <c r="S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(4833, 2161, 52, N'323P00000X', N'Psychiatric Residential Treatment Facility - Psychiatric Residential Treatment Facility')</v>
      </c>
    </row>
    <row r="23" spans="1:19" ht="47.25" hidden="1" customHeight="1" x14ac:dyDescent="0.25">
      <c r="A23" s="22" t="s">
        <v>11</v>
      </c>
      <c r="B23" s="3" t="s">
        <v>12</v>
      </c>
      <c r="C23" s="3" t="s">
        <v>13</v>
      </c>
      <c r="D23" s="3" t="s">
        <v>13</v>
      </c>
      <c r="E23" s="3" t="s">
        <v>14</v>
      </c>
      <c r="F23" s="3">
        <f>VLOOKUP(Table1[[#This Row],[Column2]], TAXONOMY_TYPE, 2, FALSE)</f>
        <v>4648</v>
      </c>
      <c r="G23" s="4" t="s">
        <v>15</v>
      </c>
      <c r="H23" s="3" t="s">
        <v>1947</v>
      </c>
      <c r="I23" s="3">
        <f>VLOOKUP(Table1[[#This Row],[Provider Type]] &amp; Table1[[#This Row],[Provider Type Description]], PROVIDER_TYPE, 2, FALSE)</f>
        <v>52</v>
      </c>
      <c r="J23" s="4" t="s">
        <v>57</v>
      </c>
      <c r="K23" s="3" t="s">
        <v>58</v>
      </c>
      <c r="L23" s="3">
        <f>VLOOKUP(TRIM(Table1[[#This Row],[Provider Specialty]]) &amp; TRIM(Table1[[#This Row],[Provider Specialty Description]]), SPECIALTY_TYPE, 2, FALSE)</f>
        <v>2135</v>
      </c>
      <c r="M23" s="3" t="s">
        <v>19</v>
      </c>
      <c r="N23" s="27" t="s">
        <v>19</v>
      </c>
      <c r="O23" s="38">
        <f>VLOOKUP(TRIM(Table1[[#This Row],[Provider Specialty]]) &amp; TRIM(Table1[[#This Row],[Provider Specialty Description]]), SPECIALTY_TYPE, 2, FALSE)</f>
        <v>2135</v>
      </c>
      <c r="P23" s="3" t="str">
        <f>Table1[[#This Row],[Provider Type]] &amp; "+" &amp; Table1[[#This Row],[Provider Type Description]]</f>
        <v>01+Hospital</v>
      </c>
      <c r="Q23" s="7" t="str">
        <f>Table1[[#This Row],[Provider Specialty]] &amp; "+" &amp; Table1[[#This Row],[Provider Specialty Description]]</f>
        <v>014+Critical Access</v>
      </c>
      <c r="R23" s="7" t="str">
        <f>Table1[[#This Row],[PDMS Specialty Type ID]] &amp; "+" &amp; Table1[[#This Row],[PDMS Provider Type ID]] &amp; "+" &amp;Table1[[#This Row],[TAXONOMY]]</f>
        <v>2135+52+282N00000X</v>
      </c>
      <c r="S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(4648, 2135, 52, N'282N00000X', N'General Acute Care Hospital - General Acute Care Hospital')</v>
      </c>
    </row>
    <row r="24" spans="1:19" ht="47.25" hidden="1" customHeight="1" x14ac:dyDescent="0.25">
      <c r="A24" s="22" t="s">
        <v>11</v>
      </c>
      <c r="B24" s="3" t="s">
        <v>12</v>
      </c>
      <c r="C24" s="3" t="s">
        <v>13</v>
      </c>
      <c r="D24" s="3" t="s">
        <v>59</v>
      </c>
      <c r="E24" s="3" t="s">
        <v>60</v>
      </c>
      <c r="F24" s="3">
        <f>VLOOKUP(Table1[[#This Row],[Column2]], TAXONOMY_TYPE, 2, FALSE)</f>
        <v>4649</v>
      </c>
      <c r="G24" s="4" t="s">
        <v>15</v>
      </c>
      <c r="H24" s="3" t="s">
        <v>1947</v>
      </c>
      <c r="I24" s="3">
        <f>VLOOKUP(Table1[[#This Row],[Provider Type]] &amp; Table1[[#This Row],[Provider Type Description]], PROVIDER_TYPE, 2, FALSE)</f>
        <v>52</v>
      </c>
      <c r="J24" s="4" t="s">
        <v>57</v>
      </c>
      <c r="K24" s="3" t="s">
        <v>58</v>
      </c>
      <c r="L24" s="3">
        <f>VLOOKUP(TRIM(Table1[[#This Row],[Provider Specialty]]) &amp; TRIM(Table1[[#This Row],[Provider Specialty Description]]), SPECIALTY_TYPE, 2, FALSE)</f>
        <v>2135</v>
      </c>
      <c r="M24" s="3" t="s">
        <v>19</v>
      </c>
      <c r="N24" s="27" t="s">
        <v>19</v>
      </c>
      <c r="O24" s="38">
        <f>VLOOKUP(TRIM(Table1[[#This Row],[Provider Specialty]]) &amp; TRIM(Table1[[#This Row],[Provider Specialty Description]]), SPECIALTY_TYPE, 2, FALSE)</f>
        <v>2135</v>
      </c>
      <c r="P24" s="3" t="str">
        <f>Table1[[#This Row],[Provider Type]] &amp; "+" &amp; Table1[[#This Row],[Provider Type Description]]</f>
        <v>01+Hospital</v>
      </c>
      <c r="Q24" s="7" t="str">
        <f>Table1[[#This Row],[Provider Specialty]] &amp; "+" &amp; Table1[[#This Row],[Provider Specialty Description]]</f>
        <v>014+Critical Access</v>
      </c>
      <c r="R24" s="7" t="str">
        <f>Table1[[#This Row],[PDMS Specialty Type ID]] &amp; "+" &amp; Table1[[#This Row],[PDMS Provider Type ID]] &amp; "+" &amp;Table1[[#This Row],[TAXONOMY]]</f>
        <v>2135+52+282NC0060X</v>
      </c>
      <c r="S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(4649, 2135, 52, N'282NC0060X', N'General Acute Care Hospital - Critical Access')</v>
      </c>
    </row>
    <row r="25" spans="1:19" ht="47.25" hidden="1" customHeight="1" x14ac:dyDescent="0.25">
      <c r="A25" s="22" t="s">
        <v>11</v>
      </c>
      <c r="B25" s="3" t="s">
        <v>12</v>
      </c>
      <c r="C25" s="3" t="s">
        <v>13</v>
      </c>
      <c r="D25" s="3" t="s">
        <v>20</v>
      </c>
      <c r="E25" s="3" t="s">
        <v>21</v>
      </c>
      <c r="F25" s="3">
        <f>VLOOKUP(Table1[[#This Row],[Column2]], TAXONOMY_TYPE, 2, FALSE)</f>
        <v>4627</v>
      </c>
      <c r="G25" s="4" t="s">
        <v>15</v>
      </c>
      <c r="H25" s="3" t="s">
        <v>1947</v>
      </c>
      <c r="I25" s="3">
        <f>VLOOKUP(Table1[[#This Row],[Provider Type]] &amp; Table1[[#This Row],[Provider Type Description]], PROVIDER_TYPE, 2, FALSE)</f>
        <v>52</v>
      </c>
      <c r="J25" s="4" t="s">
        <v>22</v>
      </c>
      <c r="K25" s="3" t="s">
        <v>23</v>
      </c>
      <c r="L25" s="3">
        <f>VLOOKUP(TRIM(Table1[[#This Row],[Provider Specialty]]) &amp; TRIM(Table1[[#This Row],[Provider Specialty Description]]), SPECIALTY_TYPE, 2, FALSE)</f>
        <v>2130</v>
      </c>
      <c r="M25" s="3" t="s">
        <v>19</v>
      </c>
      <c r="N25" s="27" t="s">
        <v>19</v>
      </c>
      <c r="O25" s="38">
        <f>VLOOKUP(TRIM(Table1[[#This Row],[Provider Specialty]]) &amp; TRIM(Table1[[#This Row],[Provider Specialty Description]]), SPECIALTY_TYPE, 2, FALSE)</f>
        <v>2130</v>
      </c>
      <c r="P25" s="3" t="str">
        <f>Table1[[#This Row],[Provider Type]] &amp; "+" &amp; Table1[[#This Row],[Provider Type Description]]</f>
        <v>01+Hospital</v>
      </c>
      <c r="Q25" s="7" t="str">
        <f>Table1[[#This Row],[Provider Specialty]] &amp; "+" &amp; Table1[[#This Row],[Provider Specialty Description]]</f>
        <v>015+Children's Specialty</v>
      </c>
      <c r="R25" s="7" t="str">
        <f>Table1[[#This Row],[PDMS Specialty Type ID]] &amp; "+" &amp; Table1[[#This Row],[PDMS Provider Type ID]] &amp; "+" &amp;Table1[[#This Row],[TAXONOMY]]</f>
        <v>2130+52+282NC2000X</v>
      </c>
      <c r="S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(4627, 2130, 52, N'282NC2000X', N'General Acute Care Hospital - Children')</v>
      </c>
    </row>
    <row r="26" spans="1:19" ht="47.25" hidden="1" customHeight="1" x14ac:dyDescent="0.25">
      <c r="A26" s="22" t="s">
        <v>11</v>
      </c>
      <c r="B26" s="3" t="s">
        <v>12</v>
      </c>
      <c r="C26" s="3" t="s">
        <v>13</v>
      </c>
      <c r="D26" s="3" t="s">
        <v>13</v>
      </c>
      <c r="E26" s="3" t="s">
        <v>14</v>
      </c>
      <c r="F26" s="3">
        <f>VLOOKUP(Table1[[#This Row],[Column2]], TAXONOMY_TYPE, 2, FALSE)</f>
        <v>9051</v>
      </c>
      <c r="G26" s="4" t="s">
        <v>15</v>
      </c>
      <c r="H26" s="3" t="s">
        <v>1947</v>
      </c>
      <c r="I26" s="3">
        <f>VLOOKUP(Table1[[#This Row],[Provider Type]] &amp; Table1[[#This Row],[Provider Type Description]], PROVIDER_TYPE, 2, FALSE)</f>
        <v>52</v>
      </c>
      <c r="J26" s="4" t="s">
        <v>16</v>
      </c>
      <c r="K26" s="3" t="s">
        <v>17</v>
      </c>
      <c r="L26" s="3">
        <f>VLOOKUP(TRIM(Table1[[#This Row],[Provider Specialty]]) &amp; TRIM(Table1[[#This Row],[Provider Specialty Description]]), SPECIALTY_TYPE, 2, FALSE)</f>
        <v>2193</v>
      </c>
      <c r="M26" s="3" t="s">
        <v>18</v>
      </c>
      <c r="N26" s="27" t="s">
        <v>19</v>
      </c>
      <c r="O26" s="38">
        <f>VLOOKUP(TRIM(Table1[[#This Row],[Provider Specialty]]) &amp; TRIM(Table1[[#This Row],[Provider Specialty Description]]), SPECIALTY_TYPE, 2, FALSE)</f>
        <v>2193</v>
      </c>
      <c r="P26" s="3" t="str">
        <f>Table1[[#This Row],[Provider Type]] &amp; "+" &amp; Table1[[#This Row],[Provider Type Description]]</f>
        <v>01+Hospital</v>
      </c>
      <c r="Q26" s="7" t="str">
        <f>Table1[[#This Row],[Provider Specialty]] &amp; "+" &amp; Table1[[#This Row],[Provider Specialty Description]]</f>
        <v>016+Emergency</v>
      </c>
      <c r="R26" s="7" t="str">
        <f>Table1[[#This Row],[PDMS Specialty Type ID]] &amp; "+" &amp; Table1[[#This Row],[PDMS Provider Type ID]] &amp; "+" &amp;Table1[[#This Row],[TAXONOMY]]</f>
        <v>2193+52+282N00000X</v>
      </c>
      <c r="S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(9051, 2193, 52, N'282N00000X', N'General Acute Care Hospital - General Acute Care Hospital')</v>
      </c>
    </row>
    <row r="27" spans="1:19" ht="47.25" hidden="1" customHeight="1" x14ac:dyDescent="0.25">
      <c r="A27" s="22" t="s">
        <v>11</v>
      </c>
      <c r="B27" s="3" t="s">
        <v>12</v>
      </c>
      <c r="C27" s="3" t="s">
        <v>13</v>
      </c>
      <c r="D27" s="3" t="s">
        <v>61</v>
      </c>
      <c r="E27" s="3" t="s">
        <v>62</v>
      </c>
      <c r="F27" s="3">
        <f>VLOOKUP(Table1[[#This Row],[Column2]], TAXONOMY_TYPE, 2, FALSE)</f>
        <v>4616</v>
      </c>
      <c r="G27" s="4" t="s">
        <v>15</v>
      </c>
      <c r="H27" s="3" t="s">
        <v>1947</v>
      </c>
      <c r="I27" s="3">
        <f>VLOOKUP(Table1[[#This Row],[Provider Type]] &amp; Table1[[#This Row],[Provider Type Description]], PROVIDER_TYPE, 2, FALSE)</f>
        <v>52</v>
      </c>
      <c r="J27" s="4" t="s">
        <v>63</v>
      </c>
      <c r="K27" s="3" t="s">
        <v>64</v>
      </c>
      <c r="L27" s="3">
        <f>VLOOKUP(TRIM(Table1[[#This Row],[Provider Specialty]]) &amp; TRIM(Table1[[#This Row],[Provider Specialty Description]]), SPECIALTY_TYPE, 2, FALSE)</f>
        <v>2126</v>
      </c>
      <c r="M27" s="3" t="s">
        <v>19</v>
      </c>
      <c r="N27" s="27" t="s">
        <v>19</v>
      </c>
      <c r="O27" s="38">
        <f>VLOOKUP(TRIM(Table1[[#This Row],[Provider Specialty]]) &amp; TRIM(Table1[[#This Row],[Provider Specialty Description]]), SPECIALTY_TYPE, 2, FALSE)</f>
        <v>2126</v>
      </c>
      <c r="P27" s="3" t="str">
        <f>Table1[[#This Row],[Provider Type]] &amp; "+" &amp; Table1[[#This Row],[Provider Type Description]]</f>
        <v>01+Hospital</v>
      </c>
      <c r="Q27" s="7" t="str">
        <f>Table1[[#This Row],[Provider Specialty]] &amp; "+" &amp; Table1[[#This Row],[Provider Specialty Description]]</f>
        <v>017+Acute Care - Rural</v>
      </c>
      <c r="R27" s="7" t="str">
        <f>Table1[[#This Row],[PDMS Specialty Type ID]] &amp; "+" &amp; Table1[[#This Row],[PDMS Provider Type ID]] &amp; "+" &amp;Table1[[#This Row],[TAXONOMY]]</f>
        <v>2126+52+282NR1301X</v>
      </c>
      <c r="S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(4616, 2126, 52, N'282NR1301X', N'General Acute Care Hospital - Rural')</v>
      </c>
    </row>
    <row r="28" spans="1:19" ht="47.25" hidden="1" customHeight="1" x14ac:dyDescent="0.25">
      <c r="A28" s="22" t="s">
        <v>11</v>
      </c>
      <c r="B28" s="3" t="s">
        <v>12</v>
      </c>
      <c r="C28" s="3" t="s">
        <v>24</v>
      </c>
      <c r="D28" s="3" t="s">
        <v>24</v>
      </c>
      <c r="E28" s="3" t="s">
        <v>25</v>
      </c>
      <c r="F28" s="3">
        <f>VLOOKUP(Table1[[#This Row],[Column2]], TAXONOMY_TYPE, 2, FALSE)</f>
        <v>4785</v>
      </c>
      <c r="G28" s="4" t="s">
        <v>15</v>
      </c>
      <c r="H28" s="3" t="s">
        <v>1947</v>
      </c>
      <c r="I28" s="3">
        <f>VLOOKUP(Table1[[#This Row],[Provider Type]] &amp; Table1[[#This Row],[Provider Type Description]], PROVIDER_TYPE, 2, FALSE)</f>
        <v>52</v>
      </c>
      <c r="J28" s="4" t="s">
        <v>26</v>
      </c>
      <c r="K28" s="3" t="s">
        <v>27</v>
      </c>
      <c r="L28" s="3">
        <f>VLOOKUP(TRIM(Table1[[#This Row],[Provider Specialty]]) &amp; TRIM(Table1[[#This Row],[Provider Specialty Description]]), SPECIALTY_TYPE, 2, FALSE)</f>
        <v>2152</v>
      </c>
      <c r="M28" s="1" t="s">
        <v>18</v>
      </c>
      <c r="N28" s="26" t="s">
        <v>19</v>
      </c>
      <c r="O28" s="38">
        <f>VLOOKUP(TRIM(Table1[[#This Row],[Provider Specialty]]) &amp; TRIM(Table1[[#This Row],[Provider Specialty Description]]), SPECIALTY_TYPE, 2, FALSE)</f>
        <v>2152</v>
      </c>
      <c r="P28" s="3" t="str">
        <f>Table1[[#This Row],[Provider Type]] &amp; "+" &amp; Table1[[#This Row],[Provider Type Description]]</f>
        <v>01+Hospital</v>
      </c>
      <c r="Q28" s="7" t="str">
        <f>Table1[[#This Row],[Provider Specialty]] &amp; "+" &amp; Table1[[#This Row],[Provider Specialty Description]]</f>
        <v>018+Mental Health Inpatient Hospitals Under 21</v>
      </c>
      <c r="R28" s="7" t="str">
        <f>Table1[[#This Row],[PDMS Specialty Type ID]] &amp; "+" &amp; Table1[[#This Row],[PDMS Provider Type ID]] &amp; "+" &amp;Table1[[#This Row],[TAXONOMY]]</f>
        <v>2152+52+283Q00000X</v>
      </c>
      <c r="S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(4785, 2152, 52, N'283Q00000X', N'Psychiatric Hospital - Psychiatric Hospital')</v>
      </c>
    </row>
    <row r="29" spans="1:19" ht="47.25" hidden="1" customHeight="1" x14ac:dyDescent="0.25">
      <c r="A29" s="21" t="s">
        <v>11</v>
      </c>
      <c r="B29" s="1" t="s">
        <v>12</v>
      </c>
      <c r="C29" s="1" t="s">
        <v>24</v>
      </c>
      <c r="D29" s="1" t="s">
        <v>24</v>
      </c>
      <c r="E29" s="1" t="s">
        <v>25</v>
      </c>
      <c r="F29" s="3">
        <f>VLOOKUP(Table1[[#This Row],[Column2]], TAXONOMY_TYPE, 2, FALSE)</f>
        <v>4785</v>
      </c>
      <c r="G29" s="6" t="s">
        <v>15</v>
      </c>
      <c r="H29" s="3" t="s">
        <v>1947</v>
      </c>
      <c r="I29" s="3">
        <f>VLOOKUP(Table1[[#This Row],[Provider Type]] &amp; Table1[[#This Row],[Provider Type Description]], PROVIDER_TYPE, 2, FALSE)</f>
        <v>52</v>
      </c>
      <c r="J29" s="6" t="s">
        <v>26</v>
      </c>
      <c r="K29" s="1" t="s">
        <v>27</v>
      </c>
      <c r="L29" s="1">
        <f>VLOOKUP(TRIM(Table1[[#This Row],[Provider Specialty]]) &amp; TRIM(Table1[[#This Row],[Provider Specialty Description]]), SPECIALTY_TYPE, 2, FALSE)</f>
        <v>2152</v>
      </c>
      <c r="M29" s="1" t="s">
        <v>18</v>
      </c>
      <c r="N29" s="26" t="s">
        <v>19</v>
      </c>
      <c r="O29" s="38">
        <f>VLOOKUP(TRIM(Table1[[#This Row],[Provider Specialty]]) &amp; TRIM(Table1[[#This Row],[Provider Specialty Description]]), SPECIALTY_TYPE, 2, FALSE)</f>
        <v>2152</v>
      </c>
      <c r="P29" s="3" t="str">
        <f>Table1[[#This Row],[Provider Type]] &amp; "+" &amp; Table1[[#This Row],[Provider Type Description]]</f>
        <v>01+Hospital</v>
      </c>
      <c r="Q29" s="7" t="str">
        <f>Table1[[#This Row],[Provider Specialty]] &amp; "+" &amp; Table1[[#This Row],[Provider Specialty Description]]</f>
        <v>018+Mental Health Inpatient Hospitals Under 21</v>
      </c>
      <c r="R29" s="7" t="str">
        <f>Table1[[#This Row],[PDMS Specialty Type ID]] &amp; "+" &amp; Table1[[#This Row],[PDMS Provider Type ID]] &amp; "+" &amp;Table1[[#This Row],[TAXONOMY]]</f>
        <v>2152+52+283Q00000X</v>
      </c>
      <c r="S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(4785, 2152, 52, N'283Q00000X', N'Psychiatric Hospital - Psychiatric Hospital')</v>
      </c>
    </row>
    <row r="30" spans="1:19" ht="47.25" hidden="1" customHeight="1" x14ac:dyDescent="0.25">
      <c r="A30" s="21" t="s">
        <v>11</v>
      </c>
      <c r="B30" s="1" t="s">
        <v>12</v>
      </c>
      <c r="C30" s="1" t="s">
        <v>24</v>
      </c>
      <c r="D30" s="1" t="s">
        <v>24</v>
      </c>
      <c r="E30" s="1" t="s">
        <v>25</v>
      </c>
      <c r="F30" s="3">
        <f>VLOOKUP(Table1[[#This Row],[Column2]], TAXONOMY_TYPE, 2, FALSE)</f>
        <v>4783</v>
      </c>
      <c r="G30" s="6" t="s">
        <v>15</v>
      </c>
      <c r="H30" s="3" t="s">
        <v>1947</v>
      </c>
      <c r="I30" s="3">
        <f>VLOOKUP(Table1[[#This Row],[Provider Type]] &amp; Table1[[#This Row],[Provider Type Description]], PROVIDER_TYPE, 2, FALSE)</f>
        <v>52</v>
      </c>
      <c r="J30" s="6" t="s">
        <v>67</v>
      </c>
      <c r="K30" s="1" t="s">
        <v>68</v>
      </c>
      <c r="L30" s="1">
        <f>VLOOKUP(TRIM(Table1[[#This Row],[Provider Specialty]]) &amp; TRIM(Table1[[#This Row],[Provider Specialty Description]]), SPECIALTY_TYPE, 2, FALSE)</f>
        <v>2151</v>
      </c>
      <c r="M30" s="1" t="s">
        <v>19</v>
      </c>
      <c r="N30" s="26" t="s">
        <v>19</v>
      </c>
      <c r="O30" s="38">
        <f>VLOOKUP(TRIM(Table1[[#This Row],[Provider Specialty]]) &amp; TRIM(Table1[[#This Row],[Provider Specialty Description]]), SPECIALTY_TYPE, 2, FALSE)</f>
        <v>2151</v>
      </c>
      <c r="P30" s="3" t="str">
        <f>Table1[[#This Row],[Provider Type]] &amp; "+" &amp; Table1[[#This Row],[Provider Type Description]]</f>
        <v>01+Hospital</v>
      </c>
      <c r="Q30" s="7" t="str">
        <f>Table1[[#This Row],[Provider Specialty]] &amp; "+" &amp; Table1[[#This Row],[Provider Specialty Description]]</f>
        <v>019+Mental Health Inpatient Hospitals Over 65</v>
      </c>
      <c r="R30" s="7" t="str">
        <f>Table1[[#This Row],[PDMS Specialty Type ID]] &amp; "+" &amp; Table1[[#This Row],[PDMS Provider Type ID]] &amp; "+" &amp;Table1[[#This Row],[TAXONOMY]]</f>
        <v>2151+52+283Q00000X</v>
      </c>
      <c r="S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(4783, 2151, 52, N'283Q00000X', N'Psychiatric Hospital - Psychiatric Hospital')</v>
      </c>
    </row>
    <row r="31" spans="1:19" ht="47.25" hidden="1" customHeight="1" x14ac:dyDescent="0.25">
      <c r="A31" s="22" t="s">
        <v>11</v>
      </c>
      <c r="B31" s="3" t="s">
        <v>84</v>
      </c>
      <c r="C31" s="3" t="s">
        <v>85</v>
      </c>
      <c r="D31" s="3" t="s">
        <v>86</v>
      </c>
      <c r="E31" s="3" t="s">
        <v>87</v>
      </c>
      <c r="F31" s="3">
        <f>VLOOKUP(Table1[[#This Row],[Column2]], TAXONOMY_TYPE, 2, FALSE)</f>
        <v>4901</v>
      </c>
      <c r="G31" s="4" t="s">
        <v>88</v>
      </c>
      <c r="H31" s="3" t="s">
        <v>89</v>
      </c>
      <c r="I31" s="3">
        <f>VLOOKUP(Table1[[#This Row],[Provider Type]] &amp; Table1[[#This Row],[Provider Type Description]], PROVIDER_TYPE, 2, FALSE)</f>
        <v>53</v>
      </c>
      <c r="J31" s="4" t="s">
        <v>90</v>
      </c>
      <c r="K31" s="3" t="s">
        <v>89</v>
      </c>
      <c r="L31" s="3">
        <f>VLOOKUP(TRIM(Table1[[#This Row],[Provider Specialty]]) &amp; TRIM(Table1[[#This Row],[Provider Specialty Description]]), SPECIALTY_TYPE, 2, FALSE)</f>
        <v>2172</v>
      </c>
      <c r="M31" s="3" t="s">
        <v>19</v>
      </c>
      <c r="N31" s="27" t="s">
        <v>19</v>
      </c>
      <c r="O31" s="38">
        <f>VLOOKUP(TRIM(Table1[[#This Row],[Provider Specialty]]) &amp; TRIM(Table1[[#This Row],[Provider Specialty Description]]), SPECIALTY_TYPE, 2, FALSE)</f>
        <v>2172</v>
      </c>
      <c r="P31" s="3" t="str">
        <f>Table1[[#This Row],[Provider Type]] &amp; "+" &amp; Table1[[#This Row],[Provider Type Description]]</f>
        <v>02+Ambulatory Surgical Center (ASC)</v>
      </c>
      <c r="Q31" s="7" t="str">
        <f>Table1[[#This Row],[Provider Specialty]] &amp; "+" &amp; Table1[[#This Row],[Provider Specialty Description]]</f>
        <v>020+Ambulatory Surgical Center (ASC)</v>
      </c>
      <c r="R31" s="7" t="str">
        <f>Table1[[#This Row],[PDMS Specialty Type ID]] &amp; "+" &amp; Table1[[#This Row],[PDMS Provider Type ID]] &amp; "+" &amp;Table1[[#This Row],[TAXONOMY]]</f>
        <v>2172+53+261QM1101X</v>
      </c>
      <c r="S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(4901, 2172, 53, N'261QM1101X', N'Clinic/Center - Military and U.S. Coast Guard Ambulatory Procedure')</v>
      </c>
    </row>
    <row r="32" spans="1:19" ht="47.25" hidden="1" customHeight="1" x14ac:dyDescent="0.25">
      <c r="A32" s="22" t="s">
        <v>11</v>
      </c>
      <c r="B32" s="3" t="s">
        <v>84</v>
      </c>
      <c r="C32" s="3" t="s">
        <v>85</v>
      </c>
      <c r="D32" s="3" t="s">
        <v>91</v>
      </c>
      <c r="E32" s="3" t="s">
        <v>92</v>
      </c>
      <c r="F32" s="3">
        <f>VLOOKUP(Table1[[#This Row],[Column2]], TAXONOMY_TYPE, 2, FALSE)</f>
        <v>4900</v>
      </c>
      <c r="G32" s="4" t="s">
        <v>88</v>
      </c>
      <c r="H32" s="3" t="s">
        <v>89</v>
      </c>
      <c r="I32" s="3">
        <f>VLOOKUP(Table1[[#This Row],[Provider Type]] &amp; Table1[[#This Row],[Provider Type Description]], PROVIDER_TYPE, 2, FALSE)</f>
        <v>53</v>
      </c>
      <c r="J32" s="4" t="s">
        <v>90</v>
      </c>
      <c r="K32" s="3" t="s">
        <v>89</v>
      </c>
      <c r="L32" s="3">
        <f>VLOOKUP(TRIM(Table1[[#This Row],[Provider Specialty]]) &amp; TRIM(Table1[[#This Row],[Provider Specialty Description]]), SPECIALTY_TYPE, 2, FALSE)</f>
        <v>2172</v>
      </c>
      <c r="M32" s="3" t="s">
        <v>19</v>
      </c>
      <c r="N32" s="27" t="s">
        <v>19</v>
      </c>
      <c r="O32" s="38">
        <f>VLOOKUP(TRIM(Table1[[#This Row],[Provider Specialty]]) &amp; TRIM(Table1[[#This Row],[Provider Specialty Description]]), SPECIALTY_TYPE, 2, FALSE)</f>
        <v>2172</v>
      </c>
      <c r="P32" s="3" t="str">
        <f>Table1[[#This Row],[Provider Type]] &amp; "+" &amp; Table1[[#This Row],[Provider Type Description]]</f>
        <v>02+Ambulatory Surgical Center (ASC)</v>
      </c>
      <c r="Q32" s="7" t="str">
        <f>Table1[[#This Row],[Provider Specialty]] &amp; "+" &amp; Table1[[#This Row],[Provider Specialty Description]]</f>
        <v>020+Ambulatory Surgical Center (ASC)</v>
      </c>
      <c r="R32" s="7" t="str">
        <f>Table1[[#This Row],[PDMS Specialty Type ID]] &amp; "+" &amp; Table1[[#This Row],[PDMS Provider Type ID]] &amp; "+" &amp;Table1[[#This Row],[TAXONOMY]]</f>
        <v>2172+53+261QS0112X</v>
      </c>
      <c r="S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(4900, 2172, 53, N'261QS0112X', N'Clinic/Center - Oral and Maxillofacial Surgery')</v>
      </c>
    </row>
    <row r="33" spans="1:19" ht="47.25" hidden="1" customHeight="1" x14ac:dyDescent="0.25">
      <c r="A33" s="22" t="s">
        <v>11</v>
      </c>
      <c r="B33" s="3" t="s">
        <v>84</v>
      </c>
      <c r="C33" s="3" t="s">
        <v>85</v>
      </c>
      <c r="D33" s="3" t="s">
        <v>93</v>
      </c>
      <c r="E33" s="3" t="s">
        <v>94</v>
      </c>
      <c r="F33" s="3">
        <f>VLOOKUP(Table1[[#This Row],[Column2]], TAXONOMY_TYPE, 2, FALSE)</f>
        <v>4899</v>
      </c>
      <c r="G33" s="4" t="s">
        <v>88</v>
      </c>
      <c r="H33" s="3" t="s">
        <v>89</v>
      </c>
      <c r="I33" s="3">
        <f>VLOOKUP(Table1[[#This Row],[Provider Type]] &amp; Table1[[#This Row],[Provider Type Description]], PROVIDER_TYPE, 2, FALSE)</f>
        <v>53</v>
      </c>
      <c r="J33" s="4" t="s">
        <v>90</v>
      </c>
      <c r="K33" s="3" t="s">
        <v>89</v>
      </c>
      <c r="L33" s="3">
        <f>VLOOKUP(TRIM(Table1[[#This Row],[Provider Specialty]]) &amp; TRIM(Table1[[#This Row],[Provider Specialty Description]]), SPECIALTY_TYPE, 2, FALSE)</f>
        <v>2172</v>
      </c>
      <c r="M33" s="3" t="s">
        <v>19</v>
      </c>
      <c r="N33" s="27" t="s">
        <v>19</v>
      </c>
      <c r="O33" s="38">
        <f>VLOOKUP(TRIM(Table1[[#This Row],[Provider Specialty]]) &amp; TRIM(Table1[[#This Row],[Provider Specialty Description]]), SPECIALTY_TYPE, 2, FALSE)</f>
        <v>2172</v>
      </c>
      <c r="P33" s="3" t="str">
        <f>Table1[[#This Row],[Provider Type]] &amp; "+" &amp; Table1[[#This Row],[Provider Type Description]]</f>
        <v>02+Ambulatory Surgical Center (ASC)</v>
      </c>
      <c r="Q33" s="7" t="str">
        <f>Table1[[#This Row],[Provider Specialty]] &amp; "+" &amp; Table1[[#This Row],[Provider Specialty Description]]</f>
        <v>020+Ambulatory Surgical Center (ASC)</v>
      </c>
      <c r="R33" s="7" t="str">
        <f>Table1[[#This Row],[PDMS Specialty Type ID]] &amp; "+" &amp; Table1[[#This Row],[PDMS Provider Type ID]] &amp; "+" &amp;Table1[[#This Row],[TAXONOMY]]</f>
        <v>2172+53+261QS0132X</v>
      </c>
      <c r="S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(4899, 2172, 53, N'261QS0132X', N'Clinic/Center - Ophthalmologic Surgery')</v>
      </c>
    </row>
    <row r="34" spans="1:19" ht="47.25" hidden="1" customHeight="1" x14ac:dyDescent="0.25">
      <c r="A34" s="22" t="s">
        <v>11</v>
      </c>
      <c r="B34" s="3" t="s">
        <v>95</v>
      </c>
      <c r="C34" s="3" t="s">
        <v>139</v>
      </c>
      <c r="D34" s="3" t="s">
        <v>139</v>
      </c>
      <c r="E34" s="3" t="s">
        <v>140</v>
      </c>
      <c r="F34" s="3">
        <f>VLOOKUP(Table1[[#This Row],[Column2]], TAXONOMY_TYPE, 2, FALSE)</f>
        <v>9029</v>
      </c>
      <c r="G34" s="4" t="s">
        <v>98</v>
      </c>
      <c r="H34" s="3" t="s">
        <v>99</v>
      </c>
      <c r="I34" s="3">
        <f>VLOOKUP(Table1[[#This Row],[Provider Type]] &amp; Table1[[#This Row],[Provider Type Description]], PROVIDER_TYPE, 2, FALSE)</f>
        <v>54</v>
      </c>
      <c r="J34" s="4" t="s">
        <v>141</v>
      </c>
      <c r="K34" s="3" t="s">
        <v>142</v>
      </c>
      <c r="L34" s="3">
        <f>VLOOKUP(TRIM(Table1[[#This Row],[Provider Specialty]]) &amp; TRIM(Table1[[#This Row],[Provider Specialty Description]]), SPECIALTY_TYPE, 2, FALSE)</f>
        <v>2180</v>
      </c>
      <c r="M34" s="3" t="s">
        <v>19</v>
      </c>
      <c r="N34" s="27" t="s">
        <v>19</v>
      </c>
      <c r="O34" s="38">
        <f>VLOOKUP(TRIM(Table1[[#This Row],[Provider Specialty]]) &amp; TRIM(Table1[[#This Row],[Provider Specialty Description]]), SPECIALTY_TYPE, 2, FALSE)</f>
        <v>2180</v>
      </c>
      <c r="P34" s="3" t="str">
        <f>Table1[[#This Row],[Provider Type]] &amp; "+" &amp; Table1[[#This Row],[Provider Type Description]]</f>
        <v>03+Extended Care Facility</v>
      </c>
      <c r="Q34" s="7" t="str">
        <f>Table1[[#This Row],[Provider Specialty]] &amp; "+" &amp; Table1[[#This Row],[Provider Specialty Description]]</f>
        <v>030+Nursing Facility - ICF</v>
      </c>
      <c r="R34" s="7" t="str">
        <f>Table1[[#This Row],[PDMS Specialty Type ID]] &amp; "+" &amp; Table1[[#This Row],[PDMS Provider Type ID]] &amp; "+" &amp;Table1[[#This Row],[TAXONOMY]]</f>
        <v>2180+54+310500000X</v>
      </c>
      <c r="S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(9029, 2180, 54, N'310500000X', N'Intermediate Care Facility, Mental Illness - Intermediate Care Facility, Mental Illness')</v>
      </c>
    </row>
    <row r="35" spans="1:19" ht="47.25" hidden="1" customHeight="1" x14ac:dyDescent="0.25">
      <c r="A35" s="22" t="s">
        <v>11</v>
      </c>
      <c r="B35" s="3" t="s">
        <v>95</v>
      </c>
      <c r="C35" s="3" t="s">
        <v>110</v>
      </c>
      <c r="D35" s="3" t="s">
        <v>110</v>
      </c>
      <c r="E35" s="3" t="s">
        <v>111</v>
      </c>
      <c r="F35" s="3">
        <f>VLOOKUP(Table1[[#This Row],[Column2]], TAXONOMY_TYPE, 2, FALSE)</f>
        <v>4792</v>
      </c>
      <c r="G35" s="4" t="s">
        <v>98</v>
      </c>
      <c r="H35" s="3" t="s">
        <v>99</v>
      </c>
      <c r="I35" s="3">
        <f>VLOOKUP(Table1[[#This Row],[Provider Type]] &amp; Table1[[#This Row],[Provider Type Description]], PROVIDER_TYPE, 2, FALSE)</f>
        <v>54</v>
      </c>
      <c r="J35" s="4" t="s">
        <v>141</v>
      </c>
      <c r="K35" s="3" t="s">
        <v>142</v>
      </c>
      <c r="L35" s="3">
        <f>VLOOKUP(TRIM(Table1[[#This Row],[Provider Specialty]]) &amp; TRIM(Table1[[#This Row],[Provider Specialty Description]]), SPECIALTY_TYPE, 2, FALSE)</f>
        <v>2180</v>
      </c>
      <c r="M35" s="3" t="s">
        <v>19</v>
      </c>
      <c r="N35" s="27" t="s">
        <v>19</v>
      </c>
      <c r="O35" s="38">
        <f>VLOOKUP(TRIM(Table1[[#This Row],[Provider Specialty]]) &amp; TRIM(Table1[[#This Row],[Provider Specialty Description]]), SPECIALTY_TYPE, 2, FALSE)</f>
        <v>2180</v>
      </c>
      <c r="P35" s="3" t="str">
        <f>Table1[[#This Row],[Provider Type]] &amp; "+" &amp; Table1[[#This Row],[Provider Type Description]]</f>
        <v>03+Extended Care Facility</v>
      </c>
      <c r="Q35" s="7" t="str">
        <f>Table1[[#This Row],[Provider Specialty]] &amp; "+" &amp; Table1[[#This Row],[Provider Specialty Description]]</f>
        <v>030+Nursing Facility - ICF</v>
      </c>
      <c r="R35" s="7" t="str">
        <f>Table1[[#This Row],[PDMS Specialty Type ID]] &amp; "+" &amp; Table1[[#This Row],[PDMS Provider Type ID]] &amp; "+" &amp;Table1[[#This Row],[TAXONOMY]]</f>
        <v>2180+54+313M00000X</v>
      </c>
      <c r="S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(4792, 2180, 54, N'313M00000X', N'Nursing Facility/Intermediate Care Facility - Nursing Facility/Intermediate Care Facility')</v>
      </c>
    </row>
    <row r="36" spans="1:19" ht="47.25" hidden="1" customHeight="1" x14ac:dyDescent="0.25">
      <c r="A36" s="22" t="s">
        <v>11</v>
      </c>
      <c r="B36" s="3" t="s">
        <v>95</v>
      </c>
      <c r="C36" s="3" t="s">
        <v>124</v>
      </c>
      <c r="D36" s="3" t="s">
        <v>124</v>
      </c>
      <c r="E36" s="3" t="s">
        <v>125</v>
      </c>
      <c r="F36" s="3">
        <f>VLOOKUP(Table1[[#This Row],[Column2]], TAXONOMY_TYPE, 2, FALSE)</f>
        <v>9074</v>
      </c>
      <c r="G36" s="4" t="s">
        <v>98</v>
      </c>
      <c r="H36" s="3" t="s">
        <v>99</v>
      </c>
      <c r="I36" s="3">
        <f>VLOOKUP(Table1[[#This Row],[Provider Type]] &amp; Table1[[#This Row],[Provider Type Description]], PROVIDER_TYPE, 2, FALSE)</f>
        <v>54</v>
      </c>
      <c r="J36" s="4" t="s">
        <v>126</v>
      </c>
      <c r="K36" s="3" t="s">
        <v>2477</v>
      </c>
      <c r="L36" s="3">
        <f>VLOOKUP(TRIM(Table1[[#This Row],[Provider Specialty]]) &amp; TRIM(Table1[[#This Row],[Provider Specialty Description]]), SPECIALTY_TYPE, 2, FALSE)</f>
        <v>2148</v>
      </c>
      <c r="M36" s="3" t="s">
        <v>18</v>
      </c>
      <c r="N36" s="27" t="s">
        <v>19</v>
      </c>
      <c r="O36" s="38">
        <f>VLOOKUP(TRIM(Table1[[#This Row],[Provider Specialty]]) &amp; TRIM(Table1[[#This Row],[Provider Specialty Description]]), SPECIALTY_TYPE, 2, FALSE)</f>
        <v>2148</v>
      </c>
      <c r="P36" s="3" t="str">
        <f>Table1[[#This Row],[Provider Type]] &amp; "+" &amp; Table1[[#This Row],[Provider Type Description]]</f>
        <v>03+Extended Care Facility</v>
      </c>
      <c r="Q36" s="7" t="str">
        <f>Table1[[#This Row],[Provider Specialty]] &amp; "+" &amp; Table1[[#This Row],[Provider Specialty Description]]</f>
        <v>031+ICF/IID</v>
      </c>
      <c r="R36" s="7" t="str">
        <f>Table1[[#This Row],[PDMS Specialty Type ID]] &amp; "+" &amp; Table1[[#This Row],[PDMS Provider Type ID]] &amp; "+" &amp;Table1[[#This Row],[TAXONOMY]]</f>
        <v>2148+54+315P00000X</v>
      </c>
      <c r="S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(9074, 2148, 54, N'315P00000X', N'Intermediate Care Facility, Mentally Retarded - Intermediate Care Facility, Mentally Retarded')</v>
      </c>
    </row>
    <row r="37" spans="1:19" ht="47.25" hidden="1" customHeight="1" x14ac:dyDescent="0.25">
      <c r="A37" s="22" t="s">
        <v>11</v>
      </c>
      <c r="B37" s="3" t="s">
        <v>95</v>
      </c>
      <c r="C37" s="3" t="s">
        <v>110</v>
      </c>
      <c r="D37" s="3" t="s">
        <v>110</v>
      </c>
      <c r="E37" s="3" t="s">
        <v>111</v>
      </c>
      <c r="F37" s="3">
        <f>VLOOKUP(Table1[[#This Row],[Column2]], TAXONOMY_TYPE, 2, FALSE)</f>
        <v>9033</v>
      </c>
      <c r="G37" s="4" t="s">
        <v>98</v>
      </c>
      <c r="H37" s="3" t="s">
        <v>99</v>
      </c>
      <c r="I37" s="3">
        <f>VLOOKUP(Table1[[#This Row],[Provider Type]] &amp; Table1[[#This Row],[Provider Type Description]], PROVIDER_TYPE, 2, FALSE)</f>
        <v>54</v>
      </c>
      <c r="J37" s="4" t="s">
        <v>112</v>
      </c>
      <c r="K37" s="3" t="s">
        <v>113</v>
      </c>
      <c r="L37" s="3">
        <f>VLOOKUP(TRIM(Table1[[#This Row],[Provider Specialty]]) &amp; TRIM(Table1[[#This Row],[Provider Specialty Description]]), SPECIALTY_TYPE, 2, FALSE)</f>
        <v>2182</v>
      </c>
      <c r="M37" s="3" t="s">
        <v>18</v>
      </c>
      <c r="N37" s="27" t="s">
        <v>19</v>
      </c>
      <c r="O37" s="38">
        <f>VLOOKUP(TRIM(Table1[[#This Row],[Provider Specialty]]) &amp; TRIM(Table1[[#This Row],[Provider Specialty Description]]), SPECIALTY_TYPE, 2, FALSE)</f>
        <v>2182</v>
      </c>
      <c r="P37" s="3" t="str">
        <f>Table1[[#This Row],[Provider Type]] &amp; "+" &amp; Table1[[#This Row],[Provider Type Description]]</f>
        <v>03+Extended Care Facility</v>
      </c>
      <c r="Q37" s="7" t="str">
        <f>Table1[[#This Row],[Provider Specialty]] &amp; "+" &amp; Table1[[#This Row],[Provider Specialty Description]]</f>
        <v>032+Pediatric Nursing Facility</v>
      </c>
      <c r="R37" s="7" t="str">
        <f>Table1[[#This Row],[PDMS Specialty Type ID]] &amp; "+" &amp; Table1[[#This Row],[PDMS Provider Type ID]] &amp; "+" &amp;Table1[[#This Row],[TAXONOMY]]</f>
        <v>2182+54+313M00000X</v>
      </c>
      <c r="S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(9033, 2182, 54, N'313M00000X', N'Nursing Facility/Intermediate Care Facility - Nursing Facility/Intermediate Care Facility')</v>
      </c>
    </row>
    <row r="38" spans="1:19" ht="47.25" hidden="1" customHeight="1" x14ac:dyDescent="0.25">
      <c r="A38" s="22" t="s">
        <v>11</v>
      </c>
      <c r="B38" s="3" t="s">
        <v>95</v>
      </c>
      <c r="C38" s="3" t="s">
        <v>116</v>
      </c>
      <c r="D38" s="3" t="s">
        <v>116</v>
      </c>
      <c r="E38" s="3" t="s">
        <v>117</v>
      </c>
      <c r="F38" s="3">
        <f>VLOOKUP(Table1[[#This Row],[Column2]], TAXONOMY_TYPE, 2, FALSE)</f>
        <v>9035</v>
      </c>
      <c r="G38" s="4" t="s">
        <v>98</v>
      </c>
      <c r="H38" s="3" t="s">
        <v>99</v>
      </c>
      <c r="I38" s="3">
        <f>VLOOKUP(Table1[[#This Row],[Provider Type]] &amp; Table1[[#This Row],[Provider Type Description]], PROVIDER_TYPE, 2, FALSE)</f>
        <v>54</v>
      </c>
      <c r="J38" s="4" t="s">
        <v>118</v>
      </c>
      <c r="K38" s="3" t="s">
        <v>119</v>
      </c>
      <c r="L38" s="3">
        <f>VLOOKUP(TRIM(Table1[[#This Row],[Provider Specialty]]) &amp; TRIM(Table1[[#This Row],[Provider Specialty Description]]), SPECIALTY_TYPE, 2, FALSE)</f>
        <v>2184</v>
      </c>
      <c r="M38" s="3" t="s">
        <v>18</v>
      </c>
      <c r="N38" s="27" t="s">
        <v>19</v>
      </c>
      <c r="O38" s="38">
        <f>VLOOKUP(TRIM(Table1[[#This Row],[Provider Specialty]]) &amp; TRIM(Table1[[#This Row],[Provider Specialty Description]]), SPECIALTY_TYPE, 2, FALSE)</f>
        <v>2184</v>
      </c>
      <c r="P38" s="3" t="str">
        <f>Table1[[#This Row],[Provider Type]] &amp; "+" &amp; Table1[[#This Row],[Provider Type Description]]</f>
        <v>03+Extended Care Facility</v>
      </c>
      <c r="Q38" s="7" t="str">
        <f>Table1[[#This Row],[Provider Specialty]] &amp; "+" &amp; Table1[[#This Row],[Provider Specialty Description]]</f>
        <v xml:space="preserve">033+Residential Care Facility </v>
      </c>
      <c r="R38" s="7" t="str">
        <f>Table1[[#This Row],[PDMS Specialty Type ID]] &amp; "+" &amp; Table1[[#This Row],[PDMS Provider Type ID]] &amp; "+" &amp;Table1[[#This Row],[TAXONOMY]]</f>
        <v>2184+54+314000000X</v>
      </c>
      <c r="S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(9035, 2184, 54, N'314000000X', N'Skilled Nursing Facility - Skilled Nursing Facility')</v>
      </c>
    </row>
    <row r="39" spans="1:19" ht="47.25" hidden="1" customHeight="1" x14ac:dyDescent="0.25">
      <c r="A39" s="22" t="s">
        <v>11</v>
      </c>
      <c r="B39" s="3" t="s">
        <v>95</v>
      </c>
      <c r="C39" s="3" t="s">
        <v>116</v>
      </c>
      <c r="D39" s="3" t="s">
        <v>116</v>
      </c>
      <c r="E39" s="3" t="s">
        <v>117</v>
      </c>
      <c r="F39" s="3">
        <f>VLOOKUP(Table1[[#This Row],[Column2]], TAXONOMY_TYPE, 2, FALSE)</f>
        <v>9036</v>
      </c>
      <c r="G39" s="4" t="s">
        <v>98</v>
      </c>
      <c r="H39" s="3" t="s">
        <v>99</v>
      </c>
      <c r="I39" s="3">
        <f>VLOOKUP(Table1[[#This Row],[Provider Type]] &amp; Table1[[#This Row],[Provider Type Description]], PROVIDER_TYPE, 2, FALSE)</f>
        <v>54</v>
      </c>
      <c r="J39" s="4" t="s">
        <v>120</v>
      </c>
      <c r="K39" s="3" t="s">
        <v>121</v>
      </c>
      <c r="L39" s="3">
        <f>VLOOKUP(TRIM(Table1[[#This Row],[Provider Specialty]]) &amp; TRIM(Table1[[#This Row],[Provider Specialty Description]]), SPECIALTY_TYPE, 2, FALSE)</f>
        <v>2185</v>
      </c>
      <c r="M39" s="3" t="s">
        <v>18</v>
      </c>
      <c r="N39" s="27" t="s">
        <v>19</v>
      </c>
      <c r="O39" s="38">
        <f>VLOOKUP(TRIM(Table1[[#This Row],[Provider Specialty]]) &amp; TRIM(Table1[[#This Row],[Provider Specialty Description]]), SPECIALTY_TYPE, 2, FALSE)</f>
        <v>2185</v>
      </c>
      <c r="P39" s="3" t="str">
        <f>Table1[[#This Row],[Provider Type]] &amp; "+" &amp; Table1[[#This Row],[Provider Type Description]]</f>
        <v>03+Extended Care Facility</v>
      </c>
      <c r="Q39" s="7" t="str">
        <f>Table1[[#This Row],[Provider Specialty]] &amp; "+" &amp; Table1[[#This Row],[Provider Specialty Description]]</f>
        <v>034+Skilled Nursing Facility (SNF) - Other</v>
      </c>
      <c r="R39" s="7" t="str">
        <f>Table1[[#This Row],[PDMS Specialty Type ID]] &amp; "+" &amp; Table1[[#This Row],[PDMS Provider Type ID]] &amp; "+" &amp;Table1[[#This Row],[TAXONOMY]]</f>
        <v>2185+54+314000000X</v>
      </c>
      <c r="S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(9036, 2185, 54, N'314000000X', N'Skilled Nursing Facility - Skilled Nursing Facility')</v>
      </c>
    </row>
    <row r="40" spans="1:19" ht="47.25" hidden="1" customHeight="1" x14ac:dyDescent="0.25">
      <c r="A40" s="22" t="s">
        <v>11</v>
      </c>
      <c r="B40" s="3" t="s">
        <v>95</v>
      </c>
      <c r="C40" s="3" t="s">
        <v>143</v>
      </c>
      <c r="D40" s="3" t="s">
        <v>143</v>
      </c>
      <c r="E40" s="3" t="s">
        <v>144</v>
      </c>
      <c r="F40" s="3">
        <f>VLOOKUP(Table1[[#This Row],[Column2]], TAXONOMY_TYPE, 2, FALSE)</f>
        <v>9030</v>
      </c>
      <c r="G40" s="4" t="s">
        <v>98</v>
      </c>
      <c r="H40" s="3" t="s">
        <v>99</v>
      </c>
      <c r="I40" s="3">
        <f>VLOOKUP(Table1[[#This Row],[Provider Type]] &amp; Table1[[#This Row],[Provider Type Description]], PROVIDER_TYPE, 2, FALSE)</f>
        <v>54</v>
      </c>
      <c r="J40" s="4" t="s">
        <v>145</v>
      </c>
      <c r="K40" s="3" t="s">
        <v>146</v>
      </c>
      <c r="L40" s="3">
        <f>VLOOKUP(TRIM(Table1[[#This Row],[Provider Specialty]]) &amp; TRIM(Table1[[#This Row],[Provider Specialty Description]]), SPECIALTY_TYPE, 2, FALSE)</f>
        <v>2181</v>
      </c>
      <c r="M40" s="3" t="s">
        <v>19</v>
      </c>
      <c r="N40" s="27" t="s">
        <v>19</v>
      </c>
      <c r="O40" s="38">
        <f>VLOOKUP(TRIM(Table1[[#This Row],[Provider Specialty]]) &amp; TRIM(Table1[[#This Row],[Provider Specialty Description]]), SPECIALTY_TYPE, 2, FALSE)</f>
        <v>2181</v>
      </c>
      <c r="P40" s="3" t="str">
        <f>Table1[[#This Row],[Provider Type]] &amp; "+" &amp; Table1[[#This Row],[Provider Type Description]]</f>
        <v>03+Extended Care Facility</v>
      </c>
      <c r="Q40" s="7" t="str">
        <f>Table1[[#This Row],[Provider Specialty]] &amp; "+" &amp; Table1[[#This Row],[Provider Specialty Description]]</f>
        <v>035+Skilled Nursing Facility (SNF)</v>
      </c>
      <c r="R40" s="7" t="str">
        <f>Table1[[#This Row],[PDMS Specialty Type ID]] &amp; "+" &amp; Table1[[#This Row],[PDMS Provider Type ID]] &amp; "+" &amp;Table1[[#This Row],[TAXONOMY]]</f>
        <v>2181+54+311500000X</v>
      </c>
      <c r="S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(9030, 2181, 54, N'311500000X', N'Alzheimer Center (Dementia Center) - Alzheimer Center (Dementia Center)')</v>
      </c>
    </row>
    <row r="41" spans="1:19" ht="47.25" hidden="1" customHeight="1" x14ac:dyDescent="0.25">
      <c r="A41" s="22" t="s">
        <v>11</v>
      </c>
      <c r="B41" s="3" t="s">
        <v>95</v>
      </c>
      <c r="C41" s="3" t="s">
        <v>116</v>
      </c>
      <c r="D41" s="3" t="s">
        <v>116</v>
      </c>
      <c r="E41" s="3" t="s">
        <v>117</v>
      </c>
      <c r="F41" s="3">
        <f>VLOOKUP(Table1[[#This Row],[Column2]], TAXONOMY_TYPE, 2, FALSE)</f>
        <v>4841</v>
      </c>
      <c r="G41" s="4" t="s">
        <v>98</v>
      </c>
      <c r="H41" s="3" t="s">
        <v>99</v>
      </c>
      <c r="I41" s="3">
        <f>VLOOKUP(Table1[[#This Row],[Provider Type]] &amp; Table1[[#This Row],[Provider Type Description]], PROVIDER_TYPE, 2, FALSE)</f>
        <v>54</v>
      </c>
      <c r="J41" s="4" t="s">
        <v>145</v>
      </c>
      <c r="K41" s="3" t="s">
        <v>147</v>
      </c>
      <c r="L41" s="3">
        <f>VLOOKUP(TRIM(Table1[[#This Row],[Provider Specialty]]) &amp; TRIM(Table1[[#This Row],[Provider Specialty Description]]), SPECIALTY_TYPE, 2, FALSE)</f>
        <v>2181</v>
      </c>
      <c r="M41" s="3" t="s">
        <v>19</v>
      </c>
      <c r="N41" s="27" t="s">
        <v>19</v>
      </c>
      <c r="O41" s="38">
        <f>VLOOKUP(TRIM(Table1[[#This Row],[Provider Specialty]]) &amp; TRIM(Table1[[#This Row],[Provider Specialty Description]]), SPECIALTY_TYPE, 2, FALSE)</f>
        <v>2181</v>
      </c>
      <c r="P41" s="3" t="str">
        <f>Table1[[#This Row],[Provider Type]] &amp; "+" &amp; Table1[[#This Row],[Provider Type Description]]</f>
        <v>03+Extended Care Facility</v>
      </c>
      <c r="Q41" s="7" t="str">
        <f>Table1[[#This Row],[Provider Specialty]] &amp; "+" &amp; Table1[[#This Row],[Provider Specialty Description]]</f>
        <v xml:space="preserve">035+Skilled Nursing Facility (SNF) </v>
      </c>
      <c r="R41" s="7" t="str">
        <f>Table1[[#This Row],[PDMS Specialty Type ID]] &amp; "+" &amp; Table1[[#This Row],[PDMS Provider Type ID]] &amp; "+" &amp;Table1[[#This Row],[TAXONOMY]]</f>
        <v>2181+54+314000000X</v>
      </c>
      <c r="S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(4841, 2181, 54, N'314000000X', N'Skilled Nursing Facility - Skilled Nursing Facility')</v>
      </c>
    </row>
    <row r="42" spans="1:19" ht="47.25" hidden="1" customHeight="1" x14ac:dyDescent="0.25">
      <c r="A42" s="22" t="s">
        <v>11</v>
      </c>
      <c r="B42" s="3" t="s">
        <v>95</v>
      </c>
      <c r="C42" s="3" t="s">
        <v>116</v>
      </c>
      <c r="D42" s="3" t="s">
        <v>148</v>
      </c>
      <c r="E42" s="3" t="s">
        <v>149</v>
      </c>
      <c r="F42" s="3">
        <f>VLOOKUP(Table1[[#This Row],[Column2]], TAXONOMY_TYPE, 2, FALSE)</f>
        <v>9038</v>
      </c>
      <c r="G42" s="4" t="s">
        <v>98</v>
      </c>
      <c r="H42" s="3" t="s">
        <v>99</v>
      </c>
      <c r="I42" s="3">
        <f>VLOOKUP(Table1[[#This Row],[Provider Type]] &amp; Table1[[#This Row],[Provider Type Description]], PROVIDER_TYPE, 2, FALSE)</f>
        <v>54</v>
      </c>
      <c r="J42" s="4" t="s">
        <v>145</v>
      </c>
      <c r="K42" s="3" t="s">
        <v>147</v>
      </c>
      <c r="L42" s="3">
        <f>VLOOKUP(TRIM(Table1[[#This Row],[Provider Specialty]]) &amp; TRIM(Table1[[#This Row],[Provider Specialty Description]]), SPECIALTY_TYPE, 2, FALSE)</f>
        <v>2181</v>
      </c>
      <c r="M42" s="3" t="s">
        <v>19</v>
      </c>
      <c r="N42" s="27" t="s">
        <v>19</v>
      </c>
      <c r="O42" s="38">
        <f>VLOOKUP(TRIM(Table1[[#This Row],[Provider Specialty]]) &amp; TRIM(Table1[[#This Row],[Provider Specialty Description]]), SPECIALTY_TYPE, 2, FALSE)</f>
        <v>2181</v>
      </c>
      <c r="P42" s="3" t="str">
        <f>Table1[[#This Row],[Provider Type]] &amp; "+" &amp; Table1[[#This Row],[Provider Type Description]]</f>
        <v>03+Extended Care Facility</v>
      </c>
      <c r="Q42" s="7" t="str">
        <f>Table1[[#This Row],[Provider Specialty]] &amp; "+" &amp; Table1[[#This Row],[Provider Specialty Description]]</f>
        <v xml:space="preserve">035+Skilled Nursing Facility (SNF) </v>
      </c>
      <c r="R42" s="7" t="str">
        <f>Table1[[#This Row],[PDMS Specialty Type ID]] &amp; "+" &amp; Table1[[#This Row],[PDMS Provider Type ID]] &amp; "+" &amp;Table1[[#This Row],[TAXONOMY]]</f>
        <v>2181+54+3140N1450X</v>
      </c>
      <c r="S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(9038, 2181, 54, N'3140N1450X', N'Skilled Nursing Facility - Nursing Care, Pediatric')</v>
      </c>
    </row>
    <row r="43" spans="1:19" ht="47.25" hidden="1" customHeight="1" x14ac:dyDescent="0.25">
      <c r="A43" s="22" t="s">
        <v>11</v>
      </c>
      <c r="B43" s="3" t="s">
        <v>95</v>
      </c>
      <c r="C43" s="3" t="s">
        <v>150</v>
      </c>
      <c r="D43" s="3" t="s">
        <v>150</v>
      </c>
      <c r="E43" s="3" t="s">
        <v>151</v>
      </c>
      <c r="F43" s="3">
        <f>VLOOKUP(Table1[[#This Row],[Column2]], TAXONOMY_TYPE, 2, FALSE)</f>
        <v>9040</v>
      </c>
      <c r="G43" s="4" t="s">
        <v>98</v>
      </c>
      <c r="H43" s="3" t="s">
        <v>99</v>
      </c>
      <c r="I43" s="3">
        <f>VLOOKUP(Table1[[#This Row],[Provider Type]] &amp; Table1[[#This Row],[Provider Type Description]], PROVIDER_TYPE, 2, FALSE)</f>
        <v>54</v>
      </c>
      <c r="J43" s="4" t="s">
        <v>145</v>
      </c>
      <c r="K43" s="3" t="s">
        <v>147</v>
      </c>
      <c r="L43" s="3">
        <f>VLOOKUP(TRIM(Table1[[#This Row],[Provider Specialty]]) &amp; TRIM(Table1[[#This Row],[Provider Specialty Description]]), SPECIALTY_TYPE, 2, FALSE)</f>
        <v>2181</v>
      </c>
      <c r="M43" s="3" t="s">
        <v>19</v>
      </c>
      <c r="N43" s="27" t="s">
        <v>19</v>
      </c>
      <c r="O43" s="38">
        <f>VLOOKUP(TRIM(Table1[[#This Row],[Provider Specialty]]) &amp; TRIM(Table1[[#This Row],[Provider Specialty Description]]), SPECIALTY_TYPE, 2, FALSE)</f>
        <v>2181</v>
      </c>
      <c r="P43" s="3" t="str">
        <f>Table1[[#This Row],[Provider Type]] &amp; "+" &amp; Table1[[#This Row],[Provider Type Description]]</f>
        <v>03+Extended Care Facility</v>
      </c>
      <c r="Q43" s="7" t="str">
        <f>Table1[[#This Row],[Provider Specialty]] &amp; "+" &amp; Table1[[#This Row],[Provider Specialty Description]]</f>
        <v xml:space="preserve">035+Skilled Nursing Facility (SNF) </v>
      </c>
      <c r="R43" s="7" t="str">
        <f>Table1[[#This Row],[PDMS Specialty Type ID]] &amp; "+" &amp; Table1[[#This Row],[PDMS Provider Type ID]] &amp; "+" &amp;Table1[[#This Row],[TAXONOMY]]</f>
        <v>2181+54+317400000X</v>
      </c>
      <c r="S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(9040, 2181, 54, N'317400000X', N'Christian Science Facility - Christian Science Facility')</v>
      </c>
    </row>
    <row r="44" spans="1:19" ht="47.25" hidden="1" customHeight="1" x14ac:dyDescent="0.25">
      <c r="A44" s="22" t="s">
        <v>11</v>
      </c>
      <c r="B44" s="3" t="s">
        <v>95</v>
      </c>
      <c r="C44" s="3" t="s">
        <v>116</v>
      </c>
      <c r="D44" s="3" t="s">
        <v>116</v>
      </c>
      <c r="E44" s="3" t="s">
        <v>117</v>
      </c>
      <c r="F44" s="3">
        <f>VLOOKUP(Table1[[#This Row],[Column2]], TAXONOMY_TYPE, 2, FALSE)</f>
        <v>9037</v>
      </c>
      <c r="G44" s="4" t="s">
        <v>98</v>
      </c>
      <c r="H44" s="3" t="s">
        <v>99</v>
      </c>
      <c r="I44" s="3">
        <f>VLOOKUP(Table1[[#This Row],[Provider Type]] &amp; Table1[[#This Row],[Provider Type Description]], PROVIDER_TYPE, 2, FALSE)</f>
        <v>54</v>
      </c>
      <c r="J44" s="4" t="s">
        <v>122</v>
      </c>
      <c r="K44" s="3" t="s">
        <v>123</v>
      </c>
      <c r="L44" s="3">
        <f>VLOOKUP(TRIM(Table1[[#This Row],[Provider Specialty]]) &amp; TRIM(Table1[[#This Row],[Provider Specialty Description]]), SPECIALTY_TYPE, 2, FALSE)</f>
        <v>2186</v>
      </c>
      <c r="M44" s="3" t="s">
        <v>18</v>
      </c>
      <c r="N44" s="27" t="s">
        <v>19</v>
      </c>
      <c r="O44" s="38">
        <f>VLOOKUP(TRIM(Table1[[#This Row],[Provider Specialty]]) &amp; TRIM(Table1[[#This Row],[Provider Specialty Description]]), SPECIALTY_TYPE, 2, FALSE)</f>
        <v>2186</v>
      </c>
      <c r="P44" s="3" t="str">
        <f>Table1[[#This Row],[Provider Type]] &amp; "+" &amp; Table1[[#This Row],[Provider Type Description]]</f>
        <v>03+Extended Care Facility</v>
      </c>
      <c r="Q44" s="7" t="str">
        <f>Table1[[#This Row],[Provider Specialty]] &amp; "+" &amp; Table1[[#This Row],[Provider Specialty Description]]</f>
        <v xml:space="preserve">036+Respite Care - Facility Based                     </v>
      </c>
      <c r="R44" s="7" t="str">
        <f>Table1[[#This Row],[PDMS Specialty Type ID]] &amp; "+" &amp; Table1[[#This Row],[PDMS Provider Type ID]] &amp; "+" &amp;Table1[[#This Row],[TAXONOMY]]</f>
        <v>2186+54+314000000X</v>
      </c>
      <c r="S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(9037, 2186, 54, N'314000000X', N'Skilled Nursing Facility - Skilled Nursing Facility')</v>
      </c>
    </row>
    <row r="45" spans="1:19" ht="47.25" hidden="1" customHeight="1" x14ac:dyDescent="0.25">
      <c r="A45" s="22" t="s">
        <v>11</v>
      </c>
      <c r="B45" s="3" t="s">
        <v>128</v>
      </c>
      <c r="C45" s="3" t="s">
        <v>129</v>
      </c>
      <c r="D45" s="3" t="s">
        <v>129</v>
      </c>
      <c r="E45" s="3" t="s">
        <v>130</v>
      </c>
      <c r="F45" s="3">
        <f>VLOOKUP(Table1[[#This Row],[Column2]], TAXONOMY_TYPE, 2, FALSE)</f>
        <v>4835</v>
      </c>
      <c r="G45" s="4" t="s">
        <v>98</v>
      </c>
      <c r="H45" s="3" t="s">
        <v>99</v>
      </c>
      <c r="I45" s="3">
        <f>VLOOKUP(Table1[[#This Row],[Provider Type]] &amp; Table1[[#This Row],[Provider Type Description]], PROVIDER_TYPE, 2, FALSE)</f>
        <v>54</v>
      </c>
      <c r="J45" s="4" t="s">
        <v>122</v>
      </c>
      <c r="K45" s="3" t="s">
        <v>123</v>
      </c>
      <c r="L45" s="3">
        <f>VLOOKUP(TRIM(Table1[[#This Row],[Provider Specialty]]) &amp; TRIM(Table1[[#This Row],[Provider Specialty Description]]), SPECIALTY_TYPE, 2, FALSE)</f>
        <v>2186</v>
      </c>
      <c r="M45" s="3" t="s">
        <v>18</v>
      </c>
      <c r="N45" s="27" t="s">
        <v>19</v>
      </c>
      <c r="O45" s="38">
        <f>VLOOKUP(TRIM(Table1[[#This Row],[Provider Specialty]]) &amp; TRIM(Table1[[#This Row],[Provider Specialty Description]]), SPECIALTY_TYPE, 2, FALSE)</f>
        <v>2186</v>
      </c>
      <c r="P45" s="3" t="str">
        <f>Table1[[#This Row],[Provider Type]] &amp; "+" &amp; Table1[[#This Row],[Provider Type Description]]</f>
        <v>03+Extended Care Facility</v>
      </c>
      <c r="Q45" s="7" t="str">
        <f>Table1[[#This Row],[Provider Specialty]] &amp; "+" &amp; Table1[[#This Row],[Provider Specialty Description]]</f>
        <v xml:space="preserve">036+Respite Care - Facility Based                     </v>
      </c>
      <c r="R45" s="7" t="str">
        <f>Table1[[#This Row],[PDMS Specialty Type ID]] &amp; "+" &amp; Table1[[#This Row],[PDMS Provider Type ID]] &amp; "+" &amp;Table1[[#This Row],[TAXONOMY]]</f>
        <v>2186+54+385H00000X</v>
      </c>
      <c r="S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(4835, 2186, 54, N'385H00000X', N'Respite Care - Respite Care')</v>
      </c>
    </row>
    <row r="46" spans="1:19" ht="47.25" hidden="1" customHeight="1" x14ac:dyDescent="0.25">
      <c r="A46" s="22" t="s">
        <v>11</v>
      </c>
      <c r="B46" s="3" t="s">
        <v>128</v>
      </c>
      <c r="C46" s="3" t="s">
        <v>129</v>
      </c>
      <c r="D46" s="3" t="s">
        <v>131</v>
      </c>
      <c r="E46" s="3" t="s">
        <v>132</v>
      </c>
      <c r="F46" s="3">
        <f>VLOOKUP(Table1[[#This Row],[Column2]], TAXONOMY_TYPE, 2, FALSE)</f>
        <v>9041</v>
      </c>
      <c r="G46" s="4" t="s">
        <v>98</v>
      </c>
      <c r="H46" s="3" t="s">
        <v>99</v>
      </c>
      <c r="I46" s="3">
        <f>VLOOKUP(Table1[[#This Row],[Provider Type]] &amp; Table1[[#This Row],[Provider Type Description]], PROVIDER_TYPE, 2, FALSE)</f>
        <v>54</v>
      </c>
      <c r="J46" s="4" t="s">
        <v>122</v>
      </c>
      <c r="K46" s="3" t="s">
        <v>123</v>
      </c>
      <c r="L46" s="3">
        <f>VLOOKUP(TRIM(Table1[[#This Row],[Provider Specialty]]) &amp; TRIM(Table1[[#This Row],[Provider Specialty Description]]), SPECIALTY_TYPE, 2, FALSE)</f>
        <v>2186</v>
      </c>
      <c r="M46" s="3" t="s">
        <v>18</v>
      </c>
      <c r="N46" s="27" t="s">
        <v>19</v>
      </c>
      <c r="O46" s="38">
        <f>VLOOKUP(TRIM(Table1[[#This Row],[Provider Specialty]]) &amp; TRIM(Table1[[#This Row],[Provider Specialty Description]]), SPECIALTY_TYPE, 2, FALSE)</f>
        <v>2186</v>
      </c>
      <c r="P46" s="3" t="str">
        <f>Table1[[#This Row],[Provider Type]] &amp; "+" &amp; Table1[[#This Row],[Provider Type Description]]</f>
        <v>03+Extended Care Facility</v>
      </c>
      <c r="Q46" s="7" t="str">
        <f>Table1[[#This Row],[Provider Specialty]] &amp; "+" &amp; Table1[[#This Row],[Provider Specialty Description]]</f>
        <v xml:space="preserve">036+Respite Care - Facility Based                     </v>
      </c>
      <c r="R46" s="7" t="str">
        <f>Table1[[#This Row],[PDMS Specialty Type ID]] &amp; "+" &amp; Table1[[#This Row],[PDMS Provider Type ID]] &amp; "+" &amp;Table1[[#This Row],[TAXONOMY]]</f>
        <v>2186+54+385HR2050X</v>
      </c>
      <c r="S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(9041, 2186, 54, N'385HR2050X', N'Respite Care - Respite Care Camp')</v>
      </c>
    </row>
    <row r="47" spans="1:19" ht="47.25" hidden="1" customHeight="1" x14ac:dyDescent="0.25">
      <c r="A47" s="22" t="s">
        <v>11</v>
      </c>
      <c r="B47" s="3" t="s">
        <v>128</v>
      </c>
      <c r="C47" s="3" t="s">
        <v>129</v>
      </c>
      <c r="D47" s="3" t="s">
        <v>133</v>
      </c>
      <c r="E47" s="3" t="s">
        <v>134</v>
      </c>
      <c r="F47" s="3">
        <f>VLOOKUP(Table1[[#This Row],[Column2]], TAXONOMY_TYPE, 2, FALSE)</f>
        <v>9042</v>
      </c>
      <c r="G47" s="4" t="s">
        <v>98</v>
      </c>
      <c r="H47" s="3" t="s">
        <v>99</v>
      </c>
      <c r="I47" s="3">
        <f>VLOOKUP(Table1[[#This Row],[Provider Type]] &amp; Table1[[#This Row],[Provider Type Description]], PROVIDER_TYPE, 2, FALSE)</f>
        <v>54</v>
      </c>
      <c r="J47" s="4" t="s">
        <v>122</v>
      </c>
      <c r="K47" s="3" t="s">
        <v>123</v>
      </c>
      <c r="L47" s="3">
        <f>VLOOKUP(TRIM(Table1[[#This Row],[Provider Specialty]]) &amp; TRIM(Table1[[#This Row],[Provider Specialty Description]]), SPECIALTY_TYPE, 2, FALSE)</f>
        <v>2186</v>
      </c>
      <c r="M47" s="3" t="s">
        <v>18</v>
      </c>
      <c r="N47" s="27" t="s">
        <v>19</v>
      </c>
      <c r="O47" s="38">
        <f>VLOOKUP(TRIM(Table1[[#This Row],[Provider Specialty]]) &amp; TRIM(Table1[[#This Row],[Provider Specialty Description]]), SPECIALTY_TYPE, 2, FALSE)</f>
        <v>2186</v>
      </c>
      <c r="P47" s="3" t="str">
        <f>Table1[[#This Row],[Provider Type]] &amp; "+" &amp; Table1[[#This Row],[Provider Type Description]]</f>
        <v>03+Extended Care Facility</v>
      </c>
      <c r="Q47" s="7" t="str">
        <f>Table1[[#This Row],[Provider Specialty]] &amp; "+" &amp; Table1[[#This Row],[Provider Specialty Description]]</f>
        <v xml:space="preserve">036+Respite Care - Facility Based                     </v>
      </c>
      <c r="R47" s="7" t="str">
        <f>Table1[[#This Row],[PDMS Specialty Type ID]] &amp; "+" &amp; Table1[[#This Row],[PDMS Provider Type ID]] &amp; "+" &amp;Table1[[#This Row],[TAXONOMY]]</f>
        <v>2186+54+385HR2055X</v>
      </c>
      <c r="S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(9042, 2186, 54, N'385HR2055X', N'Respite Care - Respite Care, Mental Illness, Child')</v>
      </c>
    </row>
    <row r="48" spans="1:19" ht="47.25" hidden="1" customHeight="1" x14ac:dyDescent="0.25">
      <c r="A48" s="22" t="s">
        <v>11</v>
      </c>
      <c r="B48" s="3" t="s">
        <v>128</v>
      </c>
      <c r="C48" s="3" t="s">
        <v>129</v>
      </c>
      <c r="D48" s="3" t="s">
        <v>135</v>
      </c>
      <c r="E48" s="3" t="s">
        <v>136</v>
      </c>
      <c r="F48" s="3">
        <f>VLOOKUP(Table1[[#This Row],[Column2]], TAXONOMY_TYPE, 2, FALSE)</f>
        <v>9043</v>
      </c>
      <c r="G48" s="4" t="s">
        <v>98</v>
      </c>
      <c r="H48" s="3" t="s">
        <v>99</v>
      </c>
      <c r="I48" s="3">
        <f>VLOOKUP(Table1[[#This Row],[Provider Type]] &amp; Table1[[#This Row],[Provider Type Description]], PROVIDER_TYPE, 2, FALSE)</f>
        <v>54</v>
      </c>
      <c r="J48" s="4" t="s">
        <v>122</v>
      </c>
      <c r="K48" s="3" t="s">
        <v>123</v>
      </c>
      <c r="L48" s="3">
        <f>VLOOKUP(TRIM(Table1[[#This Row],[Provider Specialty]]) &amp; TRIM(Table1[[#This Row],[Provider Specialty Description]]), SPECIALTY_TYPE, 2, FALSE)</f>
        <v>2186</v>
      </c>
      <c r="M48" s="3" t="s">
        <v>18</v>
      </c>
      <c r="N48" s="27" t="s">
        <v>19</v>
      </c>
      <c r="O48" s="38">
        <f>VLOOKUP(TRIM(Table1[[#This Row],[Provider Specialty]]) &amp; TRIM(Table1[[#This Row],[Provider Specialty Description]]), SPECIALTY_TYPE, 2, FALSE)</f>
        <v>2186</v>
      </c>
      <c r="P48" s="3" t="str">
        <f>Table1[[#This Row],[Provider Type]] &amp; "+" &amp; Table1[[#This Row],[Provider Type Description]]</f>
        <v>03+Extended Care Facility</v>
      </c>
      <c r="Q48" s="7" t="str">
        <f>Table1[[#This Row],[Provider Specialty]] &amp; "+" &amp; Table1[[#This Row],[Provider Specialty Description]]</f>
        <v xml:space="preserve">036+Respite Care - Facility Based                     </v>
      </c>
      <c r="R48" s="7" t="str">
        <f>Table1[[#This Row],[PDMS Specialty Type ID]] &amp; "+" &amp; Table1[[#This Row],[PDMS Provider Type ID]] &amp; "+" &amp;Table1[[#This Row],[TAXONOMY]]</f>
        <v>2186+54+385HR2060X</v>
      </c>
      <c r="S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(9043, 2186, 54, N'385HR2060X', N'Respite Care - Respite Care, Mental Retardation and/or Developmental Disabilities')</v>
      </c>
    </row>
    <row r="49" spans="1:19" ht="47.25" hidden="1" customHeight="1" x14ac:dyDescent="0.25">
      <c r="A49" s="22" t="s">
        <v>11</v>
      </c>
      <c r="B49" s="3" t="s">
        <v>128</v>
      </c>
      <c r="C49" s="3" t="s">
        <v>129</v>
      </c>
      <c r="D49" s="3" t="s">
        <v>137</v>
      </c>
      <c r="E49" s="3" t="s">
        <v>138</v>
      </c>
      <c r="F49" s="3">
        <f>VLOOKUP(Table1[[#This Row],[Column2]], TAXONOMY_TYPE, 2, FALSE)</f>
        <v>9044</v>
      </c>
      <c r="G49" s="4" t="s">
        <v>98</v>
      </c>
      <c r="H49" s="3" t="s">
        <v>99</v>
      </c>
      <c r="I49" s="3">
        <f>VLOOKUP(Table1[[#This Row],[Provider Type]] &amp; Table1[[#This Row],[Provider Type Description]], PROVIDER_TYPE, 2, FALSE)</f>
        <v>54</v>
      </c>
      <c r="J49" s="4" t="s">
        <v>122</v>
      </c>
      <c r="K49" s="3" t="s">
        <v>123</v>
      </c>
      <c r="L49" s="3">
        <f>VLOOKUP(TRIM(Table1[[#This Row],[Provider Specialty]]) &amp; TRIM(Table1[[#This Row],[Provider Specialty Description]]), SPECIALTY_TYPE, 2, FALSE)</f>
        <v>2186</v>
      </c>
      <c r="M49" s="3" t="s">
        <v>18</v>
      </c>
      <c r="N49" s="27" t="s">
        <v>19</v>
      </c>
      <c r="O49" s="38">
        <f>VLOOKUP(TRIM(Table1[[#This Row],[Provider Specialty]]) &amp; TRIM(Table1[[#This Row],[Provider Specialty Description]]), SPECIALTY_TYPE, 2, FALSE)</f>
        <v>2186</v>
      </c>
      <c r="P49" s="3" t="str">
        <f>Table1[[#This Row],[Provider Type]] &amp; "+" &amp; Table1[[#This Row],[Provider Type Description]]</f>
        <v>03+Extended Care Facility</v>
      </c>
      <c r="Q49" s="7" t="str">
        <f>Table1[[#This Row],[Provider Specialty]] &amp; "+" &amp; Table1[[#This Row],[Provider Specialty Description]]</f>
        <v xml:space="preserve">036+Respite Care - Facility Based                     </v>
      </c>
      <c r="R49" s="7" t="str">
        <f>Table1[[#This Row],[PDMS Specialty Type ID]] &amp; "+" &amp; Table1[[#This Row],[PDMS Provider Type ID]] &amp; "+" &amp;Table1[[#This Row],[TAXONOMY]]</f>
        <v>2186+54+385HR2065X</v>
      </c>
      <c r="S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(9044, 2186, 54, N'385HR2065X', N'Respite Care - Respite Care, Physical Disabilities, Child')</v>
      </c>
    </row>
    <row r="50" spans="1:19" ht="47.25" hidden="1" customHeight="1" x14ac:dyDescent="0.25">
      <c r="A50" s="22" t="s">
        <v>11</v>
      </c>
      <c r="B50" s="3" t="s">
        <v>95</v>
      </c>
      <c r="C50" s="3" t="s">
        <v>96</v>
      </c>
      <c r="D50" s="3" t="s">
        <v>96</v>
      </c>
      <c r="E50" s="3" t="s">
        <v>97</v>
      </c>
      <c r="F50" s="3">
        <f>VLOOKUP(Table1[[#This Row],[Column2]], TAXONOMY_TYPE, 2, FALSE)</f>
        <v>9027</v>
      </c>
      <c r="G50" s="4" t="s">
        <v>98</v>
      </c>
      <c r="H50" s="3" t="s">
        <v>99</v>
      </c>
      <c r="I50" s="3">
        <f>VLOOKUP(Table1[[#This Row],[Provider Type]] &amp; Table1[[#This Row],[Provider Type Description]], PROVIDER_TYPE, 2, FALSE)</f>
        <v>54</v>
      </c>
      <c r="J50" s="4" t="s">
        <v>100</v>
      </c>
      <c r="K50" s="3" t="s">
        <v>101</v>
      </c>
      <c r="L50" s="3">
        <f>VLOOKUP(TRIM(Table1[[#This Row],[Provider Specialty]]) &amp; TRIM(Table1[[#This Row],[Provider Specialty Description]]), SPECIALTY_TYPE, 2, FALSE)</f>
        <v>2179</v>
      </c>
      <c r="M50" s="3" t="s">
        <v>18</v>
      </c>
      <c r="N50" s="27" t="s">
        <v>18</v>
      </c>
      <c r="O50" s="38">
        <f>VLOOKUP(TRIM(Table1[[#This Row],[Provider Specialty]]) &amp; TRIM(Table1[[#This Row],[Provider Specialty Description]]), SPECIALTY_TYPE, 2, FALSE)</f>
        <v>2179</v>
      </c>
      <c r="P50" s="3" t="str">
        <f>Table1[[#This Row],[Provider Type]] &amp; "+" &amp; Table1[[#This Row],[Provider Type Description]]</f>
        <v>03+Extended Care Facility</v>
      </c>
      <c r="Q50" s="7" t="str">
        <f>Table1[[#This Row],[Provider Specialty]] &amp; "+" &amp; Table1[[#This Row],[Provider Specialty Description]]</f>
        <v>037+Assisted Living</v>
      </c>
      <c r="R50" s="7" t="str">
        <f>Table1[[#This Row],[PDMS Specialty Type ID]] &amp; "+" &amp; Table1[[#This Row],[PDMS Provider Type ID]] &amp; "+" &amp;Table1[[#This Row],[TAXONOMY]]</f>
        <v>2179+54+310400000X</v>
      </c>
      <c r="S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(9027, 2179, 54, N'310400000X', N'Assisted Living Facility - Assisted Living Facility')</v>
      </c>
    </row>
    <row r="51" spans="1:19" ht="47.25" hidden="1" customHeight="1" x14ac:dyDescent="0.25">
      <c r="A51" s="22" t="s">
        <v>11</v>
      </c>
      <c r="B51" s="3" t="s">
        <v>95</v>
      </c>
      <c r="C51" s="3" t="s">
        <v>96</v>
      </c>
      <c r="D51" s="3" t="s">
        <v>102</v>
      </c>
      <c r="E51" s="3" t="s">
        <v>103</v>
      </c>
      <c r="F51" s="3">
        <f>VLOOKUP(Table1[[#This Row],[Column2]], TAXONOMY_TYPE, 2, FALSE)</f>
        <v>4626</v>
      </c>
      <c r="G51" s="4" t="s">
        <v>98</v>
      </c>
      <c r="H51" s="3" t="s">
        <v>99</v>
      </c>
      <c r="I51" s="3">
        <f>VLOOKUP(Table1[[#This Row],[Provider Type]] &amp; Table1[[#This Row],[Provider Type Description]], PROVIDER_TYPE, 2, FALSE)</f>
        <v>54</v>
      </c>
      <c r="J51" s="4" t="s">
        <v>100</v>
      </c>
      <c r="K51" s="3" t="s">
        <v>101</v>
      </c>
      <c r="L51" s="3">
        <f>VLOOKUP(TRIM(Table1[[#This Row],[Provider Specialty]]) &amp; TRIM(Table1[[#This Row],[Provider Specialty Description]]), SPECIALTY_TYPE, 2, FALSE)</f>
        <v>2179</v>
      </c>
      <c r="M51" s="3" t="s">
        <v>18</v>
      </c>
      <c r="N51" s="27" t="s">
        <v>18</v>
      </c>
      <c r="O51" s="38">
        <f>VLOOKUP(TRIM(Table1[[#This Row],[Provider Specialty]]) &amp; TRIM(Table1[[#This Row],[Provider Specialty Description]]), SPECIALTY_TYPE, 2, FALSE)</f>
        <v>2179</v>
      </c>
      <c r="P51" s="3" t="str">
        <f>Table1[[#This Row],[Provider Type]] &amp; "+" &amp; Table1[[#This Row],[Provider Type Description]]</f>
        <v>03+Extended Care Facility</v>
      </c>
      <c r="Q51" s="7" t="str">
        <f>Table1[[#This Row],[Provider Specialty]] &amp; "+" &amp; Table1[[#This Row],[Provider Specialty Description]]</f>
        <v>037+Assisted Living</v>
      </c>
      <c r="R51" s="7" t="str">
        <f>Table1[[#This Row],[PDMS Specialty Type ID]] &amp; "+" &amp; Table1[[#This Row],[PDMS Provider Type ID]] &amp; "+" &amp;Table1[[#This Row],[TAXONOMY]]</f>
        <v>2179+54+3104A0625X</v>
      </c>
      <c r="S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(4626, 2179, 54, N'3104A0625X', N'Assisted Living Facility - Assisted Living, Mental Illness')</v>
      </c>
    </row>
    <row r="52" spans="1:19" ht="47.25" hidden="1" customHeight="1" x14ac:dyDescent="0.25">
      <c r="A52" s="22" t="s">
        <v>11</v>
      </c>
      <c r="B52" s="3" t="s">
        <v>95</v>
      </c>
      <c r="C52" s="3" t="s">
        <v>96</v>
      </c>
      <c r="D52" s="3" t="s">
        <v>104</v>
      </c>
      <c r="E52" s="3" t="s">
        <v>105</v>
      </c>
      <c r="F52" s="3">
        <f>VLOOKUP(Table1[[#This Row],[Column2]], TAXONOMY_TYPE, 2, FALSE)</f>
        <v>9028</v>
      </c>
      <c r="G52" s="4" t="s">
        <v>98</v>
      </c>
      <c r="H52" s="3" t="s">
        <v>99</v>
      </c>
      <c r="I52" s="3">
        <f>VLOOKUP(Table1[[#This Row],[Provider Type]] &amp; Table1[[#This Row],[Provider Type Description]], PROVIDER_TYPE, 2, FALSE)</f>
        <v>54</v>
      </c>
      <c r="J52" s="4" t="s">
        <v>100</v>
      </c>
      <c r="K52" s="3" t="s">
        <v>101</v>
      </c>
      <c r="L52" s="3">
        <f>VLOOKUP(TRIM(Table1[[#This Row],[Provider Specialty]]) &amp; TRIM(Table1[[#This Row],[Provider Specialty Description]]), SPECIALTY_TYPE, 2, FALSE)</f>
        <v>2179</v>
      </c>
      <c r="M52" s="3" t="s">
        <v>18</v>
      </c>
      <c r="N52" s="27" t="s">
        <v>18</v>
      </c>
      <c r="O52" s="38">
        <f>VLOOKUP(TRIM(Table1[[#This Row],[Provider Specialty]]) &amp; TRIM(Table1[[#This Row],[Provider Specialty Description]]), SPECIALTY_TYPE, 2, FALSE)</f>
        <v>2179</v>
      </c>
      <c r="P52" s="3" t="str">
        <f>Table1[[#This Row],[Provider Type]] &amp; "+" &amp; Table1[[#This Row],[Provider Type Description]]</f>
        <v>03+Extended Care Facility</v>
      </c>
      <c r="Q52" s="7" t="str">
        <f>Table1[[#This Row],[Provider Specialty]] &amp; "+" &amp; Table1[[#This Row],[Provider Specialty Description]]</f>
        <v>037+Assisted Living</v>
      </c>
      <c r="R52" s="7" t="str">
        <f>Table1[[#This Row],[PDMS Specialty Type ID]] &amp; "+" &amp; Table1[[#This Row],[PDMS Provider Type ID]] &amp; "+" &amp;Table1[[#This Row],[TAXONOMY]]</f>
        <v>2179+54+3104A0630X</v>
      </c>
      <c r="S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(9028, 2179, 54, N'3104A0630X', N'Assisted Living Facility - Assisted Living, Behavioral Disturbances')</v>
      </c>
    </row>
    <row r="53" spans="1:19" ht="47.25" hidden="1" customHeight="1" x14ac:dyDescent="0.25">
      <c r="A53" s="22" t="s">
        <v>11</v>
      </c>
      <c r="B53" s="3" t="s">
        <v>95</v>
      </c>
      <c r="C53" s="3" t="s">
        <v>106</v>
      </c>
      <c r="D53" s="3" t="s">
        <v>106</v>
      </c>
      <c r="E53" s="3" t="s">
        <v>107</v>
      </c>
      <c r="F53" s="3">
        <f>VLOOKUP(Table1[[#This Row],[Column2]], TAXONOMY_TYPE, 2, FALSE)</f>
        <v>9031</v>
      </c>
      <c r="G53" s="4" t="s">
        <v>98</v>
      </c>
      <c r="H53" s="3" t="s">
        <v>99</v>
      </c>
      <c r="I53" s="3">
        <f>VLOOKUP(Table1[[#This Row],[Provider Type]] &amp; Table1[[#This Row],[Provider Type Description]], PROVIDER_TYPE, 2, FALSE)</f>
        <v>54</v>
      </c>
      <c r="J53" s="4" t="s">
        <v>100</v>
      </c>
      <c r="K53" s="3" t="s">
        <v>101</v>
      </c>
      <c r="L53" s="3">
        <f>VLOOKUP(TRIM(Table1[[#This Row],[Provider Specialty]]) &amp; TRIM(Table1[[#This Row],[Provider Specialty Description]]), SPECIALTY_TYPE, 2, FALSE)</f>
        <v>2179</v>
      </c>
      <c r="M53" s="3" t="s">
        <v>18</v>
      </c>
      <c r="N53" s="27" t="s">
        <v>18</v>
      </c>
      <c r="O53" s="38">
        <f>VLOOKUP(TRIM(Table1[[#This Row],[Provider Specialty]]) &amp; TRIM(Table1[[#This Row],[Provider Specialty Description]]), SPECIALTY_TYPE, 2, FALSE)</f>
        <v>2179</v>
      </c>
      <c r="P53" s="3" t="str">
        <f>Table1[[#This Row],[Provider Type]] &amp; "+" &amp; Table1[[#This Row],[Provider Type Description]]</f>
        <v>03+Extended Care Facility</v>
      </c>
      <c r="Q53" s="7" t="str">
        <f>Table1[[#This Row],[Provider Specialty]] &amp; "+" &amp; Table1[[#This Row],[Provider Specialty Description]]</f>
        <v>037+Assisted Living</v>
      </c>
      <c r="R53" s="7" t="str">
        <f>Table1[[#This Row],[PDMS Specialty Type ID]] &amp; "+" &amp; Table1[[#This Row],[PDMS Provider Type ID]] &amp; "+" &amp;Table1[[#This Row],[TAXONOMY]]</f>
        <v>2179+54+311Z00000X</v>
      </c>
      <c r="S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(9031, 2179, 54, N'311Z00000X', N'Custodial Care Facility - Custodial Care Facility')</v>
      </c>
    </row>
    <row r="54" spans="1:19" ht="47.25" hidden="1" customHeight="1" x14ac:dyDescent="0.25">
      <c r="A54" s="22" t="s">
        <v>11</v>
      </c>
      <c r="B54" s="3" t="s">
        <v>95</v>
      </c>
      <c r="C54" s="3" t="s">
        <v>106</v>
      </c>
      <c r="D54" s="3" t="s">
        <v>108</v>
      </c>
      <c r="E54" s="3" t="s">
        <v>109</v>
      </c>
      <c r="F54" s="3">
        <f>VLOOKUP(Table1[[#This Row],[Column2]], TAXONOMY_TYPE, 2, FALSE)</f>
        <v>9032</v>
      </c>
      <c r="G54" s="4" t="s">
        <v>98</v>
      </c>
      <c r="H54" s="3" t="s">
        <v>99</v>
      </c>
      <c r="I54" s="3">
        <f>VLOOKUP(Table1[[#This Row],[Provider Type]] &amp; Table1[[#This Row],[Provider Type Description]], PROVIDER_TYPE, 2, FALSE)</f>
        <v>54</v>
      </c>
      <c r="J54" s="4" t="s">
        <v>100</v>
      </c>
      <c r="K54" s="3" t="s">
        <v>101</v>
      </c>
      <c r="L54" s="3">
        <f>VLOOKUP(TRIM(Table1[[#This Row],[Provider Specialty]]) &amp; TRIM(Table1[[#This Row],[Provider Specialty Description]]), SPECIALTY_TYPE, 2, FALSE)</f>
        <v>2179</v>
      </c>
      <c r="M54" s="3" t="s">
        <v>18</v>
      </c>
      <c r="N54" s="27" t="s">
        <v>18</v>
      </c>
      <c r="O54" s="38">
        <f>VLOOKUP(TRIM(Table1[[#This Row],[Provider Specialty]]) &amp; TRIM(Table1[[#This Row],[Provider Specialty Description]]), SPECIALTY_TYPE, 2, FALSE)</f>
        <v>2179</v>
      </c>
      <c r="P54" s="3" t="str">
        <f>Table1[[#This Row],[Provider Type]] &amp; "+" &amp; Table1[[#This Row],[Provider Type Description]]</f>
        <v>03+Extended Care Facility</v>
      </c>
      <c r="Q54" s="7" t="str">
        <f>Table1[[#This Row],[Provider Specialty]] &amp; "+" &amp; Table1[[#This Row],[Provider Specialty Description]]</f>
        <v>037+Assisted Living</v>
      </c>
      <c r="R54" s="7" t="str">
        <f>Table1[[#This Row],[PDMS Specialty Type ID]] &amp; "+" &amp; Table1[[#This Row],[PDMS Provider Type ID]] &amp; "+" &amp;Table1[[#This Row],[TAXONOMY]]</f>
        <v>2179+54+311ZA0620X</v>
      </c>
      <c r="S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(9032, 2179, 54, N'311ZA0620X', N'Custodial Care Facility - Adult Care Home')</v>
      </c>
    </row>
    <row r="55" spans="1:19" ht="47.25" hidden="1" customHeight="1" x14ac:dyDescent="0.25">
      <c r="A55" s="22" t="s">
        <v>11</v>
      </c>
      <c r="B55" s="3" t="s">
        <v>95</v>
      </c>
      <c r="C55" s="3" t="s">
        <v>124</v>
      </c>
      <c r="D55" s="3" t="s">
        <v>124</v>
      </c>
      <c r="E55" s="3" t="s">
        <v>125</v>
      </c>
      <c r="F55" s="3">
        <f>VLOOKUP(Table1[[#This Row],[Column2]], TAXONOMY_TYPE, 2, FALSE)</f>
        <v>9076</v>
      </c>
      <c r="G55" s="4" t="s">
        <v>98</v>
      </c>
      <c r="H55" s="3" t="s">
        <v>99</v>
      </c>
      <c r="I55" s="3">
        <f>VLOOKUP(Table1[[#This Row],[Provider Type]] &amp; Table1[[#This Row],[Provider Type Description]], PROVIDER_TYPE, 2, FALSE)</f>
        <v>54</v>
      </c>
      <c r="J55" s="4" t="s">
        <v>127</v>
      </c>
      <c r="K55" s="3" t="s">
        <v>2480</v>
      </c>
      <c r="L55" s="3">
        <f>VLOOKUP(TRIM(Table1[[#This Row],[Provider Specialty]]) &amp; TRIM(Table1[[#This Row],[Provider Specialty Description]]), SPECIALTY_TYPE, 2, FALSE)</f>
        <v>2187</v>
      </c>
      <c r="M55" s="3" t="s">
        <v>18</v>
      </c>
      <c r="N55" s="27" t="s">
        <v>19</v>
      </c>
      <c r="O55" s="38">
        <f>VLOOKUP(TRIM(Table1[[#This Row],[Provider Specialty]]) &amp; TRIM(Table1[[#This Row],[Provider Specialty Description]]), SPECIALTY_TYPE, 2, FALSE)</f>
        <v>2187</v>
      </c>
      <c r="P55" s="3" t="str">
        <f>Table1[[#This Row],[Provider Type]] &amp; "+" &amp; Table1[[#This Row],[Provider Type Description]]</f>
        <v>03+Extended Care Facility</v>
      </c>
      <c r="Q55" s="7" t="str">
        <f>Table1[[#This Row],[Provider Specialty]] &amp; "+" &amp; Table1[[#This Row],[Provider Specialty Description]]</f>
        <v>038+ICF/IID - Other</v>
      </c>
      <c r="R55" s="7" t="str">
        <f>Table1[[#This Row],[PDMS Specialty Type ID]] &amp; "+" &amp; Table1[[#This Row],[PDMS Provider Type ID]] &amp; "+" &amp;Table1[[#This Row],[TAXONOMY]]</f>
        <v>2187+54+315P00000X</v>
      </c>
      <c r="S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(9076, 2187, 54, N'315P00000X', N'Intermediate Care Facility, Mentally Retarded - Intermediate Care Facility, Mentally Retarded')</v>
      </c>
    </row>
    <row r="56" spans="1:19" ht="47.25" hidden="1" customHeight="1" x14ac:dyDescent="0.25">
      <c r="A56" s="22" t="s">
        <v>11</v>
      </c>
      <c r="B56" s="3" t="s">
        <v>95</v>
      </c>
      <c r="C56" s="3" t="s">
        <v>110</v>
      </c>
      <c r="D56" s="3" t="s">
        <v>110</v>
      </c>
      <c r="E56" s="3" t="s">
        <v>111</v>
      </c>
      <c r="F56" s="3">
        <f>VLOOKUP(Table1[[#This Row],[Column2]], TAXONOMY_TYPE, 2, FALSE)</f>
        <v>9034</v>
      </c>
      <c r="G56" s="4" t="s">
        <v>98</v>
      </c>
      <c r="H56" s="3" t="s">
        <v>99</v>
      </c>
      <c r="I56" s="3">
        <f>VLOOKUP(Table1[[#This Row],[Provider Type]] &amp; Table1[[#This Row],[Provider Type Description]], PROVIDER_TYPE, 2, FALSE)</f>
        <v>54</v>
      </c>
      <c r="J56" s="4" t="s">
        <v>114</v>
      </c>
      <c r="K56" s="3" t="s">
        <v>115</v>
      </c>
      <c r="L56" s="3">
        <f>VLOOKUP(TRIM(Table1[[#This Row],[Provider Specialty]]) &amp; TRIM(Table1[[#This Row],[Provider Specialty Description]]), SPECIALTY_TYPE, 2, FALSE)</f>
        <v>2183</v>
      </c>
      <c r="M56" s="3" t="s">
        <v>18</v>
      </c>
      <c r="N56" s="27" t="s">
        <v>19</v>
      </c>
      <c r="O56" s="38">
        <f>VLOOKUP(TRIM(Table1[[#This Row],[Provider Specialty]]) &amp; TRIM(Table1[[#This Row],[Provider Specialty Description]]), SPECIALTY_TYPE, 2, FALSE)</f>
        <v>2183</v>
      </c>
      <c r="P56" s="3" t="str">
        <f>Table1[[#This Row],[Provider Type]] &amp; "+" &amp; Table1[[#This Row],[Provider Type Description]]</f>
        <v>03+Extended Care Facility</v>
      </c>
      <c r="Q56" s="7" t="str">
        <f>Table1[[#This Row],[Provider Specialty]] &amp; "+" &amp; Table1[[#This Row],[Provider Specialty Description]]</f>
        <v>039+Nursing Facility - ICF - Other</v>
      </c>
      <c r="R56" s="7" t="str">
        <f>Table1[[#This Row],[PDMS Specialty Type ID]] &amp; "+" &amp; Table1[[#This Row],[PDMS Provider Type ID]] &amp; "+" &amp;Table1[[#This Row],[TAXONOMY]]</f>
        <v>2183+54+313M00000X</v>
      </c>
      <c r="S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(9034, 2183, 54, N'313M00000X', N'Nursing Facility/Intermediate Care Facility - Nursing Facility/Intermediate Care Facility')</v>
      </c>
    </row>
    <row r="57" spans="1:19" ht="47.25" hidden="1" customHeight="1" x14ac:dyDescent="0.25">
      <c r="A57" s="22" t="s">
        <v>11</v>
      </c>
      <c r="B57" s="3" t="s">
        <v>84</v>
      </c>
      <c r="C57" s="3" t="s">
        <v>85</v>
      </c>
      <c r="D57" s="3" t="s">
        <v>152</v>
      </c>
      <c r="E57" s="3" t="s">
        <v>153</v>
      </c>
      <c r="F57" s="3">
        <f>VLOOKUP(Table1[[#This Row],[Column2]], TAXONOMY_TYPE, 2, FALSE)</f>
        <v>4814</v>
      </c>
      <c r="G57" s="4" t="s">
        <v>154</v>
      </c>
      <c r="H57" s="3" t="s">
        <v>155</v>
      </c>
      <c r="I57" s="3">
        <f>VLOOKUP(Table1[[#This Row],[Provider Type]] &amp; Table1[[#This Row],[Provider Type Description]], PROVIDER_TYPE, 2, FALSE)</f>
        <v>55</v>
      </c>
      <c r="J57" s="4" t="s">
        <v>156</v>
      </c>
      <c r="K57" s="3" t="s">
        <v>155</v>
      </c>
      <c r="L57" s="3">
        <f>VLOOKUP(TRIM(Table1[[#This Row],[Provider Specialty]]) &amp; TRIM(Table1[[#This Row],[Provider Specialty Description]]), SPECIALTY_TYPE, 2, FALSE)</f>
        <v>2160</v>
      </c>
      <c r="M57" s="3" t="s">
        <v>19</v>
      </c>
      <c r="N57" s="27" t="s">
        <v>19</v>
      </c>
      <c r="O57" s="38">
        <f>VLOOKUP(TRIM(Table1[[#This Row],[Provider Specialty]]) &amp; TRIM(Table1[[#This Row],[Provider Specialty Description]]), SPECIALTY_TYPE, 2, FALSE)</f>
        <v>2160</v>
      </c>
      <c r="P57" s="3" t="str">
        <f>Table1[[#This Row],[Provider Type]] &amp; "+" &amp; Table1[[#This Row],[Provider Type Description]]</f>
        <v>04+Rehabilitation Facility</v>
      </c>
      <c r="Q57" s="7" t="str">
        <f>Table1[[#This Row],[Provider Specialty]] &amp; "+" &amp; Table1[[#This Row],[Provider Specialty Description]]</f>
        <v>040+Rehabilitation Facility</v>
      </c>
      <c r="R57" s="7" t="str">
        <f>Table1[[#This Row],[PDMS Specialty Type ID]] &amp; "+" &amp; Table1[[#This Row],[PDMS Provider Type ID]] &amp; "+" &amp;Table1[[#This Row],[TAXONOMY]]</f>
        <v>2160+55+261QR0400X</v>
      </c>
      <c r="S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(4814, 2160, 55, N'261QR0400X', N'Clinic/Center - Rehabilitation')</v>
      </c>
    </row>
    <row r="58" spans="1:19" ht="47.25" hidden="1" customHeight="1" x14ac:dyDescent="0.25">
      <c r="A58" s="22" t="s">
        <v>11</v>
      </c>
      <c r="B58" s="3" t="s">
        <v>84</v>
      </c>
      <c r="C58" s="3" t="s">
        <v>85</v>
      </c>
      <c r="D58" s="3" t="s">
        <v>157</v>
      </c>
      <c r="E58" s="3" t="s">
        <v>158</v>
      </c>
      <c r="F58" s="3">
        <f>VLOOKUP(Table1[[#This Row],[Column2]], TAXONOMY_TYPE, 2, FALSE)</f>
        <v>4815</v>
      </c>
      <c r="G58" s="4" t="s">
        <v>154</v>
      </c>
      <c r="H58" s="3" t="s">
        <v>155</v>
      </c>
      <c r="I58" s="3">
        <f>VLOOKUP(Table1[[#This Row],[Provider Type]] &amp; Table1[[#This Row],[Provider Type Description]], PROVIDER_TYPE, 2, FALSE)</f>
        <v>55</v>
      </c>
      <c r="J58" s="4" t="s">
        <v>156</v>
      </c>
      <c r="K58" s="3" t="s">
        <v>155</v>
      </c>
      <c r="L58" s="3">
        <f>VLOOKUP(TRIM(Table1[[#This Row],[Provider Specialty]]) &amp; TRIM(Table1[[#This Row],[Provider Specialty Description]]), SPECIALTY_TYPE, 2, FALSE)</f>
        <v>2160</v>
      </c>
      <c r="M58" s="3" t="s">
        <v>19</v>
      </c>
      <c r="N58" s="27" t="s">
        <v>19</v>
      </c>
      <c r="O58" s="38">
        <f>VLOOKUP(TRIM(Table1[[#This Row],[Provider Specialty]]) &amp; TRIM(Table1[[#This Row],[Provider Specialty Description]]), SPECIALTY_TYPE, 2, FALSE)</f>
        <v>2160</v>
      </c>
      <c r="P58" s="3" t="str">
        <f>Table1[[#This Row],[Provider Type]] &amp; "+" &amp; Table1[[#This Row],[Provider Type Description]]</f>
        <v>04+Rehabilitation Facility</v>
      </c>
      <c r="Q58" s="7" t="str">
        <f>Table1[[#This Row],[Provider Specialty]] &amp; "+" &amp; Table1[[#This Row],[Provider Specialty Description]]</f>
        <v>040+Rehabilitation Facility</v>
      </c>
      <c r="R58" s="7" t="str">
        <f>Table1[[#This Row],[PDMS Specialty Type ID]] &amp; "+" &amp; Table1[[#This Row],[PDMS Provider Type ID]] &amp; "+" &amp;Table1[[#This Row],[TAXONOMY]]</f>
        <v>2160+55+261QR0401X</v>
      </c>
      <c r="S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(4815, 2160, 55, N'261QR0401X', N'Clinic/Center - Rehabilitation, Comprehensive Outpatient Rehabilitation Facility (CORF)')</v>
      </c>
    </row>
    <row r="59" spans="1:19" ht="47.25" hidden="1" customHeight="1" x14ac:dyDescent="0.25">
      <c r="A59" s="22" t="s">
        <v>11</v>
      </c>
      <c r="B59" s="3" t="s">
        <v>84</v>
      </c>
      <c r="C59" s="3" t="s">
        <v>85</v>
      </c>
      <c r="D59" s="3" t="s">
        <v>159</v>
      </c>
      <c r="E59" s="3" t="s">
        <v>160</v>
      </c>
      <c r="F59" s="3">
        <f>VLOOKUP(Table1[[#This Row],[Column2]], TAXONOMY_TYPE, 2, FALSE)</f>
        <v>9061</v>
      </c>
      <c r="G59" s="4" t="s">
        <v>154</v>
      </c>
      <c r="H59" s="3" t="s">
        <v>155</v>
      </c>
      <c r="I59" s="3">
        <f>VLOOKUP(Table1[[#This Row],[Provider Type]] &amp; Table1[[#This Row],[Provider Type Description]], PROVIDER_TYPE, 2, FALSE)</f>
        <v>55</v>
      </c>
      <c r="J59" s="4" t="s">
        <v>156</v>
      </c>
      <c r="K59" s="3" t="s">
        <v>155</v>
      </c>
      <c r="L59" s="3">
        <f>VLOOKUP(TRIM(Table1[[#This Row],[Provider Specialty]]) &amp; TRIM(Table1[[#This Row],[Provider Specialty Description]]), SPECIALTY_TYPE, 2, FALSE)</f>
        <v>2160</v>
      </c>
      <c r="M59" s="3" t="s">
        <v>19</v>
      </c>
      <c r="N59" s="27" t="s">
        <v>19</v>
      </c>
      <c r="O59" s="38">
        <f>VLOOKUP(TRIM(Table1[[#This Row],[Provider Specialty]]) &amp; TRIM(Table1[[#This Row],[Provider Specialty Description]]), SPECIALTY_TYPE, 2, FALSE)</f>
        <v>2160</v>
      </c>
      <c r="P59" s="3" t="str">
        <f>Table1[[#This Row],[Provider Type]] &amp; "+" &amp; Table1[[#This Row],[Provider Type Description]]</f>
        <v>04+Rehabilitation Facility</v>
      </c>
      <c r="Q59" s="7" t="str">
        <f>Table1[[#This Row],[Provider Specialty]] &amp; "+" &amp; Table1[[#This Row],[Provider Specialty Description]]</f>
        <v>040+Rehabilitation Facility</v>
      </c>
      <c r="R59" s="7" t="str">
        <f>Table1[[#This Row],[PDMS Specialty Type ID]] &amp; "+" &amp; Table1[[#This Row],[PDMS Provider Type ID]] &amp; "+" &amp;Table1[[#This Row],[TAXONOMY]]</f>
        <v>2160+55+261QR0404X</v>
      </c>
      <c r="S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(9061, 2160, 55, N'261QR0404X', N'Clinic/Center - Rehabilitation, Cardiac Facilities')</v>
      </c>
    </row>
    <row r="60" spans="1:19" ht="47.25" hidden="1" customHeight="1" x14ac:dyDescent="0.25">
      <c r="A60" s="22" t="s">
        <v>11</v>
      </c>
      <c r="B60" s="3" t="s">
        <v>84</v>
      </c>
      <c r="C60" s="3" t="s">
        <v>85</v>
      </c>
      <c r="D60" s="3" t="s">
        <v>161</v>
      </c>
      <c r="E60" s="3" t="s">
        <v>162</v>
      </c>
      <c r="F60" s="3">
        <f>VLOOKUP(Table1[[#This Row],[Column2]], TAXONOMY_TYPE, 2, FALSE)</f>
        <v>4816</v>
      </c>
      <c r="G60" s="4" t="s">
        <v>154</v>
      </c>
      <c r="H60" s="3" t="s">
        <v>155</v>
      </c>
      <c r="I60" s="3">
        <f>VLOOKUP(Table1[[#This Row],[Provider Type]] &amp; Table1[[#This Row],[Provider Type Description]], PROVIDER_TYPE, 2, FALSE)</f>
        <v>55</v>
      </c>
      <c r="J60" s="4" t="s">
        <v>156</v>
      </c>
      <c r="K60" s="3" t="s">
        <v>155</v>
      </c>
      <c r="L60" s="3">
        <f>VLOOKUP(TRIM(Table1[[#This Row],[Provider Specialty]]) &amp; TRIM(Table1[[#This Row],[Provider Specialty Description]]), SPECIALTY_TYPE, 2, FALSE)</f>
        <v>2160</v>
      </c>
      <c r="M60" s="3" t="s">
        <v>19</v>
      </c>
      <c r="N60" s="27" t="s">
        <v>19</v>
      </c>
      <c r="O60" s="38">
        <f>VLOOKUP(TRIM(Table1[[#This Row],[Provider Specialty]]) &amp; TRIM(Table1[[#This Row],[Provider Specialty Description]]), SPECIALTY_TYPE, 2, FALSE)</f>
        <v>2160</v>
      </c>
      <c r="P60" s="3" t="str">
        <f>Table1[[#This Row],[Provider Type]] &amp; "+" &amp; Table1[[#This Row],[Provider Type Description]]</f>
        <v>04+Rehabilitation Facility</v>
      </c>
      <c r="Q60" s="7" t="str">
        <f>Table1[[#This Row],[Provider Specialty]] &amp; "+" &amp; Table1[[#This Row],[Provider Specialty Description]]</f>
        <v>040+Rehabilitation Facility</v>
      </c>
      <c r="R60" s="7" t="str">
        <f>Table1[[#This Row],[PDMS Specialty Type ID]] &amp; "+" &amp; Table1[[#This Row],[PDMS Provider Type ID]] &amp; "+" &amp;Table1[[#This Row],[TAXONOMY]]</f>
        <v>2160+55+261QR0405X</v>
      </c>
      <c r="S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(4816, 2160, 55, N'261QR0405X', N'Clinic/Center - Rehabilitation, Substance Use Disorder')</v>
      </c>
    </row>
    <row r="61" spans="1:19" ht="47.25" hidden="1" customHeight="1" x14ac:dyDescent="0.25">
      <c r="A61" s="22" t="s">
        <v>11</v>
      </c>
      <c r="B61" s="3" t="s">
        <v>28</v>
      </c>
      <c r="C61" s="3" t="s">
        <v>163</v>
      </c>
      <c r="D61" s="3" t="s">
        <v>163</v>
      </c>
      <c r="E61" s="3" t="s">
        <v>164</v>
      </c>
      <c r="F61" s="3">
        <f>VLOOKUP(Table1[[#This Row],[Column2]], TAXONOMY_TYPE, 2, FALSE)</f>
        <v>4827</v>
      </c>
      <c r="G61" s="4" t="s">
        <v>154</v>
      </c>
      <c r="H61" s="3" t="s">
        <v>155</v>
      </c>
      <c r="I61" s="3">
        <f>VLOOKUP(Table1[[#This Row],[Provider Type]] &amp; Table1[[#This Row],[Provider Type Description]], PROVIDER_TYPE, 2, FALSE)</f>
        <v>55</v>
      </c>
      <c r="J61" s="4" t="s">
        <v>156</v>
      </c>
      <c r="K61" s="3" t="s">
        <v>155</v>
      </c>
      <c r="L61" s="3">
        <f>VLOOKUP(TRIM(Table1[[#This Row],[Provider Specialty]]) &amp; TRIM(Table1[[#This Row],[Provider Specialty Description]]), SPECIALTY_TYPE, 2, FALSE)</f>
        <v>2160</v>
      </c>
      <c r="M61" s="3" t="s">
        <v>19</v>
      </c>
      <c r="N61" s="27" t="s">
        <v>19</v>
      </c>
      <c r="O61" s="38">
        <f>VLOOKUP(TRIM(Table1[[#This Row],[Provider Specialty]]) &amp; TRIM(Table1[[#This Row],[Provider Specialty Description]]), SPECIALTY_TYPE, 2, FALSE)</f>
        <v>2160</v>
      </c>
      <c r="P61" s="3" t="str">
        <f>Table1[[#This Row],[Provider Type]] &amp; "+" &amp; Table1[[#This Row],[Provider Type Description]]</f>
        <v>04+Rehabilitation Facility</v>
      </c>
      <c r="Q61" s="7" t="str">
        <f>Table1[[#This Row],[Provider Specialty]] &amp; "+" &amp; Table1[[#This Row],[Provider Specialty Description]]</f>
        <v>040+Rehabilitation Facility</v>
      </c>
      <c r="R61" s="7" t="str">
        <f>Table1[[#This Row],[PDMS Specialty Type ID]] &amp; "+" &amp; Table1[[#This Row],[PDMS Provider Type ID]] &amp; "+" &amp;Table1[[#This Row],[TAXONOMY]]</f>
        <v>2160+55+320600000X</v>
      </c>
      <c r="S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(4827, 2160, 55, N'320600000X', N'Residential Treatment Facility, Mental Retardation and/or Developmental Disabilities - Residential Treatment Facility, Mental Retardation and/or Developmental Disabilities')</v>
      </c>
    </row>
    <row r="62" spans="1:19" ht="47.25" hidden="1" customHeight="1" x14ac:dyDescent="0.25">
      <c r="A62" s="22" t="s">
        <v>11</v>
      </c>
      <c r="B62" s="3" t="s">
        <v>28</v>
      </c>
      <c r="C62" s="3" t="s">
        <v>165</v>
      </c>
      <c r="D62" s="3" t="s">
        <v>165</v>
      </c>
      <c r="E62" s="3" t="s">
        <v>166</v>
      </c>
      <c r="F62" s="3">
        <f>VLOOKUP(Table1[[#This Row],[Column2]], TAXONOMY_TYPE, 2, FALSE)</f>
        <v>9062</v>
      </c>
      <c r="G62" s="4" t="s">
        <v>154</v>
      </c>
      <c r="H62" s="3" t="s">
        <v>155</v>
      </c>
      <c r="I62" s="3">
        <f>VLOOKUP(Table1[[#This Row],[Provider Type]] &amp; Table1[[#This Row],[Provider Type Description]], PROVIDER_TYPE, 2, FALSE)</f>
        <v>55</v>
      </c>
      <c r="J62" s="4" t="s">
        <v>156</v>
      </c>
      <c r="K62" s="3" t="s">
        <v>155</v>
      </c>
      <c r="L62" s="3">
        <f>VLOOKUP(TRIM(Table1[[#This Row],[Provider Specialty]]) &amp; TRIM(Table1[[#This Row],[Provider Specialty Description]]), SPECIALTY_TYPE, 2, FALSE)</f>
        <v>2160</v>
      </c>
      <c r="M62" s="3" t="s">
        <v>19</v>
      </c>
      <c r="N62" s="27" t="s">
        <v>19</v>
      </c>
      <c r="O62" s="38">
        <f>VLOOKUP(TRIM(Table1[[#This Row],[Provider Specialty]]) &amp; TRIM(Table1[[#This Row],[Provider Specialty Description]]), SPECIALTY_TYPE, 2, FALSE)</f>
        <v>2160</v>
      </c>
      <c r="P62" s="3" t="str">
        <f>Table1[[#This Row],[Provider Type]] &amp; "+" &amp; Table1[[#This Row],[Provider Type Description]]</f>
        <v>04+Rehabilitation Facility</v>
      </c>
      <c r="Q62" s="7" t="str">
        <f>Table1[[#This Row],[Provider Specialty]] &amp; "+" &amp; Table1[[#This Row],[Provider Specialty Description]]</f>
        <v>040+Rehabilitation Facility</v>
      </c>
      <c r="R62" s="7" t="str">
        <f>Table1[[#This Row],[PDMS Specialty Type ID]] &amp; "+" &amp; Table1[[#This Row],[PDMS Provider Type ID]] &amp; "+" &amp;Table1[[#This Row],[TAXONOMY]]</f>
        <v>2160+55+320700000X</v>
      </c>
      <c r="S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(9062, 2160, 55, N'320700000X', N'Residential Treatment Facility, Physical Disabilities - Residential Treatment Facility, Physical Disabilities')</v>
      </c>
    </row>
    <row r="63" spans="1:19" ht="47.25" hidden="1" customHeight="1" x14ac:dyDescent="0.25">
      <c r="A63" s="22" t="s">
        <v>11</v>
      </c>
      <c r="B63" s="3" t="s">
        <v>28</v>
      </c>
      <c r="C63" s="3" t="s">
        <v>167</v>
      </c>
      <c r="D63" s="3" t="s">
        <v>167</v>
      </c>
      <c r="E63" s="3" t="s">
        <v>168</v>
      </c>
      <c r="F63" s="3">
        <f>VLOOKUP(Table1[[#This Row],[Column2]], TAXONOMY_TYPE, 2, FALSE)</f>
        <v>4819</v>
      </c>
      <c r="G63" s="4" t="s">
        <v>154</v>
      </c>
      <c r="H63" s="3" t="s">
        <v>155</v>
      </c>
      <c r="I63" s="3">
        <f>VLOOKUP(Table1[[#This Row],[Provider Type]] &amp; Table1[[#This Row],[Provider Type Description]], PROVIDER_TYPE, 2, FALSE)</f>
        <v>55</v>
      </c>
      <c r="J63" s="4" t="s">
        <v>156</v>
      </c>
      <c r="K63" s="3" t="s">
        <v>155</v>
      </c>
      <c r="L63" s="3">
        <f>VLOOKUP(TRIM(Table1[[#This Row],[Provider Specialty]]) &amp; TRIM(Table1[[#This Row],[Provider Specialty Description]]), SPECIALTY_TYPE, 2, FALSE)</f>
        <v>2160</v>
      </c>
      <c r="M63" s="3" t="s">
        <v>19</v>
      </c>
      <c r="N63" s="27" t="s">
        <v>19</v>
      </c>
      <c r="O63" s="38">
        <f>VLOOKUP(TRIM(Table1[[#This Row],[Provider Specialty]]) &amp; TRIM(Table1[[#This Row],[Provider Specialty Description]]), SPECIALTY_TYPE, 2, FALSE)</f>
        <v>2160</v>
      </c>
      <c r="P63" s="3" t="str">
        <f>Table1[[#This Row],[Provider Type]] &amp; "+" &amp; Table1[[#This Row],[Provider Type Description]]</f>
        <v>04+Rehabilitation Facility</v>
      </c>
      <c r="Q63" s="7" t="str">
        <f>Table1[[#This Row],[Provider Specialty]] &amp; "+" &amp; Table1[[#This Row],[Provider Specialty Description]]</f>
        <v>040+Rehabilitation Facility</v>
      </c>
      <c r="R63" s="7" t="str">
        <f>Table1[[#This Row],[PDMS Specialty Type ID]] &amp; "+" &amp; Table1[[#This Row],[PDMS Provider Type ID]] &amp; "+" &amp;Table1[[#This Row],[TAXONOMY]]</f>
        <v>2160+55+320800000X</v>
      </c>
      <c r="S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(4819, 2160, 55, N'320800000X', N'Community Based Residential Treatment Facility, Mental Illness - Community Based Residential Treatment Facility, Mental Illness')</v>
      </c>
    </row>
    <row r="64" spans="1:19" ht="47.25" hidden="1" customHeight="1" x14ac:dyDescent="0.25">
      <c r="A64" s="22" t="s">
        <v>11</v>
      </c>
      <c r="B64" s="3" t="s">
        <v>28</v>
      </c>
      <c r="C64" s="3" t="s">
        <v>169</v>
      </c>
      <c r="D64" s="3" t="s">
        <v>169</v>
      </c>
      <c r="E64" s="3" t="s">
        <v>170</v>
      </c>
      <c r="F64" s="3">
        <f>VLOOKUP(Table1[[#This Row],[Column2]], TAXONOMY_TYPE, 2, FALSE)</f>
        <v>4818</v>
      </c>
      <c r="G64" s="4" t="s">
        <v>154</v>
      </c>
      <c r="H64" s="3" t="s">
        <v>155</v>
      </c>
      <c r="I64" s="3">
        <f>VLOOKUP(Table1[[#This Row],[Provider Type]] &amp; Table1[[#This Row],[Provider Type Description]], PROVIDER_TYPE, 2, FALSE)</f>
        <v>55</v>
      </c>
      <c r="J64" s="4" t="s">
        <v>156</v>
      </c>
      <c r="K64" s="3" t="s">
        <v>155</v>
      </c>
      <c r="L64" s="3">
        <f>VLOOKUP(TRIM(Table1[[#This Row],[Provider Specialty]]) &amp; TRIM(Table1[[#This Row],[Provider Specialty Description]]), SPECIALTY_TYPE, 2, FALSE)</f>
        <v>2160</v>
      </c>
      <c r="M64" s="3" t="s">
        <v>19</v>
      </c>
      <c r="N64" s="27" t="s">
        <v>19</v>
      </c>
      <c r="O64" s="38">
        <f>VLOOKUP(TRIM(Table1[[#This Row],[Provider Specialty]]) &amp; TRIM(Table1[[#This Row],[Provider Specialty Description]]), SPECIALTY_TYPE, 2, FALSE)</f>
        <v>2160</v>
      </c>
      <c r="P64" s="3" t="str">
        <f>Table1[[#This Row],[Provider Type]] &amp; "+" &amp; Table1[[#This Row],[Provider Type Description]]</f>
        <v>04+Rehabilitation Facility</v>
      </c>
      <c r="Q64" s="7" t="str">
        <f>Table1[[#This Row],[Provider Specialty]] &amp; "+" &amp; Table1[[#This Row],[Provider Specialty Description]]</f>
        <v>040+Rehabilitation Facility</v>
      </c>
      <c r="R64" s="7" t="str">
        <f>Table1[[#This Row],[PDMS Specialty Type ID]] &amp; "+" &amp; Table1[[#This Row],[PDMS Provider Type ID]] &amp; "+" &amp;Table1[[#This Row],[TAXONOMY]]</f>
        <v>2160+55+320900000X</v>
      </c>
      <c r="S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(4818, 2160, 55, N'320900000X', N'Community Based Residential Treatment Facility, Mental Retardation and/or Developmental Disabilities - Community Based Residential Treatment Facility, Mental Retardation and/or Developmental Disabilities')</v>
      </c>
    </row>
    <row r="65" spans="1:19" ht="47.25" hidden="1" customHeight="1" x14ac:dyDescent="0.25">
      <c r="A65" s="22" t="s">
        <v>11</v>
      </c>
      <c r="B65" s="3" t="s">
        <v>28</v>
      </c>
      <c r="C65" s="3" t="s">
        <v>171</v>
      </c>
      <c r="D65" s="3" t="s">
        <v>171</v>
      </c>
      <c r="E65" s="3" t="s">
        <v>172</v>
      </c>
      <c r="F65" s="3">
        <f>VLOOKUP(Table1[[#This Row],[Column2]], TAXONOMY_TYPE, 2, FALSE)</f>
        <v>4832</v>
      </c>
      <c r="G65" s="4" t="s">
        <v>154</v>
      </c>
      <c r="H65" s="3" t="s">
        <v>155</v>
      </c>
      <c r="I65" s="3">
        <f>VLOOKUP(Table1[[#This Row],[Provider Type]] &amp; Table1[[#This Row],[Provider Type Description]], PROVIDER_TYPE, 2, FALSE)</f>
        <v>55</v>
      </c>
      <c r="J65" s="4" t="s">
        <v>156</v>
      </c>
      <c r="K65" s="3" t="s">
        <v>155</v>
      </c>
      <c r="L65" s="3">
        <f>VLOOKUP(TRIM(Table1[[#This Row],[Provider Specialty]]) &amp; TRIM(Table1[[#This Row],[Provider Specialty Description]]), SPECIALTY_TYPE, 2, FALSE)</f>
        <v>2160</v>
      </c>
      <c r="M65" s="3" t="s">
        <v>19</v>
      </c>
      <c r="N65" s="27" t="s">
        <v>19</v>
      </c>
      <c r="O65" s="38">
        <f>VLOOKUP(TRIM(Table1[[#This Row],[Provider Specialty]]) &amp; TRIM(Table1[[#This Row],[Provider Specialty Description]]), SPECIALTY_TYPE, 2, FALSE)</f>
        <v>2160</v>
      </c>
      <c r="P65" s="3" t="str">
        <f>Table1[[#This Row],[Provider Type]] &amp; "+" &amp; Table1[[#This Row],[Provider Type Description]]</f>
        <v>04+Rehabilitation Facility</v>
      </c>
      <c r="Q65" s="7" t="str">
        <f>Table1[[#This Row],[Provider Specialty]] &amp; "+" &amp; Table1[[#This Row],[Provider Specialty Description]]</f>
        <v>040+Rehabilitation Facility</v>
      </c>
      <c r="R65" s="7" t="str">
        <f>Table1[[#This Row],[PDMS Specialty Type ID]] &amp; "+" &amp; Table1[[#This Row],[PDMS Provider Type ID]] &amp; "+" &amp;Table1[[#This Row],[TAXONOMY]]</f>
        <v>2160+55+324500000X</v>
      </c>
      <c r="S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(4832, 2160, 55, N'324500000X', N'Substance Abuse Rehabilitation Facility - Substance Abuse Rehabilitation Facility')</v>
      </c>
    </row>
    <row r="66" spans="1:19" ht="47.25" hidden="1" customHeight="1" x14ac:dyDescent="0.25">
      <c r="A66" s="22" t="s">
        <v>11</v>
      </c>
      <c r="B66" s="3" t="s">
        <v>28</v>
      </c>
      <c r="C66" s="3" t="s">
        <v>171</v>
      </c>
      <c r="D66" s="3" t="s">
        <v>173</v>
      </c>
      <c r="E66" s="3" t="s">
        <v>174</v>
      </c>
      <c r="F66" s="3">
        <f>VLOOKUP(Table1[[#This Row],[Column2]], TAXONOMY_TYPE, 2, FALSE)</f>
        <v>9063</v>
      </c>
      <c r="G66" s="4" t="s">
        <v>154</v>
      </c>
      <c r="H66" s="3" t="s">
        <v>155</v>
      </c>
      <c r="I66" s="3">
        <f>VLOOKUP(Table1[[#This Row],[Provider Type]] &amp; Table1[[#This Row],[Provider Type Description]], PROVIDER_TYPE, 2, FALSE)</f>
        <v>55</v>
      </c>
      <c r="J66" s="4" t="s">
        <v>156</v>
      </c>
      <c r="K66" s="3" t="s">
        <v>155</v>
      </c>
      <c r="L66" s="3">
        <f>VLOOKUP(TRIM(Table1[[#This Row],[Provider Specialty]]) &amp; TRIM(Table1[[#This Row],[Provider Specialty Description]]), SPECIALTY_TYPE, 2, FALSE)</f>
        <v>2160</v>
      </c>
      <c r="M66" s="3" t="s">
        <v>19</v>
      </c>
      <c r="N66" s="27" t="s">
        <v>19</v>
      </c>
      <c r="O66" s="38">
        <f>VLOOKUP(TRIM(Table1[[#This Row],[Provider Specialty]]) &amp; TRIM(Table1[[#This Row],[Provider Specialty Description]]), SPECIALTY_TYPE, 2, FALSE)</f>
        <v>2160</v>
      </c>
      <c r="P66" s="3" t="str">
        <f>Table1[[#This Row],[Provider Type]] &amp; "+" &amp; Table1[[#This Row],[Provider Type Description]]</f>
        <v>04+Rehabilitation Facility</v>
      </c>
      <c r="Q66" s="7" t="str">
        <f>Table1[[#This Row],[Provider Specialty]] &amp; "+" &amp; Table1[[#This Row],[Provider Specialty Description]]</f>
        <v>040+Rehabilitation Facility</v>
      </c>
      <c r="R66" s="7" t="str">
        <f>Table1[[#This Row],[PDMS Specialty Type ID]] &amp; "+" &amp; Table1[[#This Row],[PDMS Provider Type ID]] &amp; "+" &amp;Table1[[#This Row],[TAXONOMY]]</f>
        <v>2160+55+3245S0500X</v>
      </c>
      <c r="S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(9063, 2160, 55, N'3245S0500X', N'Substance Abuse Rehabilitation Facility - Substance Abuse Treatment, Children')</v>
      </c>
    </row>
    <row r="67" spans="1:19" ht="47.25" hidden="1" customHeight="1" x14ac:dyDescent="0.25">
      <c r="A67" s="22" t="s">
        <v>11</v>
      </c>
      <c r="B67" s="3" t="s">
        <v>175</v>
      </c>
      <c r="C67" s="3" t="s">
        <v>176</v>
      </c>
      <c r="D67" s="3" t="s">
        <v>176</v>
      </c>
      <c r="E67" s="3" t="s">
        <v>177</v>
      </c>
      <c r="F67" s="3">
        <f>VLOOKUP(Table1[[#This Row],[Column2]], TAXONOMY_TYPE, 2, FALSE)</f>
        <v>4740</v>
      </c>
      <c r="G67" s="4" t="s">
        <v>178</v>
      </c>
      <c r="H67" s="3" t="s">
        <v>179</v>
      </c>
      <c r="I67" s="3">
        <f>VLOOKUP(Table1[[#This Row],[Provider Type]] &amp; Table1[[#This Row],[Provider Type Description]], PROVIDER_TYPE, 2, FALSE)</f>
        <v>56</v>
      </c>
      <c r="J67" s="4" t="s">
        <v>188</v>
      </c>
      <c r="K67" s="3" t="s">
        <v>179</v>
      </c>
      <c r="L67" s="3">
        <f>VLOOKUP(TRIM(Table1[[#This Row],[Provider Specialty]]) &amp; TRIM(Table1[[#This Row],[Provider Specialty Description]]), SPECIALTY_TYPE, 2, FALSE)</f>
        <v>2145</v>
      </c>
      <c r="M67" s="3" t="s">
        <v>19</v>
      </c>
      <c r="N67" s="27" t="s">
        <v>19</v>
      </c>
      <c r="O67" s="38">
        <f>VLOOKUP(TRIM(Table1[[#This Row],[Provider Specialty]]) &amp; TRIM(Table1[[#This Row],[Provider Specialty Description]]), SPECIALTY_TYPE, 2, FALSE)</f>
        <v>2145</v>
      </c>
      <c r="P67" s="3" t="str">
        <f>Table1[[#This Row],[Provider Type]] &amp; "+" &amp; Table1[[#This Row],[Provider Type Description]]</f>
        <v>05+Home Health Agency</v>
      </c>
      <c r="Q67" s="7" t="str">
        <f>Table1[[#This Row],[Provider Specialty]] &amp; "+" &amp; Table1[[#This Row],[Provider Specialty Description]]</f>
        <v>050+Home Health Agency</v>
      </c>
      <c r="R67" s="7" t="str">
        <f>Table1[[#This Row],[PDMS Specialty Type ID]] &amp; "+" &amp; Table1[[#This Row],[PDMS Provider Type ID]] &amp; "+" &amp;Table1[[#This Row],[TAXONOMY]]</f>
        <v>2145+56+251E00000X</v>
      </c>
      <c r="S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(4740, 2145, 56, N'251E00000X', N'Home Health - Home Health')</v>
      </c>
    </row>
    <row r="68" spans="1:19" ht="47.25" hidden="1" customHeight="1" x14ac:dyDescent="0.25">
      <c r="A68" s="22" t="s">
        <v>11</v>
      </c>
      <c r="B68" s="3" t="s">
        <v>175</v>
      </c>
      <c r="C68" s="3" t="s">
        <v>176</v>
      </c>
      <c r="D68" s="3" t="s">
        <v>176</v>
      </c>
      <c r="E68" s="3" t="s">
        <v>177</v>
      </c>
      <c r="F68" s="3">
        <f>VLOOKUP(Table1[[#This Row],[Column2]], TAXONOMY_TYPE, 2, FALSE)</f>
        <v>4843</v>
      </c>
      <c r="G68" s="4" t="s">
        <v>178</v>
      </c>
      <c r="H68" s="3" t="s">
        <v>179</v>
      </c>
      <c r="I68" s="3">
        <f>VLOOKUP(Table1[[#This Row],[Provider Type]] &amp; Table1[[#This Row],[Provider Type Description]], PROVIDER_TYPE, 2, FALSE)</f>
        <v>56</v>
      </c>
      <c r="J68" s="4" t="s">
        <v>182</v>
      </c>
      <c r="K68" s="3" t="s">
        <v>183</v>
      </c>
      <c r="L68" s="3">
        <f>VLOOKUP(TRIM(Table1[[#This Row],[Provider Specialty]]) &amp; TRIM(Table1[[#This Row],[Provider Specialty Description]]), SPECIALTY_TYPE, 2, FALSE)</f>
        <v>2167</v>
      </c>
      <c r="M68" s="3" t="s">
        <v>18</v>
      </c>
      <c r="N68" s="27" t="s">
        <v>19</v>
      </c>
      <c r="O68" s="38">
        <f>VLOOKUP(TRIM(Table1[[#This Row],[Provider Specialty]]) &amp; TRIM(Table1[[#This Row],[Provider Specialty Description]]), SPECIALTY_TYPE, 2, FALSE)</f>
        <v>2167</v>
      </c>
      <c r="P68" s="3" t="str">
        <f>Table1[[#This Row],[Provider Type]] &amp; "+" &amp; Table1[[#This Row],[Provider Type Description]]</f>
        <v>05+Home Health Agency</v>
      </c>
      <c r="Q68" s="7" t="str">
        <f>Table1[[#This Row],[Provider Specialty]] &amp; "+" &amp; Table1[[#This Row],[Provider Specialty Description]]</f>
        <v>051+Specialized Home Nursing Services</v>
      </c>
      <c r="R68" s="7" t="str">
        <f>Table1[[#This Row],[PDMS Specialty Type ID]] &amp; "+" &amp; Table1[[#This Row],[PDMS Provider Type ID]] &amp; "+" &amp;Table1[[#This Row],[TAXONOMY]]</f>
        <v>2167+56+251E00000X</v>
      </c>
      <c r="S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(4843, 2167, 56, N'251E00000X', N'Home Health - Home Health')</v>
      </c>
    </row>
    <row r="69" spans="1:19" ht="47.25" hidden="1" customHeight="1" x14ac:dyDescent="0.25">
      <c r="A69" s="22" t="s">
        <v>11</v>
      </c>
      <c r="B69" s="3" t="s">
        <v>175</v>
      </c>
      <c r="C69" s="3" t="s">
        <v>184</v>
      </c>
      <c r="D69" s="3" t="s">
        <v>184</v>
      </c>
      <c r="E69" s="3" t="s">
        <v>185</v>
      </c>
      <c r="F69" s="3">
        <f>VLOOKUP(Table1[[#This Row],[Column2]], TAXONOMY_TYPE, 2, FALSE)</f>
        <v>9048</v>
      </c>
      <c r="G69" s="4" t="s">
        <v>178</v>
      </c>
      <c r="H69" s="3" t="s">
        <v>179</v>
      </c>
      <c r="I69" s="3">
        <f>VLOOKUP(Table1[[#This Row],[Provider Type]] &amp; Table1[[#This Row],[Provider Type Description]], PROVIDER_TYPE, 2, FALSE)</f>
        <v>56</v>
      </c>
      <c r="J69" s="4" t="s">
        <v>186</v>
      </c>
      <c r="K69" s="3" t="s">
        <v>187</v>
      </c>
      <c r="L69" s="3">
        <f>VLOOKUP(TRIM(Table1[[#This Row],[Provider Specialty]]) &amp; TRIM(Table1[[#This Row],[Provider Specialty Description]]), SPECIALTY_TYPE, 2, FALSE)</f>
        <v>2191</v>
      </c>
      <c r="M69" s="3" t="s">
        <v>18</v>
      </c>
      <c r="N69" s="27" t="s">
        <v>19</v>
      </c>
      <c r="O69" s="38">
        <f>VLOOKUP(TRIM(Table1[[#This Row],[Provider Specialty]]) &amp; TRIM(Table1[[#This Row],[Provider Specialty Description]]), SPECIALTY_TYPE, 2, FALSE)</f>
        <v>2191</v>
      </c>
      <c r="P69" s="3" t="str">
        <f>Table1[[#This Row],[Provider Type]] &amp; "+" &amp; Table1[[#This Row],[Provider Type Description]]</f>
        <v>05+Home Health Agency</v>
      </c>
      <c r="Q69" s="7" t="str">
        <f>Table1[[#This Row],[Provider Specialty]] &amp; "+" &amp; Table1[[#This Row],[Provider Specialty Description]]</f>
        <v>052+Voluntary or Charitable</v>
      </c>
      <c r="R69" s="7" t="str">
        <f>Table1[[#This Row],[PDMS Specialty Type ID]] &amp; "+" &amp; Table1[[#This Row],[PDMS Provider Type ID]] &amp; "+" &amp;Table1[[#This Row],[TAXONOMY]]</f>
        <v>2191+56+251V00000X</v>
      </c>
      <c r="S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(9048, 2191, 56, N'251V00000X', N'Voluntary or Charitable - Voluntary or Charitable')</v>
      </c>
    </row>
    <row r="70" spans="1:19" ht="47.25" hidden="1" customHeight="1" x14ac:dyDescent="0.25">
      <c r="A70" s="22" t="s">
        <v>11</v>
      </c>
      <c r="B70" s="3" t="s">
        <v>175</v>
      </c>
      <c r="C70" s="3" t="s">
        <v>176</v>
      </c>
      <c r="D70" s="3" t="s">
        <v>176</v>
      </c>
      <c r="E70" s="3" t="s">
        <v>177</v>
      </c>
      <c r="F70" s="3">
        <f>VLOOKUP(Table1[[#This Row],[Column2]], TAXONOMY_TYPE, 2, FALSE)</f>
        <v>9045</v>
      </c>
      <c r="G70" s="4" t="s">
        <v>178</v>
      </c>
      <c r="H70" s="3" t="s">
        <v>179</v>
      </c>
      <c r="I70" s="3">
        <f>VLOOKUP(Table1[[#This Row],[Provider Type]] &amp; Table1[[#This Row],[Provider Type Description]], PROVIDER_TYPE, 2, FALSE)</f>
        <v>56</v>
      </c>
      <c r="J70" s="4">
        <v>210</v>
      </c>
      <c r="K70" s="3" t="s">
        <v>180</v>
      </c>
      <c r="L70" s="3">
        <f>VLOOKUP(TRIM(Table1[[#This Row],[Provider Specialty]]) &amp; TRIM(Table1[[#This Row],[Provider Specialty Description]]), SPECIALTY_TYPE, 2, FALSE)</f>
        <v>2188</v>
      </c>
      <c r="M70" s="3" t="s">
        <v>18</v>
      </c>
      <c r="N70" s="27" t="s">
        <v>19</v>
      </c>
      <c r="O70" s="38">
        <f>VLOOKUP(TRIM(Table1[[#This Row],[Provider Specialty]]) &amp; TRIM(Table1[[#This Row],[Provider Specialty Description]]), SPECIALTY_TYPE, 2, FALSE)</f>
        <v>2188</v>
      </c>
      <c r="P70" s="3" t="str">
        <f>Table1[[#This Row],[Provider Type]] &amp; "+" &amp; Table1[[#This Row],[Provider Type Description]]</f>
        <v>05+Home Health Agency</v>
      </c>
      <c r="Q70" s="7" t="str">
        <f>Table1[[#This Row],[Provider Specialty]] &amp; "+" &amp; Table1[[#This Row],[Provider Specialty Description]]</f>
        <v>210+Care Coordinator for Pregnant Women</v>
      </c>
      <c r="R70" s="7" t="str">
        <f>Table1[[#This Row],[PDMS Specialty Type ID]] &amp; "+" &amp; Table1[[#This Row],[PDMS Provider Type ID]] &amp; "+" &amp;Table1[[#This Row],[TAXONOMY]]</f>
        <v>2188+56+251E00000X</v>
      </c>
      <c r="S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(9045, 2188, 56, N'251E00000X', N'Home Health - Home Health')</v>
      </c>
    </row>
    <row r="71" spans="1:19" ht="47.25" hidden="1" customHeight="1" x14ac:dyDescent="0.25">
      <c r="A71" s="22" t="s">
        <v>11</v>
      </c>
      <c r="B71" s="3" t="s">
        <v>175</v>
      </c>
      <c r="C71" s="3" t="s">
        <v>176</v>
      </c>
      <c r="D71" s="3" t="s">
        <v>176</v>
      </c>
      <c r="E71" s="3" t="s">
        <v>177</v>
      </c>
      <c r="F71" s="3">
        <f>VLOOKUP(Table1[[#This Row],[Column2]], TAXONOMY_TYPE, 2, FALSE)</f>
        <v>9046</v>
      </c>
      <c r="G71" s="4" t="s">
        <v>178</v>
      </c>
      <c r="H71" s="3" t="s">
        <v>179</v>
      </c>
      <c r="I71" s="3">
        <f>VLOOKUP(Table1[[#This Row],[Provider Type]] &amp; Table1[[#This Row],[Provider Type Description]], PROVIDER_TYPE, 2, FALSE)</f>
        <v>56</v>
      </c>
      <c r="J71" s="4">
        <v>211</v>
      </c>
      <c r="K71" s="3" t="s">
        <v>181</v>
      </c>
      <c r="L71" s="3">
        <f>VLOOKUP(TRIM(Table1[[#This Row],[Provider Specialty]]) &amp; TRIM(Table1[[#This Row],[Provider Specialty Description]]), SPECIALTY_TYPE, 2, FALSE)</f>
        <v>2189</v>
      </c>
      <c r="M71" s="3" t="s">
        <v>18</v>
      </c>
      <c r="N71" s="27" t="s">
        <v>19</v>
      </c>
      <c r="O71" s="38">
        <f>VLOOKUP(TRIM(Table1[[#This Row],[Provider Specialty]]) &amp; TRIM(Table1[[#This Row],[Provider Specialty Description]]), SPECIALTY_TYPE, 2, FALSE)</f>
        <v>2189</v>
      </c>
      <c r="P71" s="3" t="str">
        <f>Table1[[#This Row],[Provider Type]] &amp; "+" &amp; Table1[[#This Row],[Provider Type Description]]</f>
        <v>05+Home Health Agency</v>
      </c>
      <c r="Q71" s="7" t="str">
        <f>Table1[[#This Row],[Provider Specialty]] &amp; "+" &amp; Table1[[#This Row],[Provider Specialty Description]]</f>
        <v>211+HIV Case Manager</v>
      </c>
      <c r="R71" s="7" t="str">
        <f>Table1[[#This Row],[PDMS Specialty Type ID]] &amp; "+" &amp; Table1[[#This Row],[PDMS Provider Type ID]] &amp; "+" &amp;Table1[[#This Row],[TAXONOMY]]</f>
        <v>2189+56+251E00000X</v>
      </c>
      <c r="S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(9046, 2189, 56, N'251E00000X', N'Home Health - Home Health')</v>
      </c>
    </row>
    <row r="72" spans="1:19" ht="47.25" hidden="1" customHeight="1" x14ac:dyDescent="0.25">
      <c r="A72" s="22" t="s">
        <v>11</v>
      </c>
      <c r="B72" s="3" t="s">
        <v>175</v>
      </c>
      <c r="C72" s="3" t="s">
        <v>189</v>
      </c>
      <c r="D72" s="3" t="s">
        <v>189</v>
      </c>
      <c r="E72" s="3" t="s">
        <v>190</v>
      </c>
      <c r="F72" s="3">
        <f>VLOOKUP(Table1[[#This Row],[Column2]], TAXONOMY_TYPE, 2, FALSE)</f>
        <v>9047</v>
      </c>
      <c r="G72" s="4" t="s">
        <v>178</v>
      </c>
      <c r="H72" s="3" t="s">
        <v>179</v>
      </c>
      <c r="I72" s="3">
        <f>VLOOKUP(Table1[[#This Row],[Provider Type]] &amp; Table1[[#This Row],[Provider Type Description]], PROVIDER_TYPE, 2, FALSE)</f>
        <v>56</v>
      </c>
      <c r="J72" s="3">
        <v>998</v>
      </c>
      <c r="K72" s="3" t="s">
        <v>191</v>
      </c>
      <c r="L72" s="3">
        <f>VLOOKUP(TRIM(Table1[[#This Row],[Provider Specialty]]) &amp; TRIM(Table1[[#This Row],[Provider Specialty Description]]), SPECIALTY_TYPE, 2, FALSE)</f>
        <v>2190</v>
      </c>
      <c r="M72" s="3" t="s">
        <v>18</v>
      </c>
      <c r="N72" s="27" t="s">
        <v>18</v>
      </c>
      <c r="O72" s="38">
        <f>VLOOKUP(TRIM(Table1[[#This Row],[Provider Specialty]]) &amp; TRIM(Table1[[#This Row],[Provider Specialty Description]]), SPECIALTY_TYPE, 2, FALSE)</f>
        <v>2190</v>
      </c>
      <c r="P72" s="3" t="str">
        <f>Table1[[#This Row],[Provider Type]] &amp; "+" &amp; Table1[[#This Row],[Provider Type Description]]</f>
        <v>05+Home Health Agency</v>
      </c>
      <c r="Q72" s="7" t="str">
        <f>Table1[[#This Row],[Provider Specialty]] &amp; "+" &amp; Table1[[#This Row],[Provider Specialty Description]]</f>
        <v>998+Specialty not yet defined</v>
      </c>
      <c r="R72" s="7" t="str">
        <f>Table1[[#This Row],[PDMS Specialty Type ID]] &amp; "+" &amp; Table1[[#This Row],[PDMS Provider Type ID]] &amp; "+" &amp;Table1[[#This Row],[TAXONOMY]]</f>
        <v>2190+56+251F00000X</v>
      </c>
      <c r="S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(9047, 2190, 56, N'251F00000X', N'Home Infusion - Home Infusion')</v>
      </c>
    </row>
    <row r="73" spans="1:19" ht="47.25" hidden="1" customHeight="1" x14ac:dyDescent="0.25">
      <c r="A73" s="22" t="s">
        <v>11</v>
      </c>
      <c r="B73" s="3" t="s">
        <v>175</v>
      </c>
      <c r="C73" s="3" t="s">
        <v>192</v>
      </c>
      <c r="D73" s="3" t="s">
        <v>192</v>
      </c>
      <c r="E73" s="3" t="s">
        <v>193</v>
      </c>
      <c r="F73" s="3">
        <f>VLOOKUP(Table1[[#This Row],[Column2]], TAXONOMY_TYPE, 2, FALSE)</f>
        <v>4770</v>
      </c>
      <c r="G73" s="4" t="s">
        <v>194</v>
      </c>
      <c r="H73" s="3" t="s">
        <v>195</v>
      </c>
      <c r="I73" s="3">
        <f>VLOOKUP(Table1[[#This Row],[Provider Type]] &amp; Table1[[#This Row],[Provider Type Description]], PROVIDER_TYPE, 2, FALSE)</f>
        <v>57</v>
      </c>
      <c r="J73" s="4" t="s">
        <v>196</v>
      </c>
      <c r="K73" s="3" t="s">
        <v>195</v>
      </c>
      <c r="L73" s="3">
        <f>VLOOKUP(TRIM(Table1[[#This Row],[Provider Specialty]]) &amp; TRIM(Table1[[#This Row],[Provider Specialty Description]]), SPECIALTY_TYPE, 2, FALSE)</f>
        <v>2146</v>
      </c>
      <c r="M73" s="3" t="s">
        <v>19</v>
      </c>
      <c r="N73" s="27" t="s">
        <v>19</v>
      </c>
      <c r="O73" s="38">
        <f>VLOOKUP(TRIM(Table1[[#This Row],[Provider Specialty]]) &amp; TRIM(Table1[[#This Row],[Provider Specialty Description]]), SPECIALTY_TYPE, 2, FALSE)</f>
        <v>2146</v>
      </c>
      <c r="P73" s="3" t="str">
        <f>Table1[[#This Row],[Provider Type]] &amp; "+" &amp; Table1[[#This Row],[Provider Type Description]]</f>
        <v>06+Hospice</v>
      </c>
      <c r="Q73" s="7" t="str">
        <f>Table1[[#This Row],[Provider Specialty]] &amp; "+" &amp; Table1[[#This Row],[Provider Specialty Description]]</f>
        <v>060+Hospice</v>
      </c>
      <c r="R73" s="7" t="str">
        <f>Table1[[#This Row],[PDMS Specialty Type ID]] &amp; "+" &amp; Table1[[#This Row],[PDMS Provider Type ID]] &amp; "+" &amp;Table1[[#This Row],[TAXONOMY]]</f>
        <v>2146+57+251G00000X</v>
      </c>
      <c r="S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(4770, 2146, 57, N'251G00000X', N'Hospice Care, Community Based - Hospice Care, Community Based')</v>
      </c>
    </row>
    <row r="74" spans="1:19" ht="47.25" hidden="1" customHeight="1" x14ac:dyDescent="0.25">
      <c r="A74" s="22" t="s">
        <v>11</v>
      </c>
      <c r="B74" s="3" t="s">
        <v>95</v>
      </c>
      <c r="C74" s="3" t="s">
        <v>197</v>
      </c>
      <c r="D74" s="3" t="s">
        <v>197</v>
      </c>
      <c r="E74" s="3" t="s">
        <v>198</v>
      </c>
      <c r="F74" s="3">
        <f>VLOOKUP(Table1[[#This Row],[Column2]], TAXONOMY_TYPE, 2, FALSE)</f>
        <v>4771</v>
      </c>
      <c r="G74" s="4" t="s">
        <v>194</v>
      </c>
      <c r="H74" s="3" t="s">
        <v>195</v>
      </c>
      <c r="I74" s="3">
        <f>VLOOKUP(Table1[[#This Row],[Provider Type]] &amp; Table1[[#This Row],[Provider Type Description]], PROVIDER_TYPE, 2, FALSE)</f>
        <v>57</v>
      </c>
      <c r="J74" s="4" t="s">
        <v>196</v>
      </c>
      <c r="K74" s="3" t="s">
        <v>195</v>
      </c>
      <c r="L74" s="3">
        <f>VLOOKUP(TRIM(Table1[[#This Row],[Provider Specialty]]) &amp; TRIM(Table1[[#This Row],[Provider Specialty Description]]), SPECIALTY_TYPE, 2, FALSE)</f>
        <v>2146</v>
      </c>
      <c r="M74" s="3" t="s">
        <v>19</v>
      </c>
      <c r="N74" s="27" t="s">
        <v>19</v>
      </c>
      <c r="O74" s="38">
        <f>VLOOKUP(TRIM(Table1[[#This Row],[Provider Specialty]]) &amp; TRIM(Table1[[#This Row],[Provider Specialty Description]]), SPECIALTY_TYPE, 2, FALSE)</f>
        <v>2146</v>
      </c>
      <c r="P74" s="3" t="str">
        <f>Table1[[#This Row],[Provider Type]] &amp; "+" &amp; Table1[[#This Row],[Provider Type Description]]</f>
        <v>06+Hospice</v>
      </c>
      <c r="Q74" s="7" t="str">
        <f>Table1[[#This Row],[Provider Specialty]] &amp; "+" &amp; Table1[[#This Row],[Provider Specialty Description]]</f>
        <v>060+Hospice</v>
      </c>
      <c r="R74" s="7" t="str">
        <f>Table1[[#This Row],[PDMS Specialty Type ID]] &amp; "+" &amp; Table1[[#This Row],[PDMS Provider Type ID]] &amp; "+" &amp;Table1[[#This Row],[TAXONOMY]]</f>
        <v>2146+57+315D00000X</v>
      </c>
      <c r="S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(4771, 2146, 57, N'315D00000X', N'Hospice, Inpatient - Hospice, Inpatient')</v>
      </c>
    </row>
    <row r="75" spans="1:19" ht="47.25" hidden="1" customHeight="1" x14ac:dyDescent="0.25">
      <c r="A75" s="24" t="s">
        <v>11</v>
      </c>
      <c r="B75" s="17" t="s">
        <v>84</v>
      </c>
      <c r="C75" s="17" t="s">
        <v>85</v>
      </c>
      <c r="D75" s="17" t="s">
        <v>265</v>
      </c>
      <c r="E75" s="17" t="s">
        <v>266</v>
      </c>
      <c r="F75" s="3">
        <f>VLOOKUP(Table1[[#This Row],[Column2]], TAXONOMY_TYPE, 2, FALSE)</f>
        <v>9080</v>
      </c>
      <c r="G75" s="18" t="s">
        <v>206</v>
      </c>
      <c r="H75" s="17" t="s">
        <v>207</v>
      </c>
      <c r="I75" s="3">
        <f>VLOOKUP(Table1[[#This Row],[Provider Type]] &amp; Table1[[#This Row],[Provider Type Description]], PROVIDER_TYPE, 2, FALSE)</f>
        <v>59</v>
      </c>
      <c r="J75" s="18" t="s">
        <v>267</v>
      </c>
      <c r="K75" s="17" t="s">
        <v>268</v>
      </c>
      <c r="L75" s="17">
        <f>VLOOKUP(TRIM(Table1[[#This Row],[Provider Specialty]]) &amp; TRIM(Table1[[#This Row],[Provider Specialty Description]]), SPECIALTY_TYPE, 2, FALSE)</f>
        <v>2121</v>
      </c>
      <c r="M75" s="17" t="s">
        <v>19</v>
      </c>
      <c r="N75" s="28" t="s">
        <v>19</v>
      </c>
      <c r="O75" s="38">
        <f>VLOOKUP(TRIM(Table1[[#This Row],[Provider Specialty]]) &amp; TRIM(Table1[[#This Row],[Provider Specialty Description]]), SPECIALTY_TYPE, 2, FALSE)</f>
        <v>2121</v>
      </c>
      <c r="P75" s="3" t="str">
        <f>Table1[[#This Row],[Provider Type]] &amp; "+" &amp; Table1[[#This Row],[Provider Type Description]]</f>
        <v>08+Clinic</v>
      </c>
      <c r="Q75" s="7" t="str">
        <f>Table1[[#This Row],[Provider Specialty]] &amp; "+" &amp; Table1[[#This Row],[Provider Specialty Description]]</f>
        <v>080+Federally Qualified Health Clinic (FQHC)</v>
      </c>
      <c r="R75" s="7" t="str">
        <f>Table1[[#This Row],[PDMS Specialty Type ID]] &amp; "+" &amp; Table1[[#This Row],[PDMS Provider Type ID]] &amp; "+" &amp;Table1[[#This Row],[TAXONOMY]]</f>
        <v>2121+59+261QF0400X</v>
      </c>
      <c r="S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(9080, 2121, 59, N'261QF0400X', N'Clinic/Center - Federally Qualified Health Center (FQHC)')</v>
      </c>
    </row>
    <row r="76" spans="1:19" ht="47.25" hidden="1" customHeight="1" x14ac:dyDescent="0.25">
      <c r="A76" s="22" t="s">
        <v>11</v>
      </c>
      <c r="B76" s="3" t="s">
        <v>84</v>
      </c>
      <c r="C76" s="3" t="s">
        <v>85</v>
      </c>
      <c r="D76" s="3" t="s">
        <v>225</v>
      </c>
      <c r="E76" s="3" t="s">
        <v>226</v>
      </c>
      <c r="F76" s="3">
        <f>VLOOKUP(Table1[[#This Row],[Column2]], TAXONOMY_TYPE, 2, FALSE)</f>
        <v>9081</v>
      </c>
      <c r="G76" s="4" t="s">
        <v>206</v>
      </c>
      <c r="H76" s="3" t="s">
        <v>207</v>
      </c>
      <c r="I76" s="3">
        <f>VLOOKUP(Table1[[#This Row],[Provider Type]] &amp; Table1[[#This Row],[Provider Type Description]], PROVIDER_TYPE, 2, FALSE)</f>
        <v>59</v>
      </c>
      <c r="J76" s="4" t="s">
        <v>309</v>
      </c>
      <c r="K76" s="3" t="s">
        <v>310</v>
      </c>
      <c r="L76" s="3">
        <f>VLOOKUP(TRIM(Table1[[#This Row],[Provider Specialty]]) &amp; TRIM(Table1[[#This Row],[Provider Specialty Description]]), SPECIALTY_TYPE, 2, FALSE)</f>
        <v>2122</v>
      </c>
      <c r="M76" s="3" t="s">
        <v>19</v>
      </c>
      <c r="N76" s="27" t="s">
        <v>19</v>
      </c>
      <c r="O76" s="38">
        <f>VLOOKUP(TRIM(Table1[[#This Row],[Provider Specialty]]) &amp; TRIM(Table1[[#This Row],[Provider Specialty Description]]), SPECIALTY_TYPE, 2, FALSE)</f>
        <v>2122</v>
      </c>
      <c r="P76" s="3" t="str">
        <f>Table1[[#This Row],[Provider Type]] &amp; "+" &amp; Table1[[#This Row],[Provider Type Description]]</f>
        <v>08+Clinic</v>
      </c>
      <c r="Q76" s="7" t="str">
        <f>Table1[[#This Row],[Provider Specialty]] &amp; "+" &amp; Table1[[#This Row],[Provider Specialty Description]]</f>
        <v>081+Rural Health Clinic (RHC)</v>
      </c>
      <c r="R76" s="7" t="str">
        <f>Table1[[#This Row],[PDMS Specialty Type ID]] &amp; "+" &amp; Table1[[#This Row],[PDMS Provider Type ID]] &amp; "+" &amp;Table1[[#This Row],[TAXONOMY]]</f>
        <v>2122+59+261QR1300X</v>
      </c>
      <c r="S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(9081, 2122, 59, N'261QR1300X', N'Clinic/Center - Rural Health')</v>
      </c>
    </row>
    <row r="77" spans="1:19" ht="47.25" hidden="1" customHeight="1" x14ac:dyDescent="0.25">
      <c r="A77" s="22" t="s">
        <v>11</v>
      </c>
      <c r="B77" s="3" t="s">
        <v>84</v>
      </c>
      <c r="C77" s="3" t="s">
        <v>85</v>
      </c>
      <c r="D77" s="3" t="s">
        <v>85</v>
      </c>
      <c r="E77" s="3" t="s">
        <v>233</v>
      </c>
      <c r="F77" s="3">
        <f>VLOOKUP(Table1[[#This Row],[Column2]], TAXONOMY_TYPE, 2, FALSE)</f>
        <v>9090</v>
      </c>
      <c r="G77" s="4">
        <v>33</v>
      </c>
      <c r="H77" s="3" t="s">
        <v>1953</v>
      </c>
      <c r="I77" s="3">
        <f>VLOOKUP(Table1[[#This Row],[Provider Type]] &amp; Table1[[#This Row],[Provider Type Description]], PROVIDER_TYPE, 2, FALSE)</f>
        <v>51</v>
      </c>
      <c r="J77" s="4" t="s">
        <v>234</v>
      </c>
      <c r="K77" s="3" t="s">
        <v>235</v>
      </c>
      <c r="L77" s="3">
        <f>VLOOKUP(TRIM(Table1[[#This Row],[Provider Specialty]]) &amp; TRIM(Table1[[#This Row],[Provider Specialty Description]]), SPECIALTY_TYPE, 2, FALSE)</f>
        <v>2174</v>
      </c>
      <c r="M77" s="3" t="s">
        <v>18</v>
      </c>
      <c r="N77" s="27" t="s">
        <v>19</v>
      </c>
      <c r="O77" s="38">
        <f>VLOOKUP(TRIM(Table1[[#This Row],[Provider Specialty]]) &amp; TRIM(Table1[[#This Row],[Provider Specialty Description]]), SPECIALTY_TYPE, 2, FALSE)</f>
        <v>2174</v>
      </c>
      <c r="P77" s="3" t="str">
        <f>Table1[[#This Row],[Provider Type]] &amp; "+" &amp; Table1[[#This Row],[Provider Type Description]]</f>
        <v>33+Single-Specialty</v>
      </c>
      <c r="Q77" s="7" t="str">
        <f>Table1[[#This Row],[Provider Specialty]] &amp; "+" &amp; Table1[[#This Row],[Provider Specialty Description]]</f>
        <v>082+Medical Clinic</v>
      </c>
      <c r="R77" s="7" t="str">
        <f>Table1[[#This Row],[PDMS Specialty Type ID]] &amp; "+" &amp; Table1[[#This Row],[PDMS Provider Type ID]] &amp; "+" &amp;Table1[[#This Row],[TAXONOMY]]</f>
        <v>2174+51+261Q00000X</v>
      </c>
      <c r="S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(9090, 2174, 51, N'261Q00000X', N'Clinic/Center - Clinic/Center')</v>
      </c>
    </row>
    <row r="78" spans="1:19" ht="47.25" hidden="1" customHeight="1" x14ac:dyDescent="0.25">
      <c r="A78" s="22" t="s">
        <v>11</v>
      </c>
      <c r="B78" s="3" t="s">
        <v>84</v>
      </c>
      <c r="C78" s="3" t="s">
        <v>85</v>
      </c>
      <c r="D78" s="3" t="s">
        <v>242</v>
      </c>
      <c r="E78" s="3" t="s">
        <v>243</v>
      </c>
      <c r="F78" s="3">
        <f>VLOOKUP(Table1[[#This Row],[Column2]], TAXONOMY_TYPE, 2, FALSE)</f>
        <v>9091</v>
      </c>
      <c r="G78" s="4">
        <v>33</v>
      </c>
      <c r="H78" s="3" t="s">
        <v>1953</v>
      </c>
      <c r="I78" s="3">
        <f>VLOOKUP(Table1[[#This Row],[Provider Type]] &amp; Table1[[#This Row],[Provider Type Description]], PROVIDER_TYPE, 2, FALSE)</f>
        <v>51</v>
      </c>
      <c r="J78" s="4" t="s">
        <v>234</v>
      </c>
      <c r="K78" s="3" t="s">
        <v>235</v>
      </c>
      <c r="L78" s="3">
        <f>VLOOKUP(TRIM(Table1[[#This Row],[Provider Specialty]]) &amp; TRIM(Table1[[#This Row],[Provider Specialty Description]]), SPECIALTY_TYPE, 2, FALSE)</f>
        <v>2174</v>
      </c>
      <c r="M78" s="3" t="s">
        <v>18</v>
      </c>
      <c r="N78" s="27" t="s">
        <v>19</v>
      </c>
      <c r="O78" s="38">
        <f>VLOOKUP(TRIM(Table1[[#This Row],[Provider Specialty]]) &amp; TRIM(Table1[[#This Row],[Provider Specialty Description]]), SPECIALTY_TYPE, 2, FALSE)</f>
        <v>2174</v>
      </c>
      <c r="P78" s="3" t="str">
        <f>Table1[[#This Row],[Provider Type]] &amp; "+" &amp; Table1[[#This Row],[Provider Type Description]]</f>
        <v>33+Single-Specialty</v>
      </c>
      <c r="Q78" s="7" t="str">
        <f>Table1[[#This Row],[Provider Specialty]] &amp; "+" &amp; Table1[[#This Row],[Provider Specialty Description]]</f>
        <v>082+Medical Clinic</v>
      </c>
      <c r="R78" s="7" t="str">
        <f>Table1[[#This Row],[PDMS Specialty Type ID]] &amp; "+" &amp; Table1[[#This Row],[PDMS Provider Type ID]] &amp; "+" &amp;Table1[[#This Row],[TAXONOMY]]</f>
        <v>2174+51+261QA0900X</v>
      </c>
      <c r="S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(9091, 2174, 51, N'261QA0900X', N'Clinic/Center - Amputee')</v>
      </c>
    </row>
    <row r="79" spans="1:19" ht="47.25" hidden="1" customHeight="1" x14ac:dyDescent="0.25">
      <c r="A79" s="22" t="s">
        <v>11</v>
      </c>
      <c r="B79" s="3" t="s">
        <v>84</v>
      </c>
      <c r="C79" s="3" t="s">
        <v>85</v>
      </c>
      <c r="D79" s="3" t="s">
        <v>244</v>
      </c>
      <c r="E79" s="3" t="s">
        <v>245</v>
      </c>
      <c r="F79" s="3">
        <f>VLOOKUP(Table1[[#This Row],[Column2]], TAXONOMY_TYPE, 2, FALSE)</f>
        <v>9092</v>
      </c>
      <c r="G79" s="4">
        <v>33</v>
      </c>
      <c r="H79" s="3" t="s">
        <v>1953</v>
      </c>
      <c r="I79" s="3">
        <f>VLOOKUP(Table1[[#This Row],[Provider Type]] &amp; Table1[[#This Row],[Provider Type Description]], PROVIDER_TYPE, 2, FALSE)</f>
        <v>51</v>
      </c>
      <c r="J79" s="4" t="s">
        <v>234</v>
      </c>
      <c r="K79" s="3" t="s">
        <v>235</v>
      </c>
      <c r="L79" s="3">
        <f>VLOOKUP(TRIM(Table1[[#This Row],[Provider Specialty]]) &amp; TRIM(Table1[[#This Row],[Provider Specialty Description]]), SPECIALTY_TYPE, 2, FALSE)</f>
        <v>2174</v>
      </c>
      <c r="M79" s="3" t="s">
        <v>18</v>
      </c>
      <c r="N79" s="27" t="s">
        <v>19</v>
      </c>
      <c r="O79" s="38">
        <f>VLOOKUP(TRIM(Table1[[#This Row],[Provider Specialty]]) &amp; TRIM(Table1[[#This Row],[Provider Specialty Description]]), SPECIALTY_TYPE, 2, FALSE)</f>
        <v>2174</v>
      </c>
      <c r="P79" s="3" t="str">
        <f>Table1[[#This Row],[Provider Type]] &amp; "+" &amp; Table1[[#This Row],[Provider Type Description]]</f>
        <v>33+Single-Specialty</v>
      </c>
      <c r="Q79" s="7" t="str">
        <f>Table1[[#This Row],[Provider Specialty]] &amp; "+" &amp; Table1[[#This Row],[Provider Specialty Description]]</f>
        <v>082+Medical Clinic</v>
      </c>
      <c r="R79" s="7" t="str">
        <f>Table1[[#This Row],[PDMS Specialty Type ID]] &amp; "+" &amp; Table1[[#This Row],[PDMS Provider Type ID]] &amp; "+" &amp;Table1[[#This Row],[TAXONOMY]]</f>
        <v>2174+51+261QA3000X</v>
      </c>
      <c r="S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(9092, 2174, 51, N'261QA3000X', N'Clinic/Center - Augmentative Communication')</v>
      </c>
    </row>
    <row r="80" spans="1:19" ht="47.25" hidden="1" customHeight="1" x14ac:dyDescent="0.25">
      <c r="A80" s="22" t="s">
        <v>11</v>
      </c>
      <c r="B80" s="3" t="s">
        <v>84</v>
      </c>
      <c r="C80" s="3" t="s">
        <v>85</v>
      </c>
      <c r="D80" s="3" t="s">
        <v>246</v>
      </c>
      <c r="E80" s="3" t="s">
        <v>247</v>
      </c>
      <c r="F80" s="3">
        <f>VLOOKUP(Table1[[#This Row],[Column2]], TAXONOMY_TYPE, 2, FALSE)</f>
        <v>9093</v>
      </c>
      <c r="G80" s="4">
        <v>33</v>
      </c>
      <c r="H80" s="3" t="s">
        <v>1953</v>
      </c>
      <c r="I80" s="3">
        <f>VLOOKUP(Table1[[#This Row],[Provider Type]] &amp; Table1[[#This Row],[Provider Type Description]], PROVIDER_TYPE, 2, FALSE)</f>
        <v>51</v>
      </c>
      <c r="J80" s="4" t="s">
        <v>234</v>
      </c>
      <c r="K80" s="3" t="s">
        <v>235</v>
      </c>
      <c r="L80" s="3">
        <f>VLOOKUP(TRIM(Table1[[#This Row],[Provider Specialty]]) &amp; TRIM(Table1[[#This Row],[Provider Specialty Description]]), SPECIALTY_TYPE, 2, FALSE)</f>
        <v>2174</v>
      </c>
      <c r="M80" s="3" t="s">
        <v>18</v>
      </c>
      <c r="N80" s="27" t="s">
        <v>19</v>
      </c>
      <c r="O80" s="38">
        <f>VLOOKUP(TRIM(Table1[[#This Row],[Provider Specialty]]) &amp; TRIM(Table1[[#This Row],[Provider Specialty Description]]), SPECIALTY_TYPE, 2, FALSE)</f>
        <v>2174</v>
      </c>
      <c r="P80" s="3" t="str">
        <f>Table1[[#This Row],[Provider Type]] &amp; "+" &amp; Table1[[#This Row],[Provider Type Description]]</f>
        <v>33+Single-Specialty</v>
      </c>
      <c r="Q80" s="7" t="str">
        <f>Table1[[#This Row],[Provider Specialty]] &amp; "+" &amp; Table1[[#This Row],[Provider Specialty Description]]</f>
        <v>082+Medical Clinic</v>
      </c>
      <c r="R80" s="7" t="str">
        <f>Table1[[#This Row],[PDMS Specialty Type ID]] &amp; "+" &amp; Table1[[#This Row],[PDMS Provider Type ID]] &amp; "+" &amp;Table1[[#This Row],[TAXONOMY]]</f>
        <v>2174+51+261QC0050X</v>
      </c>
      <c r="S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(9093, 2174, 51, N'261QC0050X', N'Clinic/Center - Critical Access Hospital')</v>
      </c>
    </row>
    <row r="81" spans="1:19" ht="47.25" hidden="1" customHeight="1" x14ac:dyDescent="0.25">
      <c r="A81" s="22" t="s">
        <v>11</v>
      </c>
      <c r="B81" s="3" t="s">
        <v>84</v>
      </c>
      <c r="C81" s="3" t="s">
        <v>85</v>
      </c>
      <c r="D81" s="3" t="s">
        <v>257</v>
      </c>
      <c r="E81" s="3" t="s">
        <v>258</v>
      </c>
      <c r="F81" s="3">
        <f>VLOOKUP(Table1[[#This Row],[Column2]], TAXONOMY_TYPE, 2, FALSE)</f>
        <v>9094</v>
      </c>
      <c r="G81" s="4">
        <v>33</v>
      </c>
      <c r="H81" s="3" t="s">
        <v>1953</v>
      </c>
      <c r="I81" s="3">
        <f>VLOOKUP(Table1[[#This Row],[Provider Type]] &amp; Table1[[#This Row],[Provider Type Description]], PROVIDER_TYPE, 2, FALSE)</f>
        <v>51</v>
      </c>
      <c r="J81" s="4" t="s">
        <v>234</v>
      </c>
      <c r="K81" s="3" t="s">
        <v>235</v>
      </c>
      <c r="L81" s="3">
        <f>VLOOKUP(TRIM(Table1[[#This Row],[Provider Specialty]]) &amp; TRIM(Table1[[#This Row],[Provider Specialty Description]]), SPECIALTY_TYPE, 2, FALSE)</f>
        <v>2174</v>
      </c>
      <c r="M81" s="3" t="s">
        <v>18</v>
      </c>
      <c r="N81" s="27" t="s">
        <v>19</v>
      </c>
      <c r="O81" s="38">
        <f>VLOOKUP(TRIM(Table1[[#This Row],[Provider Specialty]]) &amp; TRIM(Table1[[#This Row],[Provider Specialty Description]]), SPECIALTY_TYPE, 2, FALSE)</f>
        <v>2174</v>
      </c>
      <c r="P81" s="3" t="str">
        <f>Table1[[#This Row],[Provider Type]] &amp; "+" &amp; Table1[[#This Row],[Provider Type Description]]</f>
        <v>33+Single-Specialty</v>
      </c>
      <c r="Q81" s="7" t="str">
        <f>Table1[[#This Row],[Provider Specialty]] &amp; "+" &amp; Table1[[#This Row],[Provider Specialty Description]]</f>
        <v>082+Medical Clinic</v>
      </c>
      <c r="R81" s="7" t="str">
        <f>Table1[[#This Row],[PDMS Specialty Type ID]] &amp; "+" &amp; Table1[[#This Row],[PDMS Provider Type ID]] &amp; "+" &amp;Table1[[#This Row],[TAXONOMY]]</f>
        <v>2174+51+261QD1600X</v>
      </c>
      <c r="S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(9094, 2174, 51, N'261QD1600X', N'Clinic/Center - Developmental Disabilities')</v>
      </c>
    </row>
    <row r="82" spans="1:19" ht="47.25" hidden="1" customHeight="1" x14ac:dyDescent="0.25">
      <c r="A82" s="22" t="s">
        <v>11</v>
      </c>
      <c r="B82" s="3" t="s">
        <v>84</v>
      </c>
      <c r="C82" s="3" t="s">
        <v>85</v>
      </c>
      <c r="D82" s="3" t="s">
        <v>259</v>
      </c>
      <c r="E82" s="3" t="s">
        <v>260</v>
      </c>
      <c r="F82" s="3">
        <f>VLOOKUP(Table1[[#This Row],[Column2]], TAXONOMY_TYPE, 2, FALSE)</f>
        <v>9095</v>
      </c>
      <c r="G82" s="4">
        <v>33</v>
      </c>
      <c r="H82" s="3" t="s">
        <v>1953</v>
      </c>
      <c r="I82" s="3">
        <f>VLOOKUP(Table1[[#This Row],[Provider Type]] &amp; Table1[[#This Row],[Provider Type Description]], PROVIDER_TYPE, 2, FALSE)</f>
        <v>51</v>
      </c>
      <c r="J82" s="4" t="s">
        <v>234</v>
      </c>
      <c r="K82" s="3" t="s">
        <v>235</v>
      </c>
      <c r="L82" s="3">
        <f>VLOOKUP(TRIM(Table1[[#This Row],[Provider Specialty]]) &amp; TRIM(Table1[[#This Row],[Provider Specialty Description]]), SPECIALTY_TYPE, 2, FALSE)</f>
        <v>2174</v>
      </c>
      <c r="M82" s="3" t="s">
        <v>18</v>
      </c>
      <c r="N82" s="27" t="s">
        <v>19</v>
      </c>
      <c r="O82" s="38">
        <f>VLOOKUP(TRIM(Table1[[#This Row],[Provider Specialty]]) &amp; TRIM(Table1[[#This Row],[Provider Specialty Description]]), SPECIALTY_TYPE, 2, FALSE)</f>
        <v>2174</v>
      </c>
      <c r="P82" s="3" t="str">
        <f>Table1[[#This Row],[Provider Type]] &amp; "+" &amp; Table1[[#This Row],[Provider Type Description]]</f>
        <v>33+Single-Specialty</v>
      </c>
      <c r="Q82" s="7" t="str">
        <f>Table1[[#This Row],[Provider Specialty]] &amp; "+" &amp; Table1[[#This Row],[Provider Specialty Description]]</f>
        <v>082+Medical Clinic</v>
      </c>
      <c r="R82" s="7" t="str">
        <f>Table1[[#This Row],[PDMS Specialty Type ID]] &amp; "+" &amp; Table1[[#This Row],[PDMS Provider Type ID]] &amp; "+" &amp;Table1[[#This Row],[TAXONOMY]]</f>
        <v>2174+51+261QE0002X</v>
      </c>
      <c r="S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(9095, 2174, 51, N'261QE0002X', N'Clinic/Center - Emergency Care')</v>
      </c>
    </row>
    <row r="83" spans="1:19" ht="47.25" hidden="1" customHeight="1" x14ac:dyDescent="0.25">
      <c r="A83" s="22" t="s">
        <v>11</v>
      </c>
      <c r="B83" s="3" t="s">
        <v>84</v>
      </c>
      <c r="C83" s="3" t="s">
        <v>85</v>
      </c>
      <c r="D83" s="3" t="s">
        <v>261</v>
      </c>
      <c r="E83" s="3" t="s">
        <v>262</v>
      </c>
      <c r="F83" s="3">
        <f>VLOOKUP(Table1[[#This Row],[Column2]], TAXONOMY_TYPE, 2, FALSE)</f>
        <v>9096</v>
      </c>
      <c r="G83" s="4">
        <v>33</v>
      </c>
      <c r="H83" s="3" t="s">
        <v>1953</v>
      </c>
      <c r="I83" s="3">
        <f>VLOOKUP(Table1[[#This Row],[Provider Type]] &amp; Table1[[#This Row],[Provider Type Description]], PROVIDER_TYPE, 2, FALSE)</f>
        <v>51</v>
      </c>
      <c r="J83" s="4" t="s">
        <v>234</v>
      </c>
      <c r="K83" s="3" t="s">
        <v>235</v>
      </c>
      <c r="L83" s="3">
        <f>VLOOKUP(TRIM(Table1[[#This Row],[Provider Specialty]]) &amp; TRIM(Table1[[#This Row],[Provider Specialty Description]]), SPECIALTY_TYPE, 2, FALSE)</f>
        <v>2174</v>
      </c>
      <c r="M83" s="3" t="s">
        <v>18</v>
      </c>
      <c r="N83" s="27" t="s">
        <v>19</v>
      </c>
      <c r="O83" s="38">
        <f>VLOOKUP(TRIM(Table1[[#This Row],[Provider Specialty]]) &amp; TRIM(Table1[[#This Row],[Provider Specialty Description]]), SPECIALTY_TYPE, 2, FALSE)</f>
        <v>2174</v>
      </c>
      <c r="P83" s="3" t="str">
        <f>Table1[[#This Row],[Provider Type]] &amp; "+" &amp; Table1[[#This Row],[Provider Type Description]]</f>
        <v>33+Single-Specialty</v>
      </c>
      <c r="Q83" s="7" t="str">
        <f>Table1[[#This Row],[Provider Specialty]] &amp; "+" &amp; Table1[[#This Row],[Provider Specialty Description]]</f>
        <v>082+Medical Clinic</v>
      </c>
      <c r="R83" s="7" t="str">
        <f>Table1[[#This Row],[PDMS Specialty Type ID]] &amp; "+" &amp; Table1[[#This Row],[PDMS Provider Type ID]] &amp; "+" &amp;Table1[[#This Row],[TAXONOMY]]</f>
        <v>2174+51+261QE0800X</v>
      </c>
      <c r="S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(9096, 2174, 51, N'261QE0800X', N'Clinic/Center - Endoscopy')</v>
      </c>
    </row>
    <row r="84" spans="1:19" ht="47.25" hidden="1" customHeight="1" x14ac:dyDescent="0.25">
      <c r="A84" s="22" t="s">
        <v>11</v>
      </c>
      <c r="B84" s="3" t="s">
        <v>84</v>
      </c>
      <c r="C84" s="3" t="s">
        <v>85</v>
      </c>
      <c r="D84" s="3" t="s">
        <v>269</v>
      </c>
      <c r="E84" s="3" t="s">
        <v>270</v>
      </c>
      <c r="F84" s="3">
        <f>VLOOKUP(Table1[[#This Row],[Column2]], TAXONOMY_TYPE, 2, FALSE)</f>
        <v>9097</v>
      </c>
      <c r="G84" s="4">
        <v>33</v>
      </c>
      <c r="H84" s="3" t="s">
        <v>1953</v>
      </c>
      <c r="I84" s="3">
        <f>VLOOKUP(Table1[[#This Row],[Provider Type]] &amp; Table1[[#This Row],[Provider Type Description]], PROVIDER_TYPE, 2, FALSE)</f>
        <v>51</v>
      </c>
      <c r="J84" s="4" t="s">
        <v>234</v>
      </c>
      <c r="K84" s="3" t="s">
        <v>235</v>
      </c>
      <c r="L84" s="3">
        <f>VLOOKUP(TRIM(Table1[[#This Row],[Provider Specialty]]) &amp; TRIM(Table1[[#This Row],[Provider Specialty Description]]), SPECIALTY_TYPE, 2, FALSE)</f>
        <v>2174</v>
      </c>
      <c r="M84" s="3" t="s">
        <v>18</v>
      </c>
      <c r="N84" s="27" t="s">
        <v>19</v>
      </c>
      <c r="O84" s="38">
        <f>VLOOKUP(TRIM(Table1[[#This Row],[Provider Specialty]]) &amp; TRIM(Table1[[#This Row],[Provider Specialty Description]]), SPECIALTY_TYPE, 2, FALSE)</f>
        <v>2174</v>
      </c>
      <c r="P84" s="3" t="str">
        <f>Table1[[#This Row],[Provider Type]] &amp; "+" &amp; Table1[[#This Row],[Provider Type Description]]</f>
        <v>33+Single-Specialty</v>
      </c>
      <c r="Q84" s="7" t="str">
        <f>Table1[[#This Row],[Provider Specialty]] &amp; "+" &amp; Table1[[#This Row],[Provider Specialty Description]]</f>
        <v>082+Medical Clinic</v>
      </c>
      <c r="R84" s="7" t="str">
        <f>Table1[[#This Row],[PDMS Specialty Type ID]] &amp; "+" &amp; Table1[[#This Row],[PDMS Provider Type ID]] &amp; "+" &amp;Table1[[#This Row],[TAXONOMY]]</f>
        <v>2174+51+261QG0250X</v>
      </c>
      <c r="S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(9097, 2174, 51, N'261QG0250X', N'Clinic/Center - Genetics')</v>
      </c>
    </row>
    <row r="85" spans="1:19" ht="47.25" hidden="1" customHeight="1" x14ac:dyDescent="0.25">
      <c r="A85" s="22" t="s">
        <v>11</v>
      </c>
      <c r="B85" s="3" t="s">
        <v>84</v>
      </c>
      <c r="C85" s="3" t="s">
        <v>85</v>
      </c>
      <c r="D85" s="3" t="s">
        <v>275</v>
      </c>
      <c r="E85" s="3" t="s">
        <v>276</v>
      </c>
      <c r="F85" s="3">
        <f>VLOOKUP(Table1[[#This Row],[Column2]], TAXONOMY_TYPE, 2, FALSE)</f>
        <v>9098</v>
      </c>
      <c r="G85" s="4">
        <v>33</v>
      </c>
      <c r="H85" s="3" t="s">
        <v>1953</v>
      </c>
      <c r="I85" s="3">
        <f>VLOOKUP(Table1[[#This Row],[Provider Type]] &amp; Table1[[#This Row],[Provider Type Description]], PROVIDER_TYPE, 2, FALSE)</f>
        <v>51</v>
      </c>
      <c r="J85" s="4" t="s">
        <v>234</v>
      </c>
      <c r="K85" s="3" t="s">
        <v>235</v>
      </c>
      <c r="L85" s="3">
        <f>VLOOKUP(TRIM(Table1[[#This Row],[Provider Specialty]]) &amp; TRIM(Table1[[#This Row],[Provider Specialty Description]]), SPECIALTY_TYPE, 2, FALSE)</f>
        <v>2174</v>
      </c>
      <c r="M85" s="3" t="s">
        <v>18</v>
      </c>
      <c r="N85" s="27" t="s">
        <v>19</v>
      </c>
      <c r="O85" s="38">
        <f>VLOOKUP(TRIM(Table1[[#This Row],[Provider Specialty]]) &amp; TRIM(Table1[[#This Row],[Provider Specialty Description]]), SPECIALTY_TYPE, 2, FALSE)</f>
        <v>2174</v>
      </c>
      <c r="P85" s="3" t="str">
        <f>Table1[[#This Row],[Provider Type]] &amp; "+" &amp; Table1[[#This Row],[Provider Type Description]]</f>
        <v>33+Single-Specialty</v>
      </c>
      <c r="Q85" s="7" t="str">
        <f>Table1[[#This Row],[Provider Specialty]] &amp; "+" &amp; Table1[[#This Row],[Provider Specialty Description]]</f>
        <v>082+Medical Clinic</v>
      </c>
      <c r="R85" s="7" t="str">
        <f>Table1[[#This Row],[PDMS Specialty Type ID]] &amp; "+" &amp; Table1[[#This Row],[PDMS Provider Type ID]] &amp; "+" &amp;Table1[[#This Row],[TAXONOMY]]</f>
        <v>2174+51+261QL0400X</v>
      </c>
      <c r="S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(9098, 2174, 51, N'261QL0400X', N'Clinic/Center - Lithotripsy')</v>
      </c>
    </row>
    <row r="86" spans="1:19" ht="47.25" hidden="1" customHeight="1" x14ac:dyDescent="0.25">
      <c r="A86" s="22" t="s">
        <v>11</v>
      </c>
      <c r="B86" s="3" t="s">
        <v>84</v>
      </c>
      <c r="C86" s="3" t="s">
        <v>85</v>
      </c>
      <c r="D86" s="3" t="s">
        <v>277</v>
      </c>
      <c r="E86" s="3" t="s">
        <v>278</v>
      </c>
      <c r="F86" s="3">
        <f>VLOOKUP(Table1[[#This Row],[Column2]], TAXONOMY_TYPE, 2, FALSE)</f>
        <v>9099</v>
      </c>
      <c r="G86" s="4">
        <v>33</v>
      </c>
      <c r="H86" s="3" t="s">
        <v>1953</v>
      </c>
      <c r="I86" s="3">
        <f>VLOOKUP(Table1[[#This Row],[Provider Type]] &amp; Table1[[#This Row],[Provider Type Description]], PROVIDER_TYPE, 2, FALSE)</f>
        <v>51</v>
      </c>
      <c r="J86" s="4" t="s">
        <v>234</v>
      </c>
      <c r="K86" s="3" t="s">
        <v>235</v>
      </c>
      <c r="L86" s="3">
        <f>VLOOKUP(TRIM(Table1[[#This Row],[Provider Specialty]]) &amp; TRIM(Table1[[#This Row],[Provider Specialty Description]]), SPECIALTY_TYPE, 2, FALSE)</f>
        <v>2174</v>
      </c>
      <c r="M86" s="3" t="s">
        <v>18</v>
      </c>
      <c r="N86" s="27" t="s">
        <v>19</v>
      </c>
      <c r="O86" s="38">
        <f>VLOOKUP(TRIM(Table1[[#This Row],[Provider Specialty]]) &amp; TRIM(Table1[[#This Row],[Provider Specialty Description]]), SPECIALTY_TYPE, 2, FALSE)</f>
        <v>2174</v>
      </c>
      <c r="P86" s="3" t="str">
        <f>Table1[[#This Row],[Provider Type]] &amp; "+" &amp; Table1[[#This Row],[Provider Type Description]]</f>
        <v>33+Single-Specialty</v>
      </c>
      <c r="Q86" s="7" t="str">
        <f>Table1[[#This Row],[Provider Specialty]] &amp; "+" &amp; Table1[[#This Row],[Provider Specialty Description]]</f>
        <v>082+Medical Clinic</v>
      </c>
      <c r="R86" s="7" t="str">
        <f>Table1[[#This Row],[PDMS Specialty Type ID]] &amp; "+" &amp; Table1[[#This Row],[PDMS Provider Type ID]] &amp; "+" &amp;Table1[[#This Row],[TAXONOMY]]</f>
        <v>2174+51+261QM1000X</v>
      </c>
      <c r="S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(9099, 2174, 51, N'261QM1000X', N'Clinic/Center - Migrant Health')</v>
      </c>
    </row>
    <row r="87" spans="1:19" ht="47.25" hidden="1" customHeight="1" x14ac:dyDescent="0.25">
      <c r="A87" s="22" t="s">
        <v>11</v>
      </c>
      <c r="B87" s="3" t="s">
        <v>84</v>
      </c>
      <c r="C87" s="3" t="s">
        <v>85</v>
      </c>
      <c r="D87" s="3" t="s">
        <v>279</v>
      </c>
      <c r="E87" s="3" t="s">
        <v>280</v>
      </c>
      <c r="F87" s="3">
        <f>VLOOKUP(Table1[[#This Row],[Column2]], TAXONOMY_TYPE, 2, FALSE)</f>
        <v>9100</v>
      </c>
      <c r="G87" s="4">
        <v>33</v>
      </c>
      <c r="H87" s="3" t="s">
        <v>1953</v>
      </c>
      <c r="I87" s="3">
        <f>VLOOKUP(Table1[[#This Row],[Provider Type]] &amp; Table1[[#This Row],[Provider Type Description]], PROVIDER_TYPE, 2, FALSE)</f>
        <v>51</v>
      </c>
      <c r="J87" s="4" t="s">
        <v>234</v>
      </c>
      <c r="K87" s="3" t="s">
        <v>235</v>
      </c>
      <c r="L87" s="3">
        <f>VLOOKUP(TRIM(Table1[[#This Row],[Provider Specialty]]) &amp; TRIM(Table1[[#This Row],[Provider Specialty Description]]), SPECIALTY_TYPE, 2, FALSE)</f>
        <v>2174</v>
      </c>
      <c r="M87" s="3" t="s">
        <v>18</v>
      </c>
      <c r="N87" s="27" t="s">
        <v>19</v>
      </c>
      <c r="O87" s="38">
        <f>VLOOKUP(TRIM(Table1[[#This Row],[Provider Specialty]]) &amp; TRIM(Table1[[#This Row],[Provider Specialty Description]]), SPECIALTY_TYPE, 2, FALSE)</f>
        <v>2174</v>
      </c>
      <c r="P87" s="3" t="str">
        <f>Table1[[#This Row],[Provider Type]] &amp; "+" &amp; Table1[[#This Row],[Provider Type Description]]</f>
        <v>33+Single-Specialty</v>
      </c>
      <c r="Q87" s="7" t="str">
        <f>Table1[[#This Row],[Provider Specialty]] &amp; "+" &amp; Table1[[#This Row],[Provider Specialty Description]]</f>
        <v>082+Medical Clinic</v>
      </c>
      <c r="R87" s="7" t="str">
        <f>Table1[[#This Row],[PDMS Specialty Type ID]] &amp; "+" &amp; Table1[[#This Row],[PDMS Provider Type ID]] &amp; "+" &amp;Table1[[#This Row],[TAXONOMY]]</f>
        <v>2174+51+261QM1100X</v>
      </c>
      <c r="S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(9100, 2174, 51, N'261QM1100X', N'Clinic/Center - Military/U.S. Coast Guard Outpatient')</v>
      </c>
    </row>
    <row r="88" spans="1:19" ht="47.25" hidden="1" customHeight="1" x14ac:dyDescent="0.25">
      <c r="A88" s="22" t="s">
        <v>11</v>
      </c>
      <c r="B88" s="3" t="s">
        <v>84</v>
      </c>
      <c r="C88" s="3" t="s">
        <v>85</v>
      </c>
      <c r="D88" s="3" t="s">
        <v>281</v>
      </c>
      <c r="E88" s="3" t="s">
        <v>282</v>
      </c>
      <c r="F88" s="3">
        <f>VLOOKUP(Table1[[#This Row],[Column2]], TAXONOMY_TYPE, 2, FALSE)</f>
        <v>9101</v>
      </c>
      <c r="G88" s="4">
        <v>33</v>
      </c>
      <c r="H88" s="3" t="s">
        <v>1953</v>
      </c>
      <c r="I88" s="3">
        <f>VLOOKUP(Table1[[#This Row],[Provider Type]] &amp; Table1[[#This Row],[Provider Type Description]], PROVIDER_TYPE, 2, FALSE)</f>
        <v>51</v>
      </c>
      <c r="J88" s="4" t="s">
        <v>234</v>
      </c>
      <c r="K88" s="3" t="s">
        <v>235</v>
      </c>
      <c r="L88" s="3">
        <f>VLOOKUP(TRIM(Table1[[#This Row],[Provider Specialty]]) &amp; TRIM(Table1[[#This Row],[Provider Specialty Description]]), SPECIALTY_TYPE, 2, FALSE)</f>
        <v>2174</v>
      </c>
      <c r="M88" s="3" t="s">
        <v>18</v>
      </c>
      <c r="N88" s="27" t="s">
        <v>19</v>
      </c>
      <c r="O88" s="38">
        <f>VLOOKUP(TRIM(Table1[[#This Row],[Provider Specialty]]) &amp; TRIM(Table1[[#This Row],[Provider Specialty Description]]), SPECIALTY_TYPE, 2, FALSE)</f>
        <v>2174</v>
      </c>
      <c r="P88" s="3" t="str">
        <f>Table1[[#This Row],[Provider Type]] &amp; "+" &amp; Table1[[#This Row],[Provider Type Description]]</f>
        <v>33+Single-Specialty</v>
      </c>
      <c r="Q88" s="7" t="str">
        <f>Table1[[#This Row],[Provider Specialty]] &amp; "+" &amp; Table1[[#This Row],[Provider Specialty Description]]</f>
        <v>082+Medical Clinic</v>
      </c>
      <c r="R88" s="7" t="str">
        <f>Table1[[#This Row],[PDMS Specialty Type ID]] &amp; "+" &amp; Table1[[#This Row],[PDMS Provider Type ID]] &amp; "+" &amp;Table1[[#This Row],[TAXONOMY]]</f>
        <v>2174+51+261QM1102X</v>
      </c>
      <c r="S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(9101, 2174, 51, N'261QM1102X', N'Clinic/Center - Military Outpatient Operational (Transportable) Component')</v>
      </c>
    </row>
    <row r="89" spans="1:19" ht="47.25" hidden="1" customHeight="1" x14ac:dyDescent="0.25">
      <c r="A89" s="22" t="s">
        <v>11</v>
      </c>
      <c r="B89" s="3" t="s">
        <v>84</v>
      </c>
      <c r="C89" s="3" t="s">
        <v>85</v>
      </c>
      <c r="D89" s="3" t="s">
        <v>283</v>
      </c>
      <c r="E89" s="3" t="s">
        <v>284</v>
      </c>
      <c r="F89" s="3">
        <f>VLOOKUP(Table1[[#This Row],[Column2]], TAXONOMY_TYPE, 2, FALSE)</f>
        <v>9102</v>
      </c>
      <c r="G89" s="4">
        <v>33</v>
      </c>
      <c r="H89" s="3" t="s">
        <v>1953</v>
      </c>
      <c r="I89" s="3">
        <f>VLOOKUP(Table1[[#This Row],[Provider Type]] &amp; Table1[[#This Row],[Provider Type Description]], PROVIDER_TYPE, 2, FALSE)</f>
        <v>51</v>
      </c>
      <c r="J89" s="4" t="s">
        <v>234</v>
      </c>
      <c r="K89" s="3" t="s">
        <v>235</v>
      </c>
      <c r="L89" s="3">
        <f>VLOOKUP(TRIM(Table1[[#This Row],[Provider Specialty]]) &amp; TRIM(Table1[[#This Row],[Provider Specialty Description]]), SPECIALTY_TYPE, 2, FALSE)</f>
        <v>2174</v>
      </c>
      <c r="M89" s="3" t="s">
        <v>18</v>
      </c>
      <c r="N89" s="27" t="s">
        <v>19</v>
      </c>
      <c r="O89" s="38">
        <f>VLOOKUP(TRIM(Table1[[#This Row],[Provider Specialty]]) &amp; TRIM(Table1[[#This Row],[Provider Specialty Description]]), SPECIALTY_TYPE, 2, FALSE)</f>
        <v>2174</v>
      </c>
      <c r="P89" s="3" t="str">
        <f>Table1[[#This Row],[Provider Type]] &amp; "+" &amp; Table1[[#This Row],[Provider Type Description]]</f>
        <v>33+Single-Specialty</v>
      </c>
      <c r="Q89" s="7" t="str">
        <f>Table1[[#This Row],[Provider Specialty]] &amp; "+" &amp; Table1[[#This Row],[Provider Specialty Description]]</f>
        <v>082+Medical Clinic</v>
      </c>
      <c r="R89" s="7" t="str">
        <f>Table1[[#This Row],[PDMS Specialty Type ID]] &amp; "+" &amp; Table1[[#This Row],[PDMS Provider Type ID]] &amp; "+" &amp;Table1[[#This Row],[TAXONOMY]]</f>
        <v>2174+51+261QM1103X</v>
      </c>
      <c r="S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(9102, 2174, 51, N'261QM1103X', N'Clinic/Center - Military Ambulatory Procedure Visits Operational (Transportable)')</v>
      </c>
    </row>
    <row r="90" spans="1:19" ht="47.25" hidden="1" customHeight="1" x14ac:dyDescent="0.25">
      <c r="A90" s="22" t="s">
        <v>11</v>
      </c>
      <c r="B90" s="3" t="s">
        <v>84</v>
      </c>
      <c r="C90" s="3" t="s">
        <v>85</v>
      </c>
      <c r="D90" s="3" t="s">
        <v>285</v>
      </c>
      <c r="E90" s="3" t="s">
        <v>286</v>
      </c>
      <c r="F90" s="3">
        <f>VLOOKUP(Table1[[#This Row],[Column2]], TAXONOMY_TYPE, 2, FALSE)</f>
        <v>9103</v>
      </c>
      <c r="G90" s="4">
        <v>33</v>
      </c>
      <c r="H90" s="3" t="s">
        <v>1953</v>
      </c>
      <c r="I90" s="3">
        <f>VLOOKUP(Table1[[#This Row],[Provider Type]] &amp; Table1[[#This Row],[Provider Type Description]], PROVIDER_TYPE, 2, FALSE)</f>
        <v>51</v>
      </c>
      <c r="J90" s="4" t="s">
        <v>234</v>
      </c>
      <c r="K90" s="3" t="s">
        <v>235</v>
      </c>
      <c r="L90" s="3">
        <f>VLOOKUP(TRIM(Table1[[#This Row],[Provider Specialty]]) &amp; TRIM(Table1[[#This Row],[Provider Specialty Description]]), SPECIALTY_TYPE, 2, FALSE)</f>
        <v>2174</v>
      </c>
      <c r="M90" s="3" t="s">
        <v>18</v>
      </c>
      <c r="N90" s="27" t="s">
        <v>19</v>
      </c>
      <c r="O90" s="38">
        <f>VLOOKUP(TRIM(Table1[[#This Row],[Provider Specialty]]) &amp; TRIM(Table1[[#This Row],[Provider Specialty Description]]), SPECIALTY_TYPE, 2, FALSE)</f>
        <v>2174</v>
      </c>
      <c r="P90" s="3" t="str">
        <f>Table1[[#This Row],[Provider Type]] &amp; "+" &amp; Table1[[#This Row],[Provider Type Description]]</f>
        <v>33+Single-Specialty</v>
      </c>
      <c r="Q90" s="7" t="str">
        <f>Table1[[#This Row],[Provider Specialty]] &amp; "+" &amp; Table1[[#This Row],[Provider Specialty Description]]</f>
        <v>082+Medical Clinic</v>
      </c>
      <c r="R90" s="7" t="str">
        <f>Table1[[#This Row],[PDMS Specialty Type ID]] &amp; "+" &amp; Table1[[#This Row],[PDMS Provider Type ID]] &amp; "+" &amp;Table1[[#This Row],[TAXONOMY]]</f>
        <v>2174+51+261QM1200X</v>
      </c>
      <c r="S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(9103, 2174, 51, N'261QM1200X', N'Clinic/Center - Magnetic Resonance Imaging (MRI)')</v>
      </c>
    </row>
    <row r="91" spans="1:19" ht="47.25" hidden="1" customHeight="1" x14ac:dyDescent="0.25">
      <c r="A91" s="22" t="s">
        <v>11</v>
      </c>
      <c r="B91" s="3" t="s">
        <v>84</v>
      </c>
      <c r="C91" s="3" t="s">
        <v>85</v>
      </c>
      <c r="D91" s="3" t="s">
        <v>287</v>
      </c>
      <c r="E91" s="3" t="s">
        <v>288</v>
      </c>
      <c r="F91" s="3">
        <f>VLOOKUP(Table1[[#This Row],[Column2]], TAXONOMY_TYPE, 2, FALSE)</f>
        <v>9104</v>
      </c>
      <c r="G91" s="4">
        <v>33</v>
      </c>
      <c r="H91" s="3" t="s">
        <v>1953</v>
      </c>
      <c r="I91" s="3">
        <f>VLOOKUP(Table1[[#This Row],[Provider Type]] &amp; Table1[[#This Row],[Provider Type Description]], PROVIDER_TYPE, 2, FALSE)</f>
        <v>51</v>
      </c>
      <c r="J91" s="4" t="s">
        <v>234</v>
      </c>
      <c r="K91" s="3" t="s">
        <v>235</v>
      </c>
      <c r="L91" s="3">
        <f>VLOOKUP(TRIM(Table1[[#This Row],[Provider Specialty]]) &amp; TRIM(Table1[[#This Row],[Provider Specialty Description]]), SPECIALTY_TYPE, 2, FALSE)</f>
        <v>2174</v>
      </c>
      <c r="M91" s="3" t="s">
        <v>18</v>
      </c>
      <c r="N91" s="27" t="s">
        <v>19</v>
      </c>
      <c r="O91" s="38">
        <f>VLOOKUP(TRIM(Table1[[#This Row],[Provider Specialty]]) &amp; TRIM(Table1[[#This Row],[Provider Specialty Description]]), SPECIALTY_TYPE, 2, FALSE)</f>
        <v>2174</v>
      </c>
      <c r="P91" s="3" t="str">
        <f>Table1[[#This Row],[Provider Type]] &amp; "+" &amp; Table1[[#This Row],[Provider Type Description]]</f>
        <v>33+Single-Specialty</v>
      </c>
      <c r="Q91" s="7" t="str">
        <f>Table1[[#This Row],[Provider Specialty]] &amp; "+" &amp; Table1[[#This Row],[Provider Specialty Description]]</f>
        <v>082+Medical Clinic</v>
      </c>
      <c r="R91" s="7" t="str">
        <f>Table1[[#This Row],[PDMS Specialty Type ID]] &amp; "+" &amp; Table1[[#This Row],[PDMS Provider Type ID]] &amp; "+" &amp;Table1[[#This Row],[TAXONOMY]]</f>
        <v>2174+51+261QM1300X</v>
      </c>
      <c r="S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(9104, 2174, 51, N'261QM1300X', N'Clinic/Center - Multi-Specialty')</v>
      </c>
    </row>
    <row r="92" spans="1:19" ht="47.25" hidden="1" customHeight="1" x14ac:dyDescent="0.25">
      <c r="A92" s="22" t="s">
        <v>11</v>
      </c>
      <c r="B92" s="3" t="s">
        <v>84</v>
      </c>
      <c r="C92" s="3" t="s">
        <v>85</v>
      </c>
      <c r="D92" s="3" t="s">
        <v>289</v>
      </c>
      <c r="E92" s="3" t="s">
        <v>290</v>
      </c>
      <c r="F92" s="3">
        <f>VLOOKUP(Table1[[#This Row],[Column2]], TAXONOMY_TYPE, 2, FALSE)</f>
        <v>9105</v>
      </c>
      <c r="G92" s="4">
        <v>33</v>
      </c>
      <c r="H92" s="3" t="s">
        <v>1953</v>
      </c>
      <c r="I92" s="3">
        <f>VLOOKUP(Table1[[#This Row],[Provider Type]] &amp; Table1[[#This Row],[Provider Type Description]], PROVIDER_TYPE, 2, FALSE)</f>
        <v>51</v>
      </c>
      <c r="J92" s="4" t="s">
        <v>234</v>
      </c>
      <c r="K92" s="3" t="s">
        <v>235</v>
      </c>
      <c r="L92" s="3">
        <f>VLOOKUP(TRIM(Table1[[#This Row],[Provider Specialty]]) &amp; TRIM(Table1[[#This Row],[Provider Specialty Description]]), SPECIALTY_TYPE, 2, FALSE)</f>
        <v>2174</v>
      </c>
      <c r="M92" s="3" t="s">
        <v>18</v>
      </c>
      <c r="N92" s="27" t="s">
        <v>19</v>
      </c>
      <c r="O92" s="38">
        <f>VLOOKUP(TRIM(Table1[[#This Row],[Provider Specialty]]) &amp; TRIM(Table1[[#This Row],[Provider Specialty Description]]), SPECIALTY_TYPE, 2, FALSE)</f>
        <v>2174</v>
      </c>
      <c r="P92" s="3" t="str">
        <f>Table1[[#This Row],[Provider Type]] &amp; "+" &amp; Table1[[#This Row],[Provider Type Description]]</f>
        <v>33+Single-Specialty</v>
      </c>
      <c r="Q92" s="7" t="str">
        <f>Table1[[#This Row],[Provider Specialty]] &amp; "+" &amp; Table1[[#This Row],[Provider Specialty Description]]</f>
        <v>082+Medical Clinic</v>
      </c>
      <c r="R92" s="7" t="str">
        <f>Table1[[#This Row],[PDMS Specialty Type ID]] &amp; "+" &amp; Table1[[#This Row],[PDMS Provider Type ID]] &amp; "+" &amp;Table1[[#This Row],[TAXONOMY]]</f>
        <v>2174+51+261QM2500X</v>
      </c>
      <c r="S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(9105, 2174, 51, N'261QM2500X', N'Clinic/Center - Medical Specialty')</v>
      </c>
    </row>
    <row r="93" spans="1:19" ht="47.25" hidden="1" customHeight="1" x14ac:dyDescent="0.25">
      <c r="A93" s="22" t="s">
        <v>11</v>
      </c>
      <c r="B93" s="3" t="s">
        <v>84</v>
      </c>
      <c r="C93" s="3" t="s">
        <v>85</v>
      </c>
      <c r="D93" s="3" t="s">
        <v>291</v>
      </c>
      <c r="E93" s="3" t="s">
        <v>292</v>
      </c>
      <c r="F93" s="3">
        <f>VLOOKUP(Table1[[#This Row],[Column2]], TAXONOMY_TYPE, 2, FALSE)</f>
        <v>9106</v>
      </c>
      <c r="G93" s="4">
        <v>33</v>
      </c>
      <c r="H93" s="3" t="s">
        <v>1953</v>
      </c>
      <c r="I93" s="3">
        <f>VLOOKUP(Table1[[#This Row],[Provider Type]] &amp; Table1[[#This Row],[Provider Type Description]], PROVIDER_TYPE, 2, FALSE)</f>
        <v>51</v>
      </c>
      <c r="J93" s="4" t="s">
        <v>234</v>
      </c>
      <c r="K93" s="3" t="s">
        <v>235</v>
      </c>
      <c r="L93" s="3">
        <f>VLOOKUP(TRIM(Table1[[#This Row],[Provider Specialty]]) &amp; TRIM(Table1[[#This Row],[Provider Specialty Description]]), SPECIALTY_TYPE, 2, FALSE)</f>
        <v>2174</v>
      </c>
      <c r="M93" s="3" t="s">
        <v>18</v>
      </c>
      <c r="N93" s="27" t="s">
        <v>19</v>
      </c>
      <c r="O93" s="38">
        <f>VLOOKUP(TRIM(Table1[[#This Row],[Provider Specialty]]) &amp; TRIM(Table1[[#This Row],[Provider Specialty Description]]), SPECIALTY_TYPE, 2, FALSE)</f>
        <v>2174</v>
      </c>
      <c r="P93" s="3" t="str">
        <f>Table1[[#This Row],[Provider Type]] &amp; "+" &amp; Table1[[#This Row],[Provider Type Description]]</f>
        <v>33+Single-Specialty</v>
      </c>
      <c r="Q93" s="7" t="str">
        <f>Table1[[#This Row],[Provider Specialty]] &amp; "+" &amp; Table1[[#This Row],[Provider Specialty Description]]</f>
        <v>082+Medical Clinic</v>
      </c>
      <c r="R93" s="7" t="str">
        <f>Table1[[#This Row],[PDMS Specialty Type ID]] &amp; "+" &amp; Table1[[#This Row],[PDMS Provider Type ID]] &amp; "+" &amp;Table1[[#This Row],[TAXONOMY]]</f>
        <v>2174+51+261QM2800X</v>
      </c>
      <c r="S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(9106, 2174, 51, N'261QM2800X', N'Clinic/Center - Methadone')</v>
      </c>
    </row>
    <row r="94" spans="1:19" ht="47.25" hidden="1" customHeight="1" x14ac:dyDescent="0.25">
      <c r="A94" s="22" t="s">
        <v>11</v>
      </c>
      <c r="B94" s="3" t="s">
        <v>84</v>
      </c>
      <c r="C94" s="3" t="s">
        <v>85</v>
      </c>
      <c r="D94" s="3" t="s">
        <v>295</v>
      </c>
      <c r="E94" s="3" t="s">
        <v>296</v>
      </c>
      <c r="F94" s="3">
        <f>VLOOKUP(Table1[[#This Row],[Column2]], TAXONOMY_TYPE, 2, FALSE)</f>
        <v>9107</v>
      </c>
      <c r="G94" s="4">
        <v>33</v>
      </c>
      <c r="H94" s="3" t="s">
        <v>1953</v>
      </c>
      <c r="I94" s="3">
        <f>VLOOKUP(Table1[[#This Row],[Provider Type]] &amp; Table1[[#This Row],[Provider Type Description]], PROVIDER_TYPE, 2, FALSE)</f>
        <v>51</v>
      </c>
      <c r="J94" s="4" t="s">
        <v>234</v>
      </c>
      <c r="K94" s="3" t="s">
        <v>235</v>
      </c>
      <c r="L94" s="3">
        <f>VLOOKUP(TRIM(Table1[[#This Row],[Provider Specialty]]) &amp; TRIM(Table1[[#This Row],[Provider Specialty Description]]), SPECIALTY_TYPE, 2, FALSE)</f>
        <v>2174</v>
      </c>
      <c r="M94" s="3" t="s">
        <v>18</v>
      </c>
      <c r="N94" s="27" t="s">
        <v>19</v>
      </c>
      <c r="O94" s="38">
        <f>VLOOKUP(TRIM(Table1[[#This Row],[Provider Specialty]]) &amp; TRIM(Table1[[#This Row],[Provider Specialty Description]]), SPECIALTY_TYPE, 2, FALSE)</f>
        <v>2174</v>
      </c>
      <c r="P94" s="3" t="str">
        <f>Table1[[#This Row],[Provider Type]] &amp; "+" &amp; Table1[[#This Row],[Provider Type Description]]</f>
        <v>33+Single-Specialty</v>
      </c>
      <c r="Q94" s="7" t="str">
        <f>Table1[[#This Row],[Provider Specialty]] &amp; "+" &amp; Table1[[#This Row],[Provider Specialty Description]]</f>
        <v>082+Medical Clinic</v>
      </c>
      <c r="R94" s="7" t="str">
        <f>Table1[[#This Row],[PDMS Specialty Type ID]] &amp; "+" &amp; Table1[[#This Row],[PDMS Provider Type ID]] &amp; "+" &amp;Table1[[#This Row],[TAXONOMY]]</f>
        <v>2174+51+261QP1100X</v>
      </c>
      <c r="S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(9107, 2174, 51, N'261QP1100X', N'Clinic/Center - Podiatric')</v>
      </c>
    </row>
    <row r="95" spans="1:19" ht="47.25" hidden="1" customHeight="1" x14ac:dyDescent="0.25">
      <c r="A95" s="22" t="s">
        <v>11</v>
      </c>
      <c r="B95" s="3" t="s">
        <v>84</v>
      </c>
      <c r="C95" s="3" t="s">
        <v>85</v>
      </c>
      <c r="D95" s="3" t="s">
        <v>299</v>
      </c>
      <c r="E95" s="3" t="s">
        <v>300</v>
      </c>
      <c r="F95" s="3">
        <f>VLOOKUP(Table1[[#This Row],[Column2]], TAXONOMY_TYPE, 2, FALSE)</f>
        <v>9108</v>
      </c>
      <c r="G95" s="4">
        <v>33</v>
      </c>
      <c r="H95" s="3" t="s">
        <v>1953</v>
      </c>
      <c r="I95" s="3">
        <f>VLOOKUP(Table1[[#This Row],[Provider Type]] &amp; Table1[[#This Row],[Provider Type Description]], PROVIDER_TYPE, 2, FALSE)</f>
        <v>51</v>
      </c>
      <c r="J95" s="4" t="s">
        <v>234</v>
      </c>
      <c r="K95" s="3" t="s">
        <v>235</v>
      </c>
      <c r="L95" s="3">
        <f>VLOOKUP(TRIM(Table1[[#This Row],[Provider Specialty]]) &amp; TRIM(Table1[[#This Row],[Provider Specialty Description]]), SPECIALTY_TYPE, 2, FALSE)</f>
        <v>2174</v>
      </c>
      <c r="M95" s="3" t="s">
        <v>18</v>
      </c>
      <c r="N95" s="27" t="s">
        <v>19</v>
      </c>
      <c r="O95" s="38">
        <f>VLOOKUP(TRIM(Table1[[#This Row],[Provider Specialty]]) &amp; TRIM(Table1[[#This Row],[Provider Specialty Description]]), SPECIALTY_TYPE, 2, FALSE)</f>
        <v>2174</v>
      </c>
      <c r="P95" s="3" t="str">
        <f>Table1[[#This Row],[Provider Type]] &amp; "+" &amp; Table1[[#This Row],[Provider Type Description]]</f>
        <v>33+Single-Specialty</v>
      </c>
      <c r="Q95" s="7" t="str">
        <f>Table1[[#This Row],[Provider Specialty]] &amp; "+" &amp; Table1[[#This Row],[Provider Specialty Description]]</f>
        <v>082+Medical Clinic</v>
      </c>
      <c r="R95" s="7" t="str">
        <f>Table1[[#This Row],[PDMS Specialty Type ID]] &amp; "+" &amp; Table1[[#This Row],[PDMS Provider Type ID]] &amp; "+" &amp;Table1[[#This Row],[TAXONOMY]]</f>
        <v>2174+51+261QP2300X</v>
      </c>
      <c r="S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(9108, 2174, 51, N'261QP2300X', N'Clinic/Center - Primary Care')</v>
      </c>
    </row>
    <row r="96" spans="1:19" ht="47.25" hidden="1" customHeight="1" x14ac:dyDescent="0.25">
      <c r="A96" s="22" t="s">
        <v>11</v>
      </c>
      <c r="B96" s="3" t="s">
        <v>84</v>
      </c>
      <c r="C96" s="3" t="s">
        <v>85</v>
      </c>
      <c r="D96" s="3" t="s">
        <v>301</v>
      </c>
      <c r="E96" s="3" t="s">
        <v>302</v>
      </c>
      <c r="F96" s="3">
        <f>VLOOKUP(Table1[[#This Row],[Column2]], TAXONOMY_TYPE, 2, FALSE)</f>
        <v>9109</v>
      </c>
      <c r="G96" s="4">
        <v>33</v>
      </c>
      <c r="H96" s="3" t="s">
        <v>1953</v>
      </c>
      <c r="I96" s="3">
        <f>VLOOKUP(Table1[[#This Row],[Provider Type]] &amp; Table1[[#This Row],[Provider Type Description]], PROVIDER_TYPE, 2, FALSE)</f>
        <v>51</v>
      </c>
      <c r="J96" s="4" t="s">
        <v>234</v>
      </c>
      <c r="K96" s="3" t="s">
        <v>235</v>
      </c>
      <c r="L96" s="3">
        <f>VLOOKUP(TRIM(Table1[[#This Row],[Provider Specialty]]) &amp; TRIM(Table1[[#This Row],[Provider Specialty Description]]), SPECIALTY_TYPE, 2, FALSE)</f>
        <v>2174</v>
      </c>
      <c r="M96" s="3" t="s">
        <v>18</v>
      </c>
      <c r="N96" s="27" t="s">
        <v>19</v>
      </c>
      <c r="O96" s="38">
        <f>VLOOKUP(TRIM(Table1[[#This Row],[Provider Specialty]]) &amp; TRIM(Table1[[#This Row],[Provider Specialty Description]]), SPECIALTY_TYPE, 2, FALSE)</f>
        <v>2174</v>
      </c>
      <c r="P96" s="3" t="str">
        <f>Table1[[#This Row],[Provider Type]] &amp; "+" &amp; Table1[[#This Row],[Provider Type Description]]</f>
        <v>33+Single-Specialty</v>
      </c>
      <c r="Q96" s="7" t="str">
        <f>Table1[[#This Row],[Provider Specialty]] &amp; "+" &amp; Table1[[#This Row],[Provider Specialty Description]]</f>
        <v>082+Medical Clinic</v>
      </c>
      <c r="R96" s="7" t="str">
        <f>Table1[[#This Row],[PDMS Specialty Type ID]] &amp; "+" &amp; Table1[[#This Row],[PDMS Provider Type ID]] &amp; "+" &amp;Table1[[#This Row],[TAXONOMY]]</f>
        <v>2174+51+261QP2400X</v>
      </c>
      <c r="S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(9109, 2174, 51, N'261QP2400X', N'Clinic/Center - Prison Health')</v>
      </c>
    </row>
    <row r="97" spans="1:19" ht="47.25" hidden="1" customHeight="1" x14ac:dyDescent="0.25">
      <c r="A97" s="22" t="s">
        <v>11</v>
      </c>
      <c r="B97" s="3" t="s">
        <v>84</v>
      </c>
      <c r="C97" s="3" t="s">
        <v>85</v>
      </c>
      <c r="D97" s="3" t="s">
        <v>303</v>
      </c>
      <c r="E97" s="3" t="s">
        <v>304</v>
      </c>
      <c r="F97" s="3">
        <f>VLOOKUP(Table1[[#This Row],[Column2]], TAXONOMY_TYPE, 2, FALSE)</f>
        <v>9110</v>
      </c>
      <c r="G97" s="4">
        <v>33</v>
      </c>
      <c r="H97" s="3" t="s">
        <v>1953</v>
      </c>
      <c r="I97" s="3">
        <f>VLOOKUP(Table1[[#This Row],[Provider Type]] &amp; Table1[[#This Row],[Provider Type Description]], PROVIDER_TYPE, 2, FALSE)</f>
        <v>51</v>
      </c>
      <c r="J97" s="4" t="s">
        <v>234</v>
      </c>
      <c r="K97" s="3" t="s">
        <v>235</v>
      </c>
      <c r="L97" s="3">
        <f>VLOOKUP(TRIM(Table1[[#This Row],[Provider Specialty]]) &amp; TRIM(Table1[[#This Row],[Provider Specialty Description]]), SPECIALTY_TYPE, 2, FALSE)</f>
        <v>2174</v>
      </c>
      <c r="M97" s="3" t="s">
        <v>18</v>
      </c>
      <c r="N97" s="27" t="s">
        <v>19</v>
      </c>
      <c r="O97" s="38">
        <f>VLOOKUP(TRIM(Table1[[#This Row],[Provider Specialty]]) &amp; TRIM(Table1[[#This Row],[Provider Specialty Description]]), SPECIALTY_TYPE, 2, FALSE)</f>
        <v>2174</v>
      </c>
      <c r="P97" s="3" t="str">
        <f>Table1[[#This Row],[Provider Type]] &amp; "+" &amp; Table1[[#This Row],[Provider Type Description]]</f>
        <v>33+Single-Specialty</v>
      </c>
      <c r="Q97" s="7" t="str">
        <f>Table1[[#This Row],[Provider Specialty]] &amp; "+" &amp; Table1[[#This Row],[Provider Specialty Description]]</f>
        <v>082+Medical Clinic</v>
      </c>
      <c r="R97" s="7" t="str">
        <f>Table1[[#This Row],[PDMS Specialty Type ID]] &amp; "+" &amp; Table1[[#This Row],[PDMS Provider Type ID]] &amp; "+" &amp;Table1[[#This Row],[TAXONOMY]]</f>
        <v>2174+51+261QP3300X</v>
      </c>
      <c r="S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(9110, 2174, 51, N'261QP3300X', N'Clinic/Center - Pain')</v>
      </c>
    </row>
    <row r="98" spans="1:19" ht="47.25" hidden="1" customHeight="1" x14ac:dyDescent="0.25">
      <c r="A98" s="22" t="s">
        <v>11</v>
      </c>
      <c r="B98" s="3" t="s">
        <v>84</v>
      </c>
      <c r="C98" s="3" t="s">
        <v>85</v>
      </c>
      <c r="D98" s="3" t="s">
        <v>305</v>
      </c>
      <c r="E98" s="3" t="s">
        <v>306</v>
      </c>
      <c r="F98" s="3">
        <f>VLOOKUP(Table1[[#This Row],[Column2]], TAXONOMY_TYPE, 2, FALSE)</f>
        <v>9111</v>
      </c>
      <c r="G98" s="4">
        <v>33</v>
      </c>
      <c r="H98" s="3" t="s">
        <v>1953</v>
      </c>
      <c r="I98" s="3">
        <f>VLOOKUP(Table1[[#This Row],[Provider Type]] &amp; Table1[[#This Row],[Provider Type Description]], PROVIDER_TYPE, 2, FALSE)</f>
        <v>51</v>
      </c>
      <c r="J98" s="4" t="s">
        <v>234</v>
      </c>
      <c r="K98" s="3" t="s">
        <v>235</v>
      </c>
      <c r="L98" s="3">
        <f>VLOOKUP(TRIM(Table1[[#This Row],[Provider Specialty]]) &amp; TRIM(Table1[[#This Row],[Provider Specialty Description]]), SPECIALTY_TYPE, 2, FALSE)</f>
        <v>2174</v>
      </c>
      <c r="M98" s="3" t="s">
        <v>18</v>
      </c>
      <c r="N98" s="27" t="s">
        <v>19</v>
      </c>
      <c r="O98" s="38">
        <f>VLOOKUP(TRIM(Table1[[#This Row],[Provider Specialty]]) &amp; TRIM(Table1[[#This Row],[Provider Specialty Description]]), SPECIALTY_TYPE, 2, FALSE)</f>
        <v>2174</v>
      </c>
      <c r="P98" s="3" t="str">
        <f>Table1[[#This Row],[Provider Type]] &amp; "+" &amp; Table1[[#This Row],[Provider Type Description]]</f>
        <v>33+Single-Specialty</v>
      </c>
      <c r="Q98" s="7" t="str">
        <f>Table1[[#This Row],[Provider Specialty]] &amp; "+" &amp; Table1[[#This Row],[Provider Specialty Description]]</f>
        <v>082+Medical Clinic</v>
      </c>
      <c r="R98" s="7" t="str">
        <f>Table1[[#This Row],[PDMS Specialty Type ID]] &amp; "+" &amp; Table1[[#This Row],[PDMS Provider Type ID]] &amp; "+" &amp;Table1[[#This Row],[TAXONOMY]]</f>
        <v>2174+51+261QR0800X</v>
      </c>
      <c r="S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(9111, 2174, 51, N'261QR0800X', N'Clinic/Center - Recovery Care')</v>
      </c>
    </row>
    <row r="99" spans="1:19" ht="47.25" hidden="1" customHeight="1" x14ac:dyDescent="0.25">
      <c r="A99" s="22" t="s">
        <v>11</v>
      </c>
      <c r="B99" s="3" t="s">
        <v>84</v>
      </c>
      <c r="C99" s="3" t="s">
        <v>85</v>
      </c>
      <c r="D99" s="3" t="s">
        <v>307</v>
      </c>
      <c r="E99" s="3" t="s">
        <v>308</v>
      </c>
      <c r="F99" s="3">
        <f>VLOOKUP(Table1[[#This Row],[Column2]], TAXONOMY_TYPE, 2, FALSE)</f>
        <v>9112</v>
      </c>
      <c r="G99" s="4">
        <v>33</v>
      </c>
      <c r="H99" s="3" t="s">
        <v>1953</v>
      </c>
      <c r="I99" s="3">
        <f>VLOOKUP(Table1[[#This Row],[Provider Type]] &amp; Table1[[#This Row],[Provider Type Description]], PROVIDER_TYPE, 2, FALSE)</f>
        <v>51</v>
      </c>
      <c r="J99" s="4" t="s">
        <v>234</v>
      </c>
      <c r="K99" s="3" t="s">
        <v>235</v>
      </c>
      <c r="L99" s="3">
        <f>VLOOKUP(TRIM(Table1[[#This Row],[Provider Specialty]]) &amp; TRIM(Table1[[#This Row],[Provider Specialty Description]]), SPECIALTY_TYPE, 2, FALSE)</f>
        <v>2174</v>
      </c>
      <c r="M99" s="3" t="s">
        <v>18</v>
      </c>
      <c r="N99" s="27" t="s">
        <v>19</v>
      </c>
      <c r="O99" s="38">
        <f>VLOOKUP(TRIM(Table1[[#This Row],[Provider Specialty]]) &amp; TRIM(Table1[[#This Row],[Provider Specialty Description]]), SPECIALTY_TYPE, 2, FALSE)</f>
        <v>2174</v>
      </c>
      <c r="P99" s="3" t="str">
        <f>Table1[[#This Row],[Provider Type]] &amp; "+" &amp; Table1[[#This Row],[Provider Type Description]]</f>
        <v>33+Single-Specialty</v>
      </c>
      <c r="Q99" s="7" t="str">
        <f>Table1[[#This Row],[Provider Specialty]] &amp; "+" &amp; Table1[[#This Row],[Provider Specialty Description]]</f>
        <v>082+Medical Clinic</v>
      </c>
      <c r="R99" s="7" t="str">
        <f>Table1[[#This Row],[PDMS Specialty Type ID]] &amp; "+" &amp; Table1[[#This Row],[PDMS Provider Type ID]] &amp; "+" &amp;Table1[[#This Row],[TAXONOMY]]</f>
        <v>2174+51+261QR1100X</v>
      </c>
      <c r="S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(9112, 2174, 51, N'261QR1100X', N'Clinic/Center - Research')</v>
      </c>
    </row>
    <row r="100" spans="1:19" ht="47.25" hidden="1" customHeight="1" x14ac:dyDescent="0.25">
      <c r="A100" s="22" t="s">
        <v>11</v>
      </c>
      <c r="B100" s="3" t="s">
        <v>84</v>
      </c>
      <c r="C100" s="3" t="s">
        <v>85</v>
      </c>
      <c r="D100" s="3" t="s">
        <v>311</v>
      </c>
      <c r="E100" s="3" t="s">
        <v>312</v>
      </c>
      <c r="F100" s="3">
        <f>VLOOKUP(Table1[[#This Row],[Column2]], TAXONOMY_TYPE, 2, FALSE)</f>
        <v>9113</v>
      </c>
      <c r="G100" s="4">
        <v>33</v>
      </c>
      <c r="H100" s="3" t="s">
        <v>1953</v>
      </c>
      <c r="I100" s="3">
        <f>VLOOKUP(Table1[[#This Row],[Provider Type]] &amp; Table1[[#This Row],[Provider Type Description]], PROVIDER_TYPE, 2, FALSE)</f>
        <v>51</v>
      </c>
      <c r="J100" s="4" t="s">
        <v>234</v>
      </c>
      <c r="K100" s="3" t="s">
        <v>235</v>
      </c>
      <c r="L100" s="3">
        <f>VLOOKUP(TRIM(Table1[[#This Row],[Provider Specialty]]) &amp; TRIM(Table1[[#This Row],[Provider Specialty Description]]), SPECIALTY_TYPE, 2, FALSE)</f>
        <v>2174</v>
      </c>
      <c r="M100" s="3" t="s">
        <v>18</v>
      </c>
      <c r="N100" s="27" t="s">
        <v>19</v>
      </c>
      <c r="O100" s="38">
        <f>VLOOKUP(TRIM(Table1[[#This Row],[Provider Specialty]]) &amp; TRIM(Table1[[#This Row],[Provider Specialty Description]]), SPECIALTY_TYPE, 2, FALSE)</f>
        <v>2174</v>
      </c>
      <c r="P100" s="3" t="str">
        <f>Table1[[#This Row],[Provider Type]] &amp; "+" &amp; Table1[[#This Row],[Provider Type Description]]</f>
        <v>33+Single-Specialty</v>
      </c>
      <c r="Q100" s="7" t="str">
        <f>Table1[[#This Row],[Provider Specialty]] &amp; "+" &amp; Table1[[#This Row],[Provider Specialty Description]]</f>
        <v>082+Medical Clinic</v>
      </c>
      <c r="R100" s="7" t="str">
        <f>Table1[[#This Row],[PDMS Specialty Type ID]] &amp; "+" &amp; Table1[[#This Row],[PDMS Provider Type ID]] &amp; "+" &amp;Table1[[#This Row],[TAXONOMY]]</f>
        <v>2174+51+261QS1200X</v>
      </c>
      <c r="S1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(9113, 2174, 51, N'261QS1200X', N'Clinic/Center - Sleep Disorder Diagnostic')</v>
      </c>
    </row>
    <row r="101" spans="1:19" ht="47.25" hidden="1" customHeight="1" x14ac:dyDescent="0.25">
      <c r="A101" s="22" t="s">
        <v>11</v>
      </c>
      <c r="B101" s="3" t="s">
        <v>84</v>
      </c>
      <c r="C101" s="3" t="s">
        <v>85</v>
      </c>
      <c r="D101" s="3" t="s">
        <v>313</v>
      </c>
      <c r="E101" s="3" t="s">
        <v>314</v>
      </c>
      <c r="F101" s="3">
        <f>VLOOKUP(Table1[[#This Row],[Column2]], TAXONOMY_TYPE, 2, FALSE)</f>
        <v>9114</v>
      </c>
      <c r="G101" s="4">
        <v>33</v>
      </c>
      <c r="H101" s="3" t="s">
        <v>1953</v>
      </c>
      <c r="I101" s="3">
        <f>VLOOKUP(Table1[[#This Row],[Provider Type]] &amp; Table1[[#This Row],[Provider Type Description]], PROVIDER_TYPE, 2, FALSE)</f>
        <v>51</v>
      </c>
      <c r="J101" s="4" t="s">
        <v>234</v>
      </c>
      <c r="K101" s="3" t="s">
        <v>235</v>
      </c>
      <c r="L101" s="3">
        <f>VLOOKUP(TRIM(Table1[[#This Row],[Provider Specialty]]) &amp; TRIM(Table1[[#This Row],[Provider Specialty Description]]), SPECIALTY_TYPE, 2, FALSE)</f>
        <v>2174</v>
      </c>
      <c r="M101" s="3" t="s">
        <v>18</v>
      </c>
      <c r="N101" s="27" t="s">
        <v>19</v>
      </c>
      <c r="O101" s="38">
        <f>VLOOKUP(TRIM(Table1[[#This Row],[Provider Specialty]]) &amp; TRIM(Table1[[#This Row],[Provider Specialty Description]]), SPECIALTY_TYPE, 2, FALSE)</f>
        <v>2174</v>
      </c>
      <c r="P101" s="3" t="str">
        <f>Table1[[#This Row],[Provider Type]] &amp; "+" &amp; Table1[[#This Row],[Provider Type Description]]</f>
        <v>33+Single-Specialty</v>
      </c>
      <c r="Q101" s="7" t="str">
        <f>Table1[[#This Row],[Provider Specialty]] &amp; "+" &amp; Table1[[#This Row],[Provider Specialty Description]]</f>
        <v>082+Medical Clinic</v>
      </c>
      <c r="R101" s="7" t="str">
        <f>Table1[[#This Row],[PDMS Specialty Type ID]] &amp; "+" &amp; Table1[[#This Row],[PDMS Provider Type ID]] &amp; "+" &amp;Table1[[#This Row],[TAXONOMY]]</f>
        <v>2174+51+261QU0200X</v>
      </c>
      <c r="S1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(9114, 2174, 51, N'261QU0200X', N'Clinic/Center - Urgent Care')</v>
      </c>
    </row>
    <row r="102" spans="1:19" ht="47.25" hidden="1" customHeight="1" x14ac:dyDescent="0.25">
      <c r="A102" s="22" t="s">
        <v>11</v>
      </c>
      <c r="B102" s="3" t="s">
        <v>84</v>
      </c>
      <c r="C102" s="3" t="s">
        <v>85</v>
      </c>
      <c r="D102" s="3" t="s">
        <v>315</v>
      </c>
      <c r="E102" s="3" t="s">
        <v>316</v>
      </c>
      <c r="F102" s="3">
        <f>VLOOKUP(Table1[[#This Row],[Column2]], TAXONOMY_TYPE, 2, FALSE)</f>
        <v>9115</v>
      </c>
      <c r="G102" s="4">
        <v>33</v>
      </c>
      <c r="H102" s="3" t="s">
        <v>1953</v>
      </c>
      <c r="I102" s="3">
        <f>VLOOKUP(Table1[[#This Row],[Provider Type]] &amp; Table1[[#This Row],[Provider Type Description]], PROVIDER_TYPE, 2, FALSE)</f>
        <v>51</v>
      </c>
      <c r="J102" s="4" t="s">
        <v>234</v>
      </c>
      <c r="K102" s="3" t="s">
        <v>235</v>
      </c>
      <c r="L102" s="3">
        <f>VLOOKUP(TRIM(Table1[[#This Row],[Provider Specialty]]) &amp; TRIM(Table1[[#This Row],[Provider Specialty Description]]), SPECIALTY_TYPE, 2, FALSE)</f>
        <v>2174</v>
      </c>
      <c r="M102" s="3" t="s">
        <v>18</v>
      </c>
      <c r="N102" s="27" t="s">
        <v>19</v>
      </c>
      <c r="O102" s="38">
        <f>VLOOKUP(TRIM(Table1[[#This Row],[Provider Specialty]]) &amp; TRIM(Table1[[#This Row],[Provider Specialty Description]]), SPECIALTY_TYPE, 2, FALSE)</f>
        <v>2174</v>
      </c>
      <c r="P102" s="3" t="str">
        <f>Table1[[#This Row],[Provider Type]] &amp; "+" &amp; Table1[[#This Row],[Provider Type Description]]</f>
        <v>33+Single-Specialty</v>
      </c>
      <c r="Q102" s="7" t="str">
        <f>Table1[[#This Row],[Provider Specialty]] &amp; "+" &amp; Table1[[#This Row],[Provider Specialty Description]]</f>
        <v>082+Medical Clinic</v>
      </c>
      <c r="R102" s="7" t="str">
        <f>Table1[[#This Row],[PDMS Specialty Type ID]] &amp; "+" &amp; Table1[[#This Row],[PDMS Provider Type ID]] &amp; "+" &amp;Table1[[#This Row],[TAXONOMY]]</f>
        <v>2174+51+261QV0200X</v>
      </c>
      <c r="S1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(9115, 2174, 51, N'261QV0200X', N'Clinic/Center - VA')</v>
      </c>
    </row>
    <row r="103" spans="1:19" ht="47.25" hidden="1" customHeight="1" x14ac:dyDescent="0.25">
      <c r="A103" s="22" t="s">
        <v>11</v>
      </c>
      <c r="B103" s="3" t="s">
        <v>84</v>
      </c>
      <c r="C103" s="3" t="s">
        <v>85</v>
      </c>
      <c r="D103" s="3" t="s">
        <v>317</v>
      </c>
      <c r="E103" s="3" t="s">
        <v>318</v>
      </c>
      <c r="F103" s="3">
        <f>VLOOKUP(Table1[[#This Row],[Column2]], TAXONOMY_TYPE, 2, FALSE)</f>
        <v>9116</v>
      </c>
      <c r="G103" s="4">
        <v>33</v>
      </c>
      <c r="H103" s="3" t="s">
        <v>1953</v>
      </c>
      <c r="I103" s="3">
        <f>VLOOKUP(Table1[[#This Row],[Provider Type]] &amp; Table1[[#This Row],[Provider Type Description]], PROVIDER_TYPE, 2, FALSE)</f>
        <v>51</v>
      </c>
      <c r="J103" s="4" t="s">
        <v>234</v>
      </c>
      <c r="K103" s="3" t="s">
        <v>235</v>
      </c>
      <c r="L103" s="3">
        <f>VLOOKUP(TRIM(Table1[[#This Row],[Provider Specialty]]) &amp; TRIM(Table1[[#This Row],[Provider Specialty Description]]), SPECIALTY_TYPE, 2, FALSE)</f>
        <v>2174</v>
      </c>
      <c r="M103" s="3" t="s">
        <v>18</v>
      </c>
      <c r="N103" s="27" t="s">
        <v>19</v>
      </c>
      <c r="O103" s="38">
        <f>VLOOKUP(TRIM(Table1[[#This Row],[Provider Specialty]]) &amp; TRIM(Table1[[#This Row],[Provider Specialty Description]]), SPECIALTY_TYPE, 2, FALSE)</f>
        <v>2174</v>
      </c>
      <c r="P103" s="3" t="str">
        <f>Table1[[#This Row],[Provider Type]] &amp; "+" &amp; Table1[[#This Row],[Provider Type Description]]</f>
        <v>33+Single-Specialty</v>
      </c>
      <c r="Q103" s="7" t="str">
        <f>Table1[[#This Row],[Provider Specialty]] &amp; "+" &amp; Table1[[#This Row],[Provider Specialty Description]]</f>
        <v>082+Medical Clinic</v>
      </c>
      <c r="R103" s="7" t="str">
        <f>Table1[[#This Row],[PDMS Specialty Type ID]] &amp; "+" &amp; Table1[[#This Row],[PDMS Provider Type ID]] &amp; "+" &amp;Table1[[#This Row],[TAXONOMY]]</f>
        <v>2174+51+261QX0100X</v>
      </c>
      <c r="S1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(9116, 2174, 51, N'261QX0100X', N'Clinic/Center - Occupational Medicine')</v>
      </c>
    </row>
    <row r="104" spans="1:19" ht="47.25" hidden="1" customHeight="1" x14ac:dyDescent="0.25">
      <c r="A104" s="22" t="s">
        <v>11</v>
      </c>
      <c r="B104" s="3" t="s">
        <v>84</v>
      </c>
      <c r="C104" s="3" t="s">
        <v>85</v>
      </c>
      <c r="D104" s="3" t="s">
        <v>319</v>
      </c>
      <c r="E104" s="3" t="s">
        <v>320</v>
      </c>
      <c r="F104" s="3">
        <f>VLOOKUP(Table1[[#This Row],[Column2]], TAXONOMY_TYPE, 2, FALSE)</f>
        <v>9117</v>
      </c>
      <c r="G104" s="4">
        <v>33</v>
      </c>
      <c r="H104" s="3" t="s">
        <v>1953</v>
      </c>
      <c r="I104" s="3">
        <f>VLOOKUP(Table1[[#This Row],[Provider Type]] &amp; Table1[[#This Row],[Provider Type Description]], PROVIDER_TYPE, 2, FALSE)</f>
        <v>51</v>
      </c>
      <c r="J104" s="4" t="s">
        <v>234</v>
      </c>
      <c r="K104" s="3" t="s">
        <v>235</v>
      </c>
      <c r="L104" s="3">
        <f>VLOOKUP(TRIM(Table1[[#This Row],[Provider Specialty]]) &amp; TRIM(Table1[[#This Row],[Provider Specialty Description]]), SPECIALTY_TYPE, 2, FALSE)</f>
        <v>2174</v>
      </c>
      <c r="M104" s="3" t="s">
        <v>18</v>
      </c>
      <c r="N104" s="27" t="s">
        <v>19</v>
      </c>
      <c r="O104" s="38">
        <f>VLOOKUP(TRIM(Table1[[#This Row],[Provider Specialty]]) &amp; TRIM(Table1[[#This Row],[Provider Specialty Description]]), SPECIALTY_TYPE, 2, FALSE)</f>
        <v>2174</v>
      </c>
      <c r="P104" s="3" t="str">
        <f>Table1[[#This Row],[Provider Type]] &amp; "+" &amp; Table1[[#This Row],[Provider Type Description]]</f>
        <v>33+Single-Specialty</v>
      </c>
      <c r="Q104" s="7" t="str">
        <f>Table1[[#This Row],[Provider Specialty]] &amp; "+" &amp; Table1[[#This Row],[Provider Specialty Description]]</f>
        <v>082+Medical Clinic</v>
      </c>
      <c r="R104" s="7" t="str">
        <f>Table1[[#This Row],[PDMS Specialty Type ID]] &amp; "+" &amp; Table1[[#This Row],[PDMS Provider Type ID]] &amp; "+" &amp;Table1[[#This Row],[TAXONOMY]]</f>
        <v>2174+51+261QX0200X</v>
      </c>
      <c r="S1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(9117, 2174, 51, N'261QX0200X', N'Clinic/Center - Oncology')</v>
      </c>
    </row>
    <row r="105" spans="1:19" ht="47.25" hidden="1" customHeight="1" x14ac:dyDescent="0.25">
      <c r="A105" s="22" t="s">
        <v>11</v>
      </c>
      <c r="B105" s="3" t="s">
        <v>84</v>
      </c>
      <c r="C105" s="3" t="s">
        <v>85</v>
      </c>
      <c r="D105" s="3" t="s">
        <v>321</v>
      </c>
      <c r="E105" s="3" t="s">
        <v>322</v>
      </c>
      <c r="F105" s="3">
        <f>VLOOKUP(Table1[[#This Row],[Column2]], TAXONOMY_TYPE, 2, FALSE)</f>
        <v>9118</v>
      </c>
      <c r="G105" s="4">
        <v>33</v>
      </c>
      <c r="H105" s="3" t="s">
        <v>1953</v>
      </c>
      <c r="I105" s="3">
        <f>VLOOKUP(Table1[[#This Row],[Provider Type]] &amp; Table1[[#This Row],[Provider Type Description]], PROVIDER_TYPE, 2, FALSE)</f>
        <v>51</v>
      </c>
      <c r="J105" s="4" t="s">
        <v>234</v>
      </c>
      <c r="K105" s="3" t="s">
        <v>235</v>
      </c>
      <c r="L105" s="3">
        <f>VLOOKUP(TRIM(Table1[[#This Row],[Provider Specialty]]) &amp; TRIM(Table1[[#This Row],[Provider Specialty Description]]), SPECIALTY_TYPE, 2, FALSE)</f>
        <v>2174</v>
      </c>
      <c r="M105" s="3" t="s">
        <v>18</v>
      </c>
      <c r="N105" s="27" t="s">
        <v>19</v>
      </c>
      <c r="O105" s="38">
        <f>VLOOKUP(TRIM(Table1[[#This Row],[Provider Specialty]]) &amp; TRIM(Table1[[#This Row],[Provider Specialty Description]]), SPECIALTY_TYPE, 2, FALSE)</f>
        <v>2174</v>
      </c>
      <c r="P105" s="3" t="str">
        <f>Table1[[#This Row],[Provider Type]] &amp; "+" &amp; Table1[[#This Row],[Provider Type Description]]</f>
        <v>33+Single-Specialty</v>
      </c>
      <c r="Q105" s="7" t="str">
        <f>Table1[[#This Row],[Provider Specialty]] &amp; "+" &amp; Table1[[#This Row],[Provider Specialty Description]]</f>
        <v>082+Medical Clinic</v>
      </c>
      <c r="R105" s="7" t="str">
        <f>Table1[[#This Row],[PDMS Specialty Type ID]] &amp; "+" &amp; Table1[[#This Row],[PDMS Provider Type ID]] &amp; "+" &amp;Table1[[#This Row],[TAXONOMY]]</f>
        <v>2174+51+261QX0203X</v>
      </c>
      <c r="S1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(9118, 2174, 51, N'261QX0203X', N'Clinic/Center - Oncology, Radiation')</v>
      </c>
    </row>
    <row r="106" spans="1:19" ht="47.25" hidden="1" customHeight="1" x14ac:dyDescent="0.25">
      <c r="A106" s="22" t="s">
        <v>11</v>
      </c>
      <c r="B106" s="3" t="s">
        <v>84</v>
      </c>
      <c r="C106" s="3" t="s">
        <v>85</v>
      </c>
      <c r="D106" s="3" t="s">
        <v>236</v>
      </c>
      <c r="E106" s="3" t="s">
        <v>237</v>
      </c>
      <c r="F106" s="3">
        <f>VLOOKUP(Table1[[#This Row],[Column2]], TAXONOMY_TYPE, 2, FALSE)</f>
        <v>9119</v>
      </c>
      <c r="G106" s="4">
        <v>33</v>
      </c>
      <c r="H106" s="3" t="s">
        <v>1953</v>
      </c>
      <c r="I106" s="3">
        <f>VLOOKUP(Table1[[#This Row],[Provider Type]] &amp; Table1[[#This Row],[Provider Type Description]], PROVIDER_TYPE, 2, FALSE)</f>
        <v>51</v>
      </c>
      <c r="J106" s="4" t="s">
        <v>238</v>
      </c>
      <c r="K106" s="3" t="s">
        <v>239</v>
      </c>
      <c r="L106" s="3">
        <f>VLOOKUP(TRIM(Table1[[#This Row],[Provider Specialty]]) &amp; TRIM(Table1[[#This Row],[Provider Specialty Description]]), SPECIALTY_TYPE, 2, FALSE)</f>
        <v>2173</v>
      </c>
      <c r="M106" s="3" t="s">
        <v>18</v>
      </c>
      <c r="N106" s="27" t="s">
        <v>19</v>
      </c>
      <c r="O106" s="38">
        <f>VLOOKUP(TRIM(Table1[[#This Row],[Provider Specialty]]) &amp; TRIM(Table1[[#This Row],[Provider Specialty Description]]), SPECIALTY_TYPE, 2, FALSE)</f>
        <v>2173</v>
      </c>
      <c r="P106" s="3" t="str">
        <f>Table1[[#This Row],[Provider Type]] &amp; "+" &amp; Table1[[#This Row],[Provider Type Description]]</f>
        <v>33+Single-Specialty</v>
      </c>
      <c r="Q106" s="7" t="str">
        <f>Table1[[#This Row],[Provider Specialty]] &amp; "+" &amp; Table1[[#This Row],[Provider Specialty Description]]</f>
        <v>083+Family Planning Clinic</v>
      </c>
      <c r="R106" s="7" t="str">
        <f>Table1[[#This Row],[PDMS Specialty Type ID]] &amp; "+" &amp; Table1[[#This Row],[PDMS Provider Type ID]] &amp; "+" &amp;Table1[[#This Row],[TAXONOMY]]</f>
        <v>2173+51+261QA0005X</v>
      </c>
      <c r="S1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(9119, 2173, 51, N'261QA0005X', N'Clinic/Center - Ambulatory Family Planning Facility')</v>
      </c>
    </row>
    <row r="107" spans="1:19" ht="47.25" hidden="1" customHeight="1" x14ac:dyDescent="0.25">
      <c r="A107" s="22" t="s">
        <v>11</v>
      </c>
      <c r="B107" s="3" t="s">
        <v>84</v>
      </c>
      <c r="C107" s="3" t="s">
        <v>85</v>
      </c>
      <c r="D107" s="3" t="s">
        <v>240</v>
      </c>
      <c r="E107" s="3" t="s">
        <v>241</v>
      </c>
      <c r="F107" s="3">
        <f>VLOOKUP(Table1[[#This Row],[Column2]], TAXONOMY_TYPE, 2, FALSE)</f>
        <v>9120</v>
      </c>
      <c r="G107" s="4">
        <v>33</v>
      </c>
      <c r="H107" s="3" t="s">
        <v>1953</v>
      </c>
      <c r="I107" s="3">
        <f>VLOOKUP(Table1[[#This Row],[Provider Type]] &amp; Table1[[#This Row],[Provider Type Description]], PROVIDER_TYPE, 2, FALSE)</f>
        <v>51</v>
      </c>
      <c r="J107" s="4" t="s">
        <v>238</v>
      </c>
      <c r="K107" s="3" t="s">
        <v>239</v>
      </c>
      <c r="L107" s="3">
        <f>VLOOKUP(TRIM(Table1[[#This Row],[Provider Specialty]]) &amp; TRIM(Table1[[#This Row],[Provider Specialty Description]]), SPECIALTY_TYPE, 2, FALSE)</f>
        <v>2173</v>
      </c>
      <c r="M107" s="3" t="s">
        <v>18</v>
      </c>
      <c r="N107" s="27" t="s">
        <v>19</v>
      </c>
      <c r="O107" s="38">
        <f>VLOOKUP(TRIM(Table1[[#This Row],[Provider Specialty]]) &amp; TRIM(Table1[[#This Row],[Provider Specialty Description]]), SPECIALTY_TYPE, 2, FALSE)</f>
        <v>2173</v>
      </c>
      <c r="P107" s="3" t="str">
        <f>Table1[[#This Row],[Provider Type]] &amp; "+" &amp; Table1[[#This Row],[Provider Type Description]]</f>
        <v>33+Single-Specialty</v>
      </c>
      <c r="Q107" s="7" t="str">
        <f>Table1[[#This Row],[Provider Specialty]] &amp; "+" &amp; Table1[[#This Row],[Provider Specialty Description]]</f>
        <v>083+Family Planning Clinic</v>
      </c>
      <c r="R107" s="7" t="str">
        <f>Table1[[#This Row],[PDMS Specialty Type ID]] &amp; "+" &amp; Table1[[#This Row],[PDMS Provider Type ID]] &amp; "+" &amp;Table1[[#This Row],[TAXONOMY]]</f>
        <v>2173+51+261QA0006X</v>
      </c>
      <c r="S1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(9120, 2173, 51, N'261QA0006X', N'Clinic/Center - Ambulatory Fertility Facility')</v>
      </c>
    </row>
    <row r="108" spans="1:19" ht="47.25" hidden="1" customHeight="1" x14ac:dyDescent="0.25">
      <c r="A108" s="22" t="s">
        <v>11</v>
      </c>
      <c r="B108" s="3" t="s">
        <v>84</v>
      </c>
      <c r="C108" s="3" t="s">
        <v>85</v>
      </c>
      <c r="D108" s="3" t="s">
        <v>263</v>
      </c>
      <c r="E108" s="3" t="s">
        <v>264</v>
      </c>
      <c r="F108" s="3">
        <f>VLOOKUP(Table1[[#This Row],[Column2]], TAXONOMY_TYPE, 2, FALSE)</f>
        <v>9121</v>
      </c>
      <c r="G108" s="4">
        <v>33</v>
      </c>
      <c r="H108" s="3" t="s">
        <v>1953</v>
      </c>
      <c r="I108" s="3">
        <f>VLOOKUP(Table1[[#This Row],[Provider Type]] &amp; Table1[[#This Row],[Provider Type Description]], PROVIDER_TYPE, 2, FALSE)</f>
        <v>51</v>
      </c>
      <c r="J108" s="4" t="s">
        <v>238</v>
      </c>
      <c r="K108" s="3" t="s">
        <v>239</v>
      </c>
      <c r="L108" s="3">
        <f>VLOOKUP(TRIM(Table1[[#This Row],[Provider Specialty]]) &amp; TRIM(Table1[[#This Row],[Provider Specialty Description]]), SPECIALTY_TYPE, 2, FALSE)</f>
        <v>2173</v>
      </c>
      <c r="M108" s="3" t="s">
        <v>18</v>
      </c>
      <c r="N108" s="27" t="s">
        <v>19</v>
      </c>
      <c r="O108" s="38">
        <f>VLOOKUP(TRIM(Table1[[#This Row],[Provider Specialty]]) &amp; TRIM(Table1[[#This Row],[Provider Specialty Description]]), SPECIALTY_TYPE, 2, FALSE)</f>
        <v>2173</v>
      </c>
      <c r="P108" s="3" t="str">
        <f>Table1[[#This Row],[Provider Type]] &amp; "+" &amp; Table1[[#This Row],[Provider Type Description]]</f>
        <v>33+Single-Specialty</v>
      </c>
      <c r="Q108" s="7" t="str">
        <f>Table1[[#This Row],[Provider Specialty]] &amp; "+" &amp; Table1[[#This Row],[Provider Specialty Description]]</f>
        <v>083+Family Planning Clinic</v>
      </c>
      <c r="R108" s="7" t="str">
        <f>Table1[[#This Row],[PDMS Specialty Type ID]] &amp; "+" &amp; Table1[[#This Row],[PDMS Provider Type ID]] &amp; "+" &amp;Table1[[#This Row],[TAXONOMY]]</f>
        <v>2173+51+261QF0050X</v>
      </c>
      <c r="S1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(9121, 2173, 51, N'261QF0050X', N'Clinic/Center - Family Planning, Non-Surgical')</v>
      </c>
    </row>
    <row r="109" spans="1:19" ht="47.25" hidden="1" customHeight="1" x14ac:dyDescent="0.25">
      <c r="A109" s="22" t="s">
        <v>11</v>
      </c>
      <c r="B109" s="3" t="s">
        <v>84</v>
      </c>
      <c r="C109" s="3" t="s">
        <v>85</v>
      </c>
      <c r="D109" s="3" t="s">
        <v>293</v>
      </c>
      <c r="E109" s="3" t="s">
        <v>294</v>
      </c>
      <c r="F109" s="3">
        <f>VLOOKUP(Table1[[#This Row],[Column2]], TAXONOMY_TYPE, 2, FALSE)</f>
        <v>9122</v>
      </c>
      <c r="G109" s="4">
        <v>33</v>
      </c>
      <c r="H109" s="3" t="s">
        <v>1953</v>
      </c>
      <c r="I109" s="3">
        <f>VLOOKUP(Table1[[#This Row],[Provider Type]] &amp; Table1[[#This Row],[Provider Type Description]], PROVIDER_TYPE, 2, FALSE)</f>
        <v>51</v>
      </c>
      <c r="J109" s="4" t="s">
        <v>238</v>
      </c>
      <c r="K109" s="3" t="s">
        <v>239</v>
      </c>
      <c r="L109" s="3">
        <f>VLOOKUP(TRIM(Table1[[#This Row],[Provider Specialty]]) &amp; TRIM(Table1[[#This Row],[Provider Specialty Description]]), SPECIALTY_TYPE, 2, FALSE)</f>
        <v>2173</v>
      </c>
      <c r="M109" s="3" t="s">
        <v>18</v>
      </c>
      <c r="N109" s="27" t="s">
        <v>19</v>
      </c>
      <c r="O109" s="38">
        <f>VLOOKUP(TRIM(Table1[[#This Row],[Provider Specialty]]) &amp; TRIM(Table1[[#This Row],[Provider Specialty Description]]), SPECIALTY_TYPE, 2, FALSE)</f>
        <v>2173</v>
      </c>
      <c r="P109" s="3" t="str">
        <f>Table1[[#This Row],[Provider Type]] &amp; "+" &amp; Table1[[#This Row],[Provider Type Description]]</f>
        <v>33+Single-Specialty</v>
      </c>
      <c r="Q109" s="7" t="str">
        <f>Table1[[#This Row],[Provider Specialty]] &amp; "+" &amp; Table1[[#This Row],[Provider Specialty Description]]</f>
        <v>083+Family Planning Clinic</v>
      </c>
      <c r="R109" s="7" t="str">
        <f>Table1[[#This Row],[PDMS Specialty Type ID]] &amp; "+" &amp; Table1[[#This Row],[PDMS Provider Type ID]] &amp; "+" &amp;Table1[[#This Row],[TAXONOMY]]</f>
        <v>2173+51+261QP0905X</v>
      </c>
      <c r="S1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(9122, 2173, 51, N'261QP0905X', N'Clinic/Center - Public Health, State or Local')</v>
      </c>
    </row>
    <row r="110" spans="1:19" ht="47.25" hidden="1" customHeight="1" x14ac:dyDescent="0.25">
      <c r="A110" s="22" t="s">
        <v>227</v>
      </c>
      <c r="B110" s="3" t="s">
        <v>228</v>
      </c>
      <c r="C110" s="3" t="s">
        <v>229</v>
      </c>
      <c r="D110" s="3" t="s">
        <v>229</v>
      </c>
      <c r="E110" s="3" t="s">
        <v>230</v>
      </c>
      <c r="F110" s="3">
        <f>VLOOKUP(Table1[[#This Row],[Column2]], TAXONOMY_TYPE, 2, FALSE)</f>
        <v>9123</v>
      </c>
      <c r="G110" s="4">
        <v>33</v>
      </c>
      <c r="H110" s="3" t="s">
        <v>1953</v>
      </c>
      <c r="I110" s="3">
        <f>VLOOKUP(Table1[[#This Row],[Provider Type]] &amp; Table1[[#This Row],[Provider Type Description]], PROVIDER_TYPE, 2, FALSE)</f>
        <v>51</v>
      </c>
      <c r="J110" s="4" t="s">
        <v>231</v>
      </c>
      <c r="K110" s="3" t="s">
        <v>232</v>
      </c>
      <c r="L110" s="3">
        <f>VLOOKUP(TRIM(Table1[[#This Row],[Provider Specialty]]) &amp; TRIM(Table1[[#This Row],[Provider Specialty Description]]), SPECIALTY_TYPE, 2, FALSE)</f>
        <v>2154</v>
      </c>
      <c r="M110" s="3" t="s">
        <v>18</v>
      </c>
      <c r="N110" s="27" t="s">
        <v>19</v>
      </c>
      <c r="O110" s="38">
        <f>VLOOKUP(TRIM(Table1[[#This Row],[Provider Specialty]]) &amp; TRIM(Table1[[#This Row],[Provider Specialty Description]]), SPECIALTY_TYPE, 2, FALSE)</f>
        <v>2154</v>
      </c>
      <c r="P110" s="3" t="str">
        <f>Table1[[#This Row],[Provider Type]] &amp; "+" &amp; Table1[[#This Row],[Provider Type Description]]</f>
        <v>33+Single-Specialty</v>
      </c>
      <c r="Q110" s="7" t="str">
        <f>Table1[[#This Row],[Provider Specialty]] &amp; "+" &amp; Table1[[#This Row],[Provider Specialty Description]]</f>
        <v>084+Nurse Practitioner Clinic</v>
      </c>
      <c r="R110" s="7" t="str">
        <f>Table1[[#This Row],[PDMS Specialty Type ID]] &amp; "+" &amp; Table1[[#This Row],[PDMS Provider Type ID]] &amp; "+" &amp;Table1[[#This Row],[TAXONOMY]]</f>
        <v>2154+51+363L00000X</v>
      </c>
      <c r="S1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(9123, 2154, 51, N'363L00000X', N'Nurse Practitioner - Nurse Practitioner')</v>
      </c>
    </row>
    <row r="111" spans="1:19" ht="47.25" hidden="1" customHeight="1" x14ac:dyDescent="0.25">
      <c r="A111" s="22" t="s">
        <v>11</v>
      </c>
      <c r="B111" s="3" t="s">
        <v>84</v>
      </c>
      <c r="C111" s="3" t="s">
        <v>85</v>
      </c>
      <c r="D111" s="3" t="s">
        <v>221</v>
      </c>
      <c r="E111" s="3" t="s">
        <v>222</v>
      </c>
      <c r="F111" s="3">
        <f>VLOOKUP(Table1[[#This Row],[Column2]], TAXONOMY_TYPE, 2, FALSE)</f>
        <v>9124</v>
      </c>
      <c r="G111" s="4">
        <v>33</v>
      </c>
      <c r="H111" s="3" t="s">
        <v>1953</v>
      </c>
      <c r="I111" s="3">
        <f>VLOOKUP(Table1[[#This Row],[Provider Type]] &amp; Table1[[#This Row],[Provider Type Description]], PROVIDER_TYPE, 2, FALSE)</f>
        <v>51</v>
      </c>
      <c r="J111" s="4" t="s">
        <v>223</v>
      </c>
      <c r="K111" s="3" t="s">
        <v>224</v>
      </c>
      <c r="L111" s="3">
        <f>VLOOKUP(TRIM(Table1[[#This Row],[Provider Specialty]]) &amp; TRIM(Table1[[#This Row],[Provider Specialty Description]]), SPECIALTY_TYPE, 2, FALSE)</f>
        <v>2177</v>
      </c>
      <c r="M111" s="3" t="s">
        <v>18</v>
      </c>
      <c r="N111" s="27" t="s">
        <v>19</v>
      </c>
      <c r="O111" s="38">
        <f>VLOOKUP(TRIM(Table1[[#This Row],[Provider Specialty]]) &amp; TRIM(Table1[[#This Row],[Provider Specialty Description]]), SPECIALTY_TYPE, 2, FALSE)</f>
        <v>2177</v>
      </c>
      <c r="P111" s="3" t="str">
        <f>Table1[[#This Row],[Provider Type]] &amp; "+" &amp; Table1[[#This Row],[Provider Type Description]]</f>
        <v>33+Single-Specialty</v>
      </c>
      <c r="Q111" s="7" t="str">
        <f>Table1[[#This Row],[Provider Specialty]] &amp; "+" &amp; Table1[[#This Row],[Provider Specialty Description]]</f>
        <v>085+EPSDT Clinic</v>
      </c>
      <c r="R111" s="7" t="str">
        <f>Table1[[#This Row],[PDMS Specialty Type ID]] &amp; "+" &amp; Table1[[#This Row],[PDMS Provider Type ID]] &amp; "+" &amp;Table1[[#This Row],[TAXONOMY]]</f>
        <v>2177+51+261QP0904X</v>
      </c>
      <c r="S1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(9124, 2177, 51, N'261QP0904X', N'Clinic/Center - Public Health, Federal')</v>
      </c>
    </row>
    <row r="112" spans="1:19" ht="47.25" hidden="1" customHeight="1" x14ac:dyDescent="0.25">
      <c r="A112" s="22" t="s">
        <v>11</v>
      </c>
      <c r="B112" s="3" t="s">
        <v>84</v>
      </c>
      <c r="C112" s="3" t="s">
        <v>85</v>
      </c>
      <c r="D112" s="3" t="s">
        <v>253</v>
      </c>
      <c r="E112" s="3" t="s">
        <v>254</v>
      </c>
      <c r="F112" s="3">
        <f>VLOOKUP(Table1[[#This Row],[Column2]], TAXONOMY_TYPE, 2, FALSE)</f>
        <v>9125</v>
      </c>
      <c r="G112" s="4">
        <v>33</v>
      </c>
      <c r="H112" s="3" t="s">
        <v>1953</v>
      </c>
      <c r="I112" s="3">
        <f>VLOOKUP(Table1[[#This Row],[Provider Type]] &amp; Table1[[#This Row],[Provider Type Description]], PROVIDER_TYPE, 2, FALSE)</f>
        <v>51</v>
      </c>
      <c r="J112" s="4" t="s">
        <v>255</v>
      </c>
      <c r="K112" s="3" t="s">
        <v>256</v>
      </c>
      <c r="L112" s="3">
        <f>VLOOKUP(TRIM(Table1[[#This Row],[Provider Specialty]]) &amp; TRIM(Table1[[#This Row],[Provider Specialty Description]]), SPECIALTY_TYPE, 2, FALSE)</f>
        <v>2136</v>
      </c>
      <c r="M112" s="3" t="s">
        <v>18</v>
      </c>
      <c r="N112" s="27" t="s">
        <v>19</v>
      </c>
      <c r="O112" s="38">
        <f>VLOOKUP(TRIM(Table1[[#This Row],[Provider Specialty]]) &amp; TRIM(Table1[[#This Row],[Provider Specialty Description]]), SPECIALTY_TYPE, 2, FALSE)</f>
        <v>2136</v>
      </c>
      <c r="P112" s="3" t="str">
        <f>Table1[[#This Row],[Provider Type]] &amp; "+" &amp; Table1[[#This Row],[Provider Type Description]]</f>
        <v>33+Single-Specialty</v>
      </c>
      <c r="Q112" s="7" t="str">
        <f>Table1[[#This Row],[Provider Specialty]] &amp; "+" &amp; Table1[[#This Row],[Provider Specialty Description]]</f>
        <v>086+Dental Clinic</v>
      </c>
      <c r="R112" s="7" t="str">
        <f>Table1[[#This Row],[PDMS Specialty Type ID]] &amp; "+" &amp; Table1[[#This Row],[PDMS Provider Type ID]] &amp; "+" &amp;Table1[[#This Row],[TAXONOMY]]</f>
        <v>2136+51+261QD0000X</v>
      </c>
      <c r="S1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(9125, 2136, 51, N'261QD0000X', N'Clinic/Center - Dental')</v>
      </c>
    </row>
    <row r="113" spans="1:19" ht="47.25" hidden="1" customHeight="1" x14ac:dyDescent="0.25">
      <c r="A113" s="22" t="s">
        <v>11</v>
      </c>
      <c r="B113" s="3" t="s">
        <v>84</v>
      </c>
      <c r="C113" s="3" t="s">
        <v>85</v>
      </c>
      <c r="D113" s="3" t="s">
        <v>271</v>
      </c>
      <c r="E113" s="3" t="s">
        <v>272</v>
      </c>
      <c r="F113" s="3">
        <f>VLOOKUP(Table1[[#This Row],[Column2]], TAXONOMY_TYPE, 2, FALSE)</f>
        <v>9126</v>
      </c>
      <c r="G113" s="4">
        <v>33</v>
      </c>
      <c r="H113" s="3" t="s">
        <v>1953</v>
      </c>
      <c r="I113" s="3">
        <f>VLOOKUP(Table1[[#This Row],[Provider Type]] &amp; Table1[[#This Row],[Provider Type Description]], PROVIDER_TYPE, 2, FALSE)</f>
        <v>51</v>
      </c>
      <c r="J113" s="4" t="s">
        <v>273</v>
      </c>
      <c r="K113" s="3" t="s">
        <v>274</v>
      </c>
      <c r="L113" s="3">
        <f>VLOOKUP(TRIM(Table1[[#This Row],[Provider Specialty]]) &amp; TRIM(Table1[[#This Row],[Provider Specialty Description]]), SPECIALTY_TYPE, 2, FALSE)</f>
        <v>2170</v>
      </c>
      <c r="M113" s="3" t="s">
        <v>18</v>
      </c>
      <c r="N113" s="27" t="s">
        <v>19</v>
      </c>
      <c r="O113" s="38">
        <f>VLOOKUP(TRIM(Table1[[#This Row],[Provider Specialty]]) &amp; TRIM(Table1[[#This Row],[Provider Specialty Description]]), SPECIALTY_TYPE, 2, FALSE)</f>
        <v>2170</v>
      </c>
      <c r="P113" s="3" t="str">
        <f>Table1[[#This Row],[Provider Type]] &amp; "+" &amp; Table1[[#This Row],[Provider Type Description]]</f>
        <v>33+Single-Specialty</v>
      </c>
      <c r="Q113" s="7" t="str">
        <f>Table1[[#This Row],[Provider Specialty]] &amp; "+" &amp; Table1[[#This Row],[Provider Specialty Description]]</f>
        <v>087+Therapy Clinic</v>
      </c>
      <c r="R113" s="7" t="str">
        <f>Table1[[#This Row],[PDMS Specialty Type ID]] &amp; "+" &amp; Table1[[#This Row],[PDMS Provider Type ID]] &amp; "+" &amp;Table1[[#This Row],[TAXONOMY]]</f>
        <v>2170+51+261QI0500X</v>
      </c>
      <c r="S1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(9126, 2170, 51, N'261QI0500X', N'Clinic/Center - Infusion Therapy')</v>
      </c>
    </row>
    <row r="114" spans="1:19" ht="47.25" hidden="1" customHeight="1" x14ac:dyDescent="0.25">
      <c r="A114" s="22" t="s">
        <v>11</v>
      </c>
      <c r="B114" s="3" t="s">
        <v>84</v>
      </c>
      <c r="C114" s="3" t="s">
        <v>85</v>
      </c>
      <c r="D114" s="3" t="s">
        <v>297</v>
      </c>
      <c r="E114" s="3" t="s">
        <v>298</v>
      </c>
      <c r="F114" s="3">
        <f>VLOOKUP(Table1[[#This Row],[Column2]], TAXONOMY_TYPE, 2, FALSE)</f>
        <v>9127</v>
      </c>
      <c r="G114" s="4">
        <v>33</v>
      </c>
      <c r="H114" s="3" t="s">
        <v>1953</v>
      </c>
      <c r="I114" s="3">
        <f>VLOOKUP(Table1[[#This Row],[Provider Type]] &amp; Table1[[#This Row],[Provider Type Description]], PROVIDER_TYPE, 2, FALSE)</f>
        <v>51</v>
      </c>
      <c r="J114" s="4" t="s">
        <v>273</v>
      </c>
      <c r="K114" s="3" t="s">
        <v>274</v>
      </c>
      <c r="L114" s="3">
        <f>VLOOKUP(TRIM(Table1[[#This Row],[Provider Specialty]]) &amp; TRIM(Table1[[#This Row],[Provider Specialty Description]]), SPECIALTY_TYPE, 2, FALSE)</f>
        <v>2170</v>
      </c>
      <c r="M114" s="3" t="s">
        <v>18</v>
      </c>
      <c r="N114" s="27" t="s">
        <v>19</v>
      </c>
      <c r="O114" s="38">
        <f>VLOOKUP(TRIM(Table1[[#This Row],[Provider Specialty]]) &amp; TRIM(Table1[[#This Row],[Provider Specialty Description]]), SPECIALTY_TYPE, 2, FALSE)</f>
        <v>2170</v>
      </c>
      <c r="P114" s="3" t="str">
        <f>Table1[[#This Row],[Provider Type]] &amp; "+" &amp; Table1[[#This Row],[Provider Type Description]]</f>
        <v>33+Single-Specialty</v>
      </c>
      <c r="Q114" s="7" t="str">
        <f>Table1[[#This Row],[Provider Specialty]] &amp; "+" &amp; Table1[[#This Row],[Provider Specialty Description]]</f>
        <v>087+Therapy Clinic</v>
      </c>
      <c r="R114" s="7" t="str">
        <f>Table1[[#This Row],[PDMS Specialty Type ID]] &amp; "+" &amp; Table1[[#This Row],[PDMS Provider Type ID]] &amp; "+" &amp;Table1[[#This Row],[TAXONOMY]]</f>
        <v>2170+51+261QP2000X</v>
      </c>
      <c r="S1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(9127, 2170, 51, N'261QP2000X', N'Clinic/Center - Physical Therapy')</v>
      </c>
    </row>
    <row r="115" spans="1:19" ht="47.25" hidden="1" customHeight="1" x14ac:dyDescent="0.25">
      <c r="A115" s="22" t="s">
        <v>11</v>
      </c>
      <c r="B115" s="3" t="s">
        <v>84</v>
      </c>
      <c r="C115" s="3" t="s">
        <v>85</v>
      </c>
      <c r="D115" s="3" t="s">
        <v>204</v>
      </c>
      <c r="E115" s="3" t="s">
        <v>205</v>
      </c>
      <c r="F115" s="3">
        <f>VLOOKUP(Table1[[#This Row],[Column2]], TAXONOMY_TYPE, 2, FALSE)</f>
        <v>9128</v>
      </c>
      <c r="G115" s="4">
        <v>33</v>
      </c>
      <c r="H115" s="3" t="s">
        <v>1953</v>
      </c>
      <c r="I115" s="3">
        <f>VLOOKUP(Table1[[#This Row],[Provider Type]] &amp; Table1[[#This Row],[Provider Type Description]], PROVIDER_TYPE, 2, FALSE)</f>
        <v>51</v>
      </c>
      <c r="J115" s="4" t="s">
        <v>211</v>
      </c>
      <c r="K115" s="3" t="s">
        <v>212</v>
      </c>
      <c r="L115" s="3">
        <f>VLOOKUP(TRIM(Table1[[#This Row],[Provider Specialty]]) &amp; TRIM(Table1[[#This Row],[Provider Specialty Description]]), SPECIALTY_TYPE, 2, FALSE)</f>
        <v>2156</v>
      </c>
      <c r="M115" s="3" t="s">
        <v>18</v>
      </c>
      <c r="N115" s="27" t="s">
        <v>19</v>
      </c>
      <c r="O115" s="38">
        <f>VLOOKUP(TRIM(Table1[[#This Row],[Provider Specialty]]) &amp; TRIM(Table1[[#This Row],[Provider Specialty Description]]), SPECIALTY_TYPE, 2, FALSE)</f>
        <v>2156</v>
      </c>
      <c r="P115" s="3" t="str">
        <f>Table1[[#This Row],[Provider Type]] &amp; "+" &amp; Table1[[#This Row],[Provider Type Description]]</f>
        <v>33+Single-Specialty</v>
      </c>
      <c r="Q115" s="7" t="str">
        <f>Table1[[#This Row],[Provider Specialty]] &amp; "+" &amp; Table1[[#This Row],[Provider Specialty Description]]</f>
        <v>088+Pediatric Clinic</v>
      </c>
      <c r="R115" s="7" t="str">
        <f>Table1[[#This Row],[PDMS Specialty Type ID]] &amp; "+" &amp; Table1[[#This Row],[PDMS Provider Type ID]] &amp; "+" &amp;Table1[[#This Row],[TAXONOMY]]</f>
        <v>2156+51+261QH0100X</v>
      </c>
      <c r="S1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(9128, 2156, 51, N'261QH0100X', N'Clinic/Center - Health Service')</v>
      </c>
    </row>
    <row r="116" spans="1:19" ht="47.25" hidden="1" customHeight="1" x14ac:dyDescent="0.25">
      <c r="A116" s="22" t="s">
        <v>11</v>
      </c>
      <c r="B116" s="3" t="s">
        <v>84</v>
      </c>
      <c r="C116" s="3" t="s">
        <v>85</v>
      </c>
      <c r="D116" s="3" t="s">
        <v>217</v>
      </c>
      <c r="E116" s="3" t="s">
        <v>218</v>
      </c>
      <c r="F116" s="3">
        <f>VLOOKUP(Table1[[#This Row],[Column2]], TAXONOMY_TYPE, 2, FALSE)</f>
        <v>9129</v>
      </c>
      <c r="G116" s="4">
        <v>33</v>
      </c>
      <c r="H116" s="3" t="s">
        <v>1953</v>
      </c>
      <c r="I116" s="3">
        <f>VLOOKUP(Table1[[#This Row],[Provider Type]] &amp; Table1[[#This Row],[Provider Type Description]], PROVIDER_TYPE, 2, FALSE)</f>
        <v>51</v>
      </c>
      <c r="J116" s="4" t="s">
        <v>211</v>
      </c>
      <c r="K116" s="3" t="s">
        <v>212</v>
      </c>
      <c r="L116" s="3">
        <f>VLOOKUP(TRIM(Table1[[#This Row],[Provider Specialty]]) &amp; TRIM(Table1[[#This Row],[Provider Specialty Description]]), SPECIALTY_TYPE, 2, FALSE)</f>
        <v>2156</v>
      </c>
      <c r="M116" s="3" t="s">
        <v>18</v>
      </c>
      <c r="N116" s="27" t="s">
        <v>19</v>
      </c>
      <c r="O116" s="38">
        <f>VLOOKUP(TRIM(Table1[[#This Row],[Provider Specialty]]) &amp; TRIM(Table1[[#This Row],[Provider Specialty Description]]), SPECIALTY_TYPE, 2, FALSE)</f>
        <v>2156</v>
      </c>
      <c r="P116" s="3" t="str">
        <f>Table1[[#This Row],[Provider Type]] &amp; "+" &amp; Table1[[#This Row],[Provider Type Description]]</f>
        <v>33+Single-Specialty</v>
      </c>
      <c r="Q116" s="7" t="str">
        <f>Table1[[#This Row],[Provider Specialty]] &amp; "+" &amp; Table1[[#This Row],[Provider Specialty Description]]</f>
        <v>088+Pediatric Clinic</v>
      </c>
      <c r="R116" s="7" t="str">
        <f>Table1[[#This Row],[PDMS Specialty Type ID]] &amp; "+" &amp; Table1[[#This Row],[PDMS Provider Type ID]] &amp; "+" &amp;Table1[[#This Row],[TAXONOMY]]</f>
        <v>2156+51+261QM0855X</v>
      </c>
      <c r="S1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(9129, 2156, 51, N'261QM0855X', N'Clinic/Center - Adolescent and Children Mental Health')</v>
      </c>
    </row>
    <row r="117" spans="1:19" ht="47.25" hidden="1" customHeight="1" x14ac:dyDescent="0.25">
      <c r="A117" s="22" t="s">
        <v>11</v>
      </c>
      <c r="B117" s="3" t="s">
        <v>84</v>
      </c>
      <c r="C117" s="3" t="s">
        <v>85</v>
      </c>
      <c r="D117" s="3" t="s">
        <v>219</v>
      </c>
      <c r="E117" s="3" t="s">
        <v>220</v>
      </c>
      <c r="F117" s="3">
        <f>VLOOKUP(Table1[[#This Row],[Column2]], TAXONOMY_TYPE, 2, FALSE)</f>
        <v>9130</v>
      </c>
      <c r="G117" s="4">
        <v>33</v>
      </c>
      <c r="H117" s="3" t="s">
        <v>1953</v>
      </c>
      <c r="I117" s="3">
        <f>VLOOKUP(Table1[[#This Row],[Provider Type]] &amp; Table1[[#This Row],[Provider Type Description]], PROVIDER_TYPE, 2, FALSE)</f>
        <v>51</v>
      </c>
      <c r="J117" s="4" t="s">
        <v>211</v>
      </c>
      <c r="K117" s="3" t="s">
        <v>212</v>
      </c>
      <c r="L117" s="3">
        <f>VLOOKUP(TRIM(Table1[[#This Row],[Provider Specialty]]) &amp; TRIM(Table1[[#This Row],[Provider Specialty Description]]), SPECIALTY_TYPE, 2, FALSE)</f>
        <v>2156</v>
      </c>
      <c r="M117" s="3" t="s">
        <v>18</v>
      </c>
      <c r="N117" s="27" t="s">
        <v>19</v>
      </c>
      <c r="O117" s="38">
        <f>VLOOKUP(TRIM(Table1[[#This Row],[Provider Specialty]]) &amp; TRIM(Table1[[#This Row],[Provider Specialty Description]]), SPECIALTY_TYPE, 2, FALSE)</f>
        <v>2156</v>
      </c>
      <c r="P117" s="3" t="str">
        <f>Table1[[#This Row],[Provider Type]] &amp; "+" &amp; Table1[[#This Row],[Provider Type Description]]</f>
        <v>33+Single-Specialty</v>
      </c>
      <c r="Q117" s="7" t="str">
        <f>Table1[[#This Row],[Provider Specialty]] &amp; "+" &amp; Table1[[#This Row],[Provider Specialty Description]]</f>
        <v>088+Pediatric Clinic</v>
      </c>
      <c r="R117" s="7" t="str">
        <f>Table1[[#This Row],[PDMS Specialty Type ID]] &amp; "+" &amp; Table1[[#This Row],[PDMS Provider Type ID]] &amp; "+" &amp;Table1[[#This Row],[TAXONOMY]]</f>
        <v>2156+51+261QM3000X</v>
      </c>
      <c r="S1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(9130, 2156, 51, N'261QM3000X', N'Clinic/Center - Medically Fragile Infants and Children Day Care')</v>
      </c>
    </row>
    <row r="118" spans="1:19" ht="47.25" hidden="1" customHeight="1" x14ac:dyDescent="0.25">
      <c r="A118" s="22" t="s">
        <v>11</v>
      </c>
      <c r="B118" s="3" t="s">
        <v>84</v>
      </c>
      <c r="C118" s="3" t="s">
        <v>85</v>
      </c>
      <c r="D118" s="3" t="s">
        <v>204</v>
      </c>
      <c r="E118" s="3" t="s">
        <v>205</v>
      </c>
      <c r="F118" s="3">
        <f>VLOOKUP(Table1[[#This Row],[Column2]], TAXONOMY_TYPE, 2, FALSE)</f>
        <v>9131</v>
      </c>
      <c r="G118" s="4">
        <v>33</v>
      </c>
      <c r="H118" s="3" t="s">
        <v>1953</v>
      </c>
      <c r="I118" s="3">
        <f>VLOOKUP(Table1[[#This Row],[Provider Type]] &amp; Table1[[#This Row],[Provider Type Description]], PROVIDER_TYPE, 2, FALSE)</f>
        <v>51</v>
      </c>
      <c r="J118" s="4" t="s">
        <v>213</v>
      </c>
      <c r="K118" s="3" t="s">
        <v>214</v>
      </c>
      <c r="L118" s="3">
        <f>VLOOKUP(TRIM(Table1[[#This Row],[Provider Specialty]]) &amp; TRIM(Table1[[#This Row],[Provider Specialty Description]]), SPECIALTY_TYPE, 2, FALSE)</f>
        <v>2176</v>
      </c>
      <c r="M118" s="3" t="s">
        <v>18</v>
      </c>
      <c r="N118" s="27" t="s">
        <v>19</v>
      </c>
      <c r="O118" s="38">
        <f>VLOOKUP(TRIM(Table1[[#This Row],[Provider Specialty]]) &amp; TRIM(Table1[[#This Row],[Provider Specialty Description]]), SPECIALTY_TYPE, 2, FALSE)</f>
        <v>2176</v>
      </c>
      <c r="P118" s="3" t="str">
        <f>Table1[[#This Row],[Provider Type]] &amp; "+" &amp; Table1[[#This Row],[Provider Type Description]]</f>
        <v>33+Single-Specialty</v>
      </c>
      <c r="Q118" s="7" t="str">
        <f>Table1[[#This Row],[Provider Specialty]] &amp; "+" &amp; Table1[[#This Row],[Provider Specialty Description]]</f>
        <v>089+Tuberculosis Clinic</v>
      </c>
      <c r="R118" s="7" t="str">
        <f>Table1[[#This Row],[PDMS Specialty Type ID]] &amp; "+" &amp; Table1[[#This Row],[PDMS Provider Type ID]] &amp; "+" &amp;Table1[[#This Row],[TAXONOMY]]</f>
        <v>2176+51+261QH0100X</v>
      </c>
      <c r="S1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(9131, 2176, 51, N'261QH0100X', N'Clinic/Center - Health Service')</v>
      </c>
    </row>
    <row r="119" spans="1:19" ht="47.25" hidden="1" customHeight="1" x14ac:dyDescent="0.25">
      <c r="A119" s="22" t="s">
        <v>11</v>
      </c>
      <c r="B119" s="3" t="s">
        <v>84</v>
      </c>
      <c r="C119" s="3" t="s">
        <v>85</v>
      </c>
      <c r="D119" s="3" t="s">
        <v>204</v>
      </c>
      <c r="E119" s="3" t="s">
        <v>205</v>
      </c>
      <c r="F119" s="3">
        <f>VLOOKUP(Table1[[#This Row],[Column2]], TAXONOMY_TYPE, 2, FALSE)</f>
        <v>9132</v>
      </c>
      <c r="G119" s="4">
        <v>33</v>
      </c>
      <c r="H119" s="3" t="s">
        <v>1953</v>
      </c>
      <c r="I119" s="3">
        <f>VLOOKUP(Table1[[#This Row],[Provider Type]] &amp; Table1[[#This Row],[Provider Type Description]], PROVIDER_TYPE, 2, FALSE)</f>
        <v>51</v>
      </c>
      <c r="J119" s="4">
        <v>181</v>
      </c>
      <c r="K119" s="3" t="s">
        <v>208</v>
      </c>
      <c r="L119" s="3">
        <f>VLOOKUP(TRIM(Table1[[#This Row],[Provider Specialty]]) &amp; TRIM(Table1[[#This Row],[Provider Specialty Description]]), SPECIALTY_TYPE, 2, FALSE)</f>
        <v>2150</v>
      </c>
      <c r="M119" s="3" t="s">
        <v>18</v>
      </c>
      <c r="N119" s="27" t="s">
        <v>19</v>
      </c>
      <c r="O119" s="38">
        <f>VLOOKUP(TRIM(Table1[[#This Row],[Provider Specialty]]) &amp; TRIM(Table1[[#This Row],[Provider Specialty Description]]), SPECIALTY_TYPE, 2, FALSE)</f>
        <v>2150</v>
      </c>
      <c r="P119" s="3" t="str">
        <f>Table1[[#This Row],[Provider Type]] &amp; "+" &amp; Table1[[#This Row],[Provider Type Description]]</f>
        <v>33+Single-Specialty</v>
      </c>
      <c r="Q119" s="7" t="str">
        <f>Table1[[#This Row],[Provider Specialty]] &amp; "+" &amp; Table1[[#This Row],[Provider Specialty Description]]</f>
        <v>181+Maternity</v>
      </c>
      <c r="R119" s="7" t="str">
        <f>Table1[[#This Row],[PDMS Specialty Type ID]] &amp; "+" &amp; Table1[[#This Row],[PDMS Provider Type ID]] &amp; "+" &amp;Table1[[#This Row],[TAXONOMY]]</f>
        <v>2150+51+261QH0100X</v>
      </c>
      <c r="S1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(9132, 2150, 51, N'261QH0100X', N'Clinic/Center - Health Service')</v>
      </c>
    </row>
    <row r="120" spans="1:19" ht="47.25" hidden="1" customHeight="1" x14ac:dyDescent="0.25">
      <c r="A120" s="22" t="s">
        <v>11</v>
      </c>
      <c r="B120" s="3" t="s">
        <v>84</v>
      </c>
      <c r="C120" s="3" t="s">
        <v>85</v>
      </c>
      <c r="D120" s="3" t="s">
        <v>204</v>
      </c>
      <c r="E120" s="3" t="s">
        <v>205</v>
      </c>
      <c r="F120" s="3">
        <f>VLOOKUP(Table1[[#This Row],[Column2]], TAXONOMY_TYPE, 2, FALSE)</f>
        <v>9133</v>
      </c>
      <c r="G120" s="4">
        <v>33</v>
      </c>
      <c r="H120" s="3" t="s">
        <v>1953</v>
      </c>
      <c r="I120" s="3">
        <f>VLOOKUP(Table1[[#This Row],[Provider Type]] &amp; Table1[[#This Row],[Provider Type Description]], PROVIDER_TYPE, 2, FALSE)</f>
        <v>51</v>
      </c>
      <c r="J120" s="4">
        <v>182</v>
      </c>
      <c r="K120" s="3" t="s">
        <v>209</v>
      </c>
      <c r="L120" s="3">
        <f>VLOOKUP(TRIM(Table1[[#This Row],[Provider Specialty]]) &amp; TRIM(Table1[[#This Row],[Provider Specialty Description]]), SPECIALTY_TYPE, 2, FALSE)</f>
        <v>2168</v>
      </c>
      <c r="M120" s="3" t="s">
        <v>18</v>
      </c>
      <c r="N120" s="27" t="s">
        <v>19</v>
      </c>
      <c r="O120" s="38">
        <f>VLOOKUP(TRIM(Table1[[#This Row],[Provider Specialty]]) &amp; TRIM(Table1[[#This Row],[Provider Specialty Description]]), SPECIALTY_TYPE, 2, FALSE)</f>
        <v>2168</v>
      </c>
      <c r="P120" s="3" t="str">
        <f>Table1[[#This Row],[Provider Type]] &amp; "+" &amp; Table1[[#This Row],[Provider Type Description]]</f>
        <v>33+Single-Specialty</v>
      </c>
      <c r="Q120" s="7" t="str">
        <f>Table1[[#This Row],[Provider Specialty]] &amp; "+" &amp; Table1[[#This Row],[Provider Specialty Description]]</f>
        <v>182+Speech/Hearing Clinic</v>
      </c>
      <c r="R120" s="7" t="str">
        <f>Table1[[#This Row],[PDMS Specialty Type ID]] &amp; "+" &amp; Table1[[#This Row],[PDMS Provider Type ID]] &amp; "+" &amp;Table1[[#This Row],[TAXONOMY]]</f>
        <v>2168+51+261QH0100X</v>
      </c>
      <c r="S1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(9133, 2168, 51, N'261QH0100X', N'Clinic/Center - Health Service')</v>
      </c>
    </row>
    <row r="121" spans="1:19" ht="47.25" hidden="1" customHeight="1" x14ac:dyDescent="0.25">
      <c r="A121" s="22" t="s">
        <v>11</v>
      </c>
      <c r="B121" s="3" t="s">
        <v>84</v>
      </c>
      <c r="C121" s="3" t="s">
        <v>85</v>
      </c>
      <c r="D121" s="3" t="s">
        <v>215</v>
      </c>
      <c r="E121" s="3" t="s">
        <v>216</v>
      </c>
      <c r="F121" s="3">
        <f>VLOOKUP(Table1[[#This Row],[Column2]], TAXONOMY_TYPE, 2, FALSE)</f>
        <v>9134</v>
      </c>
      <c r="G121" s="4">
        <v>33</v>
      </c>
      <c r="H121" s="3" t="s">
        <v>1953</v>
      </c>
      <c r="I121" s="3">
        <f>VLOOKUP(Table1[[#This Row],[Provider Type]] &amp; Table1[[#This Row],[Provider Type Description]], PROVIDER_TYPE, 2, FALSE)</f>
        <v>51</v>
      </c>
      <c r="J121" s="3">
        <v>182</v>
      </c>
      <c r="K121" s="3" t="s">
        <v>209</v>
      </c>
      <c r="L121" s="3">
        <f>VLOOKUP(TRIM(Table1[[#This Row],[Provider Specialty]]) &amp; TRIM(Table1[[#This Row],[Provider Specialty Description]]), SPECIALTY_TYPE, 2, FALSE)</f>
        <v>2168</v>
      </c>
      <c r="M121" s="3" t="s">
        <v>18</v>
      </c>
      <c r="N121" s="27" t="s">
        <v>19</v>
      </c>
      <c r="O121" s="38">
        <f>VLOOKUP(TRIM(Table1[[#This Row],[Provider Specialty]]) &amp; TRIM(Table1[[#This Row],[Provider Specialty Description]]), SPECIALTY_TYPE, 2, FALSE)</f>
        <v>2168</v>
      </c>
      <c r="P121" s="3" t="str">
        <f>Table1[[#This Row],[Provider Type]] &amp; "+" &amp; Table1[[#This Row],[Provider Type Description]]</f>
        <v>33+Single-Specialty</v>
      </c>
      <c r="Q121" s="7" t="str">
        <f>Table1[[#This Row],[Provider Specialty]] &amp; "+" &amp; Table1[[#This Row],[Provider Specialty Description]]</f>
        <v>182+Speech/Hearing Clinic</v>
      </c>
      <c r="R121" s="7" t="str">
        <f>Table1[[#This Row],[PDMS Specialty Type ID]] &amp; "+" &amp; Table1[[#This Row],[PDMS Provider Type ID]] &amp; "+" &amp;Table1[[#This Row],[TAXONOMY]]</f>
        <v>2168+51+261QH0700X</v>
      </c>
      <c r="S1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(9134, 2168, 51, N'261QH0700X', N'Clinic/Center - Hearing and Speech')</v>
      </c>
    </row>
    <row r="122" spans="1:19" ht="47.25" hidden="1" customHeight="1" x14ac:dyDescent="0.25">
      <c r="A122" s="22" t="s">
        <v>11</v>
      </c>
      <c r="B122" s="3" t="s">
        <v>84</v>
      </c>
      <c r="C122" s="3" t="s">
        <v>85</v>
      </c>
      <c r="D122" s="3" t="s">
        <v>204</v>
      </c>
      <c r="E122" s="3" t="s">
        <v>205</v>
      </c>
      <c r="F122" s="3">
        <f>VLOOKUP(Table1[[#This Row],[Column2]], TAXONOMY_TYPE, 2, FALSE)</f>
        <v>9135</v>
      </c>
      <c r="G122" s="4">
        <v>33</v>
      </c>
      <c r="H122" s="3" t="s">
        <v>1953</v>
      </c>
      <c r="I122" s="3">
        <f>VLOOKUP(Table1[[#This Row],[Provider Type]] &amp; Table1[[#This Row],[Provider Type Description]], PROVIDER_TYPE, 2, FALSE)</f>
        <v>51</v>
      </c>
      <c r="J122" s="4">
        <v>183</v>
      </c>
      <c r="K122" s="3" t="s">
        <v>210</v>
      </c>
      <c r="L122" s="3">
        <f>VLOOKUP(TRIM(Table1[[#This Row],[Provider Specialty]]) &amp; TRIM(Table1[[#This Row],[Provider Specialty Description]]), SPECIALTY_TYPE, 2, FALSE)</f>
        <v>2138</v>
      </c>
      <c r="M122" s="3" t="s">
        <v>18</v>
      </c>
      <c r="N122" s="27" t="s">
        <v>19</v>
      </c>
      <c r="O122" s="38">
        <f>VLOOKUP(TRIM(Table1[[#This Row],[Provider Specialty]]) &amp; TRIM(Table1[[#This Row],[Provider Specialty Description]]), SPECIALTY_TYPE, 2, FALSE)</f>
        <v>2138</v>
      </c>
      <c r="P122" s="3" t="str">
        <f>Table1[[#This Row],[Provider Type]] &amp; "+" &amp; Table1[[#This Row],[Provider Type Description]]</f>
        <v>33+Single-Specialty</v>
      </c>
      <c r="Q122" s="7" t="str">
        <f>Table1[[#This Row],[Provider Specialty]] &amp; "+" &amp; Table1[[#This Row],[Provider Specialty Description]]</f>
        <v>183+Early Intervention Services</v>
      </c>
      <c r="R122" s="7" t="str">
        <f>Table1[[#This Row],[PDMS Specialty Type ID]] &amp; "+" &amp; Table1[[#This Row],[PDMS Provider Type ID]] &amp; "+" &amp;Table1[[#This Row],[TAXONOMY]]</f>
        <v>2138+51+261QH0100X</v>
      </c>
      <c r="S1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(9135, 2138, 51, N'261QH0100X', N'Clinic/Center - Health Service')</v>
      </c>
    </row>
    <row r="123" spans="1:19" ht="47.25" hidden="1" customHeight="1" x14ac:dyDescent="0.25">
      <c r="A123" s="22" t="s">
        <v>11</v>
      </c>
      <c r="B123" s="3" t="s">
        <v>84</v>
      </c>
      <c r="C123" s="3" t="s">
        <v>85</v>
      </c>
      <c r="D123" s="3" t="s">
        <v>248</v>
      </c>
      <c r="E123" s="3" t="s">
        <v>249</v>
      </c>
      <c r="F123" s="3">
        <f>VLOOKUP(Table1[[#This Row],[Column2]], TAXONOMY_TYPE, 2, FALSE)</f>
        <v>9136</v>
      </c>
      <c r="G123" s="4">
        <v>33</v>
      </c>
      <c r="H123" s="3" t="s">
        <v>1953</v>
      </c>
      <c r="I123" s="3">
        <f>VLOOKUP(Table1[[#This Row],[Provider Type]] &amp; Table1[[#This Row],[Provider Type Description]], PROVIDER_TYPE, 2, FALSE)</f>
        <v>51</v>
      </c>
      <c r="J123" s="3">
        <v>186</v>
      </c>
      <c r="K123" s="3" t="s">
        <v>250</v>
      </c>
      <c r="L123" s="3">
        <f>VLOOKUP(TRIM(Table1[[#This Row],[Provider Specialty]]) &amp; TRIM(Table1[[#This Row],[Provider Specialty Description]]), SPECIALTY_TYPE, 2, FALSE)</f>
        <v>2133</v>
      </c>
      <c r="M123" s="3" t="s">
        <v>18</v>
      </c>
      <c r="N123" s="27" t="s">
        <v>19</v>
      </c>
      <c r="O123" s="38">
        <f>VLOOKUP(TRIM(Table1[[#This Row],[Provider Specialty]]) &amp; TRIM(Table1[[#This Row],[Provider Specialty Description]]), SPECIALTY_TYPE, 2, FALSE)</f>
        <v>2133</v>
      </c>
      <c r="P123" s="3" t="str">
        <f>Table1[[#This Row],[Provider Type]] &amp; "+" &amp; Table1[[#This Row],[Provider Type Description]]</f>
        <v>33+Single-Specialty</v>
      </c>
      <c r="Q123" s="7" t="str">
        <f>Table1[[#This Row],[Provider Specialty]] &amp; "+" &amp; Table1[[#This Row],[Provider Specialty Description]]</f>
        <v>186+Community Health</v>
      </c>
      <c r="R123" s="7" t="str">
        <f>Table1[[#This Row],[PDMS Specialty Type ID]] &amp; "+" &amp; Table1[[#This Row],[PDMS Provider Type ID]] &amp; "+" &amp;Table1[[#This Row],[TAXONOMY]]</f>
        <v>2133+51+261QC1500X</v>
      </c>
      <c r="S1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(9136, 2133, 51, N'261QC1500X', N'Clinic/Center - Community Health')</v>
      </c>
    </row>
    <row r="124" spans="1:19" ht="47.25" hidden="1" customHeight="1" thickBot="1" x14ac:dyDescent="0.3">
      <c r="A124" s="23" t="s">
        <v>11</v>
      </c>
      <c r="B124" s="19" t="s">
        <v>84</v>
      </c>
      <c r="C124" s="19" t="s">
        <v>85</v>
      </c>
      <c r="D124" s="19" t="s">
        <v>251</v>
      </c>
      <c r="E124" s="19" t="s">
        <v>252</v>
      </c>
      <c r="F124" s="3">
        <f>VLOOKUP(Table1[[#This Row],[Column2]], TAXONOMY_TYPE, 2, FALSE)</f>
        <v>9137</v>
      </c>
      <c r="G124" s="4">
        <v>33</v>
      </c>
      <c r="H124" s="3" t="s">
        <v>1953</v>
      </c>
      <c r="I124" s="3">
        <f>VLOOKUP(Table1[[#This Row],[Provider Type]] &amp; Table1[[#This Row],[Provider Type Description]], PROVIDER_TYPE, 2, FALSE)</f>
        <v>51</v>
      </c>
      <c r="J124" s="19">
        <v>186</v>
      </c>
      <c r="K124" s="19" t="s">
        <v>250</v>
      </c>
      <c r="L124" s="19">
        <f>VLOOKUP(TRIM(Table1[[#This Row],[Provider Specialty]]) &amp; TRIM(Table1[[#This Row],[Provider Specialty Description]]), SPECIALTY_TYPE, 2, FALSE)</f>
        <v>2133</v>
      </c>
      <c r="M124" s="19" t="s">
        <v>18</v>
      </c>
      <c r="N124" s="27" t="s">
        <v>19</v>
      </c>
      <c r="O124" s="38">
        <f>VLOOKUP(TRIM(Table1[[#This Row],[Provider Specialty]]) &amp; TRIM(Table1[[#This Row],[Provider Specialty Description]]), SPECIALTY_TYPE, 2, FALSE)</f>
        <v>2133</v>
      </c>
      <c r="P124" s="3" t="str">
        <f>Table1[[#This Row],[Provider Type]] &amp; "+" &amp; Table1[[#This Row],[Provider Type Description]]</f>
        <v>33+Single-Specialty</v>
      </c>
      <c r="Q124" s="7" t="str">
        <f>Table1[[#This Row],[Provider Specialty]] &amp; "+" &amp; Table1[[#This Row],[Provider Specialty Description]]</f>
        <v>186+Community Health</v>
      </c>
      <c r="R124" s="7" t="str">
        <f>Table1[[#This Row],[PDMS Specialty Type ID]] &amp; "+" &amp; Table1[[#This Row],[PDMS Provider Type ID]] &amp; "+" &amp;Table1[[#This Row],[TAXONOMY]]</f>
        <v>2133+51+261QC1800X</v>
      </c>
      <c r="S1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(9137, 2133, 51, N'261QC1800X', N'Clinic/Center - Corporate Health')</v>
      </c>
    </row>
    <row r="125" spans="1:19" ht="47.25" customHeight="1" x14ac:dyDescent="0.25">
      <c r="A125" s="24" t="s">
        <v>227</v>
      </c>
      <c r="B125" s="17" t="s">
        <v>228</v>
      </c>
      <c r="C125" s="17" t="s">
        <v>229</v>
      </c>
      <c r="D125" s="17" t="s">
        <v>325</v>
      </c>
      <c r="E125" s="17" t="s">
        <v>326</v>
      </c>
      <c r="F125" s="3">
        <f>VLOOKUP(Table1[[#This Row],[Column2]], TAXONOMY_TYPE, 2, FALSE)</f>
        <v>9138</v>
      </c>
      <c r="G125" s="18" t="s">
        <v>323</v>
      </c>
      <c r="H125" s="17" t="s">
        <v>324</v>
      </c>
      <c r="I125" s="3">
        <f>VLOOKUP(Table1[[#This Row],[Provider Type]] &amp; Table1[[#This Row],[Provider Type Description]], PROVIDER_TYPE, 2, FALSE)</f>
        <v>100</v>
      </c>
      <c r="J125" s="18" t="s">
        <v>327</v>
      </c>
      <c r="K125" s="17" t="s">
        <v>328</v>
      </c>
      <c r="L125" s="17">
        <f>VLOOKUP(TRIM(Table1[[#This Row],[Provider Specialty]]) &amp; TRIM(Table1[[#This Row],[Provider Specialty Description]]), SPECIALTY_TYPE, 2, FALSE)</f>
        <v>2347</v>
      </c>
      <c r="M125" s="17" t="s">
        <v>18</v>
      </c>
      <c r="N125" s="28" t="s">
        <v>19</v>
      </c>
      <c r="O125" s="38">
        <f>VLOOKUP(TRIM(Table1[[#This Row],[Provider Specialty]]) &amp; TRIM(Table1[[#This Row],[Provider Specialty Description]]), SPECIALTY_TYPE, 2, FALSE)</f>
        <v>2347</v>
      </c>
      <c r="P125" s="3" t="str">
        <f>Table1[[#This Row],[Provider Type]] &amp; "+" &amp; Table1[[#This Row],[Provider Type Description]]</f>
        <v>09+Advance Practice Nurse</v>
      </c>
      <c r="Q125" s="7" t="str">
        <f>Table1[[#This Row],[Provider Specialty]] &amp; "+" &amp; Table1[[#This Row],[Provider Specialty Description]]</f>
        <v>090+Pediatric Nurse Practitioner</v>
      </c>
      <c r="R125" s="7" t="str">
        <f>Table1[[#This Row],[PDMS Specialty Type ID]] &amp; "+" &amp; Table1[[#This Row],[PDMS Provider Type ID]] &amp; "+" &amp;Table1[[#This Row],[TAXONOMY]]</f>
        <v>2347+100+363LP0200X</v>
      </c>
      <c r="S1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(9138, 2347, 100, N'363LP0200X', N'Nurse Practitioner - Pediatrics')</v>
      </c>
    </row>
    <row r="126" spans="1:19" ht="47.25" customHeight="1" x14ac:dyDescent="0.25">
      <c r="A126" s="22" t="s">
        <v>227</v>
      </c>
      <c r="B126" s="3" t="s">
        <v>228</v>
      </c>
      <c r="C126" s="3" t="s">
        <v>229</v>
      </c>
      <c r="D126" s="3" t="s">
        <v>329</v>
      </c>
      <c r="E126" s="3" t="s">
        <v>330</v>
      </c>
      <c r="F126" s="3">
        <f>VLOOKUP(Table1[[#This Row],[Column2]], TAXONOMY_TYPE, 2, FALSE)</f>
        <v>9139</v>
      </c>
      <c r="G126" s="4" t="s">
        <v>323</v>
      </c>
      <c r="H126" s="3" t="s">
        <v>324</v>
      </c>
      <c r="I126" s="3">
        <f>VLOOKUP(Table1[[#This Row],[Provider Type]] &amp; Table1[[#This Row],[Provider Type Description]], PROVIDER_TYPE, 2, FALSE)</f>
        <v>100</v>
      </c>
      <c r="J126" s="4" t="s">
        <v>327</v>
      </c>
      <c r="K126" s="3" t="s">
        <v>328</v>
      </c>
      <c r="L126" s="3">
        <f>VLOOKUP(TRIM(Table1[[#This Row],[Provider Specialty]]) &amp; TRIM(Table1[[#This Row],[Provider Specialty Description]]), SPECIALTY_TYPE, 2, FALSE)</f>
        <v>2347</v>
      </c>
      <c r="M126" s="3" t="s">
        <v>18</v>
      </c>
      <c r="N126" s="27" t="s">
        <v>19</v>
      </c>
      <c r="O126" s="38">
        <f>VLOOKUP(TRIM(Table1[[#This Row],[Provider Specialty]]) &amp; TRIM(Table1[[#This Row],[Provider Specialty Description]]), SPECIALTY_TYPE, 2, FALSE)</f>
        <v>2347</v>
      </c>
      <c r="P126" s="3" t="str">
        <f>Table1[[#This Row],[Provider Type]] &amp; "+" &amp; Table1[[#This Row],[Provider Type Description]]</f>
        <v>09+Advance Practice Nurse</v>
      </c>
      <c r="Q126" s="7" t="str">
        <f>Table1[[#This Row],[Provider Specialty]] &amp; "+" &amp; Table1[[#This Row],[Provider Specialty Description]]</f>
        <v>090+Pediatric Nurse Practitioner</v>
      </c>
      <c r="R126" s="7" t="str">
        <f>Table1[[#This Row],[PDMS Specialty Type ID]] &amp; "+" &amp; Table1[[#This Row],[PDMS Provider Type ID]] &amp; "+" &amp;Table1[[#This Row],[TAXONOMY]]</f>
        <v>2347+100+363LP0222X</v>
      </c>
      <c r="S1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(9139, 2347, 100, N'363LP0222X', N'Nurse Practitioner - Pediatrics, Critical Care')</v>
      </c>
    </row>
    <row r="127" spans="1:19" ht="47.25" customHeight="1" x14ac:dyDescent="0.25">
      <c r="A127" s="22" t="s">
        <v>227</v>
      </c>
      <c r="B127" s="3" t="s">
        <v>228</v>
      </c>
      <c r="C127" s="3" t="s">
        <v>335</v>
      </c>
      <c r="D127" s="3" t="s">
        <v>325</v>
      </c>
      <c r="E127" s="3" t="s">
        <v>336</v>
      </c>
      <c r="F127" s="3">
        <f>VLOOKUP(Table1[[#This Row],[Column2]], TAXONOMY_TYPE, 2, FALSE)</f>
        <v>9140</v>
      </c>
      <c r="G127" s="4" t="s">
        <v>323</v>
      </c>
      <c r="H127" s="3" t="s">
        <v>324</v>
      </c>
      <c r="I127" s="3">
        <f>VLOOKUP(Table1[[#This Row],[Provider Type]] &amp; Table1[[#This Row],[Provider Type Description]], PROVIDER_TYPE, 2, FALSE)</f>
        <v>100</v>
      </c>
      <c r="J127" s="4" t="s">
        <v>327</v>
      </c>
      <c r="K127" s="3" t="s">
        <v>328</v>
      </c>
      <c r="L127" s="3">
        <f>VLOOKUP(TRIM(Table1[[#This Row],[Provider Specialty]]) &amp; TRIM(Table1[[#This Row],[Provider Specialty Description]]), SPECIALTY_TYPE, 2, FALSE)</f>
        <v>2347</v>
      </c>
      <c r="M127" s="3" t="s">
        <v>18</v>
      </c>
      <c r="N127" s="27" t="s">
        <v>19</v>
      </c>
      <c r="O127" s="38">
        <f>VLOOKUP(TRIM(Table1[[#This Row],[Provider Specialty]]) &amp; TRIM(Table1[[#This Row],[Provider Specialty Description]]), SPECIALTY_TYPE, 2, FALSE)</f>
        <v>2347</v>
      </c>
      <c r="P127" s="3" t="str">
        <f>Table1[[#This Row],[Provider Type]] &amp; "+" &amp; Table1[[#This Row],[Provider Type Description]]</f>
        <v>09+Advance Practice Nurse</v>
      </c>
      <c r="Q127" s="7" t="str">
        <f>Table1[[#This Row],[Provider Specialty]] &amp; "+" &amp; Table1[[#This Row],[Provider Specialty Description]]</f>
        <v>090+Pediatric Nurse Practitioner</v>
      </c>
      <c r="R127" s="7" t="str">
        <f>Table1[[#This Row],[PDMS Specialty Type ID]] &amp; "+" &amp; Table1[[#This Row],[PDMS Provider Type ID]] &amp; "+" &amp;Table1[[#This Row],[TAXONOMY]]</f>
        <v>2347+100+364SP0200X</v>
      </c>
      <c r="S1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(9140, 2347, 100, N'364SP0200X', N'Clinical Nurse Specialist - Pediatrics')</v>
      </c>
    </row>
    <row r="128" spans="1:19" ht="47.25" customHeight="1" x14ac:dyDescent="0.25">
      <c r="A128" s="22" t="s">
        <v>227</v>
      </c>
      <c r="B128" s="3" t="s">
        <v>228</v>
      </c>
      <c r="C128" s="3" t="s">
        <v>229</v>
      </c>
      <c r="D128" s="3" t="s">
        <v>331</v>
      </c>
      <c r="E128" s="3" t="s">
        <v>332</v>
      </c>
      <c r="F128" s="3">
        <f>VLOOKUP(Table1[[#This Row],[Column2]], TAXONOMY_TYPE, 2, FALSE)</f>
        <v>9141</v>
      </c>
      <c r="G128" s="4" t="s">
        <v>323</v>
      </c>
      <c r="H128" s="3" t="s">
        <v>324</v>
      </c>
      <c r="I128" s="3">
        <f>VLOOKUP(Table1[[#This Row],[Provider Type]] &amp; Table1[[#This Row],[Provider Type Description]], PROVIDER_TYPE, 2, FALSE)</f>
        <v>100</v>
      </c>
      <c r="J128" s="4" t="s">
        <v>333</v>
      </c>
      <c r="K128" s="3" t="s">
        <v>334</v>
      </c>
      <c r="L128" s="3">
        <f>VLOOKUP(TRIM(Table1[[#This Row],[Provider Specialty]]) &amp; TRIM(Table1[[#This Row],[Provider Specialty Description]]), SPECIALTY_TYPE, 2, FALSE)</f>
        <v>2348</v>
      </c>
      <c r="M128" s="3" t="s">
        <v>18</v>
      </c>
      <c r="N128" s="27" t="s">
        <v>19</v>
      </c>
      <c r="O128" s="38">
        <f>VLOOKUP(TRIM(Table1[[#This Row],[Provider Specialty]]) &amp; TRIM(Table1[[#This Row],[Provider Specialty Description]]), SPECIALTY_TYPE, 2, FALSE)</f>
        <v>2348</v>
      </c>
      <c r="P128" s="3" t="str">
        <f>Table1[[#This Row],[Provider Type]] &amp; "+" &amp; Table1[[#This Row],[Provider Type Description]]</f>
        <v>09+Advance Practice Nurse</v>
      </c>
      <c r="Q128" s="7" t="str">
        <f>Table1[[#This Row],[Provider Specialty]] &amp; "+" &amp; Table1[[#This Row],[Provider Specialty Description]]</f>
        <v>091+Obstetric Nurse Practitioner</v>
      </c>
      <c r="R128" s="7" t="str">
        <f>Table1[[#This Row],[PDMS Specialty Type ID]] &amp; "+" &amp; Table1[[#This Row],[PDMS Provider Type ID]] &amp; "+" &amp;Table1[[#This Row],[TAXONOMY]]</f>
        <v>2348+100+363LX0001X</v>
      </c>
      <c r="S1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(9141, 2348, 100, N'363LX0001X', N'Nurse Practitioner - Obstetrics &amp; Gynecology')</v>
      </c>
    </row>
    <row r="129" spans="1:19" ht="47.25" customHeight="1" x14ac:dyDescent="0.25">
      <c r="A129" s="22" t="s">
        <v>227</v>
      </c>
      <c r="B129" s="3" t="s">
        <v>228</v>
      </c>
      <c r="C129" s="3" t="s">
        <v>229</v>
      </c>
      <c r="D129" s="3" t="s">
        <v>350</v>
      </c>
      <c r="E129" s="3" t="s">
        <v>351</v>
      </c>
      <c r="F129" s="3">
        <f>VLOOKUP(Table1[[#This Row],[Column2]], TAXONOMY_TYPE, 2, FALSE)</f>
        <v>9142</v>
      </c>
      <c r="G129" s="4" t="s">
        <v>323</v>
      </c>
      <c r="H129" s="3" t="s">
        <v>324</v>
      </c>
      <c r="I129" s="3">
        <f>VLOOKUP(Table1[[#This Row],[Provider Type]] &amp; Table1[[#This Row],[Provider Type Description]], PROVIDER_TYPE, 2, FALSE)</f>
        <v>100</v>
      </c>
      <c r="J129" s="4" t="s">
        <v>352</v>
      </c>
      <c r="K129" s="3" t="s">
        <v>353</v>
      </c>
      <c r="L129" s="3">
        <f>VLOOKUP(TRIM(Table1[[#This Row],[Provider Specialty]]) &amp; TRIM(Table1[[#This Row],[Provider Specialty Description]]), SPECIALTY_TYPE, 2, FALSE)</f>
        <v>2349</v>
      </c>
      <c r="M129" s="3" t="s">
        <v>19</v>
      </c>
      <c r="N129" s="27" t="s">
        <v>19</v>
      </c>
      <c r="O129" s="38">
        <f>VLOOKUP(TRIM(Table1[[#This Row],[Provider Specialty]]) &amp; TRIM(Table1[[#This Row],[Provider Specialty Description]]), SPECIALTY_TYPE, 2, FALSE)</f>
        <v>2349</v>
      </c>
      <c r="P129" s="3" t="str">
        <f>Table1[[#This Row],[Provider Type]] &amp; "+" &amp; Table1[[#This Row],[Provider Type Description]]</f>
        <v>09+Advance Practice Nurse</v>
      </c>
      <c r="Q129" s="7" t="str">
        <f>Table1[[#This Row],[Provider Specialty]] &amp; "+" &amp; Table1[[#This Row],[Provider Specialty Description]]</f>
        <v>092+Family Nurse Practitioner</v>
      </c>
      <c r="R129" s="7" t="str">
        <f>Table1[[#This Row],[PDMS Specialty Type ID]] &amp; "+" &amp; Table1[[#This Row],[PDMS Provider Type ID]] &amp; "+" &amp;Table1[[#This Row],[TAXONOMY]]</f>
        <v>2349+100+363LF0000X</v>
      </c>
      <c r="S1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(9142, 2349, 100, N'363LF0000X', N'Nurse Practitioner - Family')</v>
      </c>
    </row>
    <row r="130" spans="1:19" ht="47.25" customHeight="1" x14ac:dyDescent="0.25">
      <c r="A130" s="22" t="s">
        <v>227</v>
      </c>
      <c r="B130" s="3" t="s">
        <v>228</v>
      </c>
      <c r="C130" s="3" t="s">
        <v>229</v>
      </c>
      <c r="D130" s="3" t="s">
        <v>229</v>
      </c>
      <c r="E130" s="3" t="s">
        <v>230</v>
      </c>
      <c r="F130" s="3">
        <f>VLOOKUP(Table1[[#This Row],[Column2]], TAXONOMY_TYPE, 2, FALSE)</f>
        <v>9143</v>
      </c>
      <c r="G130" s="4" t="s">
        <v>323</v>
      </c>
      <c r="H130" s="3" t="s">
        <v>324</v>
      </c>
      <c r="I130" s="3">
        <f>VLOOKUP(Table1[[#This Row],[Provider Type]] &amp; Table1[[#This Row],[Provider Type Description]], PROVIDER_TYPE, 2, FALSE)</f>
        <v>100</v>
      </c>
      <c r="J130" s="4" t="s">
        <v>342</v>
      </c>
      <c r="K130" s="3" t="s">
        <v>343</v>
      </c>
      <c r="L130" s="3">
        <f>VLOOKUP(TRIM(Table1[[#This Row],[Provider Specialty]]) &amp; TRIM(Table1[[#This Row],[Provider Specialty Description]]), SPECIALTY_TYPE, 2, FALSE)</f>
        <v>2350</v>
      </c>
      <c r="M130" s="3" t="s">
        <v>19</v>
      </c>
      <c r="N130" s="27" t="s">
        <v>19</v>
      </c>
      <c r="O130" s="38">
        <f>VLOOKUP(TRIM(Table1[[#This Row],[Provider Specialty]]) &amp; TRIM(Table1[[#This Row],[Provider Specialty Description]]), SPECIALTY_TYPE, 2, FALSE)</f>
        <v>2350</v>
      </c>
      <c r="P130" s="3" t="str">
        <f>Table1[[#This Row],[Provider Type]] &amp; "+" &amp; Table1[[#This Row],[Provider Type Description]]</f>
        <v>09+Advance Practice Nurse</v>
      </c>
      <c r="Q130" s="7" t="str">
        <f>Table1[[#This Row],[Provider Specialty]] &amp; "+" &amp; Table1[[#This Row],[Provider Specialty Description]]</f>
        <v>093+Nurse Practitioner (Other)</v>
      </c>
      <c r="R130" s="7" t="str">
        <f>Table1[[#This Row],[PDMS Specialty Type ID]] &amp; "+" &amp; Table1[[#This Row],[PDMS Provider Type ID]] &amp; "+" &amp;Table1[[#This Row],[TAXONOMY]]</f>
        <v>2350+100+363L00000X</v>
      </c>
      <c r="S1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(9143, 2350, 100, N'363L00000X', N'Nurse Practitioner - Nurse Practitioner')</v>
      </c>
    </row>
    <row r="131" spans="1:19" ht="47.25" customHeight="1" x14ac:dyDescent="0.25">
      <c r="A131" s="22" t="s">
        <v>227</v>
      </c>
      <c r="B131" s="3" t="s">
        <v>228</v>
      </c>
      <c r="C131" s="3" t="s">
        <v>229</v>
      </c>
      <c r="D131" s="3" t="s">
        <v>38</v>
      </c>
      <c r="E131" s="3" t="s">
        <v>344</v>
      </c>
      <c r="F131" s="3">
        <f>VLOOKUP(Table1[[#This Row],[Column2]], TAXONOMY_TYPE, 2, FALSE)</f>
        <v>9144</v>
      </c>
      <c r="G131" s="4" t="s">
        <v>323</v>
      </c>
      <c r="H131" s="3" t="s">
        <v>324</v>
      </c>
      <c r="I131" s="3">
        <f>VLOOKUP(Table1[[#This Row],[Provider Type]] &amp; Table1[[#This Row],[Provider Type Description]], PROVIDER_TYPE, 2, FALSE)</f>
        <v>100</v>
      </c>
      <c r="J131" s="4" t="s">
        <v>342</v>
      </c>
      <c r="K131" s="3" t="s">
        <v>343</v>
      </c>
      <c r="L131" s="3">
        <f>VLOOKUP(TRIM(Table1[[#This Row],[Provider Specialty]]) &amp; TRIM(Table1[[#This Row],[Provider Specialty Description]]), SPECIALTY_TYPE, 2, FALSE)</f>
        <v>2350</v>
      </c>
      <c r="M131" s="3" t="s">
        <v>19</v>
      </c>
      <c r="N131" s="27" t="s">
        <v>19</v>
      </c>
      <c r="O131" s="38">
        <f>VLOOKUP(TRIM(Table1[[#This Row],[Provider Specialty]]) &amp; TRIM(Table1[[#This Row],[Provider Specialty Description]]), SPECIALTY_TYPE, 2, FALSE)</f>
        <v>2350</v>
      </c>
      <c r="P131" s="3" t="str">
        <f>Table1[[#This Row],[Provider Type]] &amp; "+" &amp; Table1[[#This Row],[Provider Type Description]]</f>
        <v>09+Advance Practice Nurse</v>
      </c>
      <c r="Q131" s="7" t="str">
        <f>Table1[[#This Row],[Provider Specialty]] &amp; "+" &amp; Table1[[#This Row],[Provider Specialty Description]]</f>
        <v>093+Nurse Practitioner (Other)</v>
      </c>
      <c r="R131" s="7" t="str">
        <f>Table1[[#This Row],[PDMS Specialty Type ID]] &amp; "+" &amp; Table1[[#This Row],[PDMS Provider Type ID]] &amp; "+" &amp;Table1[[#This Row],[TAXONOMY]]</f>
        <v>2350+100+363LA2100X</v>
      </c>
      <c r="S1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(9144, 2350, 100, N'363LA2100X', N'Nurse Practitioner - Acute Care')</v>
      </c>
    </row>
    <row r="132" spans="1:19" ht="47.25" customHeight="1" x14ac:dyDescent="0.25">
      <c r="A132" s="22" t="s">
        <v>227</v>
      </c>
      <c r="B132" s="3" t="s">
        <v>228</v>
      </c>
      <c r="C132" s="3" t="s">
        <v>229</v>
      </c>
      <c r="D132" s="3" t="s">
        <v>345</v>
      </c>
      <c r="E132" s="3" t="s">
        <v>346</v>
      </c>
      <c r="F132" s="3">
        <f>VLOOKUP(Table1[[#This Row],[Column2]], TAXONOMY_TYPE, 2, FALSE)</f>
        <v>9145</v>
      </c>
      <c r="G132" s="4" t="s">
        <v>323</v>
      </c>
      <c r="H132" s="3" t="s">
        <v>324</v>
      </c>
      <c r="I132" s="3">
        <f>VLOOKUP(Table1[[#This Row],[Provider Type]] &amp; Table1[[#This Row],[Provider Type Description]], PROVIDER_TYPE, 2, FALSE)</f>
        <v>100</v>
      </c>
      <c r="J132" s="4" t="s">
        <v>342</v>
      </c>
      <c r="K132" s="3" t="s">
        <v>343</v>
      </c>
      <c r="L132" s="3">
        <f>VLOOKUP(TRIM(Table1[[#This Row],[Provider Specialty]]) &amp; TRIM(Table1[[#This Row],[Provider Specialty Description]]), SPECIALTY_TYPE, 2, FALSE)</f>
        <v>2350</v>
      </c>
      <c r="M132" s="3" t="s">
        <v>19</v>
      </c>
      <c r="N132" s="27" t="s">
        <v>19</v>
      </c>
      <c r="O132" s="38">
        <f>VLOOKUP(TRIM(Table1[[#This Row],[Provider Specialty]]) &amp; TRIM(Table1[[#This Row],[Provider Specialty Description]]), SPECIALTY_TYPE, 2, FALSE)</f>
        <v>2350</v>
      </c>
      <c r="P132" s="3" t="str">
        <f>Table1[[#This Row],[Provider Type]] &amp; "+" &amp; Table1[[#This Row],[Provider Type Description]]</f>
        <v>09+Advance Practice Nurse</v>
      </c>
      <c r="Q132" s="7" t="str">
        <f>Table1[[#This Row],[Provider Specialty]] &amp; "+" &amp; Table1[[#This Row],[Provider Specialty Description]]</f>
        <v>093+Nurse Practitioner (Other)</v>
      </c>
      <c r="R132" s="7" t="str">
        <f>Table1[[#This Row],[PDMS Specialty Type ID]] &amp; "+" &amp; Table1[[#This Row],[PDMS Provider Type ID]] &amp; "+" &amp;Table1[[#This Row],[TAXONOMY]]</f>
        <v>2350+100+363LA2200X</v>
      </c>
      <c r="S1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(9145, 2350, 100, N'363LA2200X', N'Nurse Practitioner - Adult Health')</v>
      </c>
    </row>
    <row r="133" spans="1:19" ht="47.25" customHeight="1" x14ac:dyDescent="0.25">
      <c r="A133" s="22" t="s">
        <v>227</v>
      </c>
      <c r="B133" s="3" t="s">
        <v>228</v>
      </c>
      <c r="C133" s="3" t="s">
        <v>229</v>
      </c>
      <c r="D133" s="3" t="s">
        <v>347</v>
      </c>
      <c r="E133" s="3" t="s">
        <v>348</v>
      </c>
      <c r="F133" s="3">
        <f>VLOOKUP(Table1[[#This Row],[Column2]], TAXONOMY_TYPE, 2, FALSE)</f>
        <v>9146</v>
      </c>
      <c r="G133" s="4" t="s">
        <v>323</v>
      </c>
      <c r="H133" s="3" t="s">
        <v>324</v>
      </c>
      <c r="I133" s="3">
        <f>VLOOKUP(Table1[[#This Row],[Provider Type]] &amp; Table1[[#This Row],[Provider Type Description]], PROVIDER_TYPE, 2, FALSE)</f>
        <v>100</v>
      </c>
      <c r="J133" s="4" t="s">
        <v>342</v>
      </c>
      <c r="K133" s="3" t="s">
        <v>343</v>
      </c>
      <c r="L133" s="3">
        <f>VLOOKUP(TRIM(Table1[[#This Row],[Provider Specialty]]) &amp; TRIM(Table1[[#This Row],[Provider Specialty Description]]), SPECIALTY_TYPE, 2, FALSE)</f>
        <v>2350</v>
      </c>
      <c r="M133" s="3" t="s">
        <v>19</v>
      </c>
      <c r="N133" s="27" t="s">
        <v>19</v>
      </c>
      <c r="O133" s="38">
        <f>VLOOKUP(TRIM(Table1[[#This Row],[Provider Specialty]]) &amp; TRIM(Table1[[#This Row],[Provider Specialty Description]]), SPECIALTY_TYPE, 2, FALSE)</f>
        <v>2350</v>
      </c>
      <c r="P133" s="3" t="str">
        <f>Table1[[#This Row],[Provider Type]] &amp; "+" &amp; Table1[[#This Row],[Provider Type Description]]</f>
        <v>09+Advance Practice Nurse</v>
      </c>
      <c r="Q133" s="7" t="str">
        <f>Table1[[#This Row],[Provider Specialty]] &amp; "+" &amp; Table1[[#This Row],[Provider Specialty Description]]</f>
        <v>093+Nurse Practitioner (Other)</v>
      </c>
      <c r="R133" s="7" t="str">
        <f>Table1[[#This Row],[PDMS Specialty Type ID]] &amp; "+" &amp; Table1[[#This Row],[PDMS Provider Type ID]] &amp; "+" &amp;Table1[[#This Row],[TAXONOMY]]</f>
        <v>2350+100+363LC0200X</v>
      </c>
      <c r="S1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(9146, 2350, 100, N'363LC0200X', N'Nurse Practitioner - Critical Care Medicine')</v>
      </c>
    </row>
    <row r="134" spans="1:19" ht="47.25" customHeight="1" x14ac:dyDescent="0.25">
      <c r="A134" s="22" t="s">
        <v>227</v>
      </c>
      <c r="B134" s="3" t="s">
        <v>228</v>
      </c>
      <c r="C134" s="3" t="s">
        <v>229</v>
      </c>
      <c r="D134" s="3" t="s">
        <v>248</v>
      </c>
      <c r="E134" s="3" t="s">
        <v>349</v>
      </c>
      <c r="F134" s="3">
        <f>VLOOKUP(Table1[[#This Row],[Column2]], TAXONOMY_TYPE, 2, FALSE)</f>
        <v>9147</v>
      </c>
      <c r="G134" s="4" t="s">
        <v>323</v>
      </c>
      <c r="H134" s="3" t="s">
        <v>324</v>
      </c>
      <c r="I134" s="3">
        <f>VLOOKUP(Table1[[#This Row],[Provider Type]] &amp; Table1[[#This Row],[Provider Type Description]], PROVIDER_TYPE, 2, FALSE)</f>
        <v>100</v>
      </c>
      <c r="J134" s="4" t="s">
        <v>342</v>
      </c>
      <c r="K134" s="3" t="s">
        <v>343</v>
      </c>
      <c r="L134" s="3">
        <f>VLOOKUP(TRIM(Table1[[#This Row],[Provider Specialty]]) &amp; TRIM(Table1[[#This Row],[Provider Specialty Description]]), SPECIALTY_TYPE, 2, FALSE)</f>
        <v>2350</v>
      </c>
      <c r="M134" s="3" t="s">
        <v>19</v>
      </c>
      <c r="N134" s="27" t="s">
        <v>19</v>
      </c>
      <c r="O134" s="38">
        <f>VLOOKUP(TRIM(Table1[[#This Row],[Provider Specialty]]) &amp; TRIM(Table1[[#This Row],[Provider Specialty Description]]), SPECIALTY_TYPE, 2, FALSE)</f>
        <v>2350</v>
      </c>
      <c r="P134" s="3" t="str">
        <f>Table1[[#This Row],[Provider Type]] &amp; "+" &amp; Table1[[#This Row],[Provider Type Description]]</f>
        <v>09+Advance Practice Nurse</v>
      </c>
      <c r="Q134" s="7" t="str">
        <f>Table1[[#This Row],[Provider Specialty]] &amp; "+" &amp; Table1[[#This Row],[Provider Specialty Description]]</f>
        <v>093+Nurse Practitioner (Other)</v>
      </c>
      <c r="R134" s="7" t="str">
        <f>Table1[[#This Row],[PDMS Specialty Type ID]] &amp; "+" &amp; Table1[[#This Row],[PDMS Provider Type ID]] &amp; "+" &amp;Table1[[#This Row],[TAXONOMY]]</f>
        <v>2350+100+363LC1500X</v>
      </c>
      <c r="S1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(9147, 2350, 100, N'363LC1500X', N'Nurse Practitioner - Community Health')</v>
      </c>
    </row>
    <row r="135" spans="1:19" ht="47.25" customHeight="1" x14ac:dyDescent="0.25">
      <c r="A135" s="22" t="s">
        <v>227</v>
      </c>
      <c r="B135" s="3" t="s">
        <v>228</v>
      </c>
      <c r="C135" s="3" t="s">
        <v>229</v>
      </c>
      <c r="D135" s="3" t="s">
        <v>354</v>
      </c>
      <c r="E135" s="3" t="s">
        <v>355</v>
      </c>
      <c r="F135" s="3">
        <f>VLOOKUP(Table1[[#This Row],[Column2]], TAXONOMY_TYPE, 2, FALSE)</f>
        <v>9148</v>
      </c>
      <c r="G135" s="4" t="s">
        <v>323</v>
      </c>
      <c r="H135" s="3" t="s">
        <v>324</v>
      </c>
      <c r="I135" s="3">
        <f>VLOOKUP(Table1[[#This Row],[Provider Type]] &amp; Table1[[#This Row],[Provider Type Description]], PROVIDER_TYPE, 2, FALSE)</f>
        <v>100</v>
      </c>
      <c r="J135" s="4" t="s">
        <v>342</v>
      </c>
      <c r="K135" s="3" t="s">
        <v>343</v>
      </c>
      <c r="L135" s="3">
        <f>VLOOKUP(TRIM(Table1[[#This Row],[Provider Specialty]]) &amp; TRIM(Table1[[#This Row],[Provider Specialty Description]]), SPECIALTY_TYPE, 2, FALSE)</f>
        <v>2350</v>
      </c>
      <c r="M135" s="3" t="s">
        <v>19</v>
      </c>
      <c r="N135" s="27" t="s">
        <v>19</v>
      </c>
      <c r="O135" s="38">
        <f>VLOOKUP(TRIM(Table1[[#This Row],[Provider Specialty]]) &amp; TRIM(Table1[[#This Row],[Provider Specialty Description]]), SPECIALTY_TYPE, 2, FALSE)</f>
        <v>2350</v>
      </c>
      <c r="P135" s="3" t="str">
        <f>Table1[[#This Row],[Provider Type]] &amp; "+" &amp; Table1[[#This Row],[Provider Type Description]]</f>
        <v>09+Advance Practice Nurse</v>
      </c>
      <c r="Q135" s="7" t="str">
        <f>Table1[[#This Row],[Provider Specialty]] &amp; "+" &amp; Table1[[#This Row],[Provider Specialty Description]]</f>
        <v>093+Nurse Practitioner (Other)</v>
      </c>
      <c r="R135" s="7" t="str">
        <f>Table1[[#This Row],[PDMS Specialty Type ID]] &amp; "+" &amp; Table1[[#This Row],[PDMS Provider Type ID]] &amp; "+" &amp;Table1[[#This Row],[TAXONOMY]]</f>
        <v>2350+100+363LG0600X</v>
      </c>
      <c r="S1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(9148, 2350, 100, N'363LG0600X', N'Nurse Practitioner - Gerontology')</v>
      </c>
    </row>
    <row r="136" spans="1:19" ht="47.25" customHeight="1" x14ac:dyDescent="0.25">
      <c r="A136" s="22" t="s">
        <v>227</v>
      </c>
      <c r="B136" s="3" t="s">
        <v>228</v>
      </c>
      <c r="C136" s="3" t="s">
        <v>229</v>
      </c>
      <c r="D136" s="3" t="s">
        <v>356</v>
      </c>
      <c r="E136" s="3" t="s">
        <v>357</v>
      </c>
      <c r="F136" s="3">
        <f>VLOOKUP(Table1[[#This Row],[Column2]], TAXONOMY_TYPE, 2, FALSE)</f>
        <v>9149</v>
      </c>
      <c r="G136" s="4" t="s">
        <v>323</v>
      </c>
      <c r="H136" s="3" t="s">
        <v>324</v>
      </c>
      <c r="I136" s="3">
        <f>VLOOKUP(Table1[[#This Row],[Provider Type]] &amp; Table1[[#This Row],[Provider Type Description]], PROVIDER_TYPE, 2, FALSE)</f>
        <v>100</v>
      </c>
      <c r="J136" s="4" t="s">
        <v>342</v>
      </c>
      <c r="K136" s="3" t="s">
        <v>343</v>
      </c>
      <c r="L136" s="3">
        <f>VLOOKUP(TRIM(Table1[[#This Row],[Provider Specialty]]) &amp; TRIM(Table1[[#This Row],[Provider Specialty Description]]), SPECIALTY_TYPE, 2, FALSE)</f>
        <v>2350</v>
      </c>
      <c r="M136" s="3" t="s">
        <v>19</v>
      </c>
      <c r="N136" s="27" t="s">
        <v>19</v>
      </c>
      <c r="O136" s="38">
        <f>VLOOKUP(TRIM(Table1[[#This Row],[Provider Specialty]]) &amp; TRIM(Table1[[#This Row],[Provider Specialty Description]]), SPECIALTY_TYPE, 2, FALSE)</f>
        <v>2350</v>
      </c>
      <c r="P136" s="3" t="str">
        <f>Table1[[#This Row],[Provider Type]] &amp; "+" &amp; Table1[[#This Row],[Provider Type Description]]</f>
        <v>09+Advance Practice Nurse</v>
      </c>
      <c r="Q136" s="7" t="str">
        <f>Table1[[#This Row],[Provider Specialty]] &amp; "+" &amp; Table1[[#This Row],[Provider Specialty Description]]</f>
        <v>093+Nurse Practitioner (Other)</v>
      </c>
      <c r="R136" s="7" t="str">
        <f>Table1[[#This Row],[PDMS Specialty Type ID]] &amp; "+" &amp; Table1[[#This Row],[PDMS Provider Type ID]] &amp; "+" &amp;Table1[[#This Row],[TAXONOMY]]</f>
        <v>2350+100+363LN0000X</v>
      </c>
      <c r="S1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(9149, 2350, 100, N'363LN0000X', N'Nurse Practitioner - Neonatal')</v>
      </c>
    </row>
    <row r="137" spans="1:19" ht="47.25" customHeight="1" x14ac:dyDescent="0.25">
      <c r="A137" s="22" t="s">
        <v>227</v>
      </c>
      <c r="B137" s="3" t="s">
        <v>228</v>
      </c>
      <c r="C137" s="3" t="s">
        <v>229</v>
      </c>
      <c r="D137" s="3" t="s">
        <v>358</v>
      </c>
      <c r="E137" s="3" t="s">
        <v>359</v>
      </c>
      <c r="F137" s="3">
        <f>VLOOKUP(Table1[[#This Row],[Column2]], TAXONOMY_TYPE, 2, FALSE)</f>
        <v>9150</v>
      </c>
      <c r="G137" s="4" t="s">
        <v>323</v>
      </c>
      <c r="H137" s="3" t="s">
        <v>324</v>
      </c>
      <c r="I137" s="3">
        <f>VLOOKUP(Table1[[#This Row],[Provider Type]] &amp; Table1[[#This Row],[Provider Type Description]], PROVIDER_TYPE, 2, FALSE)</f>
        <v>100</v>
      </c>
      <c r="J137" s="4" t="s">
        <v>342</v>
      </c>
      <c r="K137" s="3" t="s">
        <v>343</v>
      </c>
      <c r="L137" s="3">
        <f>VLOOKUP(TRIM(Table1[[#This Row],[Provider Specialty]]) &amp; TRIM(Table1[[#This Row],[Provider Specialty Description]]), SPECIALTY_TYPE, 2, FALSE)</f>
        <v>2350</v>
      </c>
      <c r="M137" s="3" t="s">
        <v>19</v>
      </c>
      <c r="N137" s="27" t="s">
        <v>19</v>
      </c>
      <c r="O137" s="38">
        <f>VLOOKUP(TRIM(Table1[[#This Row],[Provider Specialty]]) &amp; TRIM(Table1[[#This Row],[Provider Specialty Description]]), SPECIALTY_TYPE, 2, FALSE)</f>
        <v>2350</v>
      </c>
      <c r="P137" s="3" t="str">
        <f>Table1[[#This Row],[Provider Type]] &amp; "+" &amp; Table1[[#This Row],[Provider Type Description]]</f>
        <v>09+Advance Practice Nurse</v>
      </c>
      <c r="Q137" s="7" t="str">
        <f>Table1[[#This Row],[Provider Specialty]] &amp; "+" &amp; Table1[[#This Row],[Provider Specialty Description]]</f>
        <v>093+Nurse Practitioner (Other)</v>
      </c>
      <c r="R137" s="7" t="str">
        <f>Table1[[#This Row],[PDMS Specialty Type ID]] &amp; "+" &amp; Table1[[#This Row],[PDMS Provider Type ID]] &amp; "+" &amp;Table1[[#This Row],[TAXONOMY]]</f>
        <v>2350+100+363LN0005X</v>
      </c>
      <c r="S1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(9150, 2350, 100, N'363LN0005X', N'Nurse Practitioner - Neonatal, Critical Care')</v>
      </c>
    </row>
    <row r="138" spans="1:19" ht="47.25" customHeight="1" x14ac:dyDescent="0.25">
      <c r="A138" s="22" t="s">
        <v>227</v>
      </c>
      <c r="B138" s="3" t="s">
        <v>228</v>
      </c>
      <c r="C138" s="3" t="s">
        <v>229</v>
      </c>
      <c r="D138" s="3" t="s">
        <v>360</v>
      </c>
      <c r="E138" s="3" t="s">
        <v>361</v>
      </c>
      <c r="F138" s="3">
        <f>VLOOKUP(Table1[[#This Row],[Column2]], TAXONOMY_TYPE, 2, FALSE)</f>
        <v>9151</v>
      </c>
      <c r="G138" s="4" t="s">
        <v>323</v>
      </c>
      <c r="H138" s="3" t="s">
        <v>324</v>
      </c>
      <c r="I138" s="3">
        <f>VLOOKUP(Table1[[#This Row],[Provider Type]] &amp; Table1[[#This Row],[Provider Type Description]], PROVIDER_TYPE, 2, FALSE)</f>
        <v>100</v>
      </c>
      <c r="J138" s="4" t="s">
        <v>342</v>
      </c>
      <c r="K138" s="3" t="s">
        <v>343</v>
      </c>
      <c r="L138" s="3">
        <f>VLOOKUP(TRIM(Table1[[#This Row],[Provider Specialty]]) &amp; TRIM(Table1[[#This Row],[Provider Specialty Description]]), SPECIALTY_TYPE, 2, FALSE)</f>
        <v>2350</v>
      </c>
      <c r="M138" s="3" t="s">
        <v>19</v>
      </c>
      <c r="N138" s="27" t="s">
        <v>19</v>
      </c>
      <c r="O138" s="38">
        <f>VLOOKUP(TRIM(Table1[[#This Row],[Provider Specialty]]) &amp; TRIM(Table1[[#This Row],[Provider Specialty Description]]), SPECIALTY_TYPE, 2, FALSE)</f>
        <v>2350</v>
      </c>
      <c r="P138" s="3" t="str">
        <f>Table1[[#This Row],[Provider Type]] &amp; "+" &amp; Table1[[#This Row],[Provider Type Description]]</f>
        <v>09+Advance Practice Nurse</v>
      </c>
      <c r="Q138" s="7" t="str">
        <f>Table1[[#This Row],[Provider Specialty]] &amp; "+" &amp; Table1[[#This Row],[Provider Specialty Description]]</f>
        <v>093+Nurse Practitioner (Other)</v>
      </c>
      <c r="R138" s="7" t="str">
        <f>Table1[[#This Row],[PDMS Specialty Type ID]] &amp; "+" &amp; Table1[[#This Row],[PDMS Provider Type ID]] &amp; "+" &amp;Table1[[#This Row],[TAXONOMY]]</f>
        <v>2350+100+363LP0808X</v>
      </c>
      <c r="S1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(9151, 2350, 100, N'363LP0808X', N'Nurse Practitioner - Psychiatric/Mental Health')</v>
      </c>
    </row>
    <row r="139" spans="1:19" ht="47.25" customHeight="1" x14ac:dyDescent="0.25">
      <c r="A139" s="22" t="s">
        <v>227</v>
      </c>
      <c r="B139" s="3" t="s">
        <v>228</v>
      </c>
      <c r="C139" s="3" t="s">
        <v>229</v>
      </c>
      <c r="D139" s="3" t="s">
        <v>362</v>
      </c>
      <c r="E139" s="3" t="s">
        <v>363</v>
      </c>
      <c r="F139" s="3">
        <f>VLOOKUP(Table1[[#This Row],[Column2]], TAXONOMY_TYPE, 2, FALSE)</f>
        <v>9152</v>
      </c>
      <c r="G139" s="4" t="s">
        <v>323</v>
      </c>
      <c r="H139" s="3" t="s">
        <v>324</v>
      </c>
      <c r="I139" s="3">
        <f>VLOOKUP(Table1[[#This Row],[Provider Type]] &amp; Table1[[#This Row],[Provider Type Description]], PROVIDER_TYPE, 2, FALSE)</f>
        <v>100</v>
      </c>
      <c r="J139" s="4" t="s">
        <v>342</v>
      </c>
      <c r="K139" s="3" t="s">
        <v>343</v>
      </c>
      <c r="L139" s="3">
        <f>VLOOKUP(TRIM(Table1[[#This Row],[Provider Specialty]]) &amp; TRIM(Table1[[#This Row],[Provider Specialty Description]]), SPECIALTY_TYPE, 2, FALSE)</f>
        <v>2350</v>
      </c>
      <c r="M139" s="3" t="s">
        <v>19</v>
      </c>
      <c r="N139" s="27" t="s">
        <v>19</v>
      </c>
      <c r="O139" s="38">
        <f>VLOOKUP(TRIM(Table1[[#This Row],[Provider Specialty]]) &amp; TRIM(Table1[[#This Row],[Provider Specialty Description]]), SPECIALTY_TYPE, 2, FALSE)</f>
        <v>2350</v>
      </c>
      <c r="P139" s="3" t="str">
        <f>Table1[[#This Row],[Provider Type]] &amp; "+" &amp; Table1[[#This Row],[Provider Type Description]]</f>
        <v>09+Advance Practice Nurse</v>
      </c>
      <c r="Q139" s="7" t="str">
        <f>Table1[[#This Row],[Provider Specialty]] &amp; "+" &amp; Table1[[#This Row],[Provider Specialty Description]]</f>
        <v>093+Nurse Practitioner (Other)</v>
      </c>
      <c r="R139" s="7" t="str">
        <f>Table1[[#This Row],[PDMS Specialty Type ID]] &amp; "+" &amp; Table1[[#This Row],[PDMS Provider Type ID]] &amp; "+" &amp;Table1[[#This Row],[TAXONOMY]]</f>
        <v>2350+100+363LP1700X</v>
      </c>
      <c r="S1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(9152, 2350, 100, N'363LP1700X', N'Nurse Practitioner - Perinatal')</v>
      </c>
    </row>
    <row r="140" spans="1:19" ht="47.25" customHeight="1" x14ac:dyDescent="0.25">
      <c r="A140" s="22" t="s">
        <v>227</v>
      </c>
      <c r="B140" s="3" t="s">
        <v>228</v>
      </c>
      <c r="C140" s="3" t="s">
        <v>229</v>
      </c>
      <c r="D140" s="3" t="s">
        <v>299</v>
      </c>
      <c r="E140" s="3" t="s">
        <v>364</v>
      </c>
      <c r="F140" s="3">
        <f>VLOOKUP(Table1[[#This Row],[Column2]], TAXONOMY_TYPE, 2, FALSE)</f>
        <v>9153</v>
      </c>
      <c r="G140" s="4" t="s">
        <v>323</v>
      </c>
      <c r="H140" s="3" t="s">
        <v>324</v>
      </c>
      <c r="I140" s="3">
        <f>VLOOKUP(Table1[[#This Row],[Provider Type]] &amp; Table1[[#This Row],[Provider Type Description]], PROVIDER_TYPE, 2, FALSE)</f>
        <v>100</v>
      </c>
      <c r="J140" s="4" t="s">
        <v>342</v>
      </c>
      <c r="K140" s="3" t="s">
        <v>343</v>
      </c>
      <c r="L140" s="3">
        <f>VLOOKUP(TRIM(Table1[[#This Row],[Provider Specialty]]) &amp; TRIM(Table1[[#This Row],[Provider Specialty Description]]), SPECIALTY_TYPE, 2, FALSE)</f>
        <v>2350</v>
      </c>
      <c r="M140" s="3" t="s">
        <v>19</v>
      </c>
      <c r="N140" s="27" t="s">
        <v>19</v>
      </c>
      <c r="O140" s="38">
        <f>VLOOKUP(TRIM(Table1[[#This Row],[Provider Specialty]]) &amp; TRIM(Table1[[#This Row],[Provider Specialty Description]]), SPECIALTY_TYPE, 2, FALSE)</f>
        <v>2350</v>
      </c>
      <c r="P140" s="3" t="str">
        <f>Table1[[#This Row],[Provider Type]] &amp; "+" &amp; Table1[[#This Row],[Provider Type Description]]</f>
        <v>09+Advance Practice Nurse</v>
      </c>
      <c r="Q140" s="7" t="str">
        <f>Table1[[#This Row],[Provider Specialty]] &amp; "+" &amp; Table1[[#This Row],[Provider Specialty Description]]</f>
        <v>093+Nurse Practitioner (Other)</v>
      </c>
      <c r="R140" s="7" t="str">
        <f>Table1[[#This Row],[PDMS Specialty Type ID]] &amp; "+" &amp; Table1[[#This Row],[PDMS Provider Type ID]] &amp; "+" &amp;Table1[[#This Row],[TAXONOMY]]</f>
        <v>2350+100+363LP2300X</v>
      </c>
      <c r="S1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(9153, 2350, 100, N'363LP2300X', N'Nurse Practitioner - Primary Care')</v>
      </c>
    </row>
    <row r="141" spans="1:19" ht="47.25" customHeight="1" x14ac:dyDescent="0.25">
      <c r="A141" s="22" t="s">
        <v>227</v>
      </c>
      <c r="B141" s="3" t="s">
        <v>228</v>
      </c>
      <c r="C141" s="3" t="s">
        <v>229</v>
      </c>
      <c r="D141" s="3" t="s">
        <v>365</v>
      </c>
      <c r="E141" s="3" t="s">
        <v>366</v>
      </c>
      <c r="F141" s="3">
        <f>VLOOKUP(Table1[[#This Row],[Column2]], TAXONOMY_TYPE, 2, FALSE)</f>
        <v>9154</v>
      </c>
      <c r="G141" s="4" t="s">
        <v>323</v>
      </c>
      <c r="H141" s="3" t="s">
        <v>324</v>
      </c>
      <c r="I141" s="3">
        <f>VLOOKUP(Table1[[#This Row],[Provider Type]] &amp; Table1[[#This Row],[Provider Type Description]], PROVIDER_TYPE, 2, FALSE)</f>
        <v>100</v>
      </c>
      <c r="J141" s="4" t="s">
        <v>342</v>
      </c>
      <c r="K141" s="3" t="s">
        <v>343</v>
      </c>
      <c r="L141" s="3">
        <f>VLOOKUP(TRIM(Table1[[#This Row],[Provider Specialty]]) &amp; TRIM(Table1[[#This Row],[Provider Specialty Description]]), SPECIALTY_TYPE, 2, FALSE)</f>
        <v>2350</v>
      </c>
      <c r="M141" s="3" t="s">
        <v>19</v>
      </c>
      <c r="N141" s="27" t="s">
        <v>19</v>
      </c>
      <c r="O141" s="38">
        <f>VLOOKUP(TRIM(Table1[[#This Row],[Provider Specialty]]) &amp; TRIM(Table1[[#This Row],[Provider Specialty Description]]), SPECIALTY_TYPE, 2, FALSE)</f>
        <v>2350</v>
      </c>
      <c r="P141" s="3" t="str">
        <f>Table1[[#This Row],[Provider Type]] &amp; "+" &amp; Table1[[#This Row],[Provider Type Description]]</f>
        <v>09+Advance Practice Nurse</v>
      </c>
      <c r="Q141" s="7" t="str">
        <f>Table1[[#This Row],[Provider Specialty]] &amp; "+" &amp; Table1[[#This Row],[Provider Specialty Description]]</f>
        <v>093+Nurse Practitioner (Other)</v>
      </c>
      <c r="R141" s="7" t="str">
        <f>Table1[[#This Row],[PDMS Specialty Type ID]] &amp; "+" &amp; Table1[[#This Row],[PDMS Provider Type ID]] &amp; "+" &amp;Table1[[#This Row],[TAXONOMY]]</f>
        <v>2350+100+363LS0200X</v>
      </c>
      <c r="S1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(9154, 2350, 100, N'363LS0200X', N'Nurse Practitioner - School')</v>
      </c>
    </row>
    <row r="142" spans="1:19" ht="47.25" customHeight="1" x14ac:dyDescent="0.25">
      <c r="A142" s="22" t="s">
        <v>227</v>
      </c>
      <c r="B142" s="3" t="s">
        <v>228</v>
      </c>
      <c r="C142" s="3" t="s">
        <v>229</v>
      </c>
      <c r="D142" s="3" t="s">
        <v>367</v>
      </c>
      <c r="E142" s="3" t="s">
        <v>368</v>
      </c>
      <c r="F142" s="3">
        <f>VLOOKUP(Table1[[#This Row],[Column2]], TAXONOMY_TYPE, 2, FALSE)</f>
        <v>9155</v>
      </c>
      <c r="G142" s="4" t="s">
        <v>323</v>
      </c>
      <c r="H142" s="3" t="s">
        <v>324</v>
      </c>
      <c r="I142" s="3">
        <f>VLOOKUP(Table1[[#This Row],[Provider Type]] &amp; Table1[[#This Row],[Provider Type Description]], PROVIDER_TYPE, 2, FALSE)</f>
        <v>100</v>
      </c>
      <c r="J142" s="4" t="s">
        <v>342</v>
      </c>
      <c r="K142" s="3" t="s">
        <v>343</v>
      </c>
      <c r="L142" s="3">
        <f>VLOOKUP(TRIM(Table1[[#This Row],[Provider Specialty]]) &amp; TRIM(Table1[[#This Row],[Provider Specialty Description]]), SPECIALTY_TYPE, 2, FALSE)</f>
        <v>2350</v>
      </c>
      <c r="M142" s="3" t="s">
        <v>19</v>
      </c>
      <c r="N142" s="27" t="s">
        <v>19</v>
      </c>
      <c r="O142" s="38">
        <f>VLOOKUP(TRIM(Table1[[#This Row],[Provider Specialty]]) &amp; TRIM(Table1[[#This Row],[Provider Specialty Description]]), SPECIALTY_TYPE, 2, FALSE)</f>
        <v>2350</v>
      </c>
      <c r="P142" s="3" t="str">
        <f>Table1[[#This Row],[Provider Type]] &amp; "+" &amp; Table1[[#This Row],[Provider Type Description]]</f>
        <v>09+Advance Practice Nurse</v>
      </c>
      <c r="Q142" s="7" t="str">
        <f>Table1[[#This Row],[Provider Specialty]] &amp; "+" &amp; Table1[[#This Row],[Provider Specialty Description]]</f>
        <v>093+Nurse Practitioner (Other)</v>
      </c>
      <c r="R142" s="7" t="str">
        <f>Table1[[#This Row],[PDMS Specialty Type ID]] &amp; "+" &amp; Table1[[#This Row],[PDMS Provider Type ID]] &amp; "+" &amp;Table1[[#This Row],[TAXONOMY]]</f>
        <v>2350+100+363LW0102X</v>
      </c>
      <c r="S1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(9155, 2350, 100, N'363LW0102X', N'Nurse Practitioner - Women's Health')</v>
      </c>
    </row>
    <row r="143" spans="1:19" ht="47.25" customHeight="1" x14ac:dyDescent="0.25">
      <c r="A143" s="22" t="s">
        <v>227</v>
      </c>
      <c r="B143" s="3" t="s">
        <v>228</v>
      </c>
      <c r="C143" s="3" t="s">
        <v>229</v>
      </c>
      <c r="D143" s="3" t="s">
        <v>369</v>
      </c>
      <c r="E143" s="3" t="s">
        <v>370</v>
      </c>
      <c r="F143" s="3">
        <f>VLOOKUP(Table1[[#This Row],[Column2]], TAXONOMY_TYPE, 2, FALSE)</f>
        <v>9156</v>
      </c>
      <c r="G143" s="4" t="s">
        <v>323</v>
      </c>
      <c r="H143" s="3" t="s">
        <v>324</v>
      </c>
      <c r="I143" s="3">
        <f>VLOOKUP(Table1[[#This Row],[Provider Type]] &amp; Table1[[#This Row],[Provider Type Description]], PROVIDER_TYPE, 2, FALSE)</f>
        <v>100</v>
      </c>
      <c r="J143" s="4" t="s">
        <v>342</v>
      </c>
      <c r="K143" s="3" t="s">
        <v>343</v>
      </c>
      <c r="L143" s="3">
        <f>VLOOKUP(TRIM(Table1[[#This Row],[Provider Specialty]]) &amp; TRIM(Table1[[#This Row],[Provider Specialty Description]]), SPECIALTY_TYPE, 2, FALSE)</f>
        <v>2350</v>
      </c>
      <c r="M143" s="3" t="s">
        <v>19</v>
      </c>
      <c r="N143" s="27" t="s">
        <v>19</v>
      </c>
      <c r="O143" s="38">
        <f>VLOOKUP(TRIM(Table1[[#This Row],[Provider Specialty]]) &amp; TRIM(Table1[[#This Row],[Provider Specialty Description]]), SPECIALTY_TYPE, 2, FALSE)</f>
        <v>2350</v>
      </c>
      <c r="P143" s="3" t="str">
        <f>Table1[[#This Row],[Provider Type]] &amp; "+" &amp; Table1[[#This Row],[Provider Type Description]]</f>
        <v>09+Advance Practice Nurse</v>
      </c>
      <c r="Q143" s="7" t="str">
        <f>Table1[[#This Row],[Provider Specialty]] &amp; "+" &amp; Table1[[#This Row],[Provider Specialty Description]]</f>
        <v>093+Nurse Practitioner (Other)</v>
      </c>
      <c r="R143" s="7" t="str">
        <f>Table1[[#This Row],[PDMS Specialty Type ID]] &amp; "+" &amp; Table1[[#This Row],[PDMS Provider Type ID]] &amp; "+" &amp;Table1[[#This Row],[TAXONOMY]]</f>
        <v>2350+100+363LX0106X</v>
      </c>
      <c r="S1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(9156, 2350, 100, N'363LX0106X', N'Nurse Practitioner - Occupational Health')</v>
      </c>
    </row>
    <row r="144" spans="1:19" ht="47.25" customHeight="1" x14ac:dyDescent="0.25">
      <c r="A144" s="22" t="s">
        <v>227</v>
      </c>
      <c r="B144" s="3" t="s">
        <v>228</v>
      </c>
      <c r="C144" s="3" t="s">
        <v>335</v>
      </c>
      <c r="D144" s="3" t="s">
        <v>335</v>
      </c>
      <c r="E144" s="3" t="s">
        <v>371</v>
      </c>
      <c r="F144" s="3">
        <f>VLOOKUP(Table1[[#This Row],[Column2]], TAXONOMY_TYPE, 2, FALSE)</f>
        <v>9157</v>
      </c>
      <c r="G144" s="4" t="s">
        <v>323</v>
      </c>
      <c r="H144" s="3" t="s">
        <v>324</v>
      </c>
      <c r="I144" s="3">
        <f>VLOOKUP(Table1[[#This Row],[Provider Type]] &amp; Table1[[#This Row],[Provider Type Description]], PROVIDER_TYPE, 2, FALSE)</f>
        <v>100</v>
      </c>
      <c r="J144" s="4" t="s">
        <v>342</v>
      </c>
      <c r="K144" s="3" t="s">
        <v>343</v>
      </c>
      <c r="L144" s="3">
        <f>VLOOKUP(TRIM(Table1[[#This Row],[Provider Specialty]]) &amp; TRIM(Table1[[#This Row],[Provider Specialty Description]]), SPECIALTY_TYPE, 2, FALSE)</f>
        <v>2350</v>
      </c>
      <c r="M144" s="3" t="s">
        <v>19</v>
      </c>
      <c r="N144" s="27" t="s">
        <v>19</v>
      </c>
      <c r="O144" s="38">
        <f>VLOOKUP(TRIM(Table1[[#This Row],[Provider Specialty]]) &amp; TRIM(Table1[[#This Row],[Provider Specialty Description]]), SPECIALTY_TYPE, 2, FALSE)</f>
        <v>2350</v>
      </c>
      <c r="P144" s="3" t="str">
        <f>Table1[[#This Row],[Provider Type]] &amp; "+" &amp; Table1[[#This Row],[Provider Type Description]]</f>
        <v>09+Advance Practice Nurse</v>
      </c>
      <c r="Q144" s="7" t="str">
        <f>Table1[[#This Row],[Provider Specialty]] &amp; "+" &amp; Table1[[#This Row],[Provider Specialty Description]]</f>
        <v>093+Nurse Practitioner (Other)</v>
      </c>
      <c r="R144" s="7" t="str">
        <f>Table1[[#This Row],[PDMS Specialty Type ID]] &amp; "+" &amp; Table1[[#This Row],[PDMS Provider Type ID]] &amp; "+" &amp;Table1[[#This Row],[TAXONOMY]]</f>
        <v>2350+100+364S00000X</v>
      </c>
      <c r="S1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(9157, 2350, 100, N'364S00000X', N'Clinical Nurse Specialist - Clinical Nurse Specialist')</v>
      </c>
    </row>
    <row r="145" spans="1:19" ht="47.25" customHeight="1" x14ac:dyDescent="0.25">
      <c r="A145" s="22" t="s">
        <v>227</v>
      </c>
      <c r="B145" s="3" t="s">
        <v>228</v>
      </c>
      <c r="C145" s="3" t="s">
        <v>335</v>
      </c>
      <c r="D145" s="3" t="s">
        <v>38</v>
      </c>
      <c r="E145" s="3" t="s">
        <v>372</v>
      </c>
      <c r="F145" s="3">
        <f>VLOOKUP(Table1[[#This Row],[Column2]], TAXONOMY_TYPE, 2, FALSE)</f>
        <v>9158</v>
      </c>
      <c r="G145" s="4" t="s">
        <v>323</v>
      </c>
      <c r="H145" s="3" t="s">
        <v>324</v>
      </c>
      <c r="I145" s="3">
        <f>VLOOKUP(Table1[[#This Row],[Provider Type]] &amp; Table1[[#This Row],[Provider Type Description]], PROVIDER_TYPE, 2, FALSE)</f>
        <v>100</v>
      </c>
      <c r="J145" s="4" t="s">
        <v>342</v>
      </c>
      <c r="K145" s="3" t="s">
        <v>343</v>
      </c>
      <c r="L145" s="3">
        <f>VLOOKUP(TRIM(Table1[[#This Row],[Provider Specialty]]) &amp; TRIM(Table1[[#This Row],[Provider Specialty Description]]), SPECIALTY_TYPE, 2, FALSE)</f>
        <v>2350</v>
      </c>
      <c r="M145" s="3" t="s">
        <v>19</v>
      </c>
      <c r="N145" s="27" t="s">
        <v>19</v>
      </c>
      <c r="O145" s="38">
        <f>VLOOKUP(TRIM(Table1[[#This Row],[Provider Specialty]]) &amp; TRIM(Table1[[#This Row],[Provider Specialty Description]]), SPECIALTY_TYPE, 2, FALSE)</f>
        <v>2350</v>
      </c>
      <c r="P145" s="3" t="str">
        <f>Table1[[#This Row],[Provider Type]] &amp; "+" &amp; Table1[[#This Row],[Provider Type Description]]</f>
        <v>09+Advance Practice Nurse</v>
      </c>
      <c r="Q145" s="7" t="str">
        <f>Table1[[#This Row],[Provider Specialty]] &amp; "+" &amp; Table1[[#This Row],[Provider Specialty Description]]</f>
        <v>093+Nurse Practitioner (Other)</v>
      </c>
      <c r="R145" s="7" t="str">
        <f>Table1[[#This Row],[PDMS Specialty Type ID]] &amp; "+" &amp; Table1[[#This Row],[PDMS Provider Type ID]] &amp; "+" &amp;Table1[[#This Row],[TAXONOMY]]</f>
        <v>2350+100+364SA2100X</v>
      </c>
      <c r="S1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(9158, 2350, 100, N'364SA2100X', N'Clinical Nurse Specialist - Acute Care')</v>
      </c>
    </row>
    <row r="146" spans="1:19" ht="47.25" customHeight="1" x14ac:dyDescent="0.25">
      <c r="A146" s="22" t="s">
        <v>227</v>
      </c>
      <c r="B146" s="3" t="s">
        <v>228</v>
      </c>
      <c r="C146" s="3" t="s">
        <v>335</v>
      </c>
      <c r="D146" s="3" t="s">
        <v>345</v>
      </c>
      <c r="E146" s="3" t="s">
        <v>373</v>
      </c>
      <c r="F146" s="3">
        <f>VLOOKUP(Table1[[#This Row],[Column2]], TAXONOMY_TYPE, 2, FALSE)</f>
        <v>9159</v>
      </c>
      <c r="G146" s="4" t="s">
        <v>323</v>
      </c>
      <c r="H146" s="3" t="s">
        <v>324</v>
      </c>
      <c r="I146" s="3">
        <f>VLOOKUP(Table1[[#This Row],[Provider Type]] &amp; Table1[[#This Row],[Provider Type Description]], PROVIDER_TYPE, 2, FALSE)</f>
        <v>100</v>
      </c>
      <c r="J146" s="4" t="s">
        <v>342</v>
      </c>
      <c r="K146" s="3" t="s">
        <v>343</v>
      </c>
      <c r="L146" s="3">
        <f>VLOOKUP(TRIM(Table1[[#This Row],[Provider Specialty]]) &amp; TRIM(Table1[[#This Row],[Provider Specialty Description]]), SPECIALTY_TYPE, 2, FALSE)</f>
        <v>2350</v>
      </c>
      <c r="M146" s="3" t="s">
        <v>19</v>
      </c>
      <c r="N146" s="27" t="s">
        <v>19</v>
      </c>
      <c r="O146" s="38">
        <f>VLOOKUP(TRIM(Table1[[#This Row],[Provider Specialty]]) &amp; TRIM(Table1[[#This Row],[Provider Specialty Description]]), SPECIALTY_TYPE, 2, FALSE)</f>
        <v>2350</v>
      </c>
      <c r="P146" s="3" t="str">
        <f>Table1[[#This Row],[Provider Type]] &amp; "+" &amp; Table1[[#This Row],[Provider Type Description]]</f>
        <v>09+Advance Practice Nurse</v>
      </c>
      <c r="Q146" s="7" t="str">
        <f>Table1[[#This Row],[Provider Specialty]] &amp; "+" &amp; Table1[[#This Row],[Provider Specialty Description]]</f>
        <v>093+Nurse Practitioner (Other)</v>
      </c>
      <c r="R146" s="7" t="str">
        <f>Table1[[#This Row],[PDMS Specialty Type ID]] &amp; "+" &amp; Table1[[#This Row],[PDMS Provider Type ID]] &amp; "+" &amp;Table1[[#This Row],[TAXONOMY]]</f>
        <v>2350+100+364SA2200X</v>
      </c>
      <c r="S1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(9159, 2350, 100, N'364SA2200X', N'Clinical Nurse Specialist - Adult Health')</v>
      </c>
    </row>
    <row r="147" spans="1:19" ht="47.25" customHeight="1" x14ac:dyDescent="0.25">
      <c r="A147" s="22" t="s">
        <v>227</v>
      </c>
      <c r="B147" s="3" t="s">
        <v>228</v>
      </c>
      <c r="C147" s="3" t="s">
        <v>335</v>
      </c>
      <c r="D147" s="3" t="s">
        <v>347</v>
      </c>
      <c r="E147" s="3" t="s">
        <v>374</v>
      </c>
      <c r="F147" s="3">
        <f>VLOOKUP(Table1[[#This Row],[Column2]], TAXONOMY_TYPE, 2, FALSE)</f>
        <v>9160</v>
      </c>
      <c r="G147" s="4" t="s">
        <v>323</v>
      </c>
      <c r="H147" s="3" t="s">
        <v>324</v>
      </c>
      <c r="I147" s="3">
        <f>VLOOKUP(Table1[[#This Row],[Provider Type]] &amp; Table1[[#This Row],[Provider Type Description]], PROVIDER_TYPE, 2, FALSE)</f>
        <v>100</v>
      </c>
      <c r="J147" s="4" t="s">
        <v>342</v>
      </c>
      <c r="K147" s="3" t="s">
        <v>343</v>
      </c>
      <c r="L147" s="3">
        <f>VLOOKUP(TRIM(Table1[[#This Row],[Provider Specialty]]) &amp; TRIM(Table1[[#This Row],[Provider Specialty Description]]), SPECIALTY_TYPE, 2, FALSE)</f>
        <v>2350</v>
      </c>
      <c r="M147" s="3" t="s">
        <v>19</v>
      </c>
      <c r="N147" s="27" t="s">
        <v>19</v>
      </c>
      <c r="O147" s="38">
        <f>VLOOKUP(TRIM(Table1[[#This Row],[Provider Specialty]]) &amp; TRIM(Table1[[#This Row],[Provider Specialty Description]]), SPECIALTY_TYPE, 2, FALSE)</f>
        <v>2350</v>
      </c>
      <c r="P147" s="3" t="str">
        <f>Table1[[#This Row],[Provider Type]] &amp; "+" &amp; Table1[[#This Row],[Provider Type Description]]</f>
        <v>09+Advance Practice Nurse</v>
      </c>
      <c r="Q147" s="7" t="str">
        <f>Table1[[#This Row],[Provider Specialty]] &amp; "+" &amp; Table1[[#This Row],[Provider Specialty Description]]</f>
        <v>093+Nurse Practitioner (Other)</v>
      </c>
      <c r="R147" s="7" t="str">
        <f>Table1[[#This Row],[PDMS Specialty Type ID]] &amp; "+" &amp; Table1[[#This Row],[PDMS Provider Type ID]] &amp; "+" &amp;Table1[[#This Row],[TAXONOMY]]</f>
        <v>2350+100+364SC0200X</v>
      </c>
      <c r="S1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(9160, 2350, 100, N'364SC0200X', N'Clinical Nurse Specialist - Critical Care Medicine')</v>
      </c>
    </row>
    <row r="148" spans="1:19" ht="47.25" customHeight="1" x14ac:dyDescent="0.25">
      <c r="A148" s="22" t="s">
        <v>227</v>
      </c>
      <c r="B148" s="3" t="s">
        <v>228</v>
      </c>
      <c r="C148" s="3" t="s">
        <v>335</v>
      </c>
      <c r="D148" s="3" t="s">
        <v>375</v>
      </c>
      <c r="E148" s="3" t="s">
        <v>376</v>
      </c>
      <c r="F148" s="3">
        <f>VLOOKUP(Table1[[#This Row],[Column2]], TAXONOMY_TYPE, 2, FALSE)</f>
        <v>9161</v>
      </c>
      <c r="G148" s="4" t="s">
        <v>323</v>
      </c>
      <c r="H148" s="3" t="s">
        <v>324</v>
      </c>
      <c r="I148" s="3">
        <f>VLOOKUP(Table1[[#This Row],[Provider Type]] &amp; Table1[[#This Row],[Provider Type Description]], PROVIDER_TYPE, 2, FALSE)</f>
        <v>100</v>
      </c>
      <c r="J148" s="4" t="s">
        <v>342</v>
      </c>
      <c r="K148" s="3" t="s">
        <v>343</v>
      </c>
      <c r="L148" s="3">
        <f>VLOOKUP(TRIM(Table1[[#This Row],[Provider Specialty]]) &amp; TRIM(Table1[[#This Row],[Provider Specialty Description]]), SPECIALTY_TYPE, 2, FALSE)</f>
        <v>2350</v>
      </c>
      <c r="M148" s="3" t="s">
        <v>19</v>
      </c>
      <c r="N148" s="27" t="s">
        <v>19</v>
      </c>
      <c r="O148" s="38">
        <f>VLOOKUP(TRIM(Table1[[#This Row],[Provider Specialty]]) &amp; TRIM(Table1[[#This Row],[Provider Specialty Description]]), SPECIALTY_TYPE, 2, FALSE)</f>
        <v>2350</v>
      </c>
      <c r="P148" s="3" t="str">
        <f>Table1[[#This Row],[Provider Type]] &amp; "+" &amp; Table1[[#This Row],[Provider Type Description]]</f>
        <v>09+Advance Practice Nurse</v>
      </c>
      <c r="Q148" s="7" t="str">
        <f>Table1[[#This Row],[Provider Specialty]] &amp; "+" &amp; Table1[[#This Row],[Provider Specialty Description]]</f>
        <v>093+Nurse Practitioner (Other)</v>
      </c>
      <c r="R148" s="7" t="str">
        <f>Table1[[#This Row],[PDMS Specialty Type ID]] &amp; "+" &amp; Table1[[#This Row],[PDMS Provider Type ID]] &amp; "+" &amp;Table1[[#This Row],[TAXONOMY]]</f>
        <v>2350+100+364SC1501X</v>
      </c>
      <c r="S1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(9161, 2350, 100, N'364SC1501X', N'Clinical Nurse Specialist - Community Health/Public Health')</v>
      </c>
    </row>
    <row r="149" spans="1:19" ht="47.25" customHeight="1" x14ac:dyDescent="0.25">
      <c r="A149" s="22" t="s">
        <v>227</v>
      </c>
      <c r="B149" s="3" t="s">
        <v>228</v>
      </c>
      <c r="C149" s="3" t="s">
        <v>335</v>
      </c>
      <c r="D149" s="3" t="s">
        <v>377</v>
      </c>
      <c r="E149" s="3" t="s">
        <v>378</v>
      </c>
      <c r="F149" s="3">
        <f>VLOOKUP(Table1[[#This Row],[Column2]], TAXONOMY_TYPE, 2, FALSE)</f>
        <v>9162</v>
      </c>
      <c r="G149" s="4" t="s">
        <v>323</v>
      </c>
      <c r="H149" s="3" t="s">
        <v>324</v>
      </c>
      <c r="I149" s="3">
        <f>VLOOKUP(Table1[[#This Row],[Provider Type]] &amp; Table1[[#This Row],[Provider Type Description]], PROVIDER_TYPE, 2, FALSE)</f>
        <v>100</v>
      </c>
      <c r="J149" s="4" t="s">
        <v>342</v>
      </c>
      <c r="K149" s="3" t="s">
        <v>343</v>
      </c>
      <c r="L149" s="3">
        <f>VLOOKUP(TRIM(Table1[[#This Row],[Provider Specialty]]) &amp; TRIM(Table1[[#This Row],[Provider Specialty Description]]), SPECIALTY_TYPE, 2, FALSE)</f>
        <v>2350</v>
      </c>
      <c r="M149" s="3" t="s">
        <v>19</v>
      </c>
      <c r="N149" s="27" t="s">
        <v>19</v>
      </c>
      <c r="O149" s="38">
        <f>VLOOKUP(TRIM(Table1[[#This Row],[Provider Specialty]]) &amp; TRIM(Table1[[#This Row],[Provider Specialty Description]]), SPECIALTY_TYPE, 2, FALSE)</f>
        <v>2350</v>
      </c>
      <c r="P149" s="3" t="str">
        <f>Table1[[#This Row],[Provider Type]] &amp; "+" &amp; Table1[[#This Row],[Provider Type Description]]</f>
        <v>09+Advance Practice Nurse</v>
      </c>
      <c r="Q149" s="7" t="str">
        <f>Table1[[#This Row],[Provider Specialty]] &amp; "+" &amp; Table1[[#This Row],[Provider Specialty Description]]</f>
        <v>093+Nurse Practitioner (Other)</v>
      </c>
      <c r="R149" s="7" t="str">
        <f>Table1[[#This Row],[PDMS Specialty Type ID]] &amp; "+" &amp; Table1[[#This Row],[PDMS Provider Type ID]] &amp; "+" &amp;Table1[[#This Row],[TAXONOMY]]</f>
        <v>2350+100+364SC2300X</v>
      </c>
      <c r="S1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(9162, 2350, 100, N'364SC2300X', N'Clinical Nurse Specialist - Chronic Care')</v>
      </c>
    </row>
    <row r="150" spans="1:19" ht="47.25" customHeight="1" x14ac:dyDescent="0.25">
      <c r="A150" s="22" t="s">
        <v>227</v>
      </c>
      <c r="B150" s="3" t="s">
        <v>228</v>
      </c>
      <c r="C150" s="3" t="s">
        <v>335</v>
      </c>
      <c r="D150" s="3" t="s">
        <v>379</v>
      </c>
      <c r="E150" s="3" t="s">
        <v>380</v>
      </c>
      <c r="F150" s="3">
        <f>VLOOKUP(Table1[[#This Row],[Column2]], TAXONOMY_TYPE, 2, FALSE)</f>
        <v>9163</v>
      </c>
      <c r="G150" s="4" t="s">
        <v>323</v>
      </c>
      <c r="H150" s="3" t="s">
        <v>324</v>
      </c>
      <c r="I150" s="3">
        <f>VLOOKUP(Table1[[#This Row],[Provider Type]] &amp; Table1[[#This Row],[Provider Type Description]], PROVIDER_TYPE, 2, FALSE)</f>
        <v>100</v>
      </c>
      <c r="J150" s="4" t="s">
        <v>342</v>
      </c>
      <c r="K150" s="3" t="s">
        <v>343</v>
      </c>
      <c r="L150" s="3">
        <f>VLOOKUP(TRIM(Table1[[#This Row],[Provider Specialty]]) &amp; TRIM(Table1[[#This Row],[Provider Specialty Description]]), SPECIALTY_TYPE, 2, FALSE)</f>
        <v>2350</v>
      </c>
      <c r="M150" s="3" t="s">
        <v>19</v>
      </c>
      <c r="N150" s="27" t="s">
        <v>19</v>
      </c>
      <c r="O150" s="38">
        <f>VLOOKUP(TRIM(Table1[[#This Row],[Provider Specialty]]) &amp; TRIM(Table1[[#This Row],[Provider Specialty Description]]), SPECIALTY_TYPE, 2, FALSE)</f>
        <v>2350</v>
      </c>
      <c r="P150" s="3" t="str">
        <f>Table1[[#This Row],[Provider Type]] &amp; "+" &amp; Table1[[#This Row],[Provider Type Description]]</f>
        <v>09+Advance Practice Nurse</v>
      </c>
      <c r="Q150" s="7" t="str">
        <f>Table1[[#This Row],[Provider Specialty]] &amp; "+" &amp; Table1[[#This Row],[Provider Specialty Description]]</f>
        <v>093+Nurse Practitioner (Other)</v>
      </c>
      <c r="R150" s="7" t="str">
        <f>Table1[[#This Row],[PDMS Specialty Type ID]] &amp; "+" &amp; Table1[[#This Row],[PDMS Provider Type ID]] &amp; "+" &amp;Table1[[#This Row],[TAXONOMY]]</f>
        <v>2350+100+364SE0003X</v>
      </c>
      <c r="S1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(9163, 2350, 100, N'364SE0003X', N'Clinical Nurse Specialist - Emergency')</v>
      </c>
    </row>
    <row r="151" spans="1:19" ht="47.25" customHeight="1" x14ac:dyDescent="0.25">
      <c r="A151" s="22" t="s">
        <v>227</v>
      </c>
      <c r="B151" s="3" t="s">
        <v>228</v>
      </c>
      <c r="C151" s="3" t="s">
        <v>335</v>
      </c>
      <c r="D151" s="3" t="s">
        <v>381</v>
      </c>
      <c r="E151" s="3" t="s">
        <v>382</v>
      </c>
      <c r="F151" s="3">
        <f>VLOOKUP(Table1[[#This Row],[Column2]], TAXONOMY_TYPE, 2, FALSE)</f>
        <v>9164</v>
      </c>
      <c r="G151" s="4" t="s">
        <v>323</v>
      </c>
      <c r="H151" s="3" t="s">
        <v>324</v>
      </c>
      <c r="I151" s="3">
        <f>VLOOKUP(Table1[[#This Row],[Provider Type]] &amp; Table1[[#This Row],[Provider Type Description]], PROVIDER_TYPE, 2, FALSE)</f>
        <v>100</v>
      </c>
      <c r="J151" s="4" t="s">
        <v>342</v>
      </c>
      <c r="K151" s="3" t="s">
        <v>343</v>
      </c>
      <c r="L151" s="3">
        <f>VLOOKUP(TRIM(Table1[[#This Row],[Provider Specialty]]) &amp; TRIM(Table1[[#This Row],[Provider Specialty Description]]), SPECIALTY_TYPE, 2, FALSE)</f>
        <v>2350</v>
      </c>
      <c r="M151" s="3" t="s">
        <v>19</v>
      </c>
      <c r="N151" s="27" t="s">
        <v>19</v>
      </c>
      <c r="O151" s="38">
        <f>VLOOKUP(TRIM(Table1[[#This Row],[Provider Specialty]]) &amp; TRIM(Table1[[#This Row],[Provider Specialty Description]]), SPECIALTY_TYPE, 2, FALSE)</f>
        <v>2350</v>
      </c>
      <c r="P151" s="3" t="str">
        <f>Table1[[#This Row],[Provider Type]] &amp; "+" &amp; Table1[[#This Row],[Provider Type Description]]</f>
        <v>09+Advance Practice Nurse</v>
      </c>
      <c r="Q151" s="7" t="str">
        <f>Table1[[#This Row],[Provider Specialty]] &amp; "+" &amp; Table1[[#This Row],[Provider Specialty Description]]</f>
        <v>093+Nurse Practitioner (Other)</v>
      </c>
      <c r="R151" s="7" t="str">
        <f>Table1[[#This Row],[PDMS Specialty Type ID]] &amp; "+" &amp; Table1[[#This Row],[PDMS Provider Type ID]] &amp; "+" &amp;Table1[[#This Row],[TAXONOMY]]</f>
        <v>2350+100+364SE1400X</v>
      </c>
      <c r="S1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(9164, 2350, 100, N'364SE1400X', N'Clinical Nurse Specialist - Ethics')</v>
      </c>
    </row>
    <row r="152" spans="1:19" ht="47.25" customHeight="1" x14ac:dyDescent="0.25">
      <c r="A152" s="22" t="s">
        <v>227</v>
      </c>
      <c r="B152" s="3" t="s">
        <v>228</v>
      </c>
      <c r="C152" s="3" t="s">
        <v>335</v>
      </c>
      <c r="D152" s="3" t="s">
        <v>383</v>
      </c>
      <c r="E152" s="3" t="s">
        <v>384</v>
      </c>
      <c r="F152" s="3">
        <f>VLOOKUP(Table1[[#This Row],[Column2]], TAXONOMY_TYPE, 2, FALSE)</f>
        <v>9165</v>
      </c>
      <c r="G152" s="4" t="s">
        <v>323</v>
      </c>
      <c r="H152" s="3" t="s">
        <v>324</v>
      </c>
      <c r="I152" s="3">
        <f>VLOOKUP(Table1[[#This Row],[Provider Type]] &amp; Table1[[#This Row],[Provider Type Description]], PROVIDER_TYPE, 2, FALSE)</f>
        <v>100</v>
      </c>
      <c r="J152" s="4" t="s">
        <v>342</v>
      </c>
      <c r="K152" s="3" t="s">
        <v>343</v>
      </c>
      <c r="L152" s="3">
        <f>VLOOKUP(TRIM(Table1[[#This Row],[Provider Specialty]]) &amp; TRIM(Table1[[#This Row],[Provider Specialty Description]]), SPECIALTY_TYPE, 2, FALSE)</f>
        <v>2350</v>
      </c>
      <c r="M152" s="3" t="s">
        <v>19</v>
      </c>
      <c r="N152" s="27" t="s">
        <v>19</v>
      </c>
      <c r="O152" s="38">
        <f>VLOOKUP(TRIM(Table1[[#This Row],[Provider Specialty]]) &amp; TRIM(Table1[[#This Row],[Provider Specialty Description]]), SPECIALTY_TYPE, 2, FALSE)</f>
        <v>2350</v>
      </c>
      <c r="P152" s="3" t="str">
        <f>Table1[[#This Row],[Provider Type]] &amp; "+" &amp; Table1[[#This Row],[Provider Type Description]]</f>
        <v>09+Advance Practice Nurse</v>
      </c>
      <c r="Q152" s="7" t="str">
        <f>Table1[[#This Row],[Provider Specialty]] &amp; "+" &amp; Table1[[#This Row],[Provider Specialty Description]]</f>
        <v>093+Nurse Practitioner (Other)</v>
      </c>
      <c r="R152" s="7" t="str">
        <f>Table1[[#This Row],[PDMS Specialty Type ID]] &amp; "+" &amp; Table1[[#This Row],[PDMS Provider Type ID]] &amp; "+" &amp;Table1[[#This Row],[TAXONOMY]]</f>
        <v>2350+100+364SF0001X</v>
      </c>
      <c r="S1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(9165, 2350, 100, N'364SF0001X', N'Clinical Nurse Specialist - Family Health')</v>
      </c>
    </row>
    <row r="153" spans="1:19" ht="47.25" customHeight="1" x14ac:dyDescent="0.25">
      <c r="A153" s="22" t="s">
        <v>227</v>
      </c>
      <c r="B153" s="3" t="s">
        <v>228</v>
      </c>
      <c r="C153" s="3" t="s">
        <v>335</v>
      </c>
      <c r="D153" s="3" t="s">
        <v>354</v>
      </c>
      <c r="E153" s="3" t="s">
        <v>385</v>
      </c>
      <c r="F153" s="3">
        <f>VLOOKUP(Table1[[#This Row],[Column2]], TAXONOMY_TYPE, 2, FALSE)</f>
        <v>9166</v>
      </c>
      <c r="G153" s="4" t="s">
        <v>323</v>
      </c>
      <c r="H153" s="3" t="s">
        <v>324</v>
      </c>
      <c r="I153" s="3">
        <f>VLOOKUP(Table1[[#This Row],[Provider Type]] &amp; Table1[[#This Row],[Provider Type Description]], PROVIDER_TYPE, 2, FALSE)</f>
        <v>100</v>
      </c>
      <c r="J153" s="4" t="s">
        <v>342</v>
      </c>
      <c r="K153" s="3" t="s">
        <v>343</v>
      </c>
      <c r="L153" s="3">
        <f>VLOOKUP(TRIM(Table1[[#This Row],[Provider Specialty]]) &amp; TRIM(Table1[[#This Row],[Provider Specialty Description]]), SPECIALTY_TYPE, 2, FALSE)</f>
        <v>2350</v>
      </c>
      <c r="M153" s="3" t="s">
        <v>19</v>
      </c>
      <c r="N153" s="27" t="s">
        <v>19</v>
      </c>
      <c r="O153" s="38">
        <f>VLOOKUP(TRIM(Table1[[#This Row],[Provider Specialty]]) &amp; TRIM(Table1[[#This Row],[Provider Specialty Description]]), SPECIALTY_TYPE, 2, FALSE)</f>
        <v>2350</v>
      </c>
      <c r="P153" s="3" t="str">
        <f>Table1[[#This Row],[Provider Type]] &amp; "+" &amp; Table1[[#This Row],[Provider Type Description]]</f>
        <v>09+Advance Practice Nurse</v>
      </c>
      <c r="Q153" s="7" t="str">
        <f>Table1[[#This Row],[Provider Specialty]] &amp; "+" &amp; Table1[[#This Row],[Provider Specialty Description]]</f>
        <v>093+Nurse Practitioner (Other)</v>
      </c>
      <c r="R153" s="7" t="str">
        <f>Table1[[#This Row],[PDMS Specialty Type ID]] &amp; "+" &amp; Table1[[#This Row],[PDMS Provider Type ID]] &amp; "+" &amp;Table1[[#This Row],[TAXONOMY]]</f>
        <v>2350+100+364SG0600X</v>
      </c>
      <c r="S1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(9166, 2350, 100, N'364SG0600X', N'Clinical Nurse Specialist - Gerontology')</v>
      </c>
    </row>
    <row r="154" spans="1:19" ht="47.25" customHeight="1" x14ac:dyDescent="0.25">
      <c r="A154" s="22" t="s">
        <v>227</v>
      </c>
      <c r="B154" s="3" t="s">
        <v>228</v>
      </c>
      <c r="C154" s="3" t="s">
        <v>335</v>
      </c>
      <c r="D154" s="3" t="s">
        <v>176</v>
      </c>
      <c r="E154" s="3" t="s">
        <v>386</v>
      </c>
      <c r="F154" s="3">
        <f>VLOOKUP(Table1[[#This Row],[Column2]], TAXONOMY_TYPE, 2, FALSE)</f>
        <v>9167</v>
      </c>
      <c r="G154" s="4" t="s">
        <v>323</v>
      </c>
      <c r="H154" s="3" t="s">
        <v>324</v>
      </c>
      <c r="I154" s="3">
        <f>VLOOKUP(Table1[[#This Row],[Provider Type]] &amp; Table1[[#This Row],[Provider Type Description]], PROVIDER_TYPE, 2, FALSE)</f>
        <v>100</v>
      </c>
      <c r="J154" s="4" t="s">
        <v>342</v>
      </c>
      <c r="K154" s="3" t="s">
        <v>343</v>
      </c>
      <c r="L154" s="3">
        <f>VLOOKUP(TRIM(Table1[[#This Row],[Provider Specialty]]) &amp; TRIM(Table1[[#This Row],[Provider Specialty Description]]), SPECIALTY_TYPE, 2, FALSE)</f>
        <v>2350</v>
      </c>
      <c r="M154" s="3" t="s">
        <v>19</v>
      </c>
      <c r="N154" s="27" t="s">
        <v>19</v>
      </c>
      <c r="O154" s="38">
        <f>VLOOKUP(TRIM(Table1[[#This Row],[Provider Specialty]]) &amp; TRIM(Table1[[#This Row],[Provider Specialty Description]]), SPECIALTY_TYPE, 2, FALSE)</f>
        <v>2350</v>
      </c>
      <c r="P154" s="3" t="str">
        <f>Table1[[#This Row],[Provider Type]] &amp; "+" &amp; Table1[[#This Row],[Provider Type Description]]</f>
        <v>09+Advance Practice Nurse</v>
      </c>
      <c r="Q154" s="7" t="str">
        <f>Table1[[#This Row],[Provider Specialty]] &amp; "+" &amp; Table1[[#This Row],[Provider Specialty Description]]</f>
        <v>093+Nurse Practitioner (Other)</v>
      </c>
      <c r="R154" s="7" t="str">
        <f>Table1[[#This Row],[PDMS Specialty Type ID]] &amp; "+" &amp; Table1[[#This Row],[PDMS Provider Type ID]] &amp; "+" &amp;Table1[[#This Row],[TAXONOMY]]</f>
        <v>2350+100+364SH0200X</v>
      </c>
      <c r="S1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(9167, 2350, 100, N'364SH0200X', N'Clinical Nurse Specialist - Home Health')</v>
      </c>
    </row>
    <row r="155" spans="1:19" ht="47.25" customHeight="1" x14ac:dyDescent="0.25">
      <c r="A155" s="22" t="s">
        <v>227</v>
      </c>
      <c r="B155" s="3" t="s">
        <v>228</v>
      </c>
      <c r="C155" s="3" t="s">
        <v>335</v>
      </c>
      <c r="D155" s="3" t="s">
        <v>387</v>
      </c>
      <c r="E155" s="3" t="s">
        <v>388</v>
      </c>
      <c r="F155" s="3">
        <f>VLOOKUP(Table1[[#This Row],[Column2]], TAXONOMY_TYPE, 2, FALSE)</f>
        <v>9168</v>
      </c>
      <c r="G155" s="4" t="s">
        <v>323</v>
      </c>
      <c r="H155" s="3" t="s">
        <v>324</v>
      </c>
      <c r="I155" s="3">
        <f>VLOOKUP(Table1[[#This Row],[Provider Type]] &amp; Table1[[#This Row],[Provider Type Description]], PROVIDER_TYPE, 2, FALSE)</f>
        <v>100</v>
      </c>
      <c r="J155" s="4" t="s">
        <v>342</v>
      </c>
      <c r="K155" s="3" t="s">
        <v>343</v>
      </c>
      <c r="L155" s="3">
        <f>VLOOKUP(TRIM(Table1[[#This Row],[Provider Specialty]]) &amp; TRIM(Table1[[#This Row],[Provider Specialty Description]]), SPECIALTY_TYPE, 2, FALSE)</f>
        <v>2350</v>
      </c>
      <c r="M155" s="3" t="s">
        <v>19</v>
      </c>
      <c r="N155" s="27" t="s">
        <v>19</v>
      </c>
      <c r="O155" s="38">
        <f>VLOOKUP(TRIM(Table1[[#This Row],[Provider Specialty]]) &amp; TRIM(Table1[[#This Row],[Provider Specialty Description]]), SPECIALTY_TYPE, 2, FALSE)</f>
        <v>2350</v>
      </c>
      <c r="P155" s="3" t="str">
        <f>Table1[[#This Row],[Provider Type]] &amp; "+" &amp; Table1[[#This Row],[Provider Type Description]]</f>
        <v>09+Advance Practice Nurse</v>
      </c>
      <c r="Q155" s="7" t="str">
        <f>Table1[[#This Row],[Provider Specialty]] &amp; "+" &amp; Table1[[#This Row],[Provider Specialty Description]]</f>
        <v>093+Nurse Practitioner (Other)</v>
      </c>
      <c r="R155" s="7" t="str">
        <f>Table1[[#This Row],[PDMS Specialty Type ID]] &amp; "+" &amp; Table1[[#This Row],[PDMS Provider Type ID]] &amp; "+" &amp;Table1[[#This Row],[TAXONOMY]]</f>
        <v>2350+100+364SH1100X</v>
      </c>
      <c r="S1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(9168, 2350, 100, N'364SH1100X', N'Clinical Nurse Specialist - Holistic')</v>
      </c>
    </row>
    <row r="156" spans="1:19" ht="47.25" customHeight="1" x14ac:dyDescent="0.25">
      <c r="A156" s="22" t="s">
        <v>227</v>
      </c>
      <c r="B156" s="3" t="s">
        <v>228</v>
      </c>
      <c r="C156" s="3" t="s">
        <v>335</v>
      </c>
      <c r="D156" s="3" t="s">
        <v>389</v>
      </c>
      <c r="E156" s="3" t="s">
        <v>390</v>
      </c>
      <c r="F156" s="3">
        <f>VLOOKUP(Table1[[#This Row],[Column2]], TAXONOMY_TYPE, 2, FALSE)</f>
        <v>9169</v>
      </c>
      <c r="G156" s="4" t="s">
        <v>323</v>
      </c>
      <c r="H156" s="3" t="s">
        <v>324</v>
      </c>
      <c r="I156" s="3">
        <f>VLOOKUP(Table1[[#This Row],[Provider Type]] &amp; Table1[[#This Row],[Provider Type Description]], PROVIDER_TYPE, 2, FALSE)</f>
        <v>100</v>
      </c>
      <c r="J156" s="4" t="s">
        <v>342</v>
      </c>
      <c r="K156" s="3" t="s">
        <v>343</v>
      </c>
      <c r="L156" s="3">
        <f>VLOOKUP(TRIM(Table1[[#This Row],[Provider Specialty]]) &amp; TRIM(Table1[[#This Row],[Provider Specialty Description]]), SPECIALTY_TYPE, 2, FALSE)</f>
        <v>2350</v>
      </c>
      <c r="M156" s="3" t="s">
        <v>19</v>
      </c>
      <c r="N156" s="27" t="s">
        <v>19</v>
      </c>
      <c r="O156" s="38">
        <f>VLOOKUP(TRIM(Table1[[#This Row],[Provider Specialty]]) &amp; TRIM(Table1[[#This Row],[Provider Specialty Description]]), SPECIALTY_TYPE, 2, FALSE)</f>
        <v>2350</v>
      </c>
      <c r="P156" s="3" t="str">
        <f>Table1[[#This Row],[Provider Type]] &amp; "+" &amp; Table1[[#This Row],[Provider Type Description]]</f>
        <v>09+Advance Practice Nurse</v>
      </c>
      <c r="Q156" s="7" t="str">
        <f>Table1[[#This Row],[Provider Specialty]] &amp; "+" &amp; Table1[[#This Row],[Provider Specialty Description]]</f>
        <v>093+Nurse Practitioner (Other)</v>
      </c>
      <c r="R156" s="7" t="str">
        <f>Table1[[#This Row],[PDMS Specialty Type ID]] &amp; "+" &amp; Table1[[#This Row],[PDMS Provider Type ID]] &amp; "+" &amp;Table1[[#This Row],[TAXONOMY]]</f>
        <v>2350+100+364SI0800X</v>
      </c>
      <c r="S1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(9169, 2350, 100, N'364SI0800X', N'Clinical Nurse Specialist - Informatics')</v>
      </c>
    </row>
    <row r="157" spans="1:19" ht="47.25" customHeight="1" x14ac:dyDescent="0.25">
      <c r="A157" s="22" t="s">
        <v>227</v>
      </c>
      <c r="B157" s="3" t="s">
        <v>228</v>
      </c>
      <c r="C157" s="3" t="s">
        <v>335</v>
      </c>
      <c r="D157" s="3" t="s">
        <v>391</v>
      </c>
      <c r="E157" s="3" t="s">
        <v>392</v>
      </c>
      <c r="F157" s="3">
        <f>VLOOKUP(Table1[[#This Row],[Column2]], TAXONOMY_TYPE, 2, FALSE)</f>
        <v>9170</v>
      </c>
      <c r="G157" s="4" t="s">
        <v>323</v>
      </c>
      <c r="H157" s="3" t="s">
        <v>324</v>
      </c>
      <c r="I157" s="3">
        <f>VLOOKUP(Table1[[#This Row],[Provider Type]] &amp; Table1[[#This Row],[Provider Type Description]], PROVIDER_TYPE, 2, FALSE)</f>
        <v>100</v>
      </c>
      <c r="J157" s="4" t="s">
        <v>342</v>
      </c>
      <c r="K157" s="3" t="s">
        <v>343</v>
      </c>
      <c r="L157" s="3">
        <f>VLOOKUP(TRIM(Table1[[#This Row],[Provider Specialty]]) &amp; TRIM(Table1[[#This Row],[Provider Specialty Description]]), SPECIALTY_TYPE, 2, FALSE)</f>
        <v>2350</v>
      </c>
      <c r="M157" s="3" t="s">
        <v>19</v>
      </c>
      <c r="N157" s="27" t="s">
        <v>19</v>
      </c>
      <c r="O157" s="38">
        <f>VLOOKUP(TRIM(Table1[[#This Row],[Provider Specialty]]) &amp; TRIM(Table1[[#This Row],[Provider Specialty Description]]), SPECIALTY_TYPE, 2, FALSE)</f>
        <v>2350</v>
      </c>
      <c r="P157" s="3" t="str">
        <f>Table1[[#This Row],[Provider Type]] &amp; "+" &amp; Table1[[#This Row],[Provider Type Description]]</f>
        <v>09+Advance Practice Nurse</v>
      </c>
      <c r="Q157" s="7" t="str">
        <f>Table1[[#This Row],[Provider Specialty]] &amp; "+" &amp; Table1[[#This Row],[Provider Specialty Description]]</f>
        <v>093+Nurse Practitioner (Other)</v>
      </c>
      <c r="R157" s="7" t="str">
        <f>Table1[[#This Row],[PDMS Specialty Type ID]] &amp; "+" &amp; Table1[[#This Row],[PDMS Provider Type ID]] &amp; "+" &amp;Table1[[#This Row],[TAXONOMY]]</f>
        <v>2350+100+364SL0600X</v>
      </c>
      <c r="S1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(9170, 2350, 100, N'364SL0600X', N'Clinical Nurse Specialist - Long-Term Care')</v>
      </c>
    </row>
    <row r="158" spans="1:19" ht="47.25" customHeight="1" x14ac:dyDescent="0.25">
      <c r="A158" s="22" t="s">
        <v>227</v>
      </c>
      <c r="B158" s="3" t="s">
        <v>228</v>
      </c>
      <c r="C158" s="3" t="s">
        <v>335</v>
      </c>
      <c r="D158" s="3" t="s">
        <v>393</v>
      </c>
      <c r="E158" s="3" t="s">
        <v>394</v>
      </c>
      <c r="F158" s="3">
        <f>VLOOKUP(Table1[[#This Row],[Column2]], TAXONOMY_TYPE, 2, FALSE)</f>
        <v>9171</v>
      </c>
      <c r="G158" s="4" t="s">
        <v>323</v>
      </c>
      <c r="H158" s="3" t="s">
        <v>324</v>
      </c>
      <c r="I158" s="3">
        <f>VLOOKUP(Table1[[#This Row],[Provider Type]] &amp; Table1[[#This Row],[Provider Type Description]], PROVIDER_TYPE, 2, FALSE)</f>
        <v>100</v>
      </c>
      <c r="J158" s="4" t="s">
        <v>342</v>
      </c>
      <c r="K158" s="3" t="s">
        <v>343</v>
      </c>
      <c r="L158" s="3">
        <f>VLOOKUP(TRIM(Table1[[#This Row],[Provider Specialty]]) &amp; TRIM(Table1[[#This Row],[Provider Specialty Description]]), SPECIALTY_TYPE, 2, FALSE)</f>
        <v>2350</v>
      </c>
      <c r="M158" s="3" t="s">
        <v>19</v>
      </c>
      <c r="N158" s="27" t="s">
        <v>19</v>
      </c>
      <c r="O158" s="38">
        <f>VLOOKUP(TRIM(Table1[[#This Row],[Provider Specialty]]) &amp; TRIM(Table1[[#This Row],[Provider Specialty Description]]), SPECIALTY_TYPE, 2, FALSE)</f>
        <v>2350</v>
      </c>
      <c r="P158" s="3" t="str">
        <f>Table1[[#This Row],[Provider Type]] &amp; "+" &amp; Table1[[#This Row],[Provider Type Description]]</f>
        <v>09+Advance Practice Nurse</v>
      </c>
      <c r="Q158" s="7" t="str">
        <f>Table1[[#This Row],[Provider Specialty]] &amp; "+" &amp; Table1[[#This Row],[Provider Specialty Description]]</f>
        <v>093+Nurse Practitioner (Other)</v>
      </c>
      <c r="R158" s="7" t="str">
        <f>Table1[[#This Row],[PDMS Specialty Type ID]] &amp; "+" &amp; Table1[[#This Row],[PDMS Provider Type ID]] &amp; "+" &amp;Table1[[#This Row],[TAXONOMY]]</f>
        <v>2350+100+364SM0705X</v>
      </c>
      <c r="S1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(9171, 2350, 100, N'364SM0705X', N'Clinical Nurse Specialist - Medical-Surgical')</v>
      </c>
    </row>
    <row r="159" spans="1:19" ht="47.25" customHeight="1" x14ac:dyDescent="0.25">
      <c r="A159" s="22" t="s">
        <v>227</v>
      </c>
      <c r="B159" s="3" t="s">
        <v>228</v>
      </c>
      <c r="C159" s="3" t="s">
        <v>335</v>
      </c>
      <c r="D159" s="3" t="s">
        <v>356</v>
      </c>
      <c r="E159" s="3" t="s">
        <v>395</v>
      </c>
      <c r="F159" s="3">
        <f>VLOOKUP(Table1[[#This Row],[Column2]], TAXONOMY_TYPE, 2, FALSE)</f>
        <v>9172</v>
      </c>
      <c r="G159" s="4" t="s">
        <v>323</v>
      </c>
      <c r="H159" s="3" t="s">
        <v>324</v>
      </c>
      <c r="I159" s="3">
        <f>VLOOKUP(Table1[[#This Row],[Provider Type]] &amp; Table1[[#This Row],[Provider Type Description]], PROVIDER_TYPE, 2, FALSE)</f>
        <v>100</v>
      </c>
      <c r="J159" s="4" t="s">
        <v>342</v>
      </c>
      <c r="K159" s="3" t="s">
        <v>343</v>
      </c>
      <c r="L159" s="3">
        <f>VLOOKUP(TRIM(Table1[[#This Row],[Provider Specialty]]) &amp; TRIM(Table1[[#This Row],[Provider Specialty Description]]), SPECIALTY_TYPE, 2, FALSE)</f>
        <v>2350</v>
      </c>
      <c r="M159" s="3" t="s">
        <v>19</v>
      </c>
      <c r="N159" s="27" t="s">
        <v>19</v>
      </c>
      <c r="O159" s="38">
        <f>VLOOKUP(TRIM(Table1[[#This Row],[Provider Specialty]]) &amp; TRIM(Table1[[#This Row],[Provider Specialty Description]]), SPECIALTY_TYPE, 2, FALSE)</f>
        <v>2350</v>
      </c>
      <c r="P159" s="3" t="str">
        <f>Table1[[#This Row],[Provider Type]] &amp; "+" &amp; Table1[[#This Row],[Provider Type Description]]</f>
        <v>09+Advance Practice Nurse</v>
      </c>
      <c r="Q159" s="7" t="str">
        <f>Table1[[#This Row],[Provider Specialty]] &amp; "+" &amp; Table1[[#This Row],[Provider Specialty Description]]</f>
        <v>093+Nurse Practitioner (Other)</v>
      </c>
      <c r="R159" s="7" t="str">
        <f>Table1[[#This Row],[PDMS Specialty Type ID]] &amp; "+" &amp; Table1[[#This Row],[PDMS Provider Type ID]] &amp; "+" &amp;Table1[[#This Row],[TAXONOMY]]</f>
        <v>2350+100+364SN0000X</v>
      </c>
      <c r="S1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(9172, 2350, 100, N'364SN0000X', N'Clinical Nurse Specialist - Neonatal')</v>
      </c>
    </row>
    <row r="160" spans="1:19" ht="47.25" customHeight="1" x14ac:dyDescent="0.25">
      <c r="A160" s="22" t="s">
        <v>227</v>
      </c>
      <c r="B160" s="3" t="s">
        <v>228</v>
      </c>
      <c r="C160" s="3" t="s">
        <v>335</v>
      </c>
      <c r="D160" s="3" t="s">
        <v>396</v>
      </c>
      <c r="E160" s="3" t="s">
        <v>397</v>
      </c>
      <c r="F160" s="3">
        <f>VLOOKUP(Table1[[#This Row],[Column2]], TAXONOMY_TYPE, 2, FALSE)</f>
        <v>9173</v>
      </c>
      <c r="G160" s="4" t="s">
        <v>323</v>
      </c>
      <c r="H160" s="3" t="s">
        <v>324</v>
      </c>
      <c r="I160" s="3">
        <f>VLOOKUP(Table1[[#This Row],[Provider Type]] &amp; Table1[[#This Row],[Provider Type Description]], PROVIDER_TYPE, 2, FALSE)</f>
        <v>100</v>
      </c>
      <c r="J160" s="4" t="s">
        <v>342</v>
      </c>
      <c r="K160" s="3" t="s">
        <v>343</v>
      </c>
      <c r="L160" s="3">
        <f>VLOOKUP(TRIM(Table1[[#This Row],[Provider Specialty]]) &amp; TRIM(Table1[[#This Row],[Provider Specialty Description]]), SPECIALTY_TYPE, 2, FALSE)</f>
        <v>2350</v>
      </c>
      <c r="M160" s="3" t="s">
        <v>19</v>
      </c>
      <c r="N160" s="27" t="s">
        <v>19</v>
      </c>
      <c r="O160" s="38">
        <f>VLOOKUP(TRIM(Table1[[#This Row],[Provider Specialty]]) &amp; TRIM(Table1[[#This Row],[Provider Specialty Description]]), SPECIALTY_TYPE, 2, FALSE)</f>
        <v>2350</v>
      </c>
      <c r="P160" s="3" t="str">
        <f>Table1[[#This Row],[Provider Type]] &amp; "+" &amp; Table1[[#This Row],[Provider Type Description]]</f>
        <v>09+Advance Practice Nurse</v>
      </c>
      <c r="Q160" s="7" t="str">
        <f>Table1[[#This Row],[Provider Specialty]] &amp; "+" &amp; Table1[[#This Row],[Provider Specialty Description]]</f>
        <v>093+Nurse Practitioner (Other)</v>
      </c>
      <c r="R160" s="7" t="str">
        <f>Table1[[#This Row],[PDMS Specialty Type ID]] &amp; "+" &amp; Table1[[#This Row],[PDMS Provider Type ID]] &amp; "+" &amp;Table1[[#This Row],[TAXONOMY]]</f>
        <v>2350+100+364SN0800X</v>
      </c>
      <c r="S1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(9173, 2350, 100, N'364SN0800X', N'Clinical Nurse Specialist - Neuroscience')</v>
      </c>
    </row>
    <row r="161" spans="1:19" ht="47.25" customHeight="1" x14ac:dyDescent="0.25">
      <c r="A161" s="22" t="s">
        <v>227</v>
      </c>
      <c r="B161" s="3" t="s">
        <v>228</v>
      </c>
      <c r="C161" s="3" t="s">
        <v>335</v>
      </c>
      <c r="D161" s="3" t="s">
        <v>398</v>
      </c>
      <c r="E161" s="3" t="s">
        <v>399</v>
      </c>
      <c r="F161" s="3">
        <f>VLOOKUP(Table1[[#This Row],[Column2]], TAXONOMY_TYPE, 2, FALSE)</f>
        <v>9174</v>
      </c>
      <c r="G161" s="4" t="s">
        <v>323</v>
      </c>
      <c r="H161" s="3" t="s">
        <v>324</v>
      </c>
      <c r="I161" s="3">
        <f>VLOOKUP(Table1[[#This Row],[Provider Type]] &amp; Table1[[#This Row],[Provider Type Description]], PROVIDER_TYPE, 2, FALSE)</f>
        <v>100</v>
      </c>
      <c r="J161" s="4" t="s">
        <v>342</v>
      </c>
      <c r="K161" s="3" t="s">
        <v>343</v>
      </c>
      <c r="L161" s="3">
        <f>VLOOKUP(TRIM(Table1[[#This Row],[Provider Specialty]]) &amp; TRIM(Table1[[#This Row],[Provider Specialty Description]]), SPECIALTY_TYPE, 2, FALSE)</f>
        <v>2350</v>
      </c>
      <c r="M161" s="3" t="s">
        <v>19</v>
      </c>
      <c r="N161" s="27" t="s">
        <v>19</v>
      </c>
      <c r="O161" s="38">
        <f>VLOOKUP(TRIM(Table1[[#This Row],[Provider Specialty]]) &amp; TRIM(Table1[[#This Row],[Provider Specialty Description]]), SPECIALTY_TYPE, 2, FALSE)</f>
        <v>2350</v>
      </c>
      <c r="P161" s="3" t="str">
        <f>Table1[[#This Row],[Provider Type]] &amp; "+" &amp; Table1[[#This Row],[Provider Type Description]]</f>
        <v>09+Advance Practice Nurse</v>
      </c>
      <c r="Q161" s="7" t="str">
        <f>Table1[[#This Row],[Provider Specialty]] &amp; "+" &amp; Table1[[#This Row],[Provider Specialty Description]]</f>
        <v>093+Nurse Practitioner (Other)</v>
      </c>
      <c r="R161" s="7" t="str">
        <f>Table1[[#This Row],[PDMS Specialty Type ID]] &amp; "+" &amp; Table1[[#This Row],[PDMS Provider Type ID]] &amp; "+" &amp;Table1[[#This Row],[TAXONOMY]]</f>
        <v>2350+100+364SP0807X</v>
      </c>
      <c r="S1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(9174, 2350, 100, N'364SP0807X', N'Clinical Nurse Specialist - Psychiatric/Mental Health, Child &amp; Adolescent')</v>
      </c>
    </row>
    <row r="162" spans="1:19" ht="47.25" customHeight="1" x14ac:dyDescent="0.25">
      <c r="A162" s="22" t="s">
        <v>227</v>
      </c>
      <c r="B162" s="3" t="s">
        <v>228</v>
      </c>
      <c r="C162" s="3" t="s">
        <v>335</v>
      </c>
      <c r="D162" s="3" t="s">
        <v>360</v>
      </c>
      <c r="E162" s="3" t="s">
        <v>400</v>
      </c>
      <c r="F162" s="3">
        <f>VLOOKUP(Table1[[#This Row],[Column2]], TAXONOMY_TYPE, 2, FALSE)</f>
        <v>9175</v>
      </c>
      <c r="G162" s="4" t="s">
        <v>323</v>
      </c>
      <c r="H162" s="3" t="s">
        <v>324</v>
      </c>
      <c r="I162" s="3">
        <f>VLOOKUP(Table1[[#This Row],[Provider Type]] &amp; Table1[[#This Row],[Provider Type Description]], PROVIDER_TYPE, 2, FALSE)</f>
        <v>100</v>
      </c>
      <c r="J162" s="4" t="s">
        <v>342</v>
      </c>
      <c r="K162" s="3" t="s">
        <v>343</v>
      </c>
      <c r="L162" s="3">
        <f>VLOOKUP(TRIM(Table1[[#This Row],[Provider Specialty]]) &amp; TRIM(Table1[[#This Row],[Provider Specialty Description]]), SPECIALTY_TYPE, 2, FALSE)</f>
        <v>2350</v>
      </c>
      <c r="M162" s="3" t="s">
        <v>19</v>
      </c>
      <c r="N162" s="27" t="s">
        <v>19</v>
      </c>
      <c r="O162" s="38">
        <f>VLOOKUP(TRIM(Table1[[#This Row],[Provider Specialty]]) &amp; TRIM(Table1[[#This Row],[Provider Specialty Description]]), SPECIALTY_TYPE, 2, FALSE)</f>
        <v>2350</v>
      </c>
      <c r="P162" s="3" t="str">
        <f>Table1[[#This Row],[Provider Type]] &amp; "+" &amp; Table1[[#This Row],[Provider Type Description]]</f>
        <v>09+Advance Practice Nurse</v>
      </c>
      <c r="Q162" s="7" t="str">
        <f>Table1[[#This Row],[Provider Specialty]] &amp; "+" &amp; Table1[[#This Row],[Provider Specialty Description]]</f>
        <v>093+Nurse Practitioner (Other)</v>
      </c>
      <c r="R162" s="7" t="str">
        <f>Table1[[#This Row],[PDMS Specialty Type ID]] &amp; "+" &amp; Table1[[#This Row],[PDMS Provider Type ID]] &amp; "+" &amp;Table1[[#This Row],[TAXONOMY]]</f>
        <v>2350+100+364SP0808X</v>
      </c>
      <c r="S1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(9175, 2350, 100, N'364SP0808X', N'Clinical Nurse Specialist - Psychiatric/Mental Health')</v>
      </c>
    </row>
    <row r="163" spans="1:19" ht="47.25" customHeight="1" x14ac:dyDescent="0.25">
      <c r="A163" s="22" t="s">
        <v>227</v>
      </c>
      <c r="B163" s="3" t="s">
        <v>228</v>
      </c>
      <c r="C163" s="3" t="s">
        <v>335</v>
      </c>
      <c r="D163" s="3" t="s">
        <v>401</v>
      </c>
      <c r="E163" s="3" t="s">
        <v>402</v>
      </c>
      <c r="F163" s="3">
        <f>VLOOKUP(Table1[[#This Row],[Column2]], TAXONOMY_TYPE, 2, FALSE)</f>
        <v>9176</v>
      </c>
      <c r="G163" s="4" t="s">
        <v>323</v>
      </c>
      <c r="H163" s="3" t="s">
        <v>324</v>
      </c>
      <c r="I163" s="3">
        <f>VLOOKUP(Table1[[#This Row],[Provider Type]] &amp; Table1[[#This Row],[Provider Type Description]], PROVIDER_TYPE, 2, FALSE)</f>
        <v>100</v>
      </c>
      <c r="J163" s="4" t="s">
        <v>342</v>
      </c>
      <c r="K163" s="3" t="s">
        <v>343</v>
      </c>
      <c r="L163" s="3">
        <f>VLOOKUP(TRIM(Table1[[#This Row],[Provider Specialty]]) &amp; TRIM(Table1[[#This Row],[Provider Specialty Description]]), SPECIALTY_TYPE, 2, FALSE)</f>
        <v>2350</v>
      </c>
      <c r="M163" s="3" t="s">
        <v>19</v>
      </c>
      <c r="N163" s="27" t="s">
        <v>19</v>
      </c>
      <c r="O163" s="38">
        <f>VLOOKUP(TRIM(Table1[[#This Row],[Provider Specialty]]) &amp; TRIM(Table1[[#This Row],[Provider Specialty Description]]), SPECIALTY_TYPE, 2, FALSE)</f>
        <v>2350</v>
      </c>
      <c r="P163" s="3" t="str">
        <f>Table1[[#This Row],[Provider Type]] &amp; "+" &amp; Table1[[#This Row],[Provider Type Description]]</f>
        <v>09+Advance Practice Nurse</v>
      </c>
      <c r="Q163" s="7" t="str">
        <f>Table1[[#This Row],[Provider Specialty]] &amp; "+" &amp; Table1[[#This Row],[Provider Specialty Description]]</f>
        <v>093+Nurse Practitioner (Other)</v>
      </c>
      <c r="R163" s="7" t="str">
        <f>Table1[[#This Row],[PDMS Specialty Type ID]] &amp; "+" &amp; Table1[[#This Row],[PDMS Provider Type ID]] &amp; "+" &amp;Table1[[#This Row],[TAXONOMY]]</f>
        <v>2350+100+364SP0809X</v>
      </c>
      <c r="S1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(9176, 2350, 100, N'364SP0809X', N'Clinical Nurse Specialist - Psychiatric/Mental Health, Adult')</v>
      </c>
    </row>
    <row r="164" spans="1:19" ht="47.25" customHeight="1" x14ac:dyDescent="0.25">
      <c r="A164" s="22" t="s">
        <v>227</v>
      </c>
      <c r="B164" s="3" t="s">
        <v>228</v>
      </c>
      <c r="C164" s="3" t="s">
        <v>335</v>
      </c>
      <c r="D164" s="3" t="s">
        <v>403</v>
      </c>
      <c r="E164" s="3" t="s">
        <v>404</v>
      </c>
      <c r="F164" s="3">
        <f>VLOOKUP(Table1[[#This Row],[Column2]], TAXONOMY_TYPE, 2, FALSE)</f>
        <v>9177</v>
      </c>
      <c r="G164" s="4" t="s">
        <v>323</v>
      </c>
      <c r="H164" s="3" t="s">
        <v>324</v>
      </c>
      <c r="I164" s="3">
        <f>VLOOKUP(Table1[[#This Row],[Provider Type]] &amp; Table1[[#This Row],[Provider Type Description]], PROVIDER_TYPE, 2, FALSE)</f>
        <v>100</v>
      </c>
      <c r="J164" s="4" t="s">
        <v>342</v>
      </c>
      <c r="K164" s="3" t="s">
        <v>343</v>
      </c>
      <c r="L164" s="3">
        <f>VLOOKUP(TRIM(Table1[[#This Row],[Provider Specialty]]) &amp; TRIM(Table1[[#This Row],[Provider Specialty Description]]), SPECIALTY_TYPE, 2, FALSE)</f>
        <v>2350</v>
      </c>
      <c r="M164" s="3" t="s">
        <v>19</v>
      </c>
      <c r="N164" s="27" t="s">
        <v>19</v>
      </c>
      <c r="O164" s="38">
        <f>VLOOKUP(TRIM(Table1[[#This Row],[Provider Specialty]]) &amp; TRIM(Table1[[#This Row],[Provider Specialty Description]]), SPECIALTY_TYPE, 2, FALSE)</f>
        <v>2350</v>
      </c>
      <c r="P164" s="3" t="str">
        <f>Table1[[#This Row],[Provider Type]] &amp; "+" &amp; Table1[[#This Row],[Provider Type Description]]</f>
        <v>09+Advance Practice Nurse</v>
      </c>
      <c r="Q164" s="7" t="str">
        <f>Table1[[#This Row],[Provider Specialty]] &amp; "+" &amp; Table1[[#This Row],[Provider Specialty Description]]</f>
        <v>093+Nurse Practitioner (Other)</v>
      </c>
      <c r="R164" s="7" t="str">
        <f>Table1[[#This Row],[PDMS Specialty Type ID]] &amp; "+" &amp; Table1[[#This Row],[PDMS Provider Type ID]] &amp; "+" &amp;Table1[[#This Row],[TAXONOMY]]</f>
        <v>2350+100+364SP0810X</v>
      </c>
      <c r="S1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(9177, 2350, 100, N'364SP0810X', N'Clinical Nurse Specialist - Psychiatric/Mental Health, Child &amp; Family')</v>
      </c>
    </row>
    <row r="165" spans="1:19" ht="47.25" customHeight="1" x14ac:dyDescent="0.25">
      <c r="A165" s="22" t="s">
        <v>227</v>
      </c>
      <c r="B165" s="3" t="s">
        <v>228</v>
      </c>
      <c r="C165" s="3" t="s">
        <v>335</v>
      </c>
      <c r="D165" s="3" t="s">
        <v>405</v>
      </c>
      <c r="E165" s="3" t="s">
        <v>406</v>
      </c>
      <c r="F165" s="3">
        <f>VLOOKUP(Table1[[#This Row],[Column2]], TAXONOMY_TYPE, 2, FALSE)</f>
        <v>9178</v>
      </c>
      <c r="G165" s="4" t="s">
        <v>323</v>
      </c>
      <c r="H165" s="3" t="s">
        <v>324</v>
      </c>
      <c r="I165" s="3">
        <f>VLOOKUP(Table1[[#This Row],[Provider Type]] &amp; Table1[[#This Row],[Provider Type Description]], PROVIDER_TYPE, 2, FALSE)</f>
        <v>100</v>
      </c>
      <c r="J165" s="4" t="s">
        <v>342</v>
      </c>
      <c r="K165" s="3" t="s">
        <v>343</v>
      </c>
      <c r="L165" s="3">
        <f>VLOOKUP(TRIM(Table1[[#This Row],[Provider Specialty]]) &amp; TRIM(Table1[[#This Row],[Provider Specialty Description]]), SPECIALTY_TYPE, 2, FALSE)</f>
        <v>2350</v>
      </c>
      <c r="M165" s="3" t="s">
        <v>19</v>
      </c>
      <c r="N165" s="27" t="s">
        <v>19</v>
      </c>
      <c r="O165" s="38">
        <f>VLOOKUP(TRIM(Table1[[#This Row],[Provider Specialty]]) &amp; TRIM(Table1[[#This Row],[Provider Specialty Description]]), SPECIALTY_TYPE, 2, FALSE)</f>
        <v>2350</v>
      </c>
      <c r="P165" s="3" t="str">
        <f>Table1[[#This Row],[Provider Type]] &amp; "+" &amp; Table1[[#This Row],[Provider Type Description]]</f>
        <v>09+Advance Practice Nurse</v>
      </c>
      <c r="Q165" s="7" t="str">
        <f>Table1[[#This Row],[Provider Specialty]] &amp; "+" &amp; Table1[[#This Row],[Provider Specialty Description]]</f>
        <v>093+Nurse Practitioner (Other)</v>
      </c>
      <c r="R165" s="7" t="str">
        <f>Table1[[#This Row],[PDMS Specialty Type ID]] &amp; "+" &amp; Table1[[#This Row],[PDMS Provider Type ID]] &amp; "+" &amp;Table1[[#This Row],[TAXONOMY]]</f>
        <v>2350+100+364SP0811X</v>
      </c>
      <c r="S1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(9178, 2350, 100, N'364SP0811X', N'Clinical Nurse Specialist - Psychiatric/Mental Health, Chronically Ill')</v>
      </c>
    </row>
    <row r="166" spans="1:19" ht="47.25" customHeight="1" x14ac:dyDescent="0.25">
      <c r="A166" s="22" t="s">
        <v>227</v>
      </c>
      <c r="B166" s="3" t="s">
        <v>228</v>
      </c>
      <c r="C166" s="3" t="s">
        <v>335</v>
      </c>
      <c r="D166" s="3" t="s">
        <v>407</v>
      </c>
      <c r="E166" s="3" t="s">
        <v>408</v>
      </c>
      <c r="F166" s="3">
        <f>VLOOKUP(Table1[[#This Row],[Column2]], TAXONOMY_TYPE, 2, FALSE)</f>
        <v>9179</v>
      </c>
      <c r="G166" s="4" t="s">
        <v>323</v>
      </c>
      <c r="H166" s="3" t="s">
        <v>324</v>
      </c>
      <c r="I166" s="3">
        <f>VLOOKUP(Table1[[#This Row],[Provider Type]] &amp; Table1[[#This Row],[Provider Type Description]], PROVIDER_TYPE, 2, FALSE)</f>
        <v>100</v>
      </c>
      <c r="J166" s="4" t="s">
        <v>342</v>
      </c>
      <c r="K166" s="3" t="s">
        <v>343</v>
      </c>
      <c r="L166" s="3">
        <f>VLOOKUP(TRIM(Table1[[#This Row],[Provider Specialty]]) &amp; TRIM(Table1[[#This Row],[Provider Specialty Description]]), SPECIALTY_TYPE, 2, FALSE)</f>
        <v>2350</v>
      </c>
      <c r="M166" s="3" t="s">
        <v>19</v>
      </c>
      <c r="N166" s="27" t="s">
        <v>19</v>
      </c>
      <c r="O166" s="38">
        <f>VLOOKUP(TRIM(Table1[[#This Row],[Provider Specialty]]) &amp; TRIM(Table1[[#This Row],[Provider Specialty Description]]), SPECIALTY_TYPE, 2, FALSE)</f>
        <v>2350</v>
      </c>
      <c r="P166" s="3" t="str">
        <f>Table1[[#This Row],[Provider Type]] &amp; "+" &amp; Table1[[#This Row],[Provider Type Description]]</f>
        <v>09+Advance Practice Nurse</v>
      </c>
      <c r="Q166" s="7" t="str">
        <f>Table1[[#This Row],[Provider Specialty]] &amp; "+" &amp; Table1[[#This Row],[Provider Specialty Description]]</f>
        <v>093+Nurse Practitioner (Other)</v>
      </c>
      <c r="R166" s="7" t="str">
        <f>Table1[[#This Row],[PDMS Specialty Type ID]] &amp; "+" &amp; Table1[[#This Row],[PDMS Provider Type ID]] &amp; "+" &amp;Table1[[#This Row],[TAXONOMY]]</f>
        <v>2350+100+364SP0812X</v>
      </c>
      <c r="S1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(9179, 2350, 100, N'364SP0812X', N'Clinical Nurse Specialist - Psychiatric/Mental Health, Community')</v>
      </c>
    </row>
    <row r="167" spans="1:19" ht="47.25" customHeight="1" x14ac:dyDescent="0.25">
      <c r="A167" s="22" t="s">
        <v>227</v>
      </c>
      <c r="B167" s="3" t="s">
        <v>228</v>
      </c>
      <c r="C167" s="3" t="s">
        <v>335</v>
      </c>
      <c r="D167" s="3" t="s">
        <v>409</v>
      </c>
      <c r="E167" s="3" t="s">
        <v>410</v>
      </c>
      <c r="F167" s="3">
        <f>VLOOKUP(Table1[[#This Row],[Column2]], TAXONOMY_TYPE, 2, FALSE)</f>
        <v>9180</v>
      </c>
      <c r="G167" s="4" t="s">
        <v>323</v>
      </c>
      <c r="H167" s="3" t="s">
        <v>324</v>
      </c>
      <c r="I167" s="3">
        <f>VLOOKUP(Table1[[#This Row],[Provider Type]] &amp; Table1[[#This Row],[Provider Type Description]], PROVIDER_TYPE, 2, FALSE)</f>
        <v>100</v>
      </c>
      <c r="J167" s="4" t="s">
        <v>342</v>
      </c>
      <c r="K167" s="3" t="s">
        <v>343</v>
      </c>
      <c r="L167" s="3">
        <f>VLOOKUP(TRIM(Table1[[#This Row],[Provider Specialty]]) &amp; TRIM(Table1[[#This Row],[Provider Specialty Description]]), SPECIALTY_TYPE, 2, FALSE)</f>
        <v>2350</v>
      </c>
      <c r="M167" s="3" t="s">
        <v>19</v>
      </c>
      <c r="N167" s="27" t="s">
        <v>19</v>
      </c>
      <c r="O167" s="38">
        <f>VLOOKUP(TRIM(Table1[[#This Row],[Provider Specialty]]) &amp; TRIM(Table1[[#This Row],[Provider Specialty Description]]), SPECIALTY_TYPE, 2, FALSE)</f>
        <v>2350</v>
      </c>
      <c r="P167" s="3" t="str">
        <f>Table1[[#This Row],[Provider Type]] &amp; "+" &amp; Table1[[#This Row],[Provider Type Description]]</f>
        <v>09+Advance Practice Nurse</v>
      </c>
      <c r="Q167" s="7" t="str">
        <f>Table1[[#This Row],[Provider Specialty]] &amp; "+" &amp; Table1[[#This Row],[Provider Specialty Description]]</f>
        <v>093+Nurse Practitioner (Other)</v>
      </c>
      <c r="R167" s="7" t="str">
        <f>Table1[[#This Row],[PDMS Specialty Type ID]] &amp; "+" &amp; Table1[[#This Row],[PDMS Provider Type ID]] &amp; "+" &amp;Table1[[#This Row],[TAXONOMY]]</f>
        <v>2350+100+364SP0813X</v>
      </c>
      <c r="S1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(9180, 2350, 100, N'364SP0813X', N'Clinical Nurse Specialist - Psychiatric/Mental Health, Geropsychiatric')</v>
      </c>
    </row>
    <row r="168" spans="1:19" ht="47.25" customHeight="1" x14ac:dyDescent="0.25">
      <c r="A168" s="22" t="s">
        <v>227</v>
      </c>
      <c r="B168" s="3" t="s">
        <v>228</v>
      </c>
      <c r="C168" s="3" t="s">
        <v>335</v>
      </c>
      <c r="D168" s="3" t="s">
        <v>362</v>
      </c>
      <c r="E168" s="3" t="s">
        <v>411</v>
      </c>
      <c r="F168" s="3">
        <f>VLOOKUP(Table1[[#This Row],[Column2]], TAXONOMY_TYPE, 2, FALSE)</f>
        <v>9181</v>
      </c>
      <c r="G168" s="4" t="s">
        <v>323</v>
      </c>
      <c r="H168" s="3" t="s">
        <v>324</v>
      </c>
      <c r="I168" s="3">
        <f>VLOOKUP(Table1[[#This Row],[Provider Type]] &amp; Table1[[#This Row],[Provider Type Description]], PROVIDER_TYPE, 2, FALSE)</f>
        <v>100</v>
      </c>
      <c r="J168" s="4" t="s">
        <v>342</v>
      </c>
      <c r="K168" s="3" t="s">
        <v>343</v>
      </c>
      <c r="L168" s="3">
        <f>VLOOKUP(TRIM(Table1[[#This Row],[Provider Specialty]]) &amp; TRIM(Table1[[#This Row],[Provider Specialty Description]]), SPECIALTY_TYPE, 2, FALSE)</f>
        <v>2350</v>
      </c>
      <c r="M168" s="3" t="s">
        <v>19</v>
      </c>
      <c r="N168" s="27" t="s">
        <v>19</v>
      </c>
      <c r="O168" s="38">
        <f>VLOOKUP(TRIM(Table1[[#This Row],[Provider Specialty]]) &amp; TRIM(Table1[[#This Row],[Provider Specialty Description]]), SPECIALTY_TYPE, 2, FALSE)</f>
        <v>2350</v>
      </c>
      <c r="P168" s="3" t="str">
        <f>Table1[[#This Row],[Provider Type]] &amp; "+" &amp; Table1[[#This Row],[Provider Type Description]]</f>
        <v>09+Advance Practice Nurse</v>
      </c>
      <c r="Q168" s="7" t="str">
        <f>Table1[[#This Row],[Provider Specialty]] &amp; "+" &amp; Table1[[#This Row],[Provider Specialty Description]]</f>
        <v>093+Nurse Practitioner (Other)</v>
      </c>
      <c r="R168" s="7" t="str">
        <f>Table1[[#This Row],[PDMS Specialty Type ID]] &amp; "+" &amp; Table1[[#This Row],[PDMS Provider Type ID]] &amp; "+" &amp;Table1[[#This Row],[TAXONOMY]]</f>
        <v>2350+100+364SP1700X</v>
      </c>
      <c r="S1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(9181, 2350, 100, N'364SP1700X', N'Clinical Nurse Specialist - Perinatal')</v>
      </c>
    </row>
    <row r="169" spans="1:19" ht="47.25" customHeight="1" x14ac:dyDescent="0.25">
      <c r="A169" s="22" t="s">
        <v>227</v>
      </c>
      <c r="B169" s="3" t="s">
        <v>228</v>
      </c>
      <c r="C169" s="3" t="s">
        <v>335</v>
      </c>
      <c r="D169" s="3" t="s">
        <v>412</v>
      </c>
      <c r="E169" s="3" t="s">
        <v>413</v>
      </c>
      <c r="F169" s="3">
        <f>VLOOKUP(Table1[[#This Row],[Column2]], TAXONOMY_TYPE, 2, FALSE)</f>
        <v>9182</v>
      </c>
      <c r="G169" s="4" t="s">
        <v>323</v>
      </c>
      <c r="H169" s="3" t="s">
        <v>324</v>
      </c>
      <c r="I169" s="3">
        <f>VLOOKUP(Table1[[#This Row],[Provider Type]] &amp; Table1[[#This Row],[Provider Type Description]], PROVIDER_TYPE, 2, FALSE)</f>
        <v>100</v>
      </c>
      <c r="J169" s="4" t="s">
        <v>342</v>
      </c>
      <c r="K169" s="3" t="s">
        <v>343</v>
      </c>
      <c r="L169" s="3">
        <f>VLOOKUP(TRIM(Table1[[#This Row],[Provider Specialty]]) &amp; TRIM(Table1[[#This Row],[Provider Specialty Description]]), SPECIALTY_TYPE, 2, FALSE)</f>
        <v>2350</v>
      </c>
      <c r="M169" s="3" t="s">
        <v>19</v>
      </c>
      <c r="N169" s="27" t="s">
        <v>19</v>
      </c>
      <c r="O169" s="38">
        <f>VLOOKUP(TRIM(Table1[[#This Row],[Provider Specialty]]) &amp; TRIM(Table1[[#This Row],[Provider Specialty Description]]), SPECIALTY_TYPE, 2, FALSE)</f>
        <v>2350</v>
      </c>
      <c r="P169" s="3" t="str">
        <f>Table1[[#This Row],[Provider Type]] &amp; "+" &amp; Table1[[#This Row],[Provider Type Description]]</f>
        <v>09+Advance Practice Nurse</v>
      </c>
      <c r="Q169" s="7" t="str">
        <f>Table1[[#This Row],[Provider Specialty]] &amp; "+" &amp; Table1[[#This Row],[Provider Specialty Description]]</f>
        <v>093+Nurse Practitioner (Other)</v>
      </c>
      <c r="R169" s="7" t="str">
        <f>Table1[[#This Row],[PDMS Specialty Type ID]] &amp; "+" &amp; Table1[[#This Row],[PDMS Provider Type ID]] &amp; "+" &amp;Table1[[#This Row],[TAXONOMY]]</f>
        <v>2350+100+364SP2800X</v>
      </c>
      <c r="S1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(9182, 2350, 100, N'364SP2800X', N'Clinical Nurse Specialist - Perioperative')</v>
      </c>
    </row>
    <row r="170" spans="1:19" ht="47.25" customHeight="1" x14ac:dyDescent="0.25">
      <c r="A170" s="22" t="s">
        <v>227</v>
      </c>
      <c r="B170" s="3" t="s">
        <v>228</v>
      </c>
      <c r="C170" s="3" t="s">
        <v>335</v>
      </c>
      <c r="D170" s="3" t="s">
        <v>152</v>
      </c>
      <c r="E170" s="3" t="s">
        <v>414</v>
      </c>
      <c r="F170" s="3">
        <f>VLOOKUP(Table1[[#This Row],[Column2]], TAXONOMY_TYPE, 2, FALSE)</f>
        <v>9183</v>
      </c>
      <c r="G170" s="4" t="s">
        <v>323</v>
      </c>
      <c r="H170" s="3" t="s">
        <v>324</v>
      </c>
      <c r="I170" s="3">
        <f>VLOOKUP(Table1[[#This Row],[Provider Type]] &amp; Table1[[#This Row],[Provider Type Description]], PROVIDER_TYPE, 2, FALSE)</f>
        <v>100</v>
      </c>
      <c r="J170" s="4" t="s">
        <v>342</v>
      </c>
      <c r="K170" s="3" t="s">
        <v>343</v>
      </c>
      <c r="L170" s="3">
        <f>VLOOKUP(TRIM(Table1[[#This Row],[Provider Specialty]]) &amp; TRIM(Table1[[#This Row],[Provider Specialty Description]]), SPECIALTY_TYPE, 2, FALSE)</f>
        <v>2350</v>
      </c>
      <c r="M170" s="3" t="s">
        <v>19</v>
      </c>
      <c r="N170" s="27" t="s">
        <v>19</v>
      </c>
      <c r="O170" s="38">
        <f>VLOOKUP(TRIM(Table1[[#This Row],[Provider Specialty]]) &amp; TRIM(Table1[[#This Row],[Provider Specialty Description]]), SPECIALTY_TYPE, 2, FALSE)</f>
        <v>2350</v>
      </c>
      <c r="P170" s="3" t="str">
        <f>Table1[[#This Row],[Provider Type]] &amp; "+" &amp; Table1[[#This Row],[Provider Type Description]]</f>
        <v>09+Advance Practice Nurse</v>
      </c>
      <c r="Q170" s="7" t="str">
        <f>Table1[[#This Row],[Provider Specialty]] &amp; "+" &amp; Table1[[#This Row],[Provider Specialty Description]]</f>
        <v>093+Nurse Practitioner (Other)</v>
      </c>
      <c r="R170" s="7" t="str">
        <f>Table1[[#This Row],[PDMS Specialty Type ID]] &amp; "+" &amp; Table1[[#This Row],[PDMS Provider Type ID]] &amp; "+" &amp;Table1[[#This Row],[TAXONOMY]]</f>
        <v>2350+100+364SR0400X</v>
      </c>
      <c r="S1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(9183, 2350, 100, N'364SR0400X', N'Clinical Nurse Specialist - Rehabilitation')</v>
      </c>
    </row>
    <row r="171" spans="1:19" ht="47.25" customHeight="1" x14ac:dyDescent="0.25">
      <c r="A171" s="22" t="s">
        <v>227</v>
      </c>
      <c r="B171" s="3" t="s">
        <v>228</v>
      </c>
      <c r="C171" s="3" t="s">
        <v>335</v>
      </c>
      <c r="D171" s="3" t="s">
        <v>365</v>
      </c>
      <c r="E171" s="3" t="s">
        <v>415</v>
      </c>
      <c r="F171" s="3">
        <f>VLOOKUP(Table1[[#This Row],[Column2]], TAXONOMY_TYPE, 2, FALSE)</f>
        <v>9184</v>
      </c>
      <c r="G171" s="4" t="s">
        <v>323</v>
      </c>
      <c r="H171" s="3" t="s">
        <v>324</v>
      </c>
      <c r="I171" s="3">
        <f>VLOOKUP(Table1[[#This Row],[Provider Type]] &amp; Table1[[#This Row],[Provider Type Description]], PROVIDER_TYPE, 2, FALSE)</f>
        <v>100</v>
      </c>
      <c r="J171" s="4" t="s">
        <v>342</v>
      </c>
      <c r="K171" s="3" t="s">
        <v>343</v>
      </c>
      <c r="L171" s="3">
        <f>VLOOKUP(TRIM(Table1[[#This Row],[Provider Specialty]]) &amp; TRIM(Table1[[#This Row],[Provider Specialty Description]]), SPECIALTY_TYPE, 2, FALSE)</f>
        <v>2350</v>
      </c>
      <c r="M171" s="3" t="s">
        <v>19</v>
      </c>
      <c r="N171" s="27" t="s">
        <v>19</v>
      </c>
      <c r="O171" s="38">
        <f>VLOOKUP(TRIM(Table1[[#This Row],[Provider Specialty]]) &amp; TRIM(Table1[[#This Row],[Provider Specialty Description]]), SPECIALTY_TYPE, 2, FALSE)</f>
        <v>2350</v>
      </c>
      <c r="P171" s="3" t="str">
        <f>Table1[[#This Row],[Provider Type]] &amp; "+" &amp; Table1[[#This Row],[Provider Type Description]]</f>
        <v>09+Advance Practice Nurse</v>
      </c>
      <c r="Q171" s="7" t="str">
        <f>Table1[[#This Row],[Provider Specialty]] &amp; "+" &amp; Table1[[#This Row],[Provider Specialty Description]]</f>
        <v>093+Nurse Practitioner (Other)</v>
      </c>
      <c r="R171" s="7" t="str">
        <f>Table1[[#This Row],[PDMS Specialty Type ID]] &amp; "+" &amp; Table1[[#This Row],[PDMS Provider Type ID]] &amp; "+" &amp;Table1[[#This Row],[TAXONOMY]]</f>
        <v>2350+100+364SS0200X</v>
      </c>
      <c r="S1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(9184, 2350, 100, N'364SS0200X', N'Clinical Nurse Specialist - School')</v>
      </c>
    </row>
    <row r="172" spans="1:19" ht="47.25" customHeight="1" x14ac:dyDescent="0.25">
      <c r="A172" s="22" t="s">
        <v>227</v>
      </c>
      <c r="B172" s="3" t="s">
        <v>228</v>
      </c>
      <c r="C172" s="3" t="s">
        <v>335</v>
      </c>
      <c r="D172" s="3" t="s">
        <v>416</v>
      </c>
      <c r="E172" s="3" t="s">
        <v>417</v>
      </c>
      <c r="F172" s="3">
        <f>VLOOKUP(Table1[[#This Row],[Column2]], TAXONOMY_TYPE, 2, FALSE)</f>
        <v>9185</v>
      </c>
      <c r="G172" s="4" t="s">
        <v>323</v>
      </c>
      <c r="H172" s="3" t="s">
        <v>324</v>
      </c>
      <c r="I172" s="3">
        <f>VLOOKUP(Table1[[#This Row],[Provider Type]] &amp; Table1[[#This Row],[Provider Type Description]], PROVIDER_TYPE, 2, FALSE)</f>
        <v>100</v>
      </c>
      <c r="J172" s="4" t="s">
        <v>342</v>
      </c>
      <c r="K172" s="3" t="s">
        <v>343</v>
      </c>
      <c r="L172" s="3">
        <f>VLOOKUP(TRIM(Table1[[#This Row],[Provider Specialty]]) &amp; TRIM(Table1[[#This Row],[Provider Specialty Description]]), SPECIALTY_TYPE, 2, FALSE)</f>
        <v>2350</v>
      </c>
      <c r="M172" s="3" t="s">
        <v>19</v>
      </c>
      <c r="N172" s="27" t="s">
        <v>19</v>
      </c>
      <c r="O172" s="38">
        <f>VLOOKUP(TRIM(Table1[[#This Row],[Provider Specialty]]) &amp; TRIM(Table1[[#This Row],[Provider Specialty Description]]), SPECIALTY_TYPE, 2, FALSE)</f>
        <v>2350</v>
      </c>
      <c r="P172" s="3" t="str">
        <f>Table1[[#This Row],[Provider Type]] &amp; "+" &amp; Table1[[#This Row],[Provider Type Description]]</f>
        <v>09+Advance Practice Nurse</v>
      </c>
      <c r="Q172" s="7" t="str">
        <f>Table1[[#This Row],[Provider Specialty]] &amp; "+" &amp; Table1[[#This Row],[Provider Specialty Description]]</f>
        <v>093+Nurse Practitioner (Other)</v>
      </c>
      <c r="R172" s="7" t="str">
        <f>Table1[[#This Row],[PDMS Specialty Type ID]] &amp; "+" &amp; Table1[[#This Row],[PDMS Provider Type ID]] &amp; "+" &amp;Table1[[#This Row],[TAXONOMY]]</f>
        <v>2350+100+364ST0500X</v>
      </c>
      <c r="S1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(9185, 2350, 100, N'364ST0500X', N'Clinical Nurse Specialist - Transplantation')</v>
      </c>
    </row>
    <row r="173" spans="1:19" ht="47.25" customHeight="1" x14ac:dyDescent="0.25">
      <c r="A173" s="22" t="s">
        <v>227</v>
      </c>
      <c r="B173" s="3" t="s">
        <v>228</v>
      </c>
      <c r="C173" s="3" t="s">
        <v>335</v>
      </c>
      <c r="D173" s="3" t="s">
        <v>367</v>
      </c>
      <c r="E173" s="3" t="s">
        <v>418</v>
      </c>
      <c r="F173" s="3">
        <f>VLOOKUP(Table1[[#This Row],[Column2]], TAXONOMY_TYPE, 2, FALSE)</f>
        <v>9186</v>
      </c>
      <c r="G173" s="4" t="s">
        <v>323</v>
      </c>
      <c r="H173" s="3" t="s">
        <v>324</v>
      </c>
      <c r="I173" s="3">
        <f>VLOOKUP(Table1[[#This Row],[Provider Type]] &amp; Table1[[#This Row],[Provider Type Description]], PROVIDER_TYPE, 2, FALSE)</f>
        <v>100</v>
      </c>
      <c r="J173" s="4" t="s">
        <v>342</v>
      </c>
      <c r="K173" s="3" t="s">
        <v>343</v>
      </c>
      <c r="L173" s="3">
        <f>VLOOKUP(TRIM(Table1[[#This Row],[Provider Specialty]]) &amp; TRIM(Table1[[#This Row],[Provider Specialty Description]]), SPECIALTY_TYPE, 2, FALSE)</f>
        <v>2350</v>
      </c>
      <c r="M173" s="3" t="s">
        <v>19</v>
      </c>
      <c r="N173" s="27" t="s">
        <v>19</v>
      </c>
      <c r="O173" s="38">
        <f>VLOOKUP(TRIM(Table1[[#This Row],[Provider Specialty]]) &amp; TRIM(Table1[[#This Row],[Provider Specialty Description]]), SPECIALTY_TYPE, 2, FALSE)</f>
        <v>2350</v>
      </c>
      <c r="P173" s="3" t="str">
        <f>Table1[[#This Row],[Provider Type]] &amp; "+" &amp; Table1[[#This Row],[Provider Type Description]]</f>
        <v>09+Advance Practice Nurse</v>
      </c>
      <c r="Q173" s="7" t="str">
        <f>Table1[[#This Row],[Provider Specialty]] &amp; "+" &amp; Table1[[#This Row],[Provider Specialty Description]]</f>
        <v>093+Nurse Practitioner (Other)</v>
      </c>
      <c r="R173" s="7" t="str">
        <f>Table1[[#This Row],[PDMS Specialty Type ID]] &amp; "+" &amp; Table1[[#This Row],[PDMS Provider Type ID]] &amp; "+" &amp;Table1[[#This Row],[TAXONOMY]]</f>
        <v>2350+100+364SW0102X</v>
      </c>
      <c r="S1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(9186, 2350, 100, N'364SW0102X', N'Clinical Nurse Specialist - Women's Health')</v>
      </c>
    </row>
    <row r="174" spans="1:19" ht="47.25" customHeight="1" x14ac:dyDescent="0.25">
      <c r="A174" s="22" t="s">
        <v>227</v>
      </c>
      <c r="B174" s="3" t="s">
        <v>228</v>
      </c>
      <c r="C174" s="3" t="s">
        <v>335</v>
      </c>
      <c r="D174" s="3" t="s">
        <v>369</v>
      </c>
      <c r="E174" s="3" t="s">
        <v>419</v>
      </c>
      <c r="F174" s="3">
        <f>VLOOKUP(Table1[[#This Row],[Column2]], TAXONOMY_TYPE, 2, FALSE)</f>
        <v>9187</v>
      </c>
      <c r="G174" s="4" t="s">
        <v>323</v>
      </c>
      <c r="H174" s="3" t="s">
        <v>324</v>
      </c>
      <c r="I174" s="3">
        <f>VLOOKUP(Table1[[#This Row],[Provider Type]] &amp; Table1[[#This Row],[Provider Type Description]], PROVIDER_TYPE, 2, FALSE)</f>
        <v>100</v>
      </c>
      <c r="J174" s="4" t="s">
        <v>342</v>
      </c>
      <c r="K174" s="3" t="s">
        <v>343</v>
      </c>
      <c r="L174" s="3">
        <f>VLOOKUP(TRIM(Table1[[#This Row],[Provider Specialty]]) &amp; TRIM(Table1[[#This Row],[Provider Specialty Description]]), SPECIALTY_TYPE, 2, FALSE)</f>
        <v>2350</v>
      </c>
      <c r="M174" s="3" t="s">
        <v>19</v>
      </c>
      <c r="N174" s="27" t="s">
        <v>19</v>
      </c>
      <c r="O174" s="38">
        <f>VLOOKUP(TRIM(Table1[[#This Row],[Provider Specialty]]) &amp; TRIM(Table1[[#This Row],[Provider Specialty Description]]), SPECIALTY_TYPE, 2, FALSE)</f>
        <v>2350</v>
      </c>
      <c r="P174" s="3" t="str">
        <f>Table1[[#This Row],[Provider Type]] &amp; "+" &amp; Table1[[#This Row],[Provider Type Description]]</f>
        <v>09+Advance Practice Nurse</v>
      </c>
      <c r="Q174" s="7" t="str">
        <f>Table1[[#This Row],[Provider Specialty]] &amp; "+" &amp; Table1[[#This Row],[Provider Specialty Description]]</f>
        <v>093+Nurse Practitioner (Other)</v>
      </c>
      <c r="R174" s="7" t="str">
        <f>Table1[[#This Row],[PDMS Specialty Type ID]] &amp; "+" &amp; Table1[[#This Row],[PDMS Provider Type ID]] &amp; "+" &amp;Table1[[#This Row],[TAXONOMY]]</f>
        <v>2350+100+364SX0106X</v>
      </c>
      <c r="S1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(9187, 2350, 100, N'364SX0106X', N'Clinical Nurse Specialist - Occupational Health')</v>
      </c>
    </row>
    <row r="175" spans="1:19" ht="47.25" customHeight="1" x14ac:dyDescent="0.25">
      <c r="A175" s="22" t="s">
        <v>227</v>
      </c>
      <c r="B175" s="3" t="s">
        <v>228</v>
      </c>
      <c r="C175" s="3" t="s">
        <v>335</v>
      </c>
      <c r="D175" s="3" t="s">
        <v>319</v>
      </c>
      <c r="E175" s="3" t="s">
        <v>420</v>
      </c>
      <c r="F175" s="3">
        <f>VLOOKUP(Table1[[#This Row],[Column2]], TAXONOMY_TYPE, 2, FALSE)</f>
        <v>9188</v>
      </c>
      <c r="G175" s="4" t="s">
        <v>323</v>
      </c>
      <c r="H175" s="3" t="s">
        <v>324</v>
      </c>
      <c r="I175" s="3">
        <f>VLOOKUP(Table1[[#This Row],[Provider Type]] &amp; Table1[[#This Row],[Provider Type Description]], PROVIDER_TYPE, 2, FALSE)</f>
        <v>100</v>
      </c>
      <c r="J175" s="4" t="s">
        <v>342</v>
      </c>
      <c r="K175" s="3" t="s">
        <v>343</v>
      </c>
      <c r="L175" s="3">
        <f>VLOOKUP(TRIM(Table1[[#This Row],[Provider Specialty]]) &amp; TRIM(Table1[[#This Row],[Provider Specialty Description]]), SPECIALTY_TYPE, 2, FALSE)</f>
        <v>2350</v>
      </c>
      <c r="M175" s="3" t="s">
        <v>19</v>
      </c>
      <c r="N175" s="27" t="s">
        <v>19</v>
      </c>
      <c r="O175" s="38">
        <f>VLOOKUP(TRIM(Table1[[#This Row],[Provider Specialty]]) &amp; TRIM(Table1[[#This Row],[Provider Specialty Description]]), SPECIALTY_TYPE, 2, FALSE)</f>
        <v>2350</v>
      </c>
      <c r="P175" s="3" t="str">
        <f>Table1[[#This Row],[Provider Type]] &amp; "+" &amp; Table1[[#This Row],[Provider Type Description]]</f>
        <v>09+Advance Practice Nurse</v>
      </c>
      <c r="Q175" s="7" t="str">
        <f>Table1[[#This Row],[Provider Specialty]] &amp; "+" &amp; Table1[[#This Row],[Provider Specialty Description]]</f>
        <v>093+Nurse Practitioner (Other)</v>
      </c>
      <c r="R175" s="7" t="str">
        <f>Table1[[#This Row],[PDMS Specialty Type ID]] &amp; "+" &amp; Table1[[#This Row],[PDMS Provider Type ID]] &amp; "+" &amp;Table1[[#This Row],[TAXONOMY]]</f>
        <v>2350+100+364SX0200X</v>
      </c>
      <c r="S1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(9188, 2350, 100, N'364SX0200X', N'Clinical Nurse Specialist - Oncology')</v>
      </c>
    </row>
    <row r="176" spans="1:19" ht="47.25" customHeight="1" x14ac:dyDescent="0.25">
      <c r="A176" s="22" t="s">
        <v>227</v>
      </c>
      <c r="B176" s="3" t="s">
        <v>228</v>
      </c>
      <c r="C176" s="3" t="s">
        <v>335</v>
      </c>
      <c r="D176" s="3" t="s">
        <v>421</v>
      </c>
      <c r="E176" s="3" t="s">
        <v>422</v>
      </c>
      <c r="F176" s="3">
        <f>VLOOKUP(Table1[[#This Row],[Column2]], TAXONOMY_TYPE, 2, FALSE)</f>
        <v>9189</v>
      </c>
      <c r="G176" s="4" t="s">
        <v>323</v>
      </c>
      <c r="H176" s="3" t="s">
        <v>324</v>
      </c>
      <c r="I176" s="3">
        <f>VLOOKUP(Table1[[#This Row],[Provider Type]] &amp; Table1[[#This Row],[Provider Type Description]], PROVIDER_TYPE, 2, FALSE)</f>
        <v>100</v>
      </c>
      <c r="J176" s="4" t="s">
        <v>342</v>
      </c>
      <c r="K176" s="3" t="s">
        <v>343</v>
      </c>
      <c r="L176" s="3">
        <f>VLOOKUP(TRIM(Table1[[#This Row],[Provider Specialty]]) &amp; TRIM(Table1[[#This Row],[Provider Specialty Description]]), SPECIALTY_TYPE, 2, FALSE)</f>
        <v>2350</v>
      </c>
      <c r="M176" s="3" t="s">
        <v>19</v>
      </c>
      <c r="N176" s="27" t="s">
        <v>19</v>
      </c>
      <c r="O176" s="38">
        <f>VLOOKUP(TRIM(Table1[[#This Row],[Provider Specialty]]) &amp; TRIM(Table1[[#This Row],[Provider Specialty Description]]), SPECIALTY_TYPE, 2, FALSE)</f>
        <v>2350</v>
      </c>
      <c r="P176" s="3" t="str">
        <f>Table1[[#This Row],[Provider Type]] &amp; "+" &amp; Table1[[#This Row],[Provider Type Description]]</f>
        <v>09+Advance Practice Nurse</v>
      </c>
      <c r="Q176" s="7" t="str">
        <f>Table1[[#This Row],[Provider Specialty]] &amp; "+" &amp; Table1[[#This Row],[Provider Specialty Description]]</f>
        <v>093+Nurse Practitioner (Other)</v>
      </c>
      <c r="R176" s="7" t="str">
        <f>Table1[[#This Row],[PDMS Specialty Type ID]] &amp; "+" &amp; Table1[[#This Row],[PDMS Provider Type ID]] &amp; "+" &amp;Table1[[#This Row],[TAXONOMY]]</f>
        <v>2350+100+364SX0204X</v>
      </c>
      <c r="S1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(9189, 2350, 100, N'364SX0204X', N'Clinical Nurse Specialist - Oncology, Pediatrics')</v>
      </c>
    </row>
    <row r="177" spans="1:19" ht="47.25" customHeight="1" x14ac:dyDescent="0.25">
      <c r="A177" s="22" t="s">
        <v>227</v>
      </c>
      <c r="B177" s="3" t="s">
        <v>228</v>
      </c>
      <c r="C177" s="3" t="s">
        <v>423</v>
      </c>
      <c r="D177" s="3" t="s">
        <v>423</v>
      </c>
      <c r="E177" s="3" t="s">
        <v>424</v>
      </c>
      <c r="F177" s="3">
        <f>VLOOKUP(Table1[[#This Row],[Column2]], TAXONOMY_TYPE, 2, FALSE)</f>
        <v>9190</v>
      </c>
      <c r="G177" s="4" t="s">
        <v>323</v>
      </c>
      <c r="H177" s="3" t="s">
        <v>324</v>
      </c>
      <c r="I177" s="3">
        <f>VLOOKUP(Table1[[#This Row],[Provider Type]] &amp; Table1[[#This Row],[Provider Type Description]], PROVIDER_TYPE, 2, FALSE)</f>
        <v>100</v>
      </c>
      <c r="J177" s="4" t="s">
        <v>425</v>
      </c>
      <c r="K177" s="3" t="s">
        <v>426</v>
      </c>
      <c r="L177" s="3">
        <f>VLOOKUP(TRIM(Table1[[#This Row],[Provider Specialty]]) &amp; TRIM(Table1[[#This Row],[Provider Specialty Description]]), SPECIALTY_TYPE, 2, FALSE)</f>
        <v>2351</v>
      </c>
      <c r="M177" s="3" t="s">
        <v>19</v>
      </c>
      <c r="N177" s="27" t="s">
        <v>19</v>
      </c>
      <c r="O177" s="38">
        <f>VLOOKUP(TRIM(Table1[[#This Row],[Provider Specialty]]) &amp; TRIM(Table1[[#This Row],[Provider Specialty Description]]), SPECIALTY_TYPE, 2, FALSE)</f>
        <v>2351</v>
      </c>
      <c r="P177" s="3" t="str">
        <f>Table1[[#This Row],[Provider Type]] &amp; "+" &amp; Table1[[#This Row],[Provider Type Description]]</f>
        <v>09+Advance Practice Nurse</v>
      </c>
      <c r="Q177" s="7" t="str">
        <f>Table1[[#This Row],[Provider Specialty]] &amp; "+" &amp; Table1[[#This Row],[Provider Specialty Description]]</f>
        <v>094+Certified Registered Nurse Anesthetist (CRNA)</v>
      </c>
      <c r="R177" s="7" t="str">
        <f>Table1[[#This Row],[PDMS Specialty Type ID]] &amp; "+" &amp; Table1[[#This Row],[PDMS Provider Type ID]] &amp; "+" &amp;Table1[[#This Row],[TAXONOMY]]</f>
        <v>2351+100+367500000X</v>
      </c>
      <c r="S1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(9190, 2351, 100, N'367500000X', N'Nurse Anesthetist, Certified Registered - Nurse Anesthetist, Certified Registered')</v>
      </c>
    </row>
    <row r="178" spans="1:19" ht="47.25" customHeight="1" x14ac:dyDescent="0.25">
      <c r="A178" s="22" t="s">
        <v>227</v>
      </c>
      <c r="B178" s="3" t="s">
        <v>337</v>
      </c>
      <c r="C178" s="3" t="s">
        <v>338</v>
      </c>
      <c r="D178" s="3" t="s">
        <v>338</v>
      </c>
      <c r="E178" s="3" t="s">
        <v>339</v>
      </c>
      <c r="F178" s="3">
        <f>VLOOKUP(Table1[[#This Row],[Column2]], TAXONOMY_TYPE, 2, FALSE)</f>
        <v>9191</v>
      </c>
      <c r="G178" s="4" t="s">
        <v>323</v>
      </c>
      <c r="H178" s="3" t="s">
        <v>324</v>
      </c>
      <c r="I178" s="3">
        <f>VLOOKUP(Table1[[#This Row],[Provider Type]] &amp; Table1[[#This Row],[Provider Type Description]], PROVIDER_TYPE, 2, FALSE)</f>
        <v>100</v>
      </c>
      <c r="J178" s="4" t="s">
        <v>340</v>
      </c>
      <c r="K178" s="3" t="s">
        <v>341</v>
      </c>
      <c r="L178" s="3">
        <f>VLOOKUP(TRIM(Table1[[#This Row],[Provider Specialty]]) &amp; TRIM(Table1[[#This Row],[Provider Specialty Description]]), SPECIALTY_TYPE, 2, FALSE)</f>
        <v>2352</v>
      </c>
      <c r="M178" s="3" t="s">
        <v>19</v>
      </c>
      <c r="N178" s="27" t="s">
        <v>19</v>
      </c>
      <c r="O178" s="38">
        <f>VLOOKUP(TRIM(Table1[[#This Row],[Provider Specialty]]) &amp; TRIM(Table1[[#This Row],[Provider Specialty Description]]), SPECIALTY_TYPE, 2, FALSE)</f>
        <v>2352</v>
      </c>
      <c r="P178" s="3" t="str">
        <f>Table1[[#This Row],[Provider Type]] &amp; "+" &amp; Table1[[#This Row],[Provider Type Description]]</f>
        <v>09+Advance Practice Nurse</v>
      </c>
      <c r="Q178" s="7" t="str">
        <f>Table1[[#This Row],[Provider Specialty]] &amp; "+" &amp; Table1[[#This Row],[Provider Specialty Description]]</f>
        <v>095+Certified Nurse Midwife</v>
      </c>
      <c r="R178" s="7" t="str">
        <f>Table1[[#This Row],[PDMS Specialty Type ID]] &amp; "+" &amp; Table1[[#This Row],[PDMS Provider Type ID]] &amp; "+" &amp;Table1[[#This Row],[TAXONOMY]]</f>
        <v>2352+100+176B00000X</v>
      </c>
      <c r="S1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(9191, 2352, 100, N'176B00000X', N'Midwife, Certified - Midwife, Certified')</v>
      </c>
    </row>
    <row r="179" spans="1:19" ht="47.25" customHeight="1" x14ac:dyDescent="0.25">
      <c r="A179" s="22" t="s">
        <v>227</v>
      </c>
      <c r="B179" s="3" t="s">
        <v>228</v>
      </c>
      <c r="C179" s="3" t="s">
        <v>427</v>
      </c>
      <c r="D179" s="3" t="s">
        <v>427</v>
      </c>
      <c r="E179" s="3" t="s">
        <v>428</v>
      </c>
      <c r="F179" s="3">
        <f>VLOOKUP(Table1[[#This Row],[Column2]], TAXONOMY_TYPE, 2, FALSE)</f>
        <v>9192</v>
      </c>
      <c r="G179" s="4" t="s">
        <v>323</v>
      </c>
      <c r="H179" s="3" t="s">
        <v>324</v>
      </c>
      <c r="I179" s="3">
        <f>VLOOKUP(Table1[[#This Row],[Provider Type]] &amp; Table1[[#This Row],[Provider Type Description]], PROVIDER_TYPE, 2, FALSE)</f>
        <v>100</v>
      </c>
      <c r="J179" s="4" t="s">
        <v>340</v>
      </c>
      <c r="K179" s="3" t="s">
        <v>341</v>
      </c>
      <c r="L179" s="3">
        <f>VLOOKUP(TRIM(Table1[[#This Row],[Provider Specialty]]) &amp; TRIM(Table1[[#This Row],[Provider Specialty Description]]), SPECIALTY_TYPE, 2, FALSE)</f>
        <v>2352</v>
      </c>
      <c r="M179" s="3" t="s">
        <v>19</v>
      </c>
      <c r="N179" s="27" t="s">
        <v>19</v>
      </c>
      <c r="O179" s="38">
        <f>VLOOKUP(TRIM(Table1[[#This Row],[Provider Specialty]]) &amp; TRIM(Table1[[#This Row],[Provider Specialty Description]]), SPECIALTY_TYPE, 2, FALSE)</f>
        <v>2352</v>
      </c>
      <c r="P179" s="3" t="str">
        <f>Table1[[#This Row],[Provider Type]] &amp; "+" &amp; Table1[[#This Row],[Provider Type Description]]</f>
        <v>09+Advance Practice Nurse</v>
      </c>
      <c r="Q179" s="7" t="str">
        <f>Table1[[#This Row],[Provider Specialty]] &amp; "+" &amp; Table1[[#This Row],[Provider Specialty Description]]</f>
        <v>095+Certified Nurse Midwife</v>
      </c>
      <c r="R179" s="7" t="str">
        <f>Table1[[#This Row],[PDMS Specialty Type ID]] &amp; "+" &amp; Table1[[#This Row],[PDMS Provider Type ID]] &amp; "+" &amp;Table1[[#This Row],[TAXONOMY]]</f>
        <v>2352+100+367A00000X</v>
      </c>
      <c r="S1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(9192, 2352, 100, N'367A00000X', N'Midwife, Certified Nurse - Midwife, Certified Nurse')</v>
      </c>
    </row>
    <row r="180" spans="1:19" ht="47.25" customHeight="1" x14ac:dyDescent="0.25">
      <c r="A180" s="22" t="s">
        <v>227</v>
      </c>
      <c r="B180" s="3" t="s">
        <v>228</v>
      </c>
      <c r="C180" s="3" t="s">
        <v>229</v>
      </c>
      <c r="D180" s="3" t="s">
        <v>229</v>
      </c>
      <c r="E180" s="3" t="s">
        <v>230</v>
      </c>
      <c r="F180" s="3">
        <f>VLOOKUP(Table1[[#This Row],[Column2]], TAXONOMY_TYPE, 2, FALSE)</f>
        <v>9193</v>
      </c>
      <c r="G180" s="4" t="s">
        <v>323</v>
      </c>
      <c r="H180" s="3" t="s">
        <v>324</v>
      </c>
      <c r="I180" s="3">
        <f>VLOOKUP(Table1[[#This Row],[Provider Type]] &amp; Table1[[#This Row],[Provider Type Description]], PROVIDER_TYPE, 2, FALSE)</f>
        <v>100</v>
      </c>
      <c r="J180" s="4">
        <v>210</v>
      </c>
      <c r="K180" s="3" t="s">
        <v>180</v>
      </c>
      <c r="L180" s="3">
        <f>VLOOKUP(TRIM(Table1[[#This Row],[Provider Specialty]]) &amp; TRIM(Table1[[#This Row],[Provider Specialty Description]]), SPECIALTY_TYPE, 2, FALSE)</f>
        <v>2188</v>
      </c>
      <c r="M180" s="3" t="s">
        <v>18</v>
      </c>
      <c r="N180" s="27" t="s">
        <v>19</v>
      </c>
      <c r="O180" s="38">
        <f>VLOOKUP(TRIM(Table1[[#This Row],[Provider Specialty]]) &amp; TRIM(Table1[[#This Row],[Provider Specialty Description]]), SPECIALTY_TYPE, 2, FALSE)</f>
        <v>2188</v>
      </c>
      <c r="P180" s="3" t="str">
        <f>Table1[[#This Row],[Provider Type]] &amp; "+" &amp; Table1[[#This Row],[Provider Type Description]]</f>
        <v>09+Advance Practice Nurse</v>
      </c>
      <c r="Q180" s="7" t="str">
        <f>Table1[[#This Row],[Provider Specialty]] &amp; "+" &amp; Table1[[#This Row],[Provider Specialty Description]]</f>
        <v>210+Care Coordinator for Pregnant Women</v>
      </c>
      <c r="R180" s="7" t="str">
        <f>Table1[[#This Row],[PDMS Specialty Type ID]] &amp; "+" &amp; Table1[[#This Row],[PDMS Provider Type ID]] &amp; "+" &amp;Table1[[#This Row],[TAXONOMY]]</f>
        <v>2188+100+363L00000X</v>
      </c>
      <c r="S1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(9193, 2188, 100, N'363L00000X', N'Nurse Practitioner - Nurse Practitioner')</v>
      </c>
    </row>
    <row r="181" spans="1:19" ht="47.25" customHeight="1" x14ac:dyDescent="0.25">
      <c r="A181" s="22" t="s">
        <v>227</v>
      </c>
      <c r="B181" s="3" t="s">
        <v>228</v>
      </c>
      <c r="C181" s="3" t="s">
        <v>229</v>
      </c>
      <c r="D181" s="3" t="s">
        <v>229</v>
      </c>
      <c r="E181" s="3" t="s">
        <v>230</v>
      </c>
      <c r="F181" s="3">
        <f>VLOOKUP(Table1[[#This Row],[Column2]], TAXONOMY_TYPE, 2, FALSE)</f>
        <v>9194</v>
      </c>
      <c r="G181" s="4" t="s">
        <v>323</v>
      </c>
      <c r="H181" s="3" t="s">
        <v>324</v>
      </c>
      <c r="I181" s="3">
        <f>VLOOKUP(Table1[[#This Row],[Provider Type]] &amp; Table1[[#This Row],[Provider Type Description]], PROVIDER_TYPE, 2, FALSE)</f>
        <v>100</v>
      </c>
      <c r="J181" s="4">
        <v>211</v>
      </c>
      <c r="K181" s="3" t="s">
        <v>181</v>
      </c>
      <c r="L181" s="3">
        <f>VLOOKUP(TRIM(Table1[[#This Row],[Provider Specialty]]) &amp; TRIM(Table1[[#This Row],[Provider Specialty Description]]), SPECIALTY_TYPE, 2, FALSE)</f>
        <v>2189</v>
      </c>
      <c r="M181" s="3" t="s">
        <v>18</v>
      </c>
      <c r="N181" s="27" t="s">
        <v>19</v>
      </c>
      <c r="O181" s="38">
        <f>VLOOKUP(TRIM(Table1[[#This Row],[Provider Specialty]]) &amp; TRIM(Table1[[#This Row],[Provider Specialty Description]]), SPECIALTY_TYPE, 2, FALSE)</f>
        <v>2189</v>
      </c>
      <c r="P181" s="3" t="str">
        <f>Table1[[#This Row],[Provider Type]] &amp; "+" &amp; Table1[[#This Row],[Provider Type Description]]</f>
        <v>09+Advance Practice Nurse</v>
      </c>
      <c r="Q181" s="7" t="str">
        <f>Table1[[#This Row],[Provider Specialty]] &amp; "+" &amp; Table1[[#This Row],[Provider Specialty Description]]</f>
        <v>211+HIV Case Manager</v>
      </c>
      <c r="R181" s="7" t="str">
        <f>Table1[[#This Row],[PDMS Specialty Type ID]] &amp; "+" &amp; Table1[[#This Row],[PDMS Provider Type ID]] &amp; "+" &amp;Table1[[#This Row],[TAXONOMY]]</f>
        <v>2189+100+363L00000X</v>
      </c>
      <c r="S1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(9194, 2189, 100, N'363L00000X', N'Nurse Practitioner - Nurse Practitioner')</v>
      </c>
    </row>
    <row r="182" spans="1:19" ht="47.25" customHeight="1" x14ac:dyDescent="0.25">
      <c r="A182" s="22" t="s">
        <v>227</v>
      </c>
      <c r="B182" s="3" t="s">
        <v>429</v>
      </c>
      <c r="C182" s="3" t="s">
        <v>430</v>
      </c>
      <c r="D182" s="3" t="s">
        <v>430</v>
      </c>
      <c r="E182" s="3" t="s">
        <v>431</v>
      </c>
      <c r="F182" s="3">
        <f>VLOOKUP(Table1[[#This Row],[Column2]], TAXONOMY_TYPE, 2, FALSE)</f>
        <v>9195</v>
      </c>
      <c r="G182" s="3">
        <v>10</v>
      </c>
      <c r="H182" s="3" t="s">
        <v>432</v>
      </c>
      <c r="I182" s="3">
        <f>VLOOKUP(Table1[[#This Row],[Provider Type]] &amp; Table1[[#This Row],[Provider Type Description]], PROVIDER_TYPE, 2, FALSE)</f>
        <v>101</v>
      </c>
      <c r="J182" s="3">
        <v>100</v>
      </c>
      <c r="K182" s="3" t="s">
        <v>433</v>
      </c>
      <c r="L182" s="3">
        <f>VLOOKUP(TRIM(Table1[[#This Row],[Provider Specialty]]) &amp; TRIM(Table1[[#This Row],[Provider Specialty Description]]), SPECIALTY_TYPE, 2, FALSE)</f>
        <v>2200</v>
      </c>
      <c r="M182" s="3" t="s">
        <v>18</v>
      </c>
      <c r="N182" s="27" t="s">
        <v>19</v>
      </c>
      <c r="O182" s="38">
        <f>VLOOKUP(TRIM(Table1[[#This Row],[Provider Specialty]]) &amp; TRIM(Table1[[#This Row],[Provider Specialty Description]]), SPECIALTY_TYPE, 2, FALSE)</f>
        <v>2200</v>
      </c>
      <c r="P182" s="3" t="str">
        <f>Table1[[#This Row],[Provider Type]] &amp; "+" &amp; Table1[[#This Row],[Provider Type Description]]</f>
        <v>10+Mid-Level Practitioner</v>
      </c>
      <c r="Q182" s="7" t="str">
        <f>Table1[[#This Row],[Provider Specialty]] &amp; "+" &amp; Table1[[#This Row],[Provider Specialty Description]]</f>
        <v>100+Physician Assistant</v>
      </c>
      <c r="R182" s="7" t="str">
        <f>Table1[[#This Row],[PDMS Specialty Type ID]] &amp; "+" &amp; Table1[[#This Row],[PDMS Provider Type ID]] &amp; "+" &amp;Table1[[#This Row],[TAXONOMY]]</f>
        <v>2200+101+211D00000X</v>
      </c>
      <c r="S1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(9195, 2200, 101, N'211D00000X', N'Assistant, Podiatric - Assistant, Podiatric')</v>
      </c>
    </row>
    <row r="183" spans="1:19" ht="47.25" customHeight="1" x14ac:dyDescent="0.25">
      <c r="A183" s="22" t="s">
        <v>227</v>
      </c>
      <c r="B183" s="3" t="s">
        <v>228</v>
      </c>
      <c r="C183" s="3" t="s">
        <v>434</v>
      </c>
      <c r="D183" s="3" t="s">
        <v>434</v>
      </c>
      <c r="E183" s="3" t="s">
        <v>435</v>
      </c>
      <c r="F183" s="3">
        <f>VLOOKUP(Table1[[#This Row],[Column2]], TAXONOMY_TYPE, 2, FALSE)</f>
        <v>9196</v>
      </c>
      <c r="G183" s="3">
        <v>10</v>
      </c>
      <c r="H183" s="3" t="s">
        <v>432</v>
      </c>
      <c r="I183" s="3">
        <f>VLOOKUP(Table1[[#This Row],[Provider Type]] &amp; Table1[[#This Row],[Provider Type Description]], PROVIDER_TYPE, 2, FALSE)</f>
        <v>101</v>
      </c>
      <c r="J183" s="3">
        <v>100</v>
      </c>
      <c r="K183" s="3" t="s">
        <v>433</v>
      </c>
      <c r="L183" s="3">
        <f>VLOOKUP(TRIM(Table1[[#This Row],[Provider Specialty]]) &amp; TRIM(Table1[[#This Row],[Provider Specialty Description]]), SPECIALTY_TYPE, 2, FALSE)</f>
        <v>2200</v>
      </c>
      <c r="M183" s="3" t="s">
        <v>19</v>
      </c>
      <c r="N183" s="27" t="s">
        <v>19</v>
      </c>
      <c r="O183" s="38">
        <f>VLOOKUP(TRIM(Table1[[#This Row],[Provider Specialty]]) &amp; TRIM(Table1[[#This Row],[Provider Specialty Description]]), SPECIALTY_TYPE, 2, FALSE)</f>
        <v>2200</v>
      </c>
      <c r="P183" s="3" t="str">
        <f>Table1[[#This Row],[Provider Type]] &amp; "+" &amp; Table1[[#This Row],[Provider Type Description]]</f>
        <v>10+Mid-Level Practitioner</v>
      </c>
      <c r="Q183" s="7" t="str">
        <f>Table1[[#This Row],[Provider Specialty]] &amp; "+" &amp; Table1[[#This Row],[Provider Specialty Description]]</f>
        <v>100+Physician Assistant</v>
      </c>
      <c r="R183" s="7" t="str">
        <f>Table1[[#This Row],[PDMS Specialty Type ID]] &amp; "+" &amp; Table1[[#This Row],[PDMS Provider Type ID]] &amp; "+" &amp;Table1[[#This Row],[TAXONOMY]]</f>
        <v>2200+101+363A00000X</v>
      </c>
      <c r="S1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(9196, 2200, 101, N'363A00000X', N'Physician Assistant - Physician Assistant')</v>
      </c>
    </row>
    <row r="184" spans="1:19" ht="47.25" customHeight="1" x14ac:dyDescent="0.25">
      <c r="A184" s="22" t="s">
        <v>227</v>
      </c>
      <c r="B184" s="3" t="s">
        <v>228</v>
      </c>
      <c r="C184" s="3" t="s">
        <v>434</v>
      </c>
      <c r="D184" s="3" t="s">
        <v>436</v>
      </c>
      <c r="E184" s="3" t="s">
        <v>437</v>
      </c>
      <c r="F184" s="3">
        <f>VLOOKUP(Table1[[#This Row],[Column2]], TAXONOMY_TYPE, 2, FALSE)</f>
        <v>9197</v>
      </c>
      <c r="G184" s="3">
        <v>10</v>
      </c>
      <c r="H184" s="3" t="s">
        <v>432</v>
      </c>
      <c r="I184" s="3">
        <f>VLOOKUP(Table1[[#This Row],[Provider Type]] &amp; Table1[[#This Row],[Provider Type Description]], PROVIDER_TYPE, 2, FALSE)</f>
        <v>101</v>
      </c>
      <c r="J184" s="3">
        <v>100</v>
      </c>
      <c r="K184" s="3" t="s">
        <v>433</v>
      </c>
      <c r="L184" s="3">
        <f>VLOOKUP(TRIM(Table1[[#This Row],[Provider Specialty]]) &amp; TRIM(Table1[[#This Row],[Provider Specialty Description]]), SPECIALTY_TYPE, 2, FALSE)</f>
        <v>2200</v>
      </c>
      <c r="M184" s="3" t="s">
        <v>19</v>
      </c>
      <c r="N184" s="27" t="s">
        <v>19</v>
      </c>
      <c r="O184" s="38">
        <f>VLOOKUP(TRIM(Table1[[#This Row],[Provider Specialty]]) &amp; TRIM(Table1[[#This Row],[Provider Specialty Description]]), SPECIALTY_TYPE, 2, FALSE)</f>
        <v>2200</v>
      </c>
      <c r="P184" s="3" t="str">
        <f>Table1[[#This Row],[Provider Type]] &amp; "+" &amp; Table1[[#This Row],[Provider Type Description]]</f>
        <v>10+Mid-Level Practitioner</v>
      </c>
      <c r="Q184" s="7" t="str">
        <f>Table1[[#This Row],[Provider Specialty]] &amp; "+" &amp; Table1[[#This Row],[Provider Specialty Description]]</f>
        <v>100+Physician Assistant</v>
      </c>
      <c r="R184" s="7" t="str">
        <f>Table1[[#This Row],[PDMS Specialty Type ID]] &amp; "+" &amp; Table1[[#This Row],[PDMS Provider Type ID]] &amp; "+" &amp;Table1[[#This Row],[TAXONOMY]]</f>
        <v>2200+101+363AM0700X</v>
      </c>
      <c r="S1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(9197, 2200, 101, N'363AM0700X', N'Physician Assistant - Medical')</v>
      </c>
    </row>
    <row r="185" spans="1:19" ht="47.25" customHeight="1" x14ac:dyDescent="0.25">
      <c r="A185" s="22" t="s">
        <v>227</v>
      </c>
      <c r="B185" s="3" t="s">
        <v>228</v>
      </c>
      <c r="C185" s="3" t="s">
        <v>434</v>
      </c>
      <c r="D185" s="3" t="s">
        <v>438</v>
      </c>
      <c r="E185" s="3" t="s">
        <v>439</v>
      </c>
      <c r="F185" s="3">
        <f>VLOOKUP(Table1[[#This Row],[Column2]], TAXONOMY_TYPE, 2, FALSE)</f>
        <v>9198</v>
      </c>
      <c r="G185" s="3">
        <v>10</v>
      </c>
      <c r="H185" s="3" t="s">
        <v>432</v>
      </c>
      <c r="I185" s="3">
        <f>VLOOKUP(Table1[[#This Row],[Provider Type]] &amp; Table1[[#This Row],[Provider Type Description]], PROVIDER_TYPE, 2, FALSE)</f>
        <v>101</v>
      </c>
      <c r="J185" s="3">
        <v>100</v>
      </c>
      <c r="K185" s="3" t="s">
        <v>433</v>
      </c>
      <c r="L185" s="3">
        <f>VLOOKUP(TRIM(Table1[[#This Row],[Provider Specialty]]) &amp; TRIM(Table1[[#This Row],[Provider Specialty Description]]), SPECIALTY_TYPE, 2, FALSE)</f>
        <v>2200</v>
      </c>
      <c r="M185" s="3" t="s">
        <v>19</v>
      </c>
      <c r="N185" s="27" t="s">
        <v>19</v>
      </c>
      <c r="O185" s="38">
        <f>VLOOKUP(TRIM(Table1[[#This Row],[Provider Specialty]]) &amp; TRIM(Table1[[#This Row],[Provider Specialty Description]]), SPECIALTY_TYPE, 2, FALSE)</f>
        <v>2200</v>
      </c>
      <c r="P185" s="3" t="str">
        <f>Table1[[#This Row],[Provider Type]] &amp; "+" &amp; Table1[[#This Row],[Provider Type Description]]</f>
        <v>10+Mid-Level Practitioner</v>
      </c>
      <c r="Q185" s="7" t="str">
        <f>Table1[[#This Row],[Provider Specialty]] &amp; "+" &amp; Table1[[#This Row],[Provider Specialty Description]]</f>
        <v>100+Physician Assistant</v>
      </c>
      <c r="R185" s="7" t="str">
        <f>Table1[[#This Row],[PDMS Specialty Type ID]] &amp; "+" &amp; Table1[[#This Row],[PDMS Provider Type ID]] &amp; "+" &amp;Table1[[#This Row],[TAXONOMY]]</f>
        <v>2200+101+363AS0400X</v>
      </c>
      <c r="S1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(9198, 2200, 101, N'363AS0400X', N'Physician Assistant - Surgical')</v>
      </c>
    </row>
    <row r="186" spans="1:19" ht="47.25" customHeight="1" x14ac:dyDescent="0.25">
      <c r="A186" s="22" t="s">
        <v>227</v>
      </c>
      <c r="B186" s="3" t="s">
        <v>228</v>
      </c>
      <c r="C186" s="3" t="s">
        <v>423</v>
      </c>
      <c r="D186" s="3" t="s">
        <v>423</v>
      </c>
      <c r="E186" s="3" t="s">
        <v>424</v>
      </c>
      <c r="F186" s="3">
        <f>VLOOKUP(Table1[[#This Row],[Column2]], TAXONOMY_TYPE, 2, FALSE)</f>
        <v>9199</v>
      </c>
      <c r="G186" s="4">
        <v>10</v>
      </c>
      <c r="H186" s="3" t="s">
        <v>432</v>
      </c>
      <c r="I186" s="3">
        <f>VLOOKUP(Table1[[#This Row],[Provider Type]] &amp; Table1[[#This Row],[Provider Type Description]], PROVIDER_TYPE, 2, FALSE)</f>
        <v>101</v>
      </c>
      <c r="J186" s="4">
        <v>101</v>
      </c>
      <c r="K186" s="3" t="s">
        <v>440</v>
      </c>
      <c r="L186" s="3">
        <f>VLOOKUP(TRIM(Table1[[#This Row],[Provider Specialty]]) &amp; TRIM(Table1[[#This Row],[Provider Specialty Description]]), SPECIALTY_TYPE, 2, FALSE)</f>
        <v>2201</v>
      </c>
      <c r="M186" s="3" t="s">
        <v>19</v>
      </c>
      <c r="N186" s="27" t="s">
        <v>19</v>
      </c>
      <c r="O186" s="38">
        <f>VLOOKUP(TRIM(Table1[[#This Row],[Provider Specialty]]) &amp; TRIM(Table1[[#This Row],[Provider Specialty Description]]), SPECIALTY_TYPE, 2, FALSE)</f>
        <v>2201</v>
      </c>
      <c r="P186" s="3" t="str">
        <f>Table1[[#This Row],[Provider Type]] &amp; "+" &amp; Table1[[#This Row],[Provider Type Description]]</f>
        <v>10+Mid-Level Practitioner</v>
      </c>
      <c r="Q186" s="7" t="str">
        <f>Table1[[#This Row],[Provider Specialty]] &amp; "+" &amp; Table1[[#This Row],[Provider Specialty Description]]</f>
        <v>101+Anesthesiology Assistant</v>
      </c>
      <c r="R186" s="7" t="str">
        <f>Table1[[#This Row],[PDMS Specialty Type ID]] &amp; "+" &amp; Table1[[#This Row],[PDMS Provider Type ID]] &amp; "+" &amp;Table1[[#This Row],[TAXONOMY]]</f>
        <v>2201+101+367500000X</v>
      </c>
      <c r="S1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(9199, 2201, 101, N'367500000X', N'Nurse Anesthetist, Certified Registered - Nurse Anesthetist, Certified Registered')</v>
      </c>
    </row>
    <row r="187" spans="1:19" ht="47.25" customHeight="1" x14ac:dyDescent="0.25">
      <c r="A187" s="22" t="s">
        <v>227</v>
      </c>
      <c r="B187" s="3" t="s">
        <v>228</v>
      </c>
      <c r="C187" s="3" t="s">
        <v>441</v>
      </c>
      <c r="D187" s="3" t="s">
        <v>441</v>
      </c>
      <c r="E187" s="3" t="s">
        <v>442</v>
      </c>
      <c r="F187" s="3">
        <f>VLOOKUP(Table1[[#This Row],[Column2]], TAXONOMY_TYPE, 2, FALSE)</f>
        <v>9200</v>
      </c>
      <c r="G187" s="3">
        <v>10</v>
      </c>
      <c r="H187" s="3" t="s">
        <v>432</v>
      </c>
      <c r="I187" s="3">
        <f>VLOOKUP(Table1[[#This Row],[Provider Type]] &amp; Table1[[#This Row],[Provider Type Description]], PROVIDER_TYPE, 2, FALSE)</f>
        <v>101</v>
      </c>
      <c r="J187" s="3">
        <v>101</v>
      </c>
      <c r="K187" s="3" t="s">
        <v>440</v>
      </c>
      <c r="L187" s="3">
        <f>VLOOKUP(TRIM(Table1[[#This Row],[Provider Specialty]]) &amp; TRIM(Table1[[#This Row],[Provider Specialty Description]]), SPECIALTY_TYPE, 2, FALSE)</f>
        <v>2201</v>
      </c>
      <c r="M187" s="3" t="s">
        <v>19</v>
      </c>
      <c r="N187" s="27" t="s">
        <v>19</v>
      </c>
      <c r="O187" s="38">
        <f>VLOOKUP(TRIM(Table1[[#This Row],[Provider Specialty]]) &amp; TRIM(Table1[[#This Row],[Provider Specialty Description]]), SPECIALTY_TYPE, 2, FALSE)</f>
        <v>2201</v>
      </c>
      <c r="P187" s="3" t="str">
        <f>Table1[[#This Row],[Provider Type]] &amp; "+" &amp; Table1[[#This Row],[Provider Type Description]]</f>
        <v>10+Mid-Level Practitioner</v>
      </c>
      <c r="Q187" s="7" t="str">
        <f>Table1[[#This Row],[Provider Specialty]] &amp; "+" &amp; Table1[[#This Row],[Provider Specialty Description]]</f>
        <v>101+Anesthesiology Assistant</v>
      </c>
      <c r="R187" s="7" t="str">
        <f>Table1[[#This Row],[PDMS Specialty Type ID]] &amp; "+" &amp; Table1[[#This Row],[PDMS Provider Type ID]] &amp; "+" &amp;Table1[[#This Row],[TAXONOMY]]</f>
        <v>2201+101+367H00000X</v>
      </c>
      <c r="S1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(9200, 2201, 101, N'367H00000X', N'Anesthesiologist Assistant - Anesthesiologist Assistant')</v>
      </c>
    </row>
    <row r="188" spans="1:19" ht="47.25" customHeight="1" x14ac:dyDescent="0.25">
      <c r="A188" s="22" t="s">
        <v>11</v>
      </c>
      <c r="B188" s="3" t="s">
        <v>84</v>
      </c>
      <c r="C188" s="3" t="s">
        <v>85</v>
      </c>
      <c r="D188" s="3" t="s">
        <v>472</v>
      </c>
      <c r="E188" s="3" t="s">
        <v>473</v>
      </c>
      <c r="F188" s="3">
        <f>VLOOKUP(Table1[[#This Row],[Column2]], TAXONOMY_TYPE, 2, FALSE)</f>
        <v>9201</v>
      </c>
      <c r="G188" s="3">
        <v>11</v>
      </c>
      <c r="H188" s="3" t="s">
        <v>446</v>
      </c>
      <c r="I188" s="3">
        <f>VLOOKUP(Table1[[#This Row],[Provider Type]] &amp; Table1[[#This Row],[Provider Type Description]], PROVIDER_TYPE, 2, FALSE)</f>
        <v>103</v>
      </c>
      <c r="J188" s="3">
        <v>110</v>
      </c>
      <c r="K188" s="3" t="s">
        <v>526</v>
      </c>
      <c r="L188" s="3">
        <f>VLOOKUP(TRIM(Table1[[#This Row],[Provider Specialty]]) &amp; TRIM(Table1[[#This Row],[Provider Specialty Description]]), SPECIALTY_TYPE, 2, FALSE)</f>
        <v>2202</v>
      </c>
      <c r="M188" s="3" t="s">
        <v>19</v>
      </c>
      <c r="N188" s="27" t="s">
        <v>19</v>
      </c>
      <c r="O188" s="38">
        <f>VLOOKUP(TRIM(Table1[[#This Row],[Provider Specialty]]) &amp; TRIM(Table1[[#This Row],[Provider Specialty Description]]), SPECIALTY_TYPE, 2, FALSE)</f>
        <v>2202</v>
      </c>
      <c r="P188" s="3" t="str">
        <f>Table1[[#This Row],[Provider Type]] &amp; "+" &amp; Table1[[#This Row],[Provider Type Description]]</f>
        <v>11+Mental Health Provider</v>
      </c>
      <c r="Q188" s="7" t="str">
        <f>Table1[[#This Row],[Provider Specialty]] &amp; "+" &amp; Table1[[#This Row],[Provider Specialty Description]]</f>
        <v>110+Outpatient Mental Health Clinic</v>
      </c>
      <c r="R188" s="7" t="str">
        <f>Table1[[#This Row],[PDMS Specialty Type ID]] &amp; "+" &amp; Table1[[#This Row],[PDMS Provider Type ID]] &amp; "+" &amp;Table1[[#This Row],[TAXONOMY]]</f>
        <v>2202+103+261QM0801X</v>
      </c>
      <c r="S1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(9201, 2202, 103, N'261QM0801X', N'Clinic/Center - Mental Health (Including Community Mental Health Center)')</v>
      </c>
    </row>
    <row r="189" spans="1:19" ht="47.25" customHeight="1" x14ac:dyDescent="0.25">
      <c r="A189" s="22" t="s">
        <v>11</v>
      </c>
      <c r="B189" s="3" t="s">
        <v>84</v>
      </c>
      <c r="C189" s="3" t="s">
        <v>85</v>
      </c>
      <c r="D189" s="3" t="s">
        <v>472</v>
      </c>
      <c r="E189" s="3" t="s">
        <v>473</v>
      </c>
      <c r="F189" s="3">
        <f>VLOOKUP(Table1[[#This Row],[Column2]], TAXONOMY_TYPE, 2, FALSE)</f>
        <v>9202</v>
      </c>
      <c r="G189" s="3">
        <v>11</v>
      </c>
      <c r="H189" s="3" t="s">
        <v>446</v>
      </c>
      <c r="I189" s="3">
        <f>VLOOKUP(Table1[[#This Row],[Provider Type]] &amp; Table1[[#This Row],[Provider Type Description]], PROVIDER_TYPE, 2, FALSE)</f>
        <v>103</v>
      </c>
      <c r="J189" s="3">
        <v>111</v>
      </c>
      <c r="K189" s="3" t="s">
        <v>527</v>
      </c>
      <c r="L189" s="3">
        <f>VLOOKUP(TRIM(Table1[[#This Row],[Provider Specialty]]) &amp; TRIM(Table1[[#This Row],[Provider Specialty Description]]), SPECIALTY_TYPE, 2, FALSE)</f>
        <v>2203</v>
      </c>
      <c r="M189" s="3" t="s">
        <v>19</v>
      </c>
      <c r="N189" s="27" t="s">
        <v>19</v>
      </c>
      <c r="O189" s="38">
        <f>VLOOKUP(TRIM(Table1[[#This Row],[Provider Specialty]]) &amp; TRIM(Table1[[#This Row],[Provider Specialty Description]]), SPECIALTY_TYPE, 2, FALSE)</f>
        <v>2203</v>
      </c>
      <c r="P189" s="3" t="str">
        <f>Table1[[#This Row],[Provider Type]] &amp; "+" &amp; Table1[[#This Row],[Provider Type Description]]</f>
        <v>11+Mental Health Provider</v>
      </c>
      <c r="Q189" s="7" t="str">
        <f>Table1[[#This Row],[Provider Specialty]] &amp; "+" &amp; Table1[[#This Row],[Provider Specialty Description]]</f>
        <v>111+Community Mental Health Center (CMHC)</v>
      </c>
      <c r="R189" s="7" t="str">
        <f>Table1[[#This Row],[PDMS Specialty Type ID]] &amp; "+" &amp; Table1[[#This Row],[PDMS Provider Type ID]] &amp; "+" &amp;Table1[[#This Row],[TAXONOMY]]</f>
        <v>2203+103+261QM0801X</v>
      </c>
      <c r="S1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(9202, 2203, 103, N'261QM0801X', N'Clinic/Center - Mental Health (Including Community Mental Health Center)')</v>
      </c>
    </row>
    <row r="190" spans="1:19" ht="47.25" customHeight="1" x14ac:dyDescent="0.25">
      <c r="A190" s="22" t="s">
        <v>11</v>
      </c>
      <c r="B190" s="3" t="s">
        <v>84</v>
      </c>
      <c r="C190" s="3" t="s">
        <v>85</v>
      </c>
      <c r="D190" s="3" t="s">
        <v>528</v>
      </c>
      <c r="E190" s="3" t="s">
        <v>529</v>
      </c>
      <c r="F190" s="3">
        <f>VLOOKUP(Table1[[#This Row],[Column2]], TAXONOMY_TYPE, 2, FALSE)</f>
        <v>9203</v>
      </c>
      <c r="G190" s="4">
        <v>11</v>
      </c>
      <c r="H190" s="3" t="s">
        <v>446</v>
      </c>
      <c r="I190" s="3">
        <f>VLOOKUP(Table1[[#This Row],[Provider Type]] &amp; Table1[[#This Row],[Provider Type Description]], PROVIDER_TYPE, 2, FALSE)</f>
        <v>103</v>
      </c>
      <c r="J190" s="3">
        <v>111</v>
      </c>
      <c r="K190" s="3" t="s">
        <v>527</v>
      </c>
      <c r="L190" s="3">
        <f>VLOOKUP(TRIM(Table1[[#This Row],[Provider Specialty]]) &amp; TRIM(Table1[[#This Row],[Provider Specialty Description]]), SPECIALTY_TYPE, 2, FALSE)</f>
        <v>2203</v>
      </c>
      <c r="M190" s="3" t="s">
        <v>19</v>
      </c>
      <c r="N190" s="27" t="s">
        <v>19</v>
      </c>
      <c r="O190" s="38">
        <f>VLOOKUP(TRIM(Table1[[#This Row],[Provider Specialty]]) &amp; TRIM(Table1[[#This Row],[Provider Specialty Description]]), SPECIALTY_TYPE, 2, FALSE)</f>
        <v>2203</v>
      </c>
      <c r="P190" s="3" t="str">
        <f>Table1[[#This Row],[Provider Type]] &amp; "+" &amp; Table1[[#This Row],[Provider Type Description]]</f>
        <v>11+Mental Health Provider</v>
      </c>
      <c r="Q190" s="7" t="str">
        <f>Table1[[#This Row],[Provider Specialty]] &amp; "+" &amp; Table1[[#This Row],[Provider Specialty Description]]</f>
        <v>111+Community Mental Health Center (CMHC)</v>
      </c>
      <c r="R190" s="7" t="str">
        <f>Table1[[#This Row],[PDMS Specialty Type ID]] &amp; "+" &amp; Table1[[#This Row],[PDMS Provider Type ID]] &amp; "+" &amp;Table1[[#This Row],[TAXONOMY]]</f>
        <v>2203+103+261QM0850X</v>
      </c>
      <c r="S1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(9203, 2203, 103, N'261QM0850X', N'Clinic/Center - Adult Mental Health')</v>
      </c>
    </row>
    <row r="191" spans="1:19" ht="47.25" customHeight="1" x14ac:dyDescent="0.25">
      <c r="A191" s="22" t="s">
        <v>11</v>
      </c>
      <c r="B191" s="3" t="s">
        <v>175</v>
      </c>
      <c r="C191" s="3" t="s">
        <v>543</v>
      </c>
      <c r="D191" s="3" t="s">
        <v>543</v>
      </c>
      <c r="E191" s="3" t="s">
        <v>544</v>
      </c>
      <c r="F191" s="3">
        <f>VLOOKUP(Table1[[#This Row],[Column2]], TAXONOMY_TYPE, 2, FALSE)</f>
        <v>9204</v>
      </c>
      <c r="G191" s="3">
        <v>11</v>
      </c>
      <c r="H191" s="3" t="s">
        <v>446</v>
      </c>
      <c r="I191" s="3">
        <f>VLOOKUP(Table1[[#This Row],[Provider Type]] &amp; Table1[[#This Row],[Provider Type Description]], PROVIDER_TYPE, 2, FALSE)</f>
        <v>103</v>
      </c>
      <c r="J191" s="3">
        <v>111</v>
      </c>
      <c r="K191" s="3" t="s">
        <v>527</v>
      </c>
      <c r="L191" s="3">
        <f>VLOOKUP(TRIM(Table1[[#This Row],[Provider Specialty]]) &amp; TRIM(Table1[[#This Row],[Provider Specialty Description]]), SPECIALTY_TYPE, 2, FALSE)</f>
        <v>2203</v>
      </c>
      <c r="M191" s="3" t="s">
        <v>19</v>
      </c>
      <c r="N191" s="27" t="s">
        <v>19</v>
      </c>
      <c r="O191" s="38">
        <f>VLOOKUP(TRIM(Table1[[#This Row],[Provider Specialty]]) &amp; TRIM(Table1[[#This Row],[Provider Specialty Description]]), SPECIALTY_TYPE, 2, FALSE)</f>
        <v>2203</v>
      </c>
      <c r="P191" s="3" t="str">
        <f>Table1[[#This Row],[Provider Type]] &amp; "+" &amp; Table1[[#This Row],[Provider Type Description]]</f>
        <v>11+Mental Health Provider</v>
      </c>
      <c r="Q191" s="7" t="str">
        <f>Table1[[#This Row],[Provider Specialty]] &amp; "+" &amp; Table1[[#This Row],[Provider Specialty Description]]</f>
        <v>111+Community Mental Health Center (CMHC)</v>
      </c>
      <c r="R191" s="7" t="str">
        <f>Table1[[#This Row],[PDMS Specialty Type ID]] &amp; "+" &amp; Table1[[#This Row],[PDMS Provider Type ID]] &amp; "+" &amp;Table1[[#This Row],[TAXONOMY]]</f>
        <v>2203+103+251S00000X</v>
      </c>
      <c r="S1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(9204, 2203, 103, N'251S00000X', N'Community/Behavioral Health***&amp; - Community/Behavioral Health***&amp;')</v>
      </c>
    </row>
    <row r="192" spans="1:19" ht="47.25" customHeight="1" x14ac:dyDescent="0.25">
      <c r="A192" s="22" t="s">
        <v>227</v>
      </c>
      <c r="B192" s="3" t="s">
        <v>443</v>
      </c>
      <c r="C192" s="3" t="s">
        <v>475</v>
      </c>
      <c r="D192" s="3" t="s">
        <v>475</v>
      </c>
      <c r="E192" s="3" t="s">
        <v>476</v>
      </c>
      <c r="F192" s="3">
        <f>VLOOKUP(Table1[[#This Row],[Column2]], TAXONOMY_TYPE, 2, FALSE)</f>
        <v>9205</v>
      </c>
      <c r="G192" s="3">
        <v>11</v>
      </c>
      <c r="H192" s="3" t="s">
        <v>446</v>
      </c>
      <c r="I192" s="3">
        <f>VLOOKUP(Table1[[#This Row],[Provider Type]] &amp; Table1[[#This Row],[Provider Type Description]], PROVIDER_TYPE, 2, FALSE)</f>
        <v>103</v>
      </c>
      <c r="J192" s="3">
        <v>112</v>
      </c>
      <c r="K192" s="3" t="s">
        <v>477</v>
      </c>
      <c r="L192" s="3">
        <f>VLOOKUP(TRIM(Table1[[#This Row],[Provider Specialty]]) &amp; TRIM(Table1[[#This Row],[Provider Specialty Description]]), SPECIALTY_TYPE, 2, FALSE)</f>
        <v>2204</v>
      </c>
      <c r="M192" s="3" t="s">
        <v>19</v>
      </c>
      <c r="N192" s="27" t="s">
        <v>19</v>
      </c>
      <c r="O192" s="38">
        <f>VLOOKUP(TRIM(Table1[[#This Row],[Provider Specialty]]) &amp; TRIM(Table1[[#This Row],[Provider Specialty Description]]), SPECIALTY_TYPE, 2, FALSE)</f>
        <v>2204</v>
      </c>
      <c r="P192" s="3" t="str">
        <f>Table1[[#This Row],[Provider Type]] &amp; "+" &amp; Table1[[#This Row],[Provider Type Description]]</f>
        <v>11+Mental Health Provider</v>
      </c>
      <c r="Q192" s="7" t="str">
        <f>Table1[[#This Row],[Provider Specialty]] &amp; "+" &amp; Table1[[#This Row],[Provider Specialty Description]]</f>
        <v>112+Psychologist</v>
      </c>
      <c r="R192" s="7" t="str">
        <f>Table1[[#This Row],[PDMS Specialty Type ID]] &amp; "+" &amp; Table1[[#This Row],[PDMS Provider Type ID]] &amp; "+" &amp;Table1[[#This Row],[TAXONOMY]]</f>
        <v>2204+103+102L00000X</v>
      </c>
      <c r="S1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(9205, 2204, 103, N'102L00000X', N'Psychoanalyst** - Psychoanalyst**')</v>
      </c>
    </row>
    <row r="193" spans="1:19" ht="47.25" customHeight="1" x14ac:dyDescent="0.25">
      <c r="A193" s="22" t="s">
        <v>227</v>
      </c>
      <c r="B193" s="3" t="s">
        <v>443</v>
      </c>
      <c r="C193" s="3" t="s">
        <v>462</v>
      </c>
      <c r="D193" s="3" t="s">
        <v>462</v>
      </c>
      <c r="E193" s="3" t="s">
        <v>463</v>
      </c>
      <c r="F193" s="3">
        <f>VLOOKUP(Table1[[#This Row],[Column2]], TAXONOMY_TYPE, 2, FALSE)</f>
        <v>9206</v>
      </c>
      <c r="G193" s="3">
        <v>11</v>
      </c>
      <c r="H193" s="3" t="s">
        <v>446</v>
      </c>
      <c r="I193" s="3">
        <f>VLOOKUP(Table1[[#This Row],[Provider Type]] &amp; Table1[[#This Row],[Provider Type Description]], PROVIDER_TYPE, 2, FALSE)</f>
        <v>103</v>
      </c>
      <c r="J193" s="3">
        <v>112</v>
      </c>
      <c r="K193" s="3" t="s">
        <v>477</v>
      </c>
      <c r="L193" s="3">
        <f>VLOOKUP(TRIM(Table1[[#This Row],[Provider Specialty]]) &amp; TRIM(Table1[[#This Row],[Provider Specialty Description]]), SPECIALTY_TYPE, 2, FALSE)</f>
        <v>2204</v>
      </c>
      <c r="M193" s="3" t="s">
        <v>19</v>
      </c>
      <c r="N193" s="27" t="s">
        <v>19</v>
      </c>
      <c r="O193" s="38">
        <f>VLOOKUP(TRIM(Table1[[#This Row],[Provider Specialty]]) &amp; TRIM(Table1[[#This Row],[Provider Specialty Description]]), SPECIALTY_TYPE, 2, FALSE)</f>
        <v>2204</v>
      </c>
      <c r="P193" s="3" t="str">
        <f>Table1[[#This Row],[Provider Type]] &amp; "+" &amp; Table1[[#This Row],[Provider Type Description]]</f>
        <v>11+Mental Health Provider</v>
      </c>
      <c r="Q193" s="7" t="str">
        <f>Table1[[#This Row],[Provider Specialty]] &amp; "+" &amp; Table1[[#This Row],[Provider Specialty Description]]</f>
        <v>112+Psychologist</v>
      </c>
      <c r="R193" s="7" t="str">
        <f>Table1[[#This Row],[PDMS Specialty Type ID]] &amp; "+" &amp; Table1[[#This Row],[PDMS Provider Type ID]] &amp; "+" &amp;Table1[[#This Row],[TAXONOMY]]</f>
        <v>2204+103+103T00000X</v>
      </c>
      <c r="S1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(9206, 2204, 103, N'103T00000X', N'Psychologist&amp; - Psychologist&amp;')</v>
      </c>
    </row>
    <row r="194" spans="1:19" ht="47.25" customHeight="1" x14ac:dyDescent="0.25">
      <c r="A194" s="22" t="s">
        <v>227</v>
      </c>
      <c r="B194" s="3" t="s">
        <v>443</v>
      </c>
      <c r="C194" s="3" t="s">
        <v>462</v>
      </c>
      <c r="D194" s="3" t="s">
        <v>448</v>
      </c>
      <c r="E194" s="3" t="s">
        <v>483</v>
      </c>
      <c r="F194" s="3">
        <f>VLOOKUP(Table1[[#This Row],[Column2]], TAXONOMY_TYPE, 2, FALSE)</f>
        <v>9207</v>
      </c>
      <c r="G194" s="3">
        <v>11</v>
      </c>
      <c r="H194" s="3" t="s">
        <v>446</v>
      </c>
      <c r="I194" s="3">
        <f>VLOOKUP(Table1[[#This Row],[Provider Type]] &amp; Table1[[#This Row],[Provider Type Description]], PROVIDER_TYPE, 2, FALSE)</f>
        <v>103</v>
      </c>
      <c r="J194" s="3">
        <v>112</v>
      </c>
      <c r="K194" s="3" t="s">
        <v>477</v>
      </c>
      <c r="L194" s="3">
        <f>VLOOKUP(TRIM(Table1[[#This Row],[Provider Specialty]]) &amp; TRIM(Table1[[#This Row],[Provider Specialty Description]]), SPECIALTY_TYPE, 2, FALSE)</f>
        <v>2204</v>
      </c>
      <c r="M194" s="3" t="s">
        <v>19</v>
      </c>
      <c r="N194" s="27" t="s">
        <v>19</v>
      </c>
      <c r="O194" s="38">
        <f>VLOOKUP(TRIM(Table1[[#This Row],[Provider Specialty]]) &amp; TRIM(Table1[[#This Row],[Provider Specialty Description]]), SPECIALTY_TYPE, 2, FALSE)</f>
        <v>2204</v>
      </c>
      <c r="P194" s="3" t="str">
        <f>Table1[[#This Row],[Provider Type]] &amp; "+" &amp; Table1[[#This Row],[Provider Type Description]]</f>
        <v>11+Mental Health Provider</v>
      </c>
      <c r="Q194" s="7" t="str">
        <f>Table1[[#This Row],[Provider Specialty]] &amp; "+" &amp; Table1[[#This Row],[Provider Specialty Description]]</f>
        <v>112+Psychologist</v>
      </c>
      <c r="R194" s="7" t="str">
        <f>Table1[[#This Row],[PDMS Specialty Type ID]] &amp; "+" &amp; Table1[[#This Row],[PDMS Provider Type ID]] &amp; "+" &amp;Table1[[#This Row],[TAXONOMY]]</f>
        <v>2204+103+103TA0400X</v>
      </c>
      <c r="S1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(9207, 2204, 103, N'103TA0400X', N'Psychologist&amp; - Addiction (Substance Use Disorder)')</v>
      </c>
    </row>
    <row r="195" spans="1:19" ht="47.25" customHeight="1" x14ac:dyDescent="0.25">
      <c r="A195" s="22" t="s">
        <v>227</v>
      </c>
      <c r="B195" s="3" t="s">
        <v>443</v>
      </c>
      <c r="C195" s="3" t="s">
        <v>462</v>
      </c>
      <c r="D195" s="3" t="s">
        <v>484</v>
      </c>
      <c r="E195" s="3" t="s">
        <v>485</v>
      </c>
      <c r="F195" s="3">
        <f>VLOOKUP(Table1[[#This Row],[Column2]], TAXONOMY_TYPE, 2, FALSE)</f>
        <v>9208</v>
      </c>
      <c r="G195" s="3">
        <v>11</v>
      </c>
      <c r="H195" s="3" t="s">
        <v>446</v>
      </c>
      <c r="I195" s="3">
        <f>VLOOKUP(Table1[[#This Row],[Provider Type]] &amp; Table1[[#This Row],[Provider Type Description]], PROVIDER_TYPE, 2, FALSE)</f>
        <v>103</v>
      </c>
      <c r="J195" s="3">
        <v>112</v>
      </c>
      <c r="K195" s="3" t="s">
        <v>477</v>
      </c>
      <c r="L195" s="3">
        <f>VLOOKUP(TRIM(Table1[[#This Row],[Provider Specialty]]) &amp; TRIM(Table1[[#This Row],[Provider Specialty Description]]), SPECIALTY_TYPE, 2, FALSE)</f>
        <v>2204</v>
      </c>
      <c r="M195" s="3" t="s">
        <v>19</v>
      </c>
      <c r="N195" s="27" t="s">
        <v>19</v>
      </c>
      <c r="O195" s="38">
        <f>VLOOKUP(TRIM(Table1[[#This Row],[Provider Specialty]]) &amp; TRIM(Table1[[#This Row],[Provider Specialty Description]]), SPECIALTY_TYPE, 2, FALSE)</f>
        <v>2204</v>
      </c>
      <c r="P195" s="3" t="str">
        <f>Table1[[#This Row],[Provider Type]] &amp; "+" &amp; Table1[[#This Row],[Provider Type Description]]</f>
        <v>11+Mental Health Provider</v>
      </c>
      <c r="Q195" s="7" t="str">
        <f>Table1[[#This Row],[Provider Specialty]] &amp; "+" &amp; Table1[[#This Row],[Provider Specialty Description]]</f>
        <v>112+Psychologist</v>
      </c>
      <c r="R195" s="7" t="str">
        <f>Table1[[#This Row],[PDMS Specialty Type ID]] &amp; "+" &amp; Table1[[#This Row],[PDMS Provider Type ID]] &amp; "+" &amp;Table1[[#This Row],[TAXONOMY]]</f>
        <v>2204+103+103TA0700X</v>
      </c>
      <c r="S1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(9208, 2204, 103, N'103TA0700X', N'Psychologist&amp; - Adult Development &amp; Aging')</v>
      </c>
    </row>
    <row r="196" spans="1:19" ht="47.25" customHeight="1" x14ac:dyDescent="0.25">
      <c r="A196" s="22" t="s">
        <v>227</v>
      </c>
      <c r="B196" s="3" t="s">
        <v>443</v>
      </c>
      <c r="C196" s="3" t="s">
        <v>462</v>
      </c>
      <c r="D196" s="3" t="s">
        <v>486</v>
      </c>
      <c r="E196" s="3" t="s">
        <v>487</v>
      </c>
      <c r="F196" s="3">
        <f>VLOOKUP(Table1[[#This Row],[Column2]], TAXONOMY_TYPE, 2, FALSE)</f>
        <v>9209</v>
      </c>
      <c r="G196" s="3">
        <v>11</v>
      </c>
      <c r="H196" s="3" t="s">
        <v>446</v>
      </c>
      <c r="I196" s="3">
        <f>VLOOKUP(Table1[[#This Row],[Provider Type]] &amp; Table1[[#This Row],[Provider Type Description]], PROVIDER_TYPE, 2, FALSE)</f>
        <v>103</v>
      </c>
      <c r="J196" s="3">
        <v>112</v>
      </c>
      <c r="K196" s="3" t="s">
        <v>477</v>
      </c>
      <c r="L196" s="3">
        <f>VLOOKUP(TRIM(Table1[[#This Row],[Provider Specialty]]) &amp; TRIM(Table1[[#This Row],[Provider Specialty Description]]), SPECIALTY_TYPE, 2, FALSE)</f>
        <v>2204</v>
      </c>
      <c r="M196" s="3" t="s">
        <v>19</v>
      </c>
      <c r="N196" s="27" t="s">
        <v>19</v>
      </c>
      <c r="O196" s="38">
        <f>VLOOKUP(TRIM(Table1[[#This Row],[Provider Specialty]]) &amp; TRIM(Table1[[#This Row],[Provider Specialty Description]]), SPECIALTY_TYPE, 2, FALSE)</f>
        <v>2204</v>
      </c>
      <c r="P196" s="3" t="str">
        <f>Table1[[#This Row],[Provider Type]] &amp; "+" &amp; Table1[[#This Row],[Provider Type Description]]</f>
        <v>11+Mental Health Provider</v>
      </c>
      <c r="Q196" s="7" t="str">
        <f>Table1[[#This Row],[Provider Specialty]] &amp; "+" &amp; Table1[[#This Row],[Provider Specialty Description]]</f>
        <v>112+Psychologist</v>
      </c>
      <c r="R196" s="7" t="str">
        <f>Table1[[#This Row],[PDMS Specialty Type ID]] &amp; "+" &amp; Table1[[#This Row],[PDMS Provider Type ID]] &amp; "+" &amp;Table1[[#This Row],[TAXONOMY]]</f>
        <v>2204+103+103TB0200X</v>
      </c>
      <c r="S1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(9209, 2204, 103, N'103TB0200X', N'Psychologist&amp; - Cognitive &amp; Behavioral+')</v>
      </c>
    </row>
    <row r="197" spans="1:19" ht="47.25" customHeight="1" x14ac:dyDescent="0.25">
      <c r="A197" s="22" t="s">
        <v>227</v>
      </c>
      <c r="B197" s="3" t="s">
        <v>443</v>
      </c>
      <c r="C197" s="3" t="s">
        <v>462</v>
      </c>
      <c r="D197" s="3" t="s">
        <v>490</v>
      </c>
      <c r="E197" s="3" t="s">
        <v>491</v>
      </c>
      <c r="F197" s="3">
        <f>VLOOKUP(Table1[[#This Row],[Column2]], TAXONOMY_TYPE, 2, FALSE)</f>
        <v>9210</v>
      </c>
      <c r="G197" s="3">
        <v>11</v>
      </c>
      <c r="H197" s="3" t="s">
        <v>446</v>
      </c>
      <c r="I197" s="3">
        <f>VLOOKUP(Table1[[#This Row],[Provider Type]] &amp; Table1[[#This Row],[Provider Type Description]], PROVIDER_TYPE, 2, FALSE)</f>
        <v>103</v>
      </c>
      <c r="J197" s="3">
        <v>112</v>
      </c>
      <c r="K197" s="3" t="s">
        <v>477</v>
      </c>
      <c r="L197" s="3">
        <f>VLOOKUP(TRIM(Table1[[#This Row],[Provider Specialty]]) &amp; TRIM(Table1[[#This Row],[Provider Specialty Description]]), SPECIALTY_TYPE, 2, FALSE)</f>
        <v>2204</v>
      </c>
      <c r="M197" s="3" t="s">
        <v>19</v>
      </c>
      <c r="N197" s="27" t="s">
        <v>19</v>
      </c>
      <c r="O197" s="38">
        <f>VLOOKUP(TRIM(Table1[[#This Row],[Provider Specialty]]) &amp; TRIM(Table1[[#This Row],[Provider Specialty Description]]), SPECIALTY_TYPE, 2, FALSE)</f>
        <v>2204</v>
      </c>
      <c r="P197" s="3" t="str">
        <f>Table1[[#This Row],[Provider Type]] &amp; "+" &amp; Table1[[#This Row],[Provider Type Description]]</f>
        <v>11+Mental Health Provider</v>
      </c>
      <c r="Q197" s="7" t="str">
        <f>Table1[[#This Row],[Provider Specialty]] &amp; "+" &amp; Table1[[#This Row],[Provider Specialty Description]]</f>
        <v>112+Psychologist</v>
      </c>
      <c r="R197" s="7" t="str">
        <f>Table1[[#This Row],[PDMS Specialty Type ID]] &amp; "+" &amp; Table1[[#This Row],[PDMS Provider Type ID]] &amp; "+" &amp;Table1[[#This Row],[TAXONOMY]]</f>
        <v>2204+103+103TC1900X</v>
      </c>
      <c r="S1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(9210, 2204, 103, N'103TC1900X', N'Psychologist&amp; - Counseling')</v>
      </c>
    </row>
    <row r="198" spans="1:19" ht="47.25" customHeight="1" x14ac:dyDescent="0.25">
      <c r="A198" s="22" t="s">
        <v>227</v>
      </c>
      <c r="B198" s="3" t="s">
        <v>443</v>
      </c>
      <c r="C198" s="3" t="s">
        <v>462</v>
      </c>
      <c r="D198" s="3" t="s">
        <v>494</v>
      </c>
      <c r="E198" s="3" t="s">
        <v>495</v>
      </c>
      <c r="F198" s="3">
        <f>VLOOKUP(Table1[[#This Row],[Column2]], TAXONOMY_TYPE, 2, FALSE)</f>
        <v>9211</v>
      </c>
      <c r="G198" s="3">
        <v>11</v>
      </c>
      <c r="H198" s="3" t="s">
        <v>446</v>
      </c>
      <c r="I198" s="3">
        <f>VLOOKUP(Table1[[#This Row],[Provider Type]] &amp; Table1[[#This Row],[Provider Type Description]], PROVIDER_TYPE, 2, FALSE)</f>
        <v>103</v>
      </c>
      <c r="J198" s="3">
        <v>112</v>
      </c>
      <c r="K198" s="3" t="s">
        <v>477</v>
      </c>
      <c r="L198" s="3">
        <f>VLOOKUP(TRIM(Table1[[#This Row],[Provider Specialty]]) &amp; TRIM(Table1[[#This Row],[Provider Specialty Description]]), SPECIALTY_TYPE, 2, FALSE)</f>
        <v>2204</v>
      </c>
      <c r="M198" s="3" t="s">
        <v>19</v>
      </c>
      <c r="N198" s="27" t="s">
        <v>19</v>
      </c>
      <c r="O198" s="38">
        <f>VLOOKUP(TRIM(Table1[[#This Row],[Provider Specialty]]) &amp; TRIM(Table1[[#This Row],[Provider Specialty Description]]), SPECIALTY_TYPE, 2, FALSE)</f>
        <v>2204</v>
      </c>
      <c r="P198" s="3" t="str">
        <f>Table1[[#This Row],[Provider Type]] &amp; "+" &amp; Table1[[#This Row],[Provider Type Description]]</f>
        <v>11+Mental Health Provider</v>
      </c>
      <c r="Q198" s="7" t="str">
        <f>Table1[[#This Row],[Provider Specialty]] &amp; "+" &amp; Table1[[#This Row],[Provider Specialty Description]]</f>
        <v>112+Psychologist</v>
      </c>
      <c r="R198" s="7" t="str">
        <f>Table1[[#This Row],[PDMS Specialty Type ID]] &amp; "+" &amp; Table1[[#This Row],[PDMS Provider Type ID]] &amp; "+" &amp;Table1[[#This Row],[TAXONOMY]]</f>
        <v>2204+103+103TE1000X</v>
      </c>
      <c r="S1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(9211, 2204, 103, N'103TE1000X', N'Psychologist&amp; - Educational^')</v>
      </c>
    </row>
    <row r="199" spans="1:19" ht="47.25" customHeight="1" x14ac:dyDescent="0.25">
      <c r="A199" s="22" t="s">
        <v>227</v>
      </c>
      <c r="B199" s="3" t="s">
        <v>443</v>
      </c>
      <c r="C199" s="3" t="s">
        <v>462</v>
      </c>
      <c r="D199" s="3" t="s">
        <v>496</v>
      </c>
      <c r="E199" s="3" t="s">
        <v>497</v>
      </c>
      <c r="F199" s="3">
        <f>VLOOKUP(Table1[[#This Row],[Column2]], TAXONOMY_TYPE, 2, FALSE)</f>
        <v>9212</v>
      </c>
      <c r="G199" s="3">
        <v>11</v>
      </c>
      <c r="H199" s="3" t="s">
        <v>446</v>
      </c>
      <c r="I199" s="3">
        <f>VLOOKUP(Table1[[#This Row],[Provider Type]] &amp; Table1[[#This Row],[Provider Type Description]], PROVIDER_TYPE, 2, FALSE)</f>
        <v>103</v>
      </c>
      <c r="J199" s="3">
        <v>112</v>
      </c>
      <c r="K199" s="3" t="s">
        <v>477</v>
      </c>
      <c r="L199" s="3">
        <f>VLOOKUP(TRIM(Table1[[#This Row],[Provider Specialty]]) &amp; TRIM(Table1[[#This Row],[Provider Specialty Description]]), SPECIALTY_TYPE, 2, FALSE)</f>
        <v>2204</v>
      </c>
      <c r="M199" s="3" t="s">
        <v>19</v>
      </c>
      <c r="N199" s="27" t="s">
        <v>19</v>
      </c>
      <c r="O199" s="38">
        <f>VLOOKUP(TRIM(Table1[[#This Row],[Provider Specialty]]) &amp; TRIM(Table1[[#This Row],[Provider Specialty Description]]), SPECIALTY_TYPE, 2, FALSE)</f>
        <v>2204</v>
      </c>
      <c r="P199" s="3" t="str">
        <f>Table1[[#This Row],[Provider Type]] &amp; "+" &amp; Table1[[#This Row],[Provider Type Description]]</f>
        <v>11+Mental Health Provider</v>
      </c>
      <c r="Q199" s="7" t="str">
        <f>Table1[[#This Row],[Provider Specialty]] &amp; "+" &amp; Table1[[#This Row],[Provider Specialty Description]]</f>
        <v>112+Psychologist</v>
      </c>
      <c r="R199" s="7" t="str">
        <f>Table1[[#This Row],[PDMS Specialty Type ID]] &amp; "+" &amp; Table1[[#This Row],[PDMS Provider Type ID]] &amp; "+" &amp;Table1[[#This Row],[TAXONOMY]]</f>
        <v>2204+103+103TE1100X</v>
      </c>
      <c r="S1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(9212, 2204, 103, N'103TE1100X', N'Psychologist&amp; - Exercise &amp; Sports')</v>
      </c>
    </row>
    <row r="200" spans="1:19" ht="47.25" customHeight="1" x14ac:dyDescent="0.25">
      <c r="A200" s="22" t="s">
        <v>227</v>
      </c>
      <c r="B200" s="3" t="s">
        <v>443</v>
      </c>
      <c r="C200" s="3" t="s">
        <v>462</v>
      </c>
      <c r="D200" s="3" t="s">
        <v>350</v>
      </c>
      <c r="E200" s="3" t="s">
        <v>498</v>
      </c>
      <c r="F200" s="3">
        <f>VLOOKUP(Table1[[#This Row],[Column2]], TAXONOMY_TYPE, 2, FALSE)</f>
        <v>9213</v>
      </c>
      <c r="G200" s="3">
        <v>11</v>
      </c>
      <c r="H200" s="3" t="s">
        <v>446</v>
      </c>
      <c r="I200" s="3">
        <f>VLOOKUP(Table1[[#This Row],[Provider Type]] &amp; Table1[[#This Row],[Provider Type Description]], PROVIDER_TYPE, 2, FALSE)</f>
        <v>103</v>
      </c>
      <c r="J200" s="3">
        <v>112</v>
      </c>
      <c r="K200" s="3" t="s">
        <v>477</v>
      </c>
      <c r="L200" s="3">
        <f>VLOOKUP(TRIM(Table1[[#This Row],[Provider Specialty]]) &amp; TRIM(Table1[[#This Row],[Provider Specialty Description]]), SPECIALTY_TYPE, 2, FALSE)</f>
        <v>2204</v>
      </c>
      <c r="M200" s="3" t="s">
        <v>19</v>
      </c>
      <c r="N200" s="27" t="s">
        <v>19</v>
      </c>
      <c r="O200" s="38">
        <f>VLOOKUP(TRIM(Table1[[#This Row],[Provider Specialty]]) &amp; TRIM(Table1[[#This Row],[Provider Specialty Description]]), SPECIALTY_TYPE, 2, FALSE)</f>
        <v>2204</v>
      </c>
      <c r="P200" s="3" t="str">
        <f>Table1[[#This Row],[Provider Type]] &amp; "+" &amp; Table1[[#This Row],[Provider Type Description]]</f>
        <v>11+Mental Health Provider</v>
      </c>
      <c r="Q200" s="7" t="str">
        <f>Table1[[#This Row],[Provider Specialty]] &amp; "+" &amp; Table1[[#This Row],[Provider Specialty Description]]</f>
        <v>112+Psychologist</v>
      </c>
      <c r="R200" s="7" t="str">
        <f>Table1[[#This Row],[PDMS Specialty Type ID]] &amp; "+" &amp; Table1[[#This Row],[PDMS Provider Type ID]] &amp; "+" &amp;Table1[[#This Row],[TAXONOMY]]</f>
        <v>2204+103+103TF0000X</v>
      </c>
      <c r="S2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(9213, 2204, 103, N'103TF0000X', N'Psychologist&amp; - Family')</v>
      </c>
    </row>
    <row r="201" spans="1:19" ht="47.25" customHeight="1" x14ac:dyDescent="0.25">
      <c r="A201" s="22" t="s">
        <v>227</v>
      </c>
      <c r="B201" s="3" t="s">
        <v>443</v>
      </c>
      <c r="C201" s="3" t="s">
        <v>462</v>
      </c>
      <c r="D201" s="3" t="s">
        <v>499</v>
      </c>
      <c r="E201" s="3" t="s">
        <v>500</v>
      </c>
      <c r="F201" s="3">
        <f>VLOOKUP(Table1[[#This Row],[Column2]], TAXONOMY_TYPE, 2, FALSE)</f>
        <v>9214</v>
      </c>
      <c r="G201" s="3">
        <v>11</v>
      </c>
      <c r="H201" s="3" t="s">
        <v>446</v>
      </c>
      <c r="I201" s="3">
        <f>VLOOKUP(Table1[[#This Row],[Provider Type]] &amp; Table1[[#This Row],[Provider Type Description]], PROVIDER_TYPE, 2, FALSE)</f>
        <v>103</v>
      </c>
      <c r="J201" s="3">
        <v>112</v>
      </c>
      <c r="K201" s="3" t="s">
        <v>477</v>
      </c>
      <c r="L201" s="3">
        <f>VLOOKUP(TRIM(Table1[[#This Row],[Provider Specialty]]) &amp; TRIM(Table1[[#This Row],[Provider Specialty Description]]), SPECIALTY_TYPE, 2, FALSE)</f>
        <v>2204</v>
      </c>
      <c r="M201" s="3" t="s">
        <v>19</v>
      </c>
      <c r="N201" s="27" t="s">
        <v>19</v>
      </c>
      <c r="O201" s="38">
        <f>VLOOKUP(TRIM(Table1[[#This Row],[Provider Specialty]]) &amp; TRIM(Table1[[#This Row],[Provider Specialty Description]]), SPECIALTY_TYPE, 2, FALSE)</f>
        <v>2204</v>
      </c>
      <c r="P201" s="3" t="str">
        <f>Table1[[#This Row],[Provider Type]] &amp; "+" &amp; Table1[[#This Row],[Provider Type Description]]</f>
        <v>11+Mental Health Provider</v>
      </c>
      <c r="Q201" s="7" t="str">
        <f>Table1[[#This Row],[Provider Specialty]] &amp; "+" &amp; Table1[[#This Row],[Provider Specialty Description]]</f>
        <v>112+Psychologist</v>
      </c>
      <c r="R201" s="7" t="str">
        <f>Table1[[#This Row],[PDMS Specialty Type ID]] &amp; "+" &amp; Table1[[#This Row],[PDMS Provider Type ID]] &amp; "+" &amp;Table1[[#This Row],[TAXONOMY]]</f>
        <v>2204+103+103TF0200X</v>
      </c>
      <c r="S2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(9214, 2204, 103, N'103TF0200X', N'Psychologist&amp; - Forensic')</v>
      </c>
    </row>
    <row r="202" spans="1:19" ht="47.25" customHeight="1" x14ac:dyDescent="0.25">
      <c r="A202" s="22" t="s">
        <v>227</v>
      </c>
      <c r="B202" s="3" t="s">
        <v>443</v>
      </c>
      <c r="C202" s="3" t="s">
        <v>462</v>
      </c>
      <c r="D202" s="3" t="s">
        <v>501</v>
      </c>
      <c r="E202" s="3" t="s">
        <v>502</v>
      </c>
      <c r="F202" s="3">
        <f>VLOOKUP(Table1[[#This Row],[Column2]], TAXONOMY_TYPE, 2, FALSE)</f>
        <v>9215</v>
      </c>
      <c r="G202" s="3">
        <v>11</v>
      </c>
      <c r="H202" s="3" t="s">
        <v>446</v>
      </c>
      <c r="I202" s="3">
        <f>VLOOKUP(Table1[[#This Row],[Provider Type]] &amp; Table1[[#This Row],[Provider Type Description]], PROVIDER_TYPE, 2, FALSE)</f>
        <v>103</v>
      </c>
      <c r="J202" s="3">
        <v>112</v>
      </c>
      <c r="K202" s="3" t="s">
        <v>477</v>
      </c>
      <c r="L202" s="3">
        <f>VLOOKUP(TRIM(Table1[[#This Row],[Provider Specialty]]) &amp; TRIM(Table1[[#This Row],[Provider Specialty Description]]), SPECIALTY_TYPE, 2, FALSE)</f>
        <v>2204</v>
      </c>
      <c r="M202" s="3" t="s">
        <v>19</v>
      </c>
      <c r="N202" s="27" t="s">
        <v>19</v>
      </c>
      <c r="O202" s="38">
        <f>VLOOKUP(TRIM(Table1[[#This Row],[Provider Specialty]]) &amp; TRIM(Table1[[#This Row],[Provider Specialty Description]]), SPECIALTY_TYPE, 2, FALSE)</f>
        <v>2204</v>
      </c>
      <c r="P202" s="3" t="str">
        <f>Table1[[#This Row],[Provider Type]] &amp; "+" &amp; Table1[[#This Row],[Provider Type Description]]</f>
        <v>11+Mental Health Provider</v>
      </c>
      <c r="Q202" s="7" t="str">
        <f>Table1[[#This Row],[Provider Specialty]] &amp; "+" &amp; Table1[[#This Row],[Provider Specialty Description]]</f>
        <v>112+Psychologist</v>
      </c>
      <c r="R202" s="7" t="str">
        <f>Table1[[#This Row],[PDMS Specialty Type ID]] &amp; "+" &amp; Table1[[#This Row],[PDMS Provider Type ID]] &amp; "+" &amp;Table1[[#This Row],[TAXONOMY]]</f>
        <v>2204+103+103TH0004X</v>
      </c>
      <c r="S2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(9215, 2204, 103, N'103TH0004X', N'Psychologist&amp; - Health**')</v>
      </c>
    </row>
    <row r="203" spans="1:19" ht="47.25" customHeight="1" x14ac:dyDescent="0.25">
      <c r="A203" s="22" t="s">
        <v>227</v>
      </c>
      <c r="B203" s="3" t="s">
        <v>443</v>
      </c>
      <c r="C203" s="3" t="s">
        <v>462</v>
      </c>
      <c r="D203" s="3" t="s">
        <v>204</v>
      </c>
      <c r="E203" s="3" t="s">
        <v>503</v>
      </c>
      <c r="F203" s="3">
        <f>VLOOKUP(Table1[[#This Row],[Column2]], TAXONOMY_TYPE, 2, FALSE)</f>
        <v>9216</v>
      </c>
      <c r="G203" s="3">
        <v>11</v>
      </c>
      <c r="H203" s="3" t="s">
        <v>446</v>
      </c>
      <c r="I203" s="3">
        <f>VLOOKUP(Table1[[#This Row],[Provider Type]] &amp; Table1[[#This Row],[Provider Type Description]], PROVIDER_TYPE, 2, FALSE)</f>
        <v>103</v>
      </c>
      <c r="J203" s="3">
        <v>112</v>
      </c>
      <c r="K203" s="3" t="s">
        <v>477</v>
      </c>
      <c r="L203" s="3">
        <f>VLOOKUP(TRIM(Table1[[#This Row],[Provider Specialty]]) &amp; TRIM(Table1[[#This Row],[Provider Specialty Description]]), SPECIALTY_TYPE, 2, FALSE)</f>
        <v>2204</v>
      </c>
      <c r="M203" s="3" t="s">
        <v>19</v>
      </c>
      <c r="N203" s="27" t="s">
        <v>19</v>
      </c>
      <c r="O203" s="38">
        <f>VLOOKUP(TRIM(Table1[[#This Row],[Provider Specialty]]) &amp; TRIM(Table1[[#This Row],[Provider Specialty Description]]), SPECIALTY_TYPE, 2, FALSE)</f>
        <v>2204</v>
      </c>
      <c r="P203" s="3" t="str">
        <f>Table1[[#This Row],[Provider Type]] &amp; "+" &amp; Table1[[#This Row],[Provider Type Description]]</f>
        <v>11+Mental Health Provider</v>
      </c>
      <c r="Q203" s="7" t="str">
        <f>Table1[[#This Row],[Provider Specialty]] &amp; "+" &amp; Table1[[#This Row],[Provider Specialty Description]]</f>
        <v>112+Psychologist</v>
      </c>
      <c r="R203" s="7" t="str">
        <f>Table1[[#This Row],[PDMS Specialty Type ID]] &amp; "+" &amp; Table1[[#This Row],[PDMS Provider Type ID]] &amp; "+" &amp;Table1[[#This Row],[TAXONOMY]]</f>
        <v>2204+103+103TH0100X</v>
      </c>
      <c r="S2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(9216, 2204, 103, N'103TH0100X', N'Psychologist&amp; - Health Service')</v>
      </c>
    </row>
    <row r="204" spans="1:19" ht="47.25" customHeight="1" x14ac:dyDescent="0.25">
      <c r="A204" s="22" t="s">
        <v>227</v>
      </c>
      <c r="B204" s="3" t="s">
        <v>443</v>
      </c>
      <c r="C204" s="3" t="s">
        <v>462</v>
      </c>
      <c r="D204" s="3" t="s">
        <v>504</v>
      </c>
      <c r="E204" s="3" t="s">
        <v>505</v>
      </c>
      <c r="F204" s="3">
        <f>VLOOKUP(Table1[[#This Row],[Column2]], TAXONOMY_TYPE, 2, FALSE)</f>
        <v>9217</v>
      </c>
      <c r="G204" s="3">
        <v>11</v>
      </c>
      <c r="H204" s="3" t="s">
        <v>446</v>
      </c>
      <c r="I204" s="3">
        <f>VLOOKUP(Table1[[#This Row],[Provider Type]] &amp; Table1[[#This Row],[Provider Type Description]], PROVIDER_TYPE, 2, FALSE)</f>
        <v>103</v>
      </c>
      <c r="J204" s="3">
        <v>112</v>
      </c>
      <c r="K204" s="3" t="s">
        <v>477</v>
      </c>
      <c r="L204" s="3">
        <f>VLOOKUP(TRIM(Table1[[#This Row],[Provider Specialty]]) &amp; TRIM(Table1[[#This Row],[Provider Specialty Description]]), SPECIALTY_TYPE, 2, FALSE)</f>
        <v>2204</v>
      </c>
      <c r="M204" s="3" t="s">
        <v>19</v>
      </c>
      <c r="N204" s="27" t="s">
        <v>19</v>
      </c>
      <c r="O204" s="38">
        <f>VLOOKUP(TRIM(Table1[[#This Row],[Provider Specialty]]) &amp; TRIM(Table1[[#This Row],[Provider Specialty Description]]), SPECIALTY_TYPE, 2, FALSE)</f>
        <v>2204</v>
      </c>
      <c r="P204" s="3" t="str">
        <f>Table1[[#This Row],[Provider Type]] &amp; "+" &amp; Table1[[#This Row],[Provider Type Description]]</f>
        <v>11+Mental Health Provider</v>
      </c>
      <c r="Q204" s="7" t="str">
        <f>Table1[[#This Row],[Provider Specialty]] &amp; "+" &amp; Table1[[#This Row],[Provider Specialty Description]]</f>
        <v>112+Psychologist</v>
      </c>
      <c r="R204" s="7" t="str">
        <f>Table1[[#This Row],[PDMS Specialty Type ID]] &amp; "+" &amp; Table1[[#This Row],[PDMS Provider Type ID]] &amp; "+" &amp;Table1[[#This Row],[TAXONOMY]]</f>
        <v>2204+103+103TM1700X</v>
      </c>
      <c r="S2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(9217, 2204, 103, N'103TM1700X', N'Psychologist&amp; - Men &amp; Masculinity^')</v>
      </c>
    </row>
    <row r="205" spans="1:19" ht="47.25" customHeight="1" x14ac:dyDescent="0.25">
      <c r="A205" s="22" t="s">
        <v>227</v>
      </c>
      <c r="B205" s="3" t="s">
        <v>443</v>
      </c>
      <c r="C205" s="3" t="s">
        <v>462</v>
      </c>
      <c r="D205" s="3" t="s">
        <v>506</v>
      </c>
      <c r="E205" s="3" t="s">
        <v>507</v>
      </c>
      <c r="F205" s="3">
        <f>VLOOKUP(Table1[[#This Row],[Column2]], TAXONOMY_TYPE, 2, FALSE)</f>
        <v>9218</v>
      </c>
      <c r="G205" s="3">
        <v>11</v>
      </c>
      <c r="H205" s="3" t="s">
        <v>446</v>
      </c>
      <c r="I205" s="3">
        <f>VLOOKUP(Table1[[#This Row],[Provider Type]] &amp; Table1[[#This Row],[Provider Type Description]], PROVIDER_TYPE, 2, FALSE)</f>
        <v>103</v>
      </c>
      <c r="J205" s="3">
        <v>112</v>
      </c>
      <c r="K205" s="3" t="s">
        <v>477</v>
      </c>
      <c r="L205" s="3">
        <f>VLOOKUP(TRIM(Table1[[#This Row],[Provider Specialty]]) &amp; TRIM(Table1[[#This Row],[Provider Specialty Description]]), SPECIALTY_TYPE, 2, FALSE)</f>
        <v>2204</v>
      </c>
      <c r="M205" s="3" t="s">
        <v>19</v>
      </c>
      <c r="N205" s="27" t="s">
        <v>19</v>
      </c>
      <c r="O205" s="38">
        <f>VLOOKUP(TRIM(Table1[[#This Row],[Provider Specialty]]) &amp; TRIM(Table1[[#This Row],[Provider Specialty Description]]), SPECIALTY_TYPE, 2, FALSE)</f>
        <v>2204</v>
      </c>
      <c r="P205" s="3" t="str">
        <f>Table1[[#This Row],[Provider Type]] &amp; "+" &amp; Table1[[#This Row],[Provider Type Description]]</f>
        <v>11+Mental Health Provider</v>
      </c>
      <c r="Q205" s="7" t="str">
        <f>Table1[[#This Row],[Provider Specialty]] &amp; "+" &amp; Table1[[#This Row],[Provider Specialty Description]]</f>
        <v>112+Psychologist</v>
      </c>
      <c r="R205" s="7" t="str">
        <f>Table1[[#This Row],[PDMS Specialty Type ID]] &amp; "+" &amp; Table1[[#This Row],[PDMS Provider Type ID]] &amp; "+" &amp;Table1[[#This Row],[TAXONOMY]]</f>
        <v>2204+103+103TM1800X</v>
      </c>
      <c r="S2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(9218, 2204, 103, N'103TM1800X', N'Psychologist&amp; - Mental Retardation &amp; Developmental Disabilities')</v>
      </c>
    </row>
    <row r="206" spans="1:19" ht="47.25" customHeight="1" x14ac:dyDescent="0.25">
      <c r="A206" s="22" t="s">
        <v>227</v>
      </c>
      <c r="B206" s="3" t="s">
        <v>443</v>
      </c>
      <c r="C206" s="3" t="s">
        <v>462</v>
      </c>
      <c r="D206" s="3" t="s">
        <v>508</v>
      </c>
      <c r="E206" s="3" t="s">
        <v>509</v>
      </c>
      <c r="F206" s="3">
        <f>VLOOKUP(Table1[[#This Row],[Column2]], TAXONOMY_TYPE, 2, FALSE)</f>
        <v>9219</v>
      </c>
      <c r="G206" s="3">
        <v>11</v>
      </c>
      <c r="H206" s="3" t="s">
        <v>446</v>
      </c>
      <c r="I206" s="3">
        <f>VLOOKUP(Table1[[#This Row],[Provider Type]] &amp; Table1[[#This Row],[Provider Type Description]], PROVIDER_TYPE, 2, FALSE)</f>
        <v>103</v>
      </c>
      <c r="J206" s="3">
        <v>112</v>
      </c>
      <c r="K206" s="3" t="s">
        <v>477</v>
      </c>
      <c r="L206" s="3">
        <f>VLOOKUP(TRIM(Table1[[#This Row],[Provider Specialty]]) &amp; TRIM(Table1[[#This Row],[Provider Specialty Description]]), SPECIALTY_TYPE, 2, FALSE)</f>
        <v>2204</v>
      </c>
      <c r="M206" s="3" t="s">
        <v>19</v>
      </c>
      <c r="N206" s="27" t="s">
        <v>19</v>
      </c>
      <c r="O206" s="38">
        <f>VLOOKUP(TRIM(Table1[[#This Row],[Provider Specialty]]) &amp; TRIM(Table1[[#This Row],[Provider Specialty Description]]), SPECIALTY_TYPE, 2, FALSE)</f>
        <v>2204</v>
      </c>
      <c r="P206" s="3" t="str">
        <f>Table1[[#This Row],[Provider Type]] &amp; "+" &amp; Table1[[#This Row],[Provider Type Description]]</f>
        <v>11+Mental Health Provider</v>
      </c>
      <c r="Q206" s="7" t="str">
        <f>Table1[[#This Row],[Provider Specialty]] &amp; "+" &amp; Table1[[#This Row],[Provider Specialty Description]]</f>
        <v>112+Psychologist</v>
      </c>
      <c r="R206" s="7" t="str">
        <f>Table1[[#This Row],[PDMS Specialty Type ID]] &amp; "+" &amp; Table1[[#This Row],[PDMS Provider Type ID]] &amp; "+" &amp;Table1[[#This Row],[TAXONOMY]]</f>
        <v>2204+103+103TP0016X</v>
      </c>
      <c r="S2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(9219, 2204, 103, N'103TP0016X', N'Psychologist&amp; - Prescribing (Medical)**')</v>
      </c>
    </row>
    <row r="207" spans="1:19" ht="47.25" customHeight="1" x14ac:dyDescent="0.25">
      <c r="A207" s="22" t="s">
        <v>227</v>
      </c>
      <c r="B207" s="3" t="s">
        <v>443</v>
      </c>
      <c r="C207" s="3" t="s">
        <v>462</v>
      </c>
      <c r="D207" s="3" t="s">
        <v>510</v>
      </c>
      <c r="E207" s="3" t="s">
        <v>511</v>
      </c>
      <c r="F207" s="3">
        <f>VLOOKUP(Table1[[#This Row],[Column2]], TAXONOMY_TYPE, 2, FALSE)</f>
        <v>9220</v>
      </c>
      <c r="G207" s="3">
        <v>11</v>
      </c>
      <c r="H207" s="3" t="s">
        <v>446</v>
      </c>
      <c r="I207" s="3">
        <f>VLOOKUP(Table1[[#This Row],[Provider Type]] &amp; Table1[[#This Row],[Provider Type Description]], PROVIDER_TYPE, 2, FALSE)</f>
        <v>103</v>
      </c>
      <c r="J207" s="3">
        <v>112</v>
      </c>
      <c r="K207" s="3" t="s">
        <v>477</v>
      </c>
      <c r="L207" s="3">
        <f>VLOOKUP(TRIM(Table1[[#This Row],[Provider Specialty]]) &amp; TRIM(Table1[[#This Row],[Provider Specialty Description]]), SPECIALTY_TYPE, 2, FALSE)</f>
        <v>2204</v>
      </c>
      <c r="M207" s="3" t="s">
        <v>19</v>
      </c>
      <c r="N207" s="27" t="s">
        <v>19</v>
      </c>
      <c r="O207" s="38">
        <f>VLOOKUP(TRIM(Table1[[#This Row],[Provider Specialty]]) &amp; TRIM(Table1[[#This Row],[Provider Specialty Description]]), SPECIALTY_TYPE, 2, FALSE)</f>
        <v>2204</v>
      </c>
      <c r="P207" s="3" t="str">
        <f>Table1[[#This Row],[Provider Type]] &amp; "+" &amp; Table1[[#This Row],[Provider Type Description]]</f>
        <v>11+Mental Health Provider</v>
      </c>
      <c r="Q207" s="7" t="str">
        <f>Table1[[#This Row],[Provider Specialty]] &amp; "+" &amp; Table1[[#This Row],[Provider Specialty Description]]</f>
        <v>112+Psychologist</v>
      </c>
      <c r="R207" s="7" t="str">
        <f>Table1[[#This Row],[PDMS Specialty Type ID]] &amp; "+" &amp; Table1[[#This Row],[PDMS Provider Type ID]] &amp; "+" &amp;Table1[[#This Row],[TAXONOMY]]</f>
        <v>2204+103+103TP0814X</v>
      </c>
      <c r="S2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(9220, 2204, 103, N'103TP0814X', N'Psychologist&amp; - Psychoanalysis')</v>
      </c>
    </row>
    <row r="208" spans="1:19" ht="47.25" customHeight="1" x14ac:dyDescent="0.25">
      <c r="A208" s="22" t="s">
        <v>227</v>
      </c>
      <c r="B208" s="3" t="s">
        <v>443</v>
      </c>
      <c r="C208" s="3" t="s">
        <v>462</v>
      </c>
      <c r="D208" s="3" t="s">
        <v>512</v>
      </c>
      <c r="E208" s="3" t="s">
        <v>513</v>
      </c>
      <c r="F208" s="3">
        <f>VLOOKUP(Table1[[#This Row],[Column2]], TAXONOMY_TYPE, 2, FALSE)</f>
        <v>9221</v>
      </c>
      <c r="G208" s="3">
        <v>11</v>
      </c>
      <c r="H208" s="3" t="s">
        <v>446</v>
      </c>
      <c r="I208" s="3">
        <f>VLOOKUP(Table1[[#This Row],[Provider Type]] &amp; Table1[[#This Row],[Provider Type Description]], PROVIDER_TYPE, 2, FALSE)</f>
        <v>103</v>
      </c>
      <c r="J208" s="3">
        <v>112</v>
      </c>
      <c r="K208" s="3" t="s">
        <v>477</v>
      </c>
      <c r="L208" s="3">
        <f>VLOOKUP(TRIM(Table1[[#This Row],[Provider Specialty]]) &amp; TRIM(Table1[[#This Row],[Provider Specialty Description]]), SPECIALTY_TYPE, 2, FALSE)</f>
        <v>2204</v>
      </c>
      <c r="M208" s="3" t="s">
        <v>19</v>
      </c>
      <c r="N208" s="27" t="s">
        <v>19</v>
      </c>
      <c r="O208" s="38">
        <f>VLOOKUP(TRIM(Table1[[#This Row],[Provider Specialty]]) &amp; TRIM(Table1[[#This Row],[Provider Specialty Description]]), SPECIALTY_TYPE, 2, FALSE)</f>
        <v>2204</v>
      </c>
      <c r="P208" s="3" t="str">
        <f>Table1[[#This Row],[Provider Type]] &amp; "+" &amp; Table1[[#This Row],[Provider Type Description]]</f>
        <v>11+Mental Health Provider</v>
      </c>
      <c r="Q208" s="7" t="str">
        <f>Table1[[#This Row],[Provider Specialty]] &amp; "+" &amp; Table1[[#This Row],[Provider Specialty Description]]</f>
        <v>112+Psychologist</v>
      </c>
      <c r="R208" s="7" t="str">
        <f>Table1[[#This Row],[PDMS Specialty Type ID]] &amp; "+" &amp; Table1[[#This Row],[PDMS Provider Type ID]] &amp; "+" &amp;Table1[[#This Row],[TAXONOMY]]</f>
        <v>2204+103+103TP2700X</v>
      </c>
      <c r="S2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(9221, 2204, 103, N'103TP2700X', N'Psychologist&amp; - Psychotherapy^')</v>
      </c>
    </row>
    <row r="209" spans="1:19" ht="47.25" customHeight="1" x14ac:dyDescent="0.25">
      <c r="A209" s="22" t="s">
        <v>227</v>
      </c>
      <c r="B209" s="3" t="s">
        <v>443</v>
      </c>
      <c r="C209" s="3" t="s">
        <v>462</v>
      </c>
      <c r="D209" s="3" t="s">
        <v>514</v>
      </c>
      <c r="E209" s="3" t="s">
        <v>515</v>
      </c>
      <c r="F209" s="3">
        <f>VLOOKUP(Table1[[#This Row],[Column2]], TAXONOMY_TYPE, 2, FALSE)</f>
        <v>9222</v>
      </c>
      <c r="G209" s="3">
        <v>11</v>
      </c>
      <c r="H209" s="3" t="s">
        <v>446</v>
      </c>
      <c r="I209" s="3">
        <f>VLOOKUP(Table1[[#This Row],[Provider Type]] &amp; Table1[[#This Row],[Provider Type Description]], PROVIDER_TYPE, 2, FALSE)</f>
        <v>103</v>
      </c>
      <c r="J209" s="3">
        <v>112</v>
      </c>
      <c r="K209" s="3" t="s">
        <v>477</v>
      </c>
      <c r="L209" s="3">
        <f>VLOOKUP(TRIM(Table1[[#This Row],[Provider Specialty]]) &amp; TRIM(Table1[[#This Row],[Provider Specialty Description]]), SPECIALTY_TYPE, 2, FALSE)</f>
        <v>2204</v>
      </c>
      <c r="M209" s="3" t="s">
        <v>19</v>
      </c>
      <c r="N209" s="27" t="s">
        <v>19</v>
      </c>
      <c r="O209" s="38">
        <f>VLOOKUP(TRIM(Table1[[#This Row],[Provider Specialty]]) &amp; TRIM(Table1[[#This Row],[Provider Specialty Description]]), SPECIALTY_TYPE, 2, FALSE)</f>
        <v>2204</v>
      </c>
      <c r="P209" s="3" t="str">
        <f>Table1[[#This Row],[Provider Type]] &amp; "+" &amp; Table1[[#This Row],[Provider Type Description]]</f>
        <v>11+Mental Health Provider</v>
      </c>
      <c r="Q209" s="7" t="str">
        <f>Table1[[#This Row],[Provider Specialty]] &amp; "+" &amp; Table1[[#This Row],[Provider Specialty Description]]</f>
        <v>112+Psychologist</v>
      </c>
      <c r="R209" s="7" t="str">
        <f>Table1[[#This Row],[PDMS Specialty Type ID]] &amp; "+" &amp; Table1[[#This Row],[PDMS Provider Type ID]] &amp; "+" &amp;Table1[[#This Row],[TAXONOMY]]</f>
        <v>2204+103+103TP2701X</v>
      </c>
      <c r="S2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(9222, 2204, 103, N'103TP2701X', N'Psychologist&amp; - Group Psychotherapy+')</v>
      </c>
    </row>
    <row r="210" spans="1:19" ht="47.25" customHeight="1" x14ac:dyDescent="0.25">
      <c r="A210" s="22" t="s">
        <v>227</v>
      </c>
      <c r="B210" s="3" t="s">
        <v>443</v>
      </c>
      <c r="C210" s="3" t="s">
        <v>462</v>
      </c>
      <c r="D210" s="3" t="s">
        <v>152</v>
      </c>
      <c r="E210" s="3" t="s">
        <v>516</v>
      </c>
      <c r="F210" s="3">
        <f>VLOOKUP(Table1[[#This Row],[Column2]], TAXONOMY_TYPE, 2, FALSE)</f>
        <v>9223</v>
      </c>
      <c r="G210" s="3">
        <v>11</v>
      </c>
      <c r="H210" s="3" t="s">
        <v>446</v>
      </c>
      <c r="I210" s="3">
        <f>VLOOKUP(Table1[[#This Row],[Provider Type]] &amp; Table1[[#This Row],[Provider Type Description]], PROVIDER_TYPE, 2, FALSE)</f>
        <v>103</v>
      </c>
      <c r="J210" s="3">
        <v>112</v>
      </c>
      <c r="K210" s="3" t="s">
        <v>477</v>
      </c>
      <c r="L210" s="3">
        <f>VLOOKUP(TRIM(Table1[[#This Row],[Provider Specialty]]) &amp; TRIM(Table1[[#This Row],[Provider Specialty Description]]), SPECIALTY_TYPE, 2, FALSE)</f>
        <v>2204</v>
      </c>
      <c r="M210" s="3" t="s">
        <v>19</v>
      </c>
      <c r="N210" s="27" t="s">
        <v>19</v>
      </c>
      <c r="O210" s="38">
        <f>VLOOKUP(TRIM(Table1[[#This Row],[Provider Specialty]]) &amp; TRIM(Table1[[#This Row],[Provider Specialty Description]]), SPECIALTY_TYPE, 2, FALSE)</f>
        <v>2204</v>
      </c>
      <c r="P210" s="3" t="str">
        <f>Table1[[#This Row],[Provider Type]] &amp; "+" &amp; Table1[[#This Row],[Provider Type Description]]</f>
        <v>11+Mental Health Provider</v>
      </c>
      <c r="Q210" s="7" t="str">
        <f>Table1[[#This Row],[Provider Specialty]] &amp; "+" &amp; Table1[[#This Row],[Provider Specialty Description]]</f>
        <v>112+Psychologist</v>
      </c>
      <c r="R210" s="7" t="str">
        <f>Table1[[#This Row],[PDMS Specialty Type ID]] &amp; "+" &amp; Table1[[#This Row],[PDMS Provider Type ID]] &amp; "+" &amp;Table1[[#This Row],[TAXONOMY]]</f>
        <v>2204+103+103TR0400X</v>
      </c>
      <c r="S2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(9223, 2204, 103, N'103TR0400X', N'Psychologist&amp; - Rehabilitation')</v>
      </c>
    </row>
    <row r="211" spans="1:19" ht="47.25" customHeight="1" x14ac:dyDescent="0.25">
      <c r="A211" s="22" t="s">
        <v>227</v>
      </c>
      <c r="B211" s="3" t="s">
        <v>443</v>
      </c>
      <c r="C211" s="3" t="s">
        <v>462</v>
      </c>
      <c r="D211" s="3" t="s">
        <v>365</v>
      </c>
      <c r="E211" s="3" t="s">
        <v>517</v>
      </c>
      <c r="F211" s="3">
        <f>VLOOKUP(Table1[[#This Row],[Column2]], TAXONOMY_TYPE, 2, FALSE)</f>
        <v>9224</v>
      </c>
      <c r="G211" s="3">
        <v>11</v>
      </c>
      <c r="H211" s="3" t="s">
        <v>446</v>
      </c>
      <c r="I211" s="3">
        <f>VLOOKUP(Table1[[#This Row],[Provider Type]] &amp; Table1[[#This Row],[Provider Type Description]], PROVIDER_TYPE, 2, FALSE)</f>
        <v>103</v>
      </c>
      <c r="J211" s="3">
        <v>112</v>
      </c>
      <c r="K211" s="3" t="s">
        <v>477</v>
      </c>
      <c r="L211" s="3">
        <f>VLOOKUP(TRIM(Table1[[#This Row],[Provider Specialty]]) &amp; TRIM(Table1[[#This Row],[Provider Specialty Description]]), SPECIALTY_TYPE, 2, FALSE)</f>
        <v>2204</v>
      </c>
      <c r="M211" s="3" t="s">
        <v>19</v>
      </c>
      <c r="N211" s="27" t="s">
        <v>19</v>
      </c>
      <c r="O211" s="38">
        <f>VLOOKUP(TRIM(Table1[[#This Row],[Provider Specialty]]) &amp; TRIM(Table1[[#This Row],[Provider Specialty Description]]), SPECIALTY_TYPE, 2, FALSE)</f>
        <v>2204</v>
      </c>
      <c r="P211" s="3" t="str">
        <f>Table1[[#This Row],[Provider Type]] &amp; "+" &amp; Table1[[#This Row],[Provider Type Description]]</f>
        <v>11+Mental Health Provider</v>
      </c>
      <c r="Q211" s="7" t="str">
        <f>Table1[[#This Row],[Provider Specialty]] &amp; "+" &amp; Table1[[#This Row],[Provider Specialty Description]]</f>
        <v>112+Psychologist</v>
      </c>
      <c r="R211" s="7" t="str">
        <f>Table1[[#This Row],[PDMS Specialty Type ID]] &amp; "+" &amp; Table1[[#This Row],[PDMS Provider Type ID]] &amp; "+" &amp;Table1[[#This Row],[TAXONOMY]]</f>
        <v>2204+103+103TS0200X</v>
      </c>
      <c r="S2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(9224, 2204, 103, N'103TS0200X', N'Psychologist&amp; - School')</v>
      </c>
    </row>
    <row r="212" spans="1:19" ht="47.25" customHeight="1" x14ac:dyDescent="0.25">
      <c r="A212" s="22" t="s">
        <v>227</v>
      </c>
      <c r="B212" s="3" t="s">
        <v>443</v>
      </c>
      <c r="C212" s="3" t="s">
        <v>462</v>
      </c>
      <c r="D212" s="3" t="s">
        <v>518</v>
      </c>
      <c r="E212" s="3" t="s">
        <v>519</v>
      </c>
      <c r="F212" s="3">
        <f>VLOOKUP(Table1[[#This Row],[Column2]], TAXONOMY_TYPE, 2, FALSE)</f>
        <v>9225</v>
      </c>
      <c r="G212" s="3">
        <v>11</v>
      </c>
      <c r="H212" s="3" t="s">
        <v>446</v>
      </c>
      <c r="I212" s="3">
        <f>VLOOKUP(Table1[[#This Row],[Provider Type]] &amp; Table1[[#This Row],[Provider Type Description]], PROVIDER_TYPE, 2, FALSE)</f>
        <v>103</v>
      </c>
      <c r="J212" s="3">
        <v>112</v>
      </c>
      <c r="K212" s="3" t="s">
        <v>477</v>
      </c>
      <c r="L212" s="3">
        <f>VLOOKUP(TRIM(Table1[[#This Row],[Provider Specialty]]) &amp; TRIM(Table1[[#This Row],[Provider Specialty Description]]), SPECIALTY_TYPE, 2, FALSE)</f>
        <v>2204</v>
      </c>
      <c r="M212" s="3" t="s">
        <v>19</v>
      </c>
      <c r="N212" s="27" t="s">
        <v>19</v>
      </c>
      <c r="O212" s="38">
        <f>VLOOKUP(TRIM(Table1[[#This Row],[Provider Specialty]]) &amp; TRIM(Table1[[#This Row],[Provider Specialty Description]]), SPECIALTY_TYPE, 2, FALSE)</f>
        <v>2204</v>
      </c>
      <c r="P212" s="3" t="str">
        <f>Table1[[#This Row],[Provider Type]] &amp; "+" &amp; Table1[[#This Row],[Provider Type Description]]</f>
        <v>11+Mental Health Provider</v>
      </c>
      <c r="Q212" s="7" t="str">
        <f>Table1[[#This Row],[Provider Specialty]] &amp; "+" &amp; Table1[[#This Row],[Provider Specialty Description]]</f>
        <v>112+Psychologist</v>
      </c>
      <c r="R212" s="7" t="str">
        <f>Table1[[#This Row],[PDMS Specialty Type ID]] &amp; "+" &amp; Table1[[#This Row],[PDMS Provider Type ID]] &amp; "+" &amp;Table1[[#This Row],[TAXONOMY]]</f>
        <v>2204+103+103TW0100X</v>
      </c>
      <c r="S2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(9225, 2204, 103, N'103TW0100X', N'Psychologist&amp; - Women^')</v>
      </c>
    </row>
    <row r="213" spans="1:19" ht="47.25" customHeight="1" x14ac:dyDescent="0.25">
      <c r="A213" s="22" t="s">
        <v>227</v>
      </c>
      <c r="B213" s="3" t="s">
        <v>443</v>
      </c>
      <c r="C213" s="3" t="s">
        <v>478</v>
      </c>
      <c r="D213" s="3" t="s">
        <v>478</v>
      </c>
      <c r="E213" s="3" t="s">
        <v>479</v>
      </c>
      <c r="F213" s="3">
        <f>VLOOKUP(Table1[[#This Row],[Column2]], TAXONOMY_TYPE, 2, FALSE)</f>
        <v>9226</v>
      </c>
      <c r="G213" s="3">
        <v>11</v>
      </c>
      <c r="H213" s="3" t="s">
        <v>446</v>
      </c>
      <c r="I213" s="3">
        <f>VLOOKUP(Table1[[#This Row],[Provider Type]] &amp; Table1[[#This Row],[Provider Type Description]], PROVIDER_TYPE, 2, FALSE)</f>
        <v>103</v>
      </c>
      <c r="J213" s="3">
        <v>113</v>
      </c>
      <c r="K213" s="3" t="s">
        <v>480</v>
      </c>
      <c r="L213" s="3">
        <f>VLOOKUP(TRIM(Table1[[#This Row],[Provider Specialty]]) &amp; TRIM(Table1[[#This Row],[Provider Specialty Description]]), SPECIALTY_TYPE, 2, FALSE)</f>
        <v>2205</v>
      </c>
      <c r="M213" s="3" t="s">
        <v>19</v>
      </c>
      <c r="N213" s="27" t="s">
        <v>19</v>
      </c>
      <c r="O213" s="38">
        <f>VLOOKUP(TRIM(Table1[[#This Row],[Provider Specialty]]) &amp; TRIM(Table1[[#This Row],[Provider Specialty Description]]), SPECIALTY_TYPE, 2, FALSE)</f>
        <v>2205</v>
      </c>
      <c r="P213" s="3" t="str">
        <f>Table1[[#This Row],[Provider Type]] &amp; "+" &amp; Table1[[#This Row],[Provider Type Description]]</f>
        <v>11+Mental Health Provider</v>
      </c>
      <c r="Q213" s="7" t="str">
        <f>Table1[[#This Row],[Provider Specialty]] &amp; "+" &amp; Table1[[#This Row],[Provider Specialty Description]]</f>
        <v>113+Clinical Psychologist</v>
      </c>
      <c r="R213" s="7" t="str">
        <f>Table1[[#This Row],[PDMS Specialty Type ID]] &amp; "+" &amp; Table1[[#This Row],[PDMS Provider Type ID]] &amp; "+" &amp;Table1[[#This Row],[TAXONOMY]]</f>
        <v>2205+103+103G00000X</v>
      </c>
      <c r="S2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(9226, 2205, 103, N'103G00000X', N'Clinical Neuropsychologist+ - Clinical Neuropsychologist+')</v>
      </c>
    </row>
    <row r="214" spans="1:19" ht="47.25" customHeight="1" x14ac:dyDescent="0.25">
      <c r="A214" s="22" t="s">
        <v>227</v>
      </c>
      <c r="B214" s="3" t="s">
        <v>443</v>
      </c>
      <c r="C214" s="3" t="s">
        <v>478</v>
      </c>
      <c r="D214" s="3" t="s">
        <v>481</v>
      </c>
      <c r="E214" s="3" t="s">
        <v>482</v>
      </c>
      <c r="F214" s="3">
        <f>VLOOKUP(Table1[[#This Row],[Column2]], TAXONOMY_TYPE, 2, FALSE)</f>
        <v>9227</v>
      </c>
      <c r="G214" s="3">
        <v>11</v>
      </c>
      <c r="H214" s="3" t="s">
        <v>446</v>
      </c>
      <c r="I214" s="3">
        <f>VLOOKUP(Table1[[#This Row],[Provider Type]] &amp; Table1[[#This Row],[Provider Type Description]], PROVIDER_TYPE, 2, FALSE)</f>
        <v>103</v>
      </c>
      <c r="J214" s="3">
        <v>113</v>
      </c>
      <c r="K214" s="3" t="s">
        <v>480</v>
      </c>
      <c r="L214" s="3">
        <f>VLOOKUP(TRIM(Table1[[#This Row],[Provider Specialty]]) &amp; TRIM(Table1[[#This Row],[Provider Specialty Description]]), SPECIALTY_TYPE, 2, FALSE)</f>
        <v>2205</v>
      </c>
      <c r="M214" s="3" t="s">
        <v>19</v>
      </c>
      <c r="N214" s="27" t="s">
        <v>19</v>
      </c>
      <c r="O214" s="38">
        <f>VLOOKUP(TRIM(Table1[[#This Row],[Provider Specialty]]) &amp; TRIM(Table1[[#This Row],[Provider Specialty Description]]), SPECIALTY_TYPE, 2, FALSE)</f>
        <v>2205</v>
      </c>
      <c r="P214" s="3" t="str">
        <f>Table1[[#This Row],[Provider Type]] &amp; "+" &amp; Table1[[#This Row],[Provider Type Description]]</f>
        <v>11+Mental Health Provider</v>
      </c>
      <c r="Q214" s="7" t="str">
        <f>Table1[[#This Row],[Provider Specialty]] &amp; "+" &amp; Table1[[#This Row],[Provider Specialty Description]]</f>
        <v>113+Clinical Psychologist</v>
      </c>
      <c r="R214" s="7" t="str">
        <f>Table1[[#This Row],[PDMS Specialty Type ID]] &amp; "+" &amp; Table1[[#This Row],[PDMS Provider Type ID]] &amp; "+" &amp;Table1[[#This Row],[TAXONOMY]]</f>
        <v>2205+103+103GC0700X</v>
      </c>
      <c r="S2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(9227, 2205, 103, N'103GC0700X', N'Clinical Neuropsychologist+ - Clinical^ (use 103G00000X)')</v>
      </c>
    </row>
    <row r="215" spans="1:19" ht="47.25" customHeight="1" x14ac:dyDescent="0.25">
      <c r="A215" s="22" t="s">
        <v>227</v>
      </c>
      <c r="B215" s="3" t="s">
        <v>443</v>
      </c>
      <c r="C215" s="3" t="s">
        <v>462</v>
      </c>
      <c r="D215" s="3" t="s">
        <v>462</v>
      </c>
      <c r="E215" s="3" t="s">
        <v>463</v>
      </c>
      <c r="F215" s="3">
        <f>VLOOKUP(Table1[[#This Row],[Column2]], TAXONOMY_TYPE, 2, FALSE)</f>
        <v>9228</v>
      </c>
      <c r="G215" s="3">
        <v>11</v>
      </c>
      <c r="H215" s="3" t="s">
        <v>446</v>
      </c>
      <c r="I215" s="3">
        <f>VLOOKUP(Table1[[#This Row],[Provider Type]] &amp; Table1[[#This Row],[Provider Type Description]], PROVIDER_TYPE, 2, FALSE)</f>
        <v>103</v>
      </c>
      <c r="J215" s="3">
        <v>113</v>
      </c>
      <c r="K215" s="3" t="s">
        <v>480</v>
      </c>
      <c r="L215" s="3">
        <f>VLOOKUP(TRIM(Table1[[#This Row],[Provider Specialty]]) &amp; TRIM(Table1[[#This Row],[Provider Specialty Description]]), SPECIALTY_TYPE, 2, FALSE)</f>
        <v>2205</v>
      </c>
      <c r="M215" s="3" t="s">
        <v>19</v>
      </c>
      <c r="N215" s="27" t="s">
        <v>19</v>
      </c>
      <c r="O215" s="38">
        <f>VLOOKUP(TRIM(Table1[[#This Row],[Provider Specialty]]) &amp; TRIM(Table1[[#This Row],[Provider Specialty Description]]), SPECIALTY_TYPE, 2, FALSE)</f>
        <v>2205</v>
      </c>
      <c r="P215" s="3" t="str">
        <f>Table1[[#This Row],[Provider Type]] &amp; "+" &amp; Table1[[#This Row],[Provider Type Description]]</f>
        <v>11+Mental Health Provider</v>
      </c>
      <c r="Q215" s="7" t="str">
        <f>Table1[[#This Row],[Provider Specialty]] &amp; "+" &amp; Table1[[#This Row],[Provider Specialty Description]]</f>
        <v>113+Clinical Psychologist</v>
      </c>
      <c r="R215" s="7" t="str">
        <f>Table1[[#This Row],[PDMS Specialty Type ID]] &amp; "+" &amp; Table1[[#This Row],[PDMS Provider Type ID]] &amp; "+" &amp;Table1[[#This Row],[TAXONOMY]]</f>
        <v>2205+103+103T00000X</v>
      </c>
      <c r="S2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(9228, 2205, 103, N'103T00000X', N'Psychologist&amp; - Psychologist&amp;')</v>
      </c>
    </row>
    <row r="216" spans="1:19" ht="47.25" customHeight="1" x14ac:dyDescent="0.25">
      <c r="A216" s="22" t="s">
        <v>227</v>
      </c>
      <c r="B216" s="3" t="s">
        <v>443</v>
      </c>
      <c r="C216" s="3" t="s">
        <v>462</v>
      </c>
      <c r="D216" s="3" t="s">
        <v>488</v>
      </c>
      <c r="E216" s="3" t="s">
        <v>489</v>
      </c>
      <c r="F216" s="3">
        <f>VLOOKUP(Table1[[#This Row],[Column2]], TAXONOMY_TYPE, 2, FALSE)</f>
        <v>9229</v>
      </c>
      <c r="G216" s="3">
        <v>11</v>
      </c>
      <c r="H216" s="3" t="s">
        <v>446</v>
      </c>
      <c r="I216" s="3">
        <f>VLOOKUP(Table1[[#This Row],[Provider Type]] &amp; Table1[[#This Row],[Provider Type Description]], PROVIDER_TYPE, 2, FALSE)</f>
        <v>103</v>
      </c>
      <c r="J216" s="3">
        <v>113</v>
      </c>
      <c r="K216" s="3" t="s">
        <v>480</v>
      </c>
      <c r="L216" s="3">
        <f>VLOOKUP(TRIM(Table1[[#This Row],[Provider Specialty]]) &amp; TRIM(Table1[[#This Row],[Provider Specialty Description]]), SPECIALTY_TYPE, 2, FALSE)</f>
        <v>2205</v>
      </c>
      <c r="M216" s="3" t="s">
        <v>19</v>
      </c>
      <c r="N216" s="27" t="s">
        <v>19</v>
      </c>
      <c r="O216" s="38">
        <f>VLOOKUP(TRIM(Table1[[#This Row],[Provider Specialty]]) &amp; TRIM(Table1[[#This Row],[Provider Specialty Description]]), SPECIALTY_TYPE, 2, FALSE)</f>
        <v>2205</v>
      </c>
      <c r="P216" s="3" t="str">
        <f>Table1[[#This Row],[Provider Type]] &amp; "+" &amp; Table1[[#This Row],[Provider Type Description]]</f>
        <v>11+Mental Health Provider</v>
      </c>
      <c r="Q216" s="7" t="str">
        <f>Table1[[#This Row],[Provider Specialty]] &amp; "+" &amp; Table1[[#This Row],[Provider Specialty Description]]</f>
        <v>113+Clinical Psychologist</v>
      </c>
      <c r="R216" s="7" t="str">
        <f>Table1[[#This Row],[PDMS Specialty Type ID]] &amp; "+" &amp; Table1[[#This Row],[PDMS Provider Type ID]] &amp; "+" &amp;Table1[[#This Row],[TAXONOMY]]</f>
        <v>2205+103+103TC0700X</v>
      </c>
      <c r="S2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(9229, 2205, 103, N'103TC0700X', N'Psychologist&amp; - Clinical')</v>
      </c>
    </row>
    <row r="217" spans="1:19" ht="47.25" customHeight="1" x14ac:dyDescent="0.25">
      <c r="A217" s="22" t="s">
        <v>227</v>
      </c>
      <c r="B217" s="3" t="s">
        <v>443</v>
      </c>
      <c r="C217" s="3" t="s">
        <v>462</v>
      </c>
      <c r="D217" s="3" t="s">
        <v>492</v>
      </c>
      <c r="E217" s="3" t="s">
        <v>493</v>
      </c>
      <c r="F217" s="3">
        <f>VLOOKUP(Table1[[#This Row],[Column2]], TAXONOMY_TYPE, 2, FALSE)</f>
        <v>9230</v>
      </c>
      <c r="G217" s="3">
        <v>11</v>
      </c>
      <c r="H217" s="3" t="s">
        <v>446</v>
      </c>
      <c r="I217" s="3">
        <f>VLOOKUP(Table1[[#This Row],[Provider Type]] &amp; Table1[[#This Row],[Provider Type Description]], PROVIDER_TYPE, 2, FALSE)</f>
        <v>103</v>
      </c>
      <c r="J217" s="3">
        <v>113</v>
      </c>
      <c r="K217" s="3" t="s">
        <v>480</v>
      </c>
      <c r="L217" s="3">
        <f>VLOOKUP(TRIM(Table1[[#This Row],[Provider Specialty]]) &amp; TRIM(Table1[[#This Row],[Provider Specialty Description]]), SPECIALTY_TYPE, 2, FALSE)</f>
        <v>2205</v>
      </c>
      <c r="M217" s="3" t="s">
        <v>19</v>
      </c>
      <c r="N217" s="27" t="s">
        <v>19</v>
      </c>
      <c r="O217" s="38">
        <f>VLOOKUP(TRIM(Table1[[#This Row],[Provider Specialty]]) &amp; TRIM(Table1[[#This Row],[Provider Specialty Description]]), SPECIALTY_TYPE, 2, FALSE)</f>
        <v>2205</v>
      </c>
      <c r="P217" s="3" t="str">
        <f>Table1[[#This Row],[Provider Type]] &amp; "+" &amp; Table1[[#This Row],[Provider Type Description]]</f>
        <v>11+Mental Health Provider</v>
      </c>
      <c r="Q217" s="7" t="str">
        <f>Table1[[#This Row],[Provider Specialty]] &amp; "+" &amp; Table1[[#This Row],[Provider Specialty Description]]</f>
        <v>113+Clinical Psychologist</v>
      </c>
      <c r="R217" s="7" t="str">
        <f>Table1[[#This Row],[PDMS Specialty Type ID]] &amp; "+" &amp; Table1[[#This Row],[PDMS Provider Type ID]] &amp; "+" &amp;Table1[[#This Row],[TAXONOMY]]</f>
        <v>2205+103+103TC2200X</v>
      </c>
      <c r="S2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(9230, 2205, 103, N'103TC2200X', N'Psychologist&amp; - Clinical Child &amp; Adolescent+')</v>
      </c>
    </row>
    <row r="218" spans="1:19" ht="47.25" customHeight="1" x14ac:dyDescent="0.25">
      <c r="A218" s="22" t="s">
        <v>227</v>
      </c>
      <c r="B218" s="3" t="s">
        <v>337</v>
      </c>
      <c r="C218" s="3" t="s">
        <v>537</v>
      </c>
      <c r="D218" s="3" t="s">
        <v>538</v>
      </c>
      <c r="E218" s="3" t="s">
        <v>539</v>
      </c>
      <c r="F218" s="3">
        <f>VLOOKUP(Table1[[#This Row],[Column2]], TAXONOMY_TYPE, 2, FALSE)</f>
        <v>9231</v>
      </c>
      <c r="G218" s="3">
        <v>11</v>
      </c>
      <c r="H218" s="3" t="s">
        <v>446</v>
      </c>
      <c r="I218" s="3">
        <f>VLOOKUP(Table1[[#This Row],[Provider Type]] &amp; Table1[[#This Row],[Provider Type Description]], PROVIDER_TYPE, 2, FALSE)</f>
        <v>103</v>
      </c>
      <c r="J218" s="3">
        <v>113</v>
      </c>
      <c r="K218" s="3" t="s">
        <v>480</v>
      </c>
      <c r="L218" s="3">
        <f>VLOOKUP(TRIM(Table1[[#This Row],[Provider Specialty]]) &amp; TRIM(Table1[[#This Row],[Provider Specialty Description]]), SPECIALTY_TYPE, 2, FALSE)</f>
        <v>2205</v>
      </c>
      <c r="M218" s="3" t="s">
        <v>19</v>
      </c>
      <c r="N218" s="27" t="s">
        <v>18</v>
      </c>
      <c r="O218" s="38">
        <f>VLOOKUP(TRIM(Table1[[#This Row],[Provider Specialty]]) &amp; TRIM(Table1[[#This Row],[Provider Specialty Description]]), SPECIALTY_TYPE, 2, FALSE)</f>
        <v>2205</v>
      </c>
      <c r="P218" s="3" t="str">
        <f>Table1[[#This Row],[Provider Type]] &amp; "+" &amp; Table1[[#This Row],[Provider Type Description]]</f>
        <v>11+Mental Health Provider</v>
      </c>
      <c r="Q218" s="7" t="str">
        <f>Table1[[#This Row],[Provider Specialty]] &amp; "+" &amp; Table1[[#This Row],[Provider Specialty Description]]</f>
        <v>113+Clinical Psychologist</v>
      </c>
      <c r="R218" s="7" t="str">
        <f>Table1[[#This Row],[PDMS Specialty Type ID]] &amp; "+" &amp; Table1[[#This Row],[PDMS Provider Type ID]] &amp; "+" &amp;Table1[[#This Row],[TAXONOMY]]</f>
        <v>2205+103+173F00000X</v>
      </c>
      <c r="S2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(9231, 2205, 103, N'173F00000X', N'Sleep Specialist, PhD - Sleep Specialist, PhD*****')</v>
      </c>
    </row>
    <row r="219" spans="1:19" ht="47.25" customHeight="1" x14ac:dyDescent="0.25">
      <c r="A219" s="22" t="s">
        <v>227</v>
      </c>
      <c r="B219" s="3" t="s">
        <v>443</v>
      </c>
      <c r="C219" s="3" t="s">
        <v>462</v>
      </c>
      <c r="D219" s="3" t="s">
        <v>462</v>
      </c>
      <c r="E219" s="3" t="s">
        <v>463</v>
      </c>
      <c r="F219" s="3">
        <f>VLOOKUP(Table1[[#This Row],[Column2]], TAXONOMY_TYPE, 2, FALSE)</f>
        <v>9232</v>
      </c>
      <c r="G219" s="3">
        <v>11</v>
      </c>
      <c r="H219" s="3" t="s">
        <v>446</v>
      </c>
      <c r="I219" s="3">
        <f>VLOOKUP(Table1[[#This Row],[Provider Type]] &amp; Table1[[#This Row],[Provider Type Description]], PROVIDER_TYPE, 2, FALSE)</f>
        <v>103</v>
      </c>
      <c r="J219" s="3">
        <v>114</v>
      </c>
      <c r="K219" s="3" t="s">
        <v>464</v>
      </c>
      <c r="L219" s="3">
        <f>VLOOKUP(TRIM(Table1[[#This Row],[Provider Specialty]]) &amp; TRIM(Table1[[#This Row],[Provider Specialty Description]]), SPECIALTY_TYPE, 2, FALSE)</f>
        <v>2206</v>
      </c>
      <c r="M219" s="3" t="s">
        <v>18</v>
      </c>
      <c r="N219" s="27" t="s">
        <v>19</v>
      </c>
      <c r="O219" s="38">
        <f>VLOOKUP(TRIM(Table1[[#This Row],[Provider Specialty]]) &amp; TRIM(Table1[[#This Row],[Provider Specialty Description]]), SPECIALTY_TYPE, 2, FALSE)</f>
        <v>2206</v>
      </c>
      <c r="P219" s="3" t="str">
        <f>Table1[[#This Row],[Provider Type]] &amp; "+" &amp; Table1[[#This Row],[Provider Type Description]]</f>
        <v>11+Mental Health Provider</v>
      </c>
      <c r="Q219" s="7" t="str">
        <f>Table1[[#This Row],[Provider Specialty]] &amp; "+" &amp; Table1[[#This Row],[Provider Specialty Description]]</f>
        <v>114+Health Service Provider in Psychology (HSPP)</v>
      </c>
      <c r="R219" s="7" t="str">
        <f>Table1[[#This Row],[PDMS Specialty Type ID]] &amp; "+" &amp; Table1[[#This Row],[PDMS Provider Type ID]] &amp; "+" &amp;Table1[[#This Row],[TAXONOMY]]</f>
        <v>2206+103+103T00000X</v>
      </c>
      <c r="S2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(9232, 2206, 103, N'103T00000X', N'Psychologist&amp; - Psychologist&amp;')</v>
      </c>
    </row>
    <row r="220" spans="1:19" ht="47.25" customHeight="1" x14ac:dyDescent="0.25">
      <c r="A220" s="22" t="s">
        <v>227</v>
      </c>
      <c r="B220" s="3" t="s">
        <v>443</v>
      </c>
      <c r="C220" s="3" t="s">
        <v>520</v>
      </c>
      <c r="D220" s="3" t="s">
        <v>488</v>
      </c>
      <c r="E220" s="3" t="s">
        <v>523</v>
      </c>
      <c r="F220" s="3">
        <f>VLOOKUP(Table1[[#This Row],[Column2]], TAXONOMY_TYPE, 2, FALSE)</f>
        <v>9233</v>
      </c>
      <c r="G220" s="3">
        <v>11</v>
      </c>
      <c r="H220" s="3" t="s">
        <v>446</v>
      </c>
      <c r="I220" s="3">
        <f>VLOOKUP(Table1[[#This Row],[Provider Type]] &amp; Table1[[#This Row],[Provider Type Description]], PROVIDER_TYPE, 2, FALSE)</f>
        <v>103</v>
      </c>
      <c r="J220" s="3">
        <v>115</v>
      </c>
      <c r="K220" s="3" t="s">
        <v>524</v>
      </c>
      <c r="L220" s="3">
        <f>VLOOKUP(TRIM(Table1[[#This Row],[Provider Specialty]]) &amp; TRIM(Table1[[#This Row],[Provider Specialty Description]]), SPECIALTY_TYPE, 2, FALSE)</f>
        <v>2207</v>
      </c>
      <c r="M220" s="3" t="s">
        <v>19</v>
      </c>
      <c r="N220" s="27" t="s">
        <v>19</v>
      </c>
      <c r="O220" s="38">
        <f>VLOOKUP(TRIM(Table1[[#This Row],[Provider Specialty]]) &amp; TRIM(Table1[[#This Row],[Provider Specialty Description]]), SPECIALTY_TYPE, 2, FALSE)</f>
        <v>2207</v>
      </c>
      <c r="P220" s="3" t="str">
        <f>Table1[[#This Row],[Provider Type]] &amp; "+" &amp; Table1[[#This Row],[Provider Type Description]]</f>
        <v>11+Mental Health Provider</v>
      </c>
      <c r="Q220" s="7" t="str">
        <f>Table1[[#This Row],[Provider Specialty]] &amp; "+" &amp; Table1[[#This Row],[Provider Specialty Description]]</f>
        <v>115+Certified Clinical Social Worker</v>
      </c>
      <c r="R220" s="7" t="str">
        <f>Table1[[#This Row],[PDMS Specialty Type ID]] &amp; "+" &amp; Table1[[#This Row],[PDMS Provider Type ID]] &amp; "+" &amp;Table1[[#This Row],[TAXONOMY]]</f>
        <v>2207+103+1041C0700X</v>
      </c>
      <c r="S2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(9233, 2207, 103, N'1041C0700X', N'Social Worker - Clinical')</v>
      </c>
    </row>
    <row r="221" spans="1:19" ht="47.25" customHeight="1" x14ac:dyDescent="0.25">
      <c r="A221" s="22" t="s">
        <v>227</v>
      </c>
      <c r="B221" s="3" t="s">
        <v>443</v>
      </c>
      <c r="C221" s="3" t="s">
        <v>520</v>
      </c>
      <c r="D221" s="3" t="s">
        <v>520</v>
      </c>
      <c r="E221" s="3" t="s">
        <v>521</v>
      </c>
      <c r="F221" s="3">
        <f>VLOOKUP(Table1[[#This Row],[Column2]], TAXONOMY_TYPE, 2, FALSE)</f>
        <v>9234</v>
      </c>
      <c r="G221" s="3">
        <v>11</v>
      </c>
      <c r="H221" s="3" t="s">
        <v>446</v>
      </c>
      <c r="I221" s="3">
        <f>VLOOKUP(Table1[[#This Row],[Provider Type]] &amp; Table1[[#This Row],[Provider Type Description]], PROVIDER_TYPE, 2, FALSE)</f>
        <v>103</v>
      </c>
      <c r="J221" s="3">
        <v>116</v>
      </c>
      <c r="K221" s="3" t="s">
        <v>522</v>
      </c>
      <c r="L221" s="3">
        <f>VLOOKUP(TRIM(Table1[[#This Row],[Provider Specialty]]) &amp; TRIM(Table1[[#This Row],[Provider Specialty Description]]), SPECIALTY_TYPE, 2, FALSE)</f>
        <v>2208</v>
      </c>
      <c r="M221" s="3" t="s">
        <v>19</v>
      </c>
      <c r="N221" s="27" t="s">
        <v>19</v>
      </c>
      <c r="O221" s="38">
        <f>VLOOKUP(TRIM(Table1[[#This Row],[Provider Specialty]]) &amp; TRIM(Table1[[#This Row],[Provider Specialty Description]]), SPECIALTY_TYPE, 2, FALSE)</f>
        <v>2208</v>
      </c>
      <c r="P221" s="3" t="str">
        <f>Table1[[#This Row],[Provider Type]] &amp; "+" &amp; Table1[[#This Row],[Provider Type Description]]</f>
        <v>11+Mental Health Provider</v>
      </c>
      <c r="Q221" s="7" t="str">
        <f>Table1[[#This Row],[Provider Specialty]] &amp; "+" &amp; Table1[[#This Row],[Provider Specialty Description]]</f>
        <v>116+Certified Social Worker</v>
      </c>
      <c r="R221" s="7" t="str">
        <f>Table1[[#This Row],[PDMS Specialty Type ID]] &amp; "+" &amp; Table1[[#This Row],[PDMS Provider Type ID]] &amp; "+" &amp;Table1[[#This Row],[TAXONOMY]]</f>
        <v>2208+103+104100000X</v>
      </c>
      <c r="S2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(9234, 2208, 103, N'104100000X', N'Social Worker - Social Worker')</v>
      </c>
    </row>
    <row r="222" spans="1:19" ht="47.25" customHeight="1" x14ac:dyDescent="0.25">
      <c r="A222" s="22" t="s">
        <v>227</v>
      </c>
      <c r="B222" s="3" t="s">
        <v>443</v>
      </c>
      <c r="C222" s="3" t="s">
        <v>520</v>
      </c>
      <c r="D222" s="3" t="s">
        <v>365</v>
      </c>
      <c r="E222" s="3" t="s">
        <v>525</v>
      </c>
      <c r="F222" s="3">
        <f>VLOOKUP(Table1[[#This Row],[Column2]], TAXONOMY_TYPE, 2, FALSE)</f>
        <v>9235</v>
      </c>
      <c r="G222" s="3">
        <v>11</v>
      </c>
      <c r="H222" s="3" t="s">
        <v>446</v>
      </c>
      <c r="I222" s="3">
        <f>VLOOKUP(Table1[[#This Row],[Provider Type]] &amp; Table1[[#This Row],[Provider Type Description]], PROVIDER_TYPE, 2, FALSE)</f>
        <v>103</v>
      </c>
      <c r="J222" s="3">
        <v>116</v>
      </c>
      <c r="K222" s="3" t="s">
        <v>522</v>
      </c>
      <c r="L222" s="3">
        <f>VLOOKUP(TRIM(Table1[[#This Row],[Provider Specialty]]) &amp; TRIM(Table1[[#This Row],[Provider Specialty Description]]), SPECIALTY_TYPE, 2, FALSE)</f>
        <v>2208</v>
      </c>
      <c r="M222" s="3" t="s">
        <v>19</v>
      </c>
      <c r="N222" s="27" t="s">
        <v>19</v>
      </c>
      <c r="O222" s="38">
        <f>VLOOKUP(TRIM(Table1[[#This Row],[Provider Specialty]]) &amp; TRIM(Table1[[#This Row],[Provider Specialty Description]]), SPECIALTY_TYPE, 2, FALSE)</f>
        <v>2208</v>
      </c>
      <c r="P222" s="3" t="str">
        <f>Table1[[#This Row],[Provider Type]] &amp; "+" &amp; Table1[[#This Row],[Provider Type Description]]</f>
        <v>11+Mental Health Provider</v>
      </c>
      <c r="Q222" s="7" t="str">
        <f>Table1[[#This Row],[Provider Specialty]] &amp; "+" &amp; Table1[[#This Row],[Provider Specialty Description]]</f>
        <v>116+Certified Social Worker</v>
      </c>
      <c r="R222" s="7" t="str">
        <f>Table1[[#This Row],[PDMS Specialty Type ID]] &amp; "+" &amp; Table1[[#This Row],[PDMS Provider Type ID]] &amp; "+" &amp;Table1[[#This Row],[TAXONOMY]]</f>
        <v>2208+103+1041S0200X</v>
      </c>
      <c r="S2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(9235, 2208, 103, N'1041S0200X', N'Social Worker - School')</v>
      </c>
    </row>
    <row r="223" spans="1:19" ht="47.25" customHeight="1" x14ac:dyDescent="0.25">
      <c r="A223" s="22" t="s">
        <v>227</v>
      </c>
      <c r="B223" s="3" t="s">
        <v>468</v>
      </c>
      <c r="C223" s="3" t="s">
        <v>469</v>
      </c>
      <c r="D223" s="3" t="s">
        <v>360</v>
      </c>
      <c r="E223" s="3" t="s">
        <v>470</v>
      </c>
      <c r="F223" s="3">
        <f>VLOOKUP(Table1[[#This Row],[Column2]], TAXONOMY_TYPE, 2, FALSE)</f>
        <v>9236</v>
      </c>
      <c r="G223" s="3">
        <v>11</v>
      </c>
      <c r="H223" s="3" t="s">
        <v>446</v>
      </c>
      <c r="I223" s="3">
        <f>VLOOKUP(Table1[[#This Row],[Provider Type]] &amp; Table1[[#This Row],[Provider Type Description]], PROVIDER_TYPE, 2, FALSE)</f>
        <v>103</v>
      </c>
      <c r="J223" s="3">
        <v>117</v>
      </c>
      <c r="K223" s="3" t="s">
        <v>471</v>
      </c>
      <c r="L223" s="3">
        <f>VLOOKUP(TRIM(Table1[[#This Row],[Provider Specialty]]) &amp; TRIM(Table1[[#This Row],[Provider Specialty Description]]), SPECIALTY_TYPE, 2, FALSE)</f>
        <v>2209</v>
      </c>
      <c r="M223" s="3" t="s">
        <v>18</v>
      </c>
      <c r="N223" s="27" t="s">
        <v>19</v>
      </c>
      <c r="O223" s="38">
        <f>VLOOKUP(TRIM(Table1[[#This Row],[Provider Specialty]]) &amp; TRIM(Table1[[#This Row],[Provider Specialty Description]]), SPECIALTY_TYPE, 2, FALSE)</f>
        <v>2209</v>
      </c>
      <c r="P223" s="3" t="str">
        <f>Table1[[#This Row],[Provider Type]] &amp; "+" &amp; Table1[[#This Row],[Provider Type Description]]</f>
        <v>11+Mental Health Provider</v>
      </c>
      <c r="Q223" s="7" t="str">
        <f>Table1[[#This Row],[Provider Specialty]] &amp; "+" &amp; Table1[[#This Row],[Provider Specialty Description]]</f>
        <v>117+Psychiatric Nurse</v>
      </c>
      <c r="R223" s="7" t="str">
        <f>Table1[[#This Row],[PDMS Specialty Type ID]] &amp; "+" &amp; Table1[[#This Row],[PDMS Provider Type ID]] &amp; "+" &amp;Table1[[#This Row],[TAXONOMY]]</f>
        <v>2209+103+163WP0808X</v>
      </c>
      <c r="S2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(9236, 2209, 103, N'163WP0808X', N'Registered Nurse - Psychiatric/Mental Health')</v>
      </c>
    </row>
    <row r="224" spans="1:19" ht="47.25" customHeight="1" x14ac:dyDescent="0.25">
      <c r="A224" s="22" t="s">
        <v>11</v>
      </c>
      <c r="B224" s="3" t="s">
        <v>84</v>
      </c>
      <c r="C224" s="3" t="s">
        <v>85</v>
      </c>
      <c r="D224" s="3" t="s">
        <v>472</v>
      </c>
      <c r="E224" s="3" t="s">
        <v>473</v>
      </c>
      <c r="F224" s="3">
        <f>VLOOKUP(Table1[[#This Row],[Column2]], TAXONOMY_TYPE, 2, FALSE)</f>
        <v>9237</v>
      </c>
      <c r="G224" s="3">
        <v>11</v>
      </c>
      <c r="H224" s="3" t="s">
        <v>446</v>
      </c>
      <c r="I224" s="3">
        <f>VLOOKUP(Table1[[#This Row],[Provider Type]] &amp; Table1[[#This Row],[Provider Type Description]], PROVIDER_TYPE, 2, FALSE)</f>
        <v>103</v>
      </c>
      <c r="J224" s="3">
        <v>118</v>
      </c>
      <c r="K224" s="3" t="s">
        <v>474</v>
      </c>
      <c r="L224" s="3">
        <f>VLOOKUP(TRIM(Table1[[#This Row],[Provider Specialty]]) &amp; TRIM(Table1[[#This Row],[Provider Specialty Description]]), SPECIALTY_TYPE, 2, FALSE)</f>
        <v>2210</v>
      </c>
      <c r="M224" s="3" t="s">
        <v>18</v>
      </c>
      <c r="N224" s="27" t="s">
        <v>19</v>
      </c>
      <c r="O224" s="38">
        <f>VLOOKUP(TRIM(Table1[[#This Row],[Provider Specialty]]) &amp; TRIM(Table1[[#This Row],[Provider Specialty Description]]), SPECIALTY_TYPE, 2, FALSE)</f>
        <v>2210</v>
      </c>
      <c r="P224" s="3" t="str">
        <f>Table1[[#This Row],[Provider Type]] &amp; "+" &amp; Table1[[#This Row],[Provider Type Description]]</f>
        <v>11+Mental Health Provider</v>
      </c>
      <c r="Q224" s="7" t="str">
        <f>Table1[[#This Row],[Provider Specialty]] &amp; "+" &amp; Table1[[#This Row],[Provider Specialty Description]]</f>
        <v>118+Mental Health - DMHSAS</v>
      </c>
      <c r="R224" s="7" t="str">
        <f>Table1[[#This Row],[PDMS Specialty Type ID]] &amp; "+" &amp; Table1[[#This Row],[PDMS Provider Type ID]] &amp; "+" &amp;Table1[[#This Row],[TAXONOMY]]</f>
        <v>2210+103+261QM0801X</v>
      </c>
      <c r="S2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(9237, 2210, 103, N'261QM0801X', N'Clinic/Center - Mental Health (Including Community Mental Health Center)')</v>
      </c>
    </row>
    <row r="225" spans="1:19" ht="47.25" customHeight="1" x14ac:dyDescent="0.25">
      <c r="A225" s="22" t="s">
        <v>227</v>
      </c>
      <c r="B225" s="3" t="s">
        <v>443</v>
      </c>
      <c r="C225" s="3" t="s">
        <v>465</v>
      </c>
      <c r="D225" s="3" t="s">
        <v>465</v>
      </c>
      <c r="E225" s="3" t="s">
        <v>466</v>
      </c>
      <c r="F225" s="3">
        <f>VLOOKUP(Table1[[#This Row],[Column2]], TAXONOMY_TYPE, 2, FALSE)</f>
        <v>9238</v>
      </c>
      <c r="G225" s="3">
        <v>11</v>
      </c>
      <c r="H225" s="3" t="s">
        <v>446</v>
      </c>
      <c r="I225" s="3">
        <f>VLOOKUP(Table1[[#This Row],[Provider Type]] &amp; Table1[[#This Row],[Provider Type Description]], PROVIDER_TYPE, 2, FALSE)</f>
        <v>103</v>
      </c>
      <c r="J225" s="3">
        <v>119</v>
      </c>
      <c r="K225" s="3" t="s">
        <v>467</v>
      </c>
      <c r="L225" s="3">
        <f>VLOOKUP(TRIM(Table1[[#This Row],[Provider Specialty]]) &amp; TRIM(Table1[[#This Row],[Provider Specialty Description]]), SPECIALTY_TYPE, 2, FALSE)</f>
        <v>2211</v>
      </c>
      <c r="M225" s="3" t="s">
        <v>18</v>
      </c>
      <c r="N225" s="27" t="s">
        <v>19</v>
      </c>
      <c r="O225" s="38">
        <f>VLOOKUP(TRIM(Table1[[#This Row],[Provider Specialty]]) &amp; TRIM(Table1[[#This Row],[Provider Specialty Description]]), SPECIALTY_TYPE, 2, FALSE)</f>
        <v>2211</v>
      </c>
      <c r="P225" s="3" t="str">
        <f>Table1[[#This Row],[Provider Type]] &amp; "+" &amp; Table1[[#This Row],[Provider Type Description]]</f>
        <v>11+Mental Health Provider</v>
      </c>
      <c r="Q225" s="7" t="str">
        <f>Table1[[#This Row],[Provider Specialty]] &amp; "+" &amp; Table1[[#This Row],[Provider Specialty Description]]</f>
        <v>119+Marriage and Family Counselor</v>
      </c>
      <c r="R225" s="7" t="str">
        <f>Table1[[#This Row],[PDMS Specialty Type ID]] &amp; "+" &amp; Table1[[#This Row],[PDMS Provider Type ID]] &amp; "+" &amp;Table1[[#This Row],[TAXONOMY]]</f>
        <v>2211+103+106H00000X</v>
      </c>
      <c r="S2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(9238, 2211, 103, N'106H00000X', N'Marriage &amp; Family Therapist - Marriage &amp; Family Therapist')</v>
      </c>
    </row>
    <row r="226" spans="1:19" ht="47.25" customHeight="1" x14ac:dyDescent="0.25">
      <c r="A226" s="22" t="s">
        <v>227</v>
      </c>
      <c r="B226" s="3" t="s">
        <v>443</v>
      </c>
      <c r="C226" s="3" t="s">
        <v>444</v>
      </c>
      <c r="D226" s="3" t="s">
        <v>444</v>
      </c>
      <c r="E226" s="3" t="s">
        <v>445</v>
      </c>
      <c r="F226" s="3">
        <f>VLOOKUP(Table1[[#This Row],[Column2]], TAXONOMY_TYPE, 2, FALSE)</f>
        <v>9239</v>
      </c>
      <c r="G226" s="3">
        <v>11</v>
      </c>
      <c r="H226" s="3" t="s">
        <v>446</v>
      </c>
      <c r="I226" s="3">
        <f>VLOOKUP(Table1[[#This Row],[Provider Type]] &amp; Table1[[#This Row],[Provider Type Description]], PROVIDER_TYPE, 2, FALSE)</f>
        <v>103</v>
      </c>
      <c r="J226" s="3">
        <v>121</v>
      </c>
      <c r="K226" s="3" t="s">
        <v>447</v>
      </c>
      <c r="L226" s="3">
        <f>VLOOKUP(TRIM(Table1[[#This Row],[Provider Specialty]]) &amp; TRIM(Table1[[#This Row],[Provider Specialty Description]]), SPECIALTY_TYPE, 2, FALSE)</f>
        <v>2213</v>
      </c>
      <c r="M226" s="3" t="s">
        <v>18</v>
      </c>
      <c r="N226" s="27" t="s">
        <v>18</v>
      </c>
      <c r="O226" s="38">
        <f>VLOOKUP(TRIM(Table1[[#This Row],[Provider Specialty]]) &amp; TRIM(Table1[[#This Row],[Provider Specialty Description]]), SPECIALTY_TYPE, 2, FALSE)</f>
        <v>2213</v>
      </c>
      <c r="P226" s="3" t="str">
        <f>Table1[[#This Row],[Provider Type]] &amp; "+" &amp; Table1[[#This Row],[Provider Type Description]]</f>
        <v>11+Mental Health Provider</v>
      </c>
      <c r="Q226" s="7" t="str">
        <f>Table1[[#This Row],[Provider Specialty]] &amp; "+" &amp; Table1[[#This Row],[Provider Specialty Description]]</f>
        <v>121+Licensed Practical Counselor</v>
      </c>
      <c r="R226" s="7" t="str">
        <f>Table1[[#This Row],[PDMS Specialty Type ID]] &amp; "+" &amp; Table1[[#This Row],[PDMS Provider Type ID]] &amp; "+" &amp;Table1[[#This Row],[TAXONOMY]]</f>
        <v>2213+103+101Y00000X</v>
      </c>
      <c r="S2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(9239, 2213, 103, N'101Y00000X', N'Counselor - Counselor')</v>
      </c>
    </row>
    <row r="227" spans="1:19" ht="47.25" customHeight="1" x14ac:dyDescent="0.25">
      <c r="A227" s="22" t="s">
        <v>227</v>
      </c>
      <c r="B227" s="3" t="s">
        <v>443</v>
      </c>
      <c r="C227" s="3" t="s">
        <v>444</v>
      </c>
      <c r="D227" s="3" t="s">
        <v>451</v>
      </c>
      <c r="E227" s="3" t="s">
        <v>452</v>
      </c>
      <c r="F227" s="3">
        <f>VLOOKUP(Table1[[#This Row],[Column2]], TAXONOMY_TYPE, 2, FALSE)</f>
        <v>9240</v>
      </c>
      <c r="G227" s="3">
        <v>11</v>
      </c>
      <c r="H227" s="3" t="s">
        <v>446</v>
      </c>
      <c r="I227" s="3">
        <f>VLOOKUP(Table1[[#This Row],[Provider Type]] &amp; Table1[[#This Row],[Provider Type Description]], PROVIDER_TYPE, 2, FALSE)</f>
        <v>103</v>
      </c>
      <c r="J227" s="3">
        <v>121</v>
      </c>
      <c r="K227" s="3" t="s">
        <v>447</v>
      </c>
      <c r="L227" s="3">
        <f>VLOOKUP(TRIM(Table1[[#This Row],[Provider Specialty]]) &amp; TRIM(Table1[[#This Row],[Provider Specialty Description]]), SPECIALTY_TYPE, 2, FALSE)</f>
        <v>2213</v>
      </c>
      <c r="M227" s="3" t="s">
        <v>18</v>
      </c>
      <c r="N227" s="27" t="s">
        <v>18</v>
      </c>
      <c r="O227" s="38">
        <f>VLOOKUP(TRIM(Table1[[#This Row],[Provider Specialty]]) &amp; TRIM(Table1[[#This Row],[Provider Specialty Description]]), SPECIALTY_TYPE, 2, FALSE)</f>
        <v>2213</v>
      </c>
      <c r="P227" s="3" t="str">
        <f>Table1[[#This Row],[Provider Type]] &amp; "+" &amp; Table1[[#This Row],[Provider Type Description]]</f>
        <v>11+Mental Health Provider</v>
      </c>
      <c r="Q227" s="7" t="str">
        <f>Table1[[#This Row],[Provider Specialty]] &amp; "+" &amp; Table1[[#This Row],[Provider Specialty Description]]</f>
        <v>121+Licensed Practical Counselor</v>
      </c>
      <c r="R227" s="7" t="str">
        <f>Table1[[#This Row],[PDMS Specialty Type ID]] &amp; "+" &amp; Table1[[#This Row],[PDMS Provider Type ID]] &amp; "+" &amp;Table1[[#This Row],[TAXONOMY]]</f>
        <v>2213+103+101YM0800X</v>
      </c>
      <c r="S2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(9240, 2213, 103, N'101YM0800X', N'Counselor - Mental Health')</v>
      </c>
    </row>
    <row r="228" spans="1:19" ht="47.25" customHeight="1" x14ac:dyDescent="0.25">
      <c r="A228" s="22" t="s">
        <v>227</v>
      </c>
      <c r="B228" s="3" t="s">
        <v>443</v>
      </c>
      <c r="C228" s="3" t="s">
        <v>444</v>
      </c>
      <c r="D228" s="3" t="s">
        <v>453</v>
      </c>
      <c r="E228" s="3" t="s">
        <v>454</v>
      </c>
      <c r="F228" s="3">
        <f>VLOOKUP(Table1[[#This Row],[Column2]], TAXONOMY_TYPE, 2, FALSE)</f>
        <v>9241</v>
      </c>
      <c r="G228" s="3">
        <v>11</v>
      </c>
      <c r="H228" s="3" t="s">
        <v>446</v>
      </c>
      <c r="I228" s="3">
        <f>VLOOKUP(Table1[[#This Row],[Provider Type]] &amp; Table1[[#This Row],[Provider Type Description]], PROVIDER_TYPE, 2, FALSE)</f>
        <v>103</v>
      </c>
      <c r="J228" s="3">
        <v>121</v>
      </c>
      <c r="K228" s="3" t="s">
        <v>447</v>
      </c>
      <c r="L228" s="3">
        <f>VLOOKUP(TRIM(Table1[[#This Row],[Provider Specialty]]) &amp; TRIM(Table1[[#This Row],[Provider Specialty Description]]), SPECIALTY_TYPE, 2, FALSE)</f>
        <v>2213</v>
      </c>
      <c r="M228" s="3" t="s">
        <v>18</v>
      </c>
      <c r="N228" s="27" t="s">
        <v>18</v>
      </c>
      <c r="O228" s="38">
        <f>VLOOKUP(TRIM(Table1[[#This Row],[Provider Specialty]]) &amp; TRIM(Table1[[#This Row],[Provider Specialty Description]]), SPECIALTY_TYPE, 2, FALSE)</f>
        <v>2213</v>
      </c>
      <c r="P228" s="3" t="str">
        <f>Table1[[#This Row],[Provider Type]] &amp; "+" &amp; Table1[[#This Row],[Provider Type Description]]</f>
        <v>11+Mental Health Provider</v>
      </c>
      <c r="Q228" s="7" t="str">
        <f>Table1[[#This Row],[Provider Specialty]] &amp; "+" &amp; Table1[[#This Row],[Provider Specialty Description]]</f>
        <v>121+Licensed Practical Counselor</v>
      </c>
      <c r="R228" s="7" t="str">
        <f>Table1[[#This Row],[PDMS Specialty Type ID]] &amp; "+" &amp; Table1[[#This Row],[PDMS Provider Type ID]] &amp; "+" &amp;Table1[[#This Row],[TAXONOMY]]</f>
        <v>2213+103+101YP1600X</v>
      </c>
      <c r="S2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(9241, 2213, 103, N'101YP1600X', N'Counselor - Pastoral')</v>
      </c>
    </row>
    <row r="229" spans="1:19" ht="47.25" customHeight="1" x14ac:dyDescent="0.25">
      <c r="A229" s="22" t="s">
        <v>227</v>
      </c>
      <c r="B229" s="3" t="s">
        <v>443</v>
      </c>
      <c r="C229" s="3" t="s">
        <v>444</v>
      </c>
      <c r="D229" s="3" t="s">
        <v>455</v>
      </c>
      <c r="E229" s="3" t="s">
        <v>456</v>
      </c>
      <c r="F229" s="3">
        <f>VLOOKUP(Table1[[#This Row],[Column2]], TAXONOMY_TYPE, 2, FALSE)</f>
        <v>9242</v>
      </c>
      <c r="G229" s="3">
        <v>11</v>
      </c>
      <c r="H229" s="3" t="s">
        <v>446</v>
      </c>
      <c r="I229" s="3">
        <f>VLOOKUP(Table1[[#This Row],[Provider Type]] &amp; Table1[[#This Row],[Provider Type Description]], PROVIDER_TYPE, 2, FALSE)</f>
        <v>103</v>
      </c>
      <c r="J229" s="3">
        <v>121</v>
      </c>
      <c r="K229" s="3" t="s">
        <v>447</v>
      </c>
      <c r="L229" s="3">
        <f>VLOOKUP(TRIM(Table1[[#This Row],[Provider Specialty]]) &amp; TRIM(Table1[[#This Row],[Provider Specialty Description]]), SPECIALTY_TYPE, 2, FALSE)</f>
        <v>2213</v>
      </c>
      <c r="M229" s="3" t="s">
        <v>18</v>
      </c>
      <c r="N229" s="27" t="s">
        <v>18</v>
      </c>
      <c r="O229" s="38">
        <f>VLOOKUP(TRIM(Table1[[#This Row],[Provider Specialty]]) &amp; TRIM(Table1[[#This Row],[Provider Specialty Description]]), SPECIALTY_TYPE, 2, FALSE)</f>
        <v>2213</v>
      </c>
      <c r="P229" s="3" t="str">
        <f>Table1[[#This Row],[Provider Type]] &amp; "+" &amp; Table1[[#This Row],[Provider Type Description]]</f>
        <v>11+Mental Health Provider</v>
      </c>
      <c r="Q229" s="7" t="str">
        <f>Table1[[#This Row],[Provider Specialty]] &amp; "+" &amp; Table1[[#This Row],[Provider Specialty Description]]</f>
        <v>121+Licensed Practical Counselor</v>
      </c>
      <c r="R229" s="7" t="str">
        <f>Table1[[#This Row],[PDMS Specialty Type ID]] &amp; "+" &amp; Table1[[#This Row],[PDMS Provider Type ID]] &amp; "+" &amp;Table1[[#This Row],[TAXONOMY]]</f>
        <v>2213+103+101YP2500X</v>
      </c>
      <c r="S2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(9242, 2213, 103, N'101YP2500X', N'Counselor - Professional')</v>
      </c>
    </row>
    <row r="230" spans="1:19" ht="47.25" customHeight="1" x14ac:dyDescent="0.25">
      <c r="A230" s="22" t="s">
        <v>227</v>
      </c>
      <c r="B230" s="3" t="s">
        <v>443</v>
      </c>
      <c r="C230" s="3" t="s">
        <v>444</v>
      </c>
      <c r="D230" s="3" t="s">
        <v>365</v>
      </c>
      <c r="E230" s="3" t="s">
        <v>457</v>
      </c>
      <c r="F230" s="3">
        <f>VLOOKUP(Table1[[#This Row],[Column2]], TAXONOMY_TYPE, 2, FALSE)</f>
        <v>9243</v>
      </c>
      <c r="G230" s="3">
        <v>11</v>
      </c>
      <c r="H230" s="3" t="s">
        <v>446</v>
      </c>
      <c r="I230" s="3">
        <f>VLOOKUP(Table1[[#This Row],[Provider Type]] &amp; Table1[[#This Row],[Provider Type Description]], PROVIDER_TYPE, 2, FALSE)</f>
        <v>103</v>
      </c>
      <c r="J230" s="3">
        <v>121</v>
      </c>
      <c r="K230" s="3" t="s">
        <v>447</v>
      </c>
      <c r="L230" s="3">
        <f>VLOOKUP(TRIM(Table1[[#This Row],[Provider Specialty]]) &amp; TRIM(Table1[[#This Row],[Provider Specialty Description]]), SPECIALTY_TYPE, 2, FALSE)</f>
        <v>2213</v>
      </c>
      <c r="M230" s="3" t="s">
        <v>18</v>
      </c>
      <c r="N230" s="27" t="s">
        <v>18</v>
      </c>
      <c r="O230" s="38">
        <f>VLOOKUP(TRIM(Table1[[#This Row],[Provider Specialty]]) &amp; TRIM(Table1[[#This Row],[Provider Specialty Description]]), SPECIALTY_TYPE, 2, FALSE)</f>
        <v>2213</v>
      </c>
      <c r="P230" s="3" t="str">
        <f>Table1[[#This Row],[Provider Type]] &amp; "+" &amp; Table1[[#This Row],[Provider Type Description]]</f>
        <v>11+Mental Health Provider</v>
      </c>
      <c r="Q230" s="7" t="str">
        <f>Table1[[#This Row],[Provider Specialty]] &amp; "+" &amp; Table1[[#This Row],[Provider Specialty Description]]</f>
        <v>121+Licensed Practical Counselor</v>
      </c>
      <c r="R230" s="7" t="str">
        <f>Table1[[#This Row],[PDMS Specialty Type ID]] &amp; "+" &amp; Table1[[#This Row],[PDMS Provider Type ID]] &amp; "+" &amp;Table1[[#This Row],[TAXONOMY]]</f>
        <v>2213+103+101YS0200X</v>
      </c>
      <c r="S2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(9243, 2213, 103, N'101YS0200X', N'Counselor - School')</v>
      </c>
    </row>
    <row r="231" spans="1:19" ht="47.25" customHeight="1" x14ac:dyDescent="0.25">
      <c r="A231" s="22" t="s">
        <v>227</v>
      </c>
      <c r="B231" s="3" t="s">
        <v>530</v>
      </c>
      <c r="C231" s="3" t="s">
        <v>531</v>
      </c>
      <c r="D231" s="3" t="s">
        <v>531</v>
      </c>
      <c r="E231" s="3" t="s">
        <v>532</v>
      </c>
      <c r="F231" s="3">
        <f>VLOOKUP(Table1[[#This Row],[Column2]], TAXONOMY_TYPE, 2, FALSE)</f>
        <v>9244</v>
      </c>
      <c r="G231" s="3">
        <v>11</v>
      </c>
      <c r="H231" s="3" t="s">
        <v>446</v>
      </c>
      <c r="I231" s="3">
        <f>VLOOKUP(Table1[[#This Row],[Provider Type]] &amp; Table1[[#This Row],[Provider Type Description]], PROVIDER_TYPE, 2, FALSE)</f>
        <v>103</v>
      </c>
      <c r="J231" s="3">
        <v>122</v>
      </c>
      <c r="K231" s="3" t="s">
        <v>533</v>
      </c>
      <c r="L231" s="3">
        <f>VLOOKUP(TRIM(Table1[[#This Row],[Provider Specialty]]) &amp; TRIM(Table1[[#This Row],[Provider Specialty Description]]), SPECIALTY_TYPE, 2, FALSE)</f>
        <v>2214</v>
      </c>
      <c r="M231" s="3" t="s">
        <v>18</v>
      </c>
      <c r="N231" s="27" t="s">
        <v>19</v>
      </c>
      <c r="O231" s="38">
        <f>VLOOKUP(TRIM(Table1[[#This Row],[Provider Specialty]]) &amp; TRIM(Table1[[#This Row],[Provider Specialty Description]]), SPECIALTY_TYPE, 2, FALSE)</f>
        <v>2214</v>
      </c>
      <c r="P231" s="3" t="str">
        <f>Table1[[#This Row],[Provider Type]] &amp; "+" &amp; Table1[[#This Row],[Provider Type Description]]</f>
        <v>11+Mental Health Provider</v>
      </c>
      <c r="Q231" s="7" t="str">
        <f>Table1[[#This Row],[Provider Specialty]] &amp; "+" &amp; Table1[[#This Row],[Provider Specialty Description]]</f>
        <v>122+Behavioral Analyst</v>
      </c>
      <c r="R231" s="7" t="str">
        <f>Table1[[#This Row],[PDMS Specialty Type ID]] &amp; "+" &amp; Table1[[#This Row],[PDMS Provider Type ID]] &amp; "+" &amp;Table1[[#This Row],[TAXONOMY]]</f>
        <v>2214+103+103K00000X</v>
      </c>
      <c r="S2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(9244, 2214, 103, N'103K00000X', N'Behavioral Analyst Classification - Behavioral Analyst Classification')</v>
      </c>
    </row>
    <row r="232" spans="1:19" ht="47.25" customHeight="1" x14ac:dyDescent="0.25">
      <c r="A232" s="22" t="s">
        <v>11</v>
      </c>
      <c r="B232" s="3" t="s">
        <v>84</v>
      </c>
      <c r="C232" s="3" t="s">
        <v>85</v>
      </c>
      <c r="D232" s="3" t="s">
        <v>472</v>
      </c>
      <c r="E232" s="3" t="s">
        <v>473</v>
      </c>
      <c r="F232" s="3">
        <f>VLOOKUP(Table1[[#This Row],[Column2]], TAXONOMY_TYPE, 2, FALSE)</f>
        <v>9245</v>
      </c>
      <c r="G232" s="3">
        <v>11</v>
      </c>
      <c r="H232" s="3" t="s">
        <v>446</v>
      </c>
      <c r="I232" s="3">
        <f>VLOOKUP(Table1[[#This Row],[Provider Type]] &amp; Table1[[#This Row],[Provider Type Description]], PROVIDER_TYPE, 2, FALSE)</f>
        <v>103</v>
      </c>
      <c r="J232" s="3">
        <v>210</v>
      </c>
      <c r="K232" s="3" t="s">
        <v>180</v>
      </c>
      <c r="L232" s="3">
        <f>VLOOKUP(TRIM(Table1[[#This Row],[Provider Specialty]]) &amp; TRIM(Table1[[#This Row],[Provider Specialty Description]]), SPECIALTY_TYPE, 2, FALSE)</f>
        <v>2188</v>
      </c>
      <c r="M232" s="3" t="s">
        <v>18</v>
      </c>
      <c r="N232" s="27" t="s">
        <v>19</v>
      </c>
      <c r="O232" s="38">
        <f>VLOOKUP(TRIM(Table1[[#This Row],[Provider Specialty]]) &amp; TRIM(Table1[[#This Row],[Provider Specialty Description]]), SPECIALTY_TYPE, 2, FALSE)</f>
        <v>2188</v>
      </c>
      <c r="P232" s="3" t="str">
        <f>Table1[[#This Row],[Provider Type]] &amp; "+" &amp; Table1[[#This Row],[Provider Type Description]]</f>
        <v>11+Mental Health Provider</v>
      </c>
      <c r="Q232" s="7" t="str">
        <f>Table1[[#This Row],[Provider Specialty]] &amp; "+" &amp; Table1[[#This Row],[Provider Specialty Description]]</f>
        <v>210+Care Coordinator for Pregnant Women</v>
      </c>
      <c r="R232" s="7" t="str">
        <f>Table1[[#This Row],[PDMS Specialty Type ID]] &amp; "+" &amp; Table1[[#This Row],[PDMS Provider Type ID]] &amp; "+" &amp;Table1[[#This Row],[TAXONOMY]]</f>
        <v>2188+103+261QM0801X</v>
      </c>
      <c r="S2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(9245, 2188, 103, N'261QM0801X', N'Clinic/Center - Mental Health (Including Community Mental Health Center)')</v>
      </c>
    </row>
    <row r="233" spans="1:19" ht="47.25" customHeight="1" x14ac:dyDescent="0.25">
      <c r="A233" s="22" t="s">
        <v>11</v>
      </c>
      <c r="B233" s="3" t="s">
        <v>84</v>
      </c>
      <c r="C233" s="3" t="s">
        <v>85</v>
      </c>
      <c r="D233" s="3" t="s">
        <v>472</v>
      </c>
      <c r="E233" s="3" t="s">
        <v>473</v>
      </c>
      <c r="F233" s="3">
        <f>VLOOKUP(Table1[[#This Row],[Column2]], TAXONOMY_TYPE, 2, FALSE)</f>
        <v>9246</v>
      </c>
      <c r="G233" s="3">
        <v>11</v>
      </c>
      <c r="H233" s="3" t="s">
        <v>446</v>
      </c>
      <c r="I233" s="3">
        <f>VLOOKUP(Table1[[#This Row],[Provider Type]] &amp; Table1[[#This Row],[Provider Type Description]], PROVIDER_TYPE, 2, FALSE)</f>
        <v>103</v>
      </c>
      <c r="J233" s="3">
        <v>211</v>
      </c>
      <c r="K233" s="3" t="s">
        <v>181</v>
      </c>
      <c r="L233" s="3">
        <f>VLOOKUP(TRIM(Table1[[#This Row],[Provider Specialty]]) &amp; TRIM(Table1[[#This Row],[Provider Specialty Description]]), SPECIALTY_TYPE, 2, FALSE)</f>
        <v>2189</v>
      </c>
      <c r="M233" s="3" t="s">
        <v>18</v>
      </c>
      <c r="N233" s="27" t="s">
        <v>19</v>
      </c>
      <c r="O233" s="38">
        <f>VLOOKUP(TRIM(Table1[[#This Row],[Provider Specialty]]) &amp; TRIM(Table1[[#This Row],[Provider Specialty Description]]), SPECIALTY_TYPE, 2, FALSE)</f>
        <v>2189</v>
      </c>
      <c r="P233" s="3" t="str">
        <f>Table1[[#This Row],[Provider Type]] &amp; "+" &amp; Table1[[#This Row],[Provider Type Description]]</f>
        <v>11+Mental Health Provider</v>
      </c>
      <c r="Q233" s="7" t="str">
        <f>Table1[[#This Row],[Provider Specialty]] &amp; "+" &amp; Table1[[#This Row],[Provider Specialty Description]]</f>
        <v>211+HIV Case Manager</v>
      </c>
      <c r="R233" s="7" t="str">
        <f>Table1[[#This Row],[PDMS Specialty Type ID]] &amp; "+" &amp; Table1[[#This Row],[PDMS Provider Type ID]] &amp; "+" &amp;Table1[[#This Row],[TAXONOMY]]</f>
        <v>2189+103+261QM0801X</v>
      </c>
      <c r="S2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(9246, 2189, 103, N'261QM0801X', N'Clinic/Center - Mental Health (Including Community Mental Health Center)')</v>
      </c>
    </row>
    <row r="234" spans="1:19" ht="47.25" customHeight="1" x14ac:dyDescent="0.25">
      <c r="A234" s="22" t="s">
        <v>227</v>
      </c>
      <c r="B234" s="3" t="s">
        <v>443</v>
      </c>
      <c r="C234" s="3" t="s">
        <v>444</v>
      </c>
      <c r="D234" s="3" t="s">
        <v>448</v>
      </c>
      <c r="E234" s="3" t="s">
        <v>449</v>
      </c>
      <c r="F234" s="3">
        <f>VLOOKUP(Table1[[#This Row],[Column2]], TAXONOMY_TYPE, 2, FALSE)</f>
        <v>9247</v>
      </c>
      <c r="G234" s="3">
        <v>11</v>
      </c>
      <c r="H234" s="3" t="s">
        <v>446</v>
      </c>
      <c r="I234" s="3">
        <f>VLOOKUP(Table1[[#This Row],[Provider Type]] &amp; Table1[[#This Row],[Provider Type Description]], PROVIDER_TYPE, 2, FALSE)</f>
        <v>103</v>
      </c>
      <c r="J234" s="3">
        <v>212</v>
      </c>
      <c r="K234" s="3" t="s">
        <v>450</v>
      </c>
      <c r="L234" s="3">
        <f>VLOOKUP(TRIM(Table1[[#This Row],[Provider Specialty]]) &amp; TRIM(Table1[[#This Row],[Provider Specialty Description]]), SPECIALTY_TYPE, 2, FALSE)</f>
        <v>2225</v>
      </c>
      <c r="M234" s="3" t="s">
        <v>18</v>
      </c>
      <c r="N234" s="27" t="s">
        <v>19</v>
      </c>
      <c r="O234" s="38">
        <f>VLOOKUP(TRIM(Table1[[#This Row],[Provider Specialty]]) &amp; TRIM(Table1[[#This Row],[Provider Specialty Description]]), SPECIALTY_TYPE, 2, FALSE)</f>
        <v>2225</v>
      </c>
      <c r="P234" s="3" t="str">
        <f>Table1[[#This Row],[Provider Type]] &amp; "+" &amp; Table1[[#This Row],[Provider Type Description]]</f>
        <v>11+Mental Health Provider</v>
      </c>
      <c r="Q234" s="7" t="str">
        <f>Table1[[#This Row],[Provider Specialty]] &amp; "+" &amp; Table1[[#This Row],[Provider Specialty Description]]</f>
        <v>212+Addiction Counselor</v>
      </c>
      <c r="R234" s="7" t="str">
        <f>Table1[[#This Row],[PDMS Specialty Type ID]] &amp; "+" &amp; Table1[[#This Row],[PDMS Provider Type ID]] &amp; "+" &amp;Table1[[#This Row],[TAXONOMY]]</f>
        <v>2225+103+101YA0400X</v>
      </c>
      <c r="S2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(9247, 2225, 103, N'101YA0400X', N'Counselor - Addiction (Substance Use Disorder)')</v>
      </c>
    </row>
    <row r="235" spans="1:19" ht="47.25" customHeight="1" x14ac:dyDescent="0.25">
      <c r="A235" s="22" t="s">
        <v>227</v>
      </c>
      <c r="B235" s="3" t="s">
        <v>337</v>
      </c>
      <c r="C235" s="3" t="s">
        <v>534</v>
      </c>
      <c r="D235" s="3" t="s">
        <v>534</v>
      </c>
      <c r="E235" s="3" t="s">
        <v>535</v>
      </c>
      <c r="F235" s="3">
        <f>VLOOKUP(Table1[[#This Row],[Column2]], TAXONOMY_TYPE, 2, FALSE)</f>
        <v>9248</v>
      </c>
      <c r="G235" s="3">
        <v>11</v>
      </c>
      <c r="H235" s="3" t="s">
        <v>446</v>
      </c>
      <c r="I235" s="3">
        <f>VLOOKUP(Table1[[#This Row],[Provider Type]] &amp; Table1[[#This Row],[Provider Type Description]], PROVIDER_TYPE, 2, FALSE)</f>
        <v>103</v>
      </c>
      <c r="J235" s="3">
        <v>357</v>
      </c>
      <c r="K235" s="3" t="s">
        <v>536</v>
      </c>
      <c r="L235" s="3">
        <f>VLOOKUP(TRIM(Table1[[#This Row],[Provider Specialty]]) &amp; TRIM(Table1[[#This Row],[Provider Specialty Description]]), SPECIALTY_TYPE, 2, FALSE)</f>
        <v>2114</v>
      </c>
      <c r="M235" s="3" t="s">
        <v>18</v>
      </c>
      <c r="N235" s="27" t="s">
        <v>18</v>
      </c>
      <c r="O235" s="38">
        <f>VLOOKUP(TRIM(Table1[[#This Row],[Provider Specialty]]) &amp; TRIM(Table1[[#This Row],[Provider Specialty Description]]), SPECIALTY_TYPE, 2, FALSE)</f>
        <v>2114</v>
      </c>
      <c r="P235" s="3" t="str">
        <f>Table1[[#This Row],[Provider Type]] &amp; "+" &amp; Table1[[#This Row],[Provider Type Description]]</f>
        <v>11+Mental Health Provider</v>
      </c>
      <c r="Q235" s="7" t="str">
        <f>Table1[[#This Row],[Provider Specialty]] &amp; "+" &amp; Table1[[#This Row],[Provider Specialty Description]]</f>
        <v>357+Genetics</v>
      </c>
      <c r="R235" s="7" t="str">
        <f>Table1[[#This Row],[PDMS Specialty Type ID]] &amp; "+" &amp; Table1[[#This Row],[PDMS Provider Type ID]] &amp; "+" &amp;Table1[[#This Row],[TAXONOMY]]</f>
        <v>2114+103+170300000X</v>
      </c>
      <c r="S2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(9248, 2114, 103, N'170300000X', N'Genetic Counselor, MS - Genetic Counselor, MS')</v>
      </c>
    </row>
    <row r="236" spans="1:19" ht="47.25" customHeight="1" x14ac:dyDescent="0.25">
      <c r="A236" s="22" t="s">
        <v>11</v>
      </c>
      <c r="B236" s="3" t="s">
        <v>175</v>
      </c>
      <c r="C236" s="3" t="s">
        <v>540</v>
      </c>
      <c r="D236" s="3" t="s">
        <v>540</v>
      </c>
      <c r="E236" s="3" t="s">
        <v>541</v>
      </c>
      <c r="F236" s="3">
        <f>VLOOKUP(Table1[[#This Row],[Column2]], TAXONOMY_TYPE, 2, FALSE)</f>
        <v>9249</v>
      </c>
      <c r="G236" s="3">
        <v>11</v>
      </c>
      <c r="H236" s="3" t="s">
        <v>446</v>
      </c>
      <c r="I236" s="3">
        <f>VLOOKUP(Table1[[#This Row],[Provider Type]] &amp; Table1[[#This Row],[Provider Type Description]], PROVIDER_TYPE, 2, FALSE)</f>
        <v>103</v>
      </c>
      <c r="J236" s="3">
        <v>493</v>
      </c>
      <c r="K236" s="3" t="s">
        <v>542</v>
      </c>
      <c r="L236" s="3">
        <f>VLOOKUP(TRIM(Table1[[#This Row],[Provider Specialty]]) &amp; TRIM(Table1[[#This Row],[Provider Specialty Description]]), SPECIALTY_TYPE, 2, FALSE)</f>
        <v>2279</v>
      </c>
      <c r="M236" s="3" t="s">
        <v>18</v>
      </c>
      <c r="N236" s="27" t="s">
        <v>18</v>
      </c>
      <c r="O236" s="38">
        <f>VLOOKUP(TRIM(Table1[[#This Row],[Provider Specialty]]) &amp; TRIM(Table1[[#This Row],[Provider Specialty Description]]), SPECIALTY_TYPE, 2, FALSE)</f>
        <v>2279</v>
      </c>
      <c r="P236" s="3" t="str">
        <f>Table1[[#This Row],[Provider Type]] &amp; "+" &amp; Table1[[#This Row],[Provider Type Description]]</f>
        <v>11+Mental Health Provider</v>
      </c>
      <c r="Q236" s="7" t="str">
        <f>Table1[[#This Row],[Provider Specialty]] &amp; "+" &amp; Table1[[#This Row],[Provider Specialty Description]]</f>
        <v>493+DDSD-Supportive Living Arrangements</v>
      </c>
      <c r="R236" s="7" t="str">
        <f>Table1[[#This Row],[PDMS Specialty Type ID]] &amp; "+" &amp; Table1[[#This Row],[PDMS Provider Type ID]] &amp; "+" &amp;Table1[[#This Row],[TAXONOMY]]</f>
        <v>2279+103+251C00000X</v>
      </c>
      <c r="S2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(9249, 2279, 103, N'251C00000X', N'Day Training, Developmentally Disabled Services - Day Training, Developmentally Disabled Services')</v>
      </c>
    </row>
    <row r="237" spans="1:19" ht="47.25" customHeight="1" x14ac:dyDescent="0.25">
      <c r="A237" s="22" t="s">
        <v>227</v>
      </c>
      <c r="B237" s="3" t="s">
        <v>443</v>
      </c>
      <c r="C237" s="3" t="s">
        <v>458</v>
      </c>
      <c r="D237" s="3" t="s">
        <v>459</v>
      </c>
      <c r="E237" s="3" t="s">
        <v>460</v>
      </c>
      <c r="F237" s="3">
        <f>VLOOKUP(Table1[[#This Row],[Column2]], TAXONOMY_TYPE, 2, FALSE)</f>
        <v>9250</v>
      </c>
      <c r="G237" s="3">
        <v>11</v>
      </c>
      <c r="H237" s="3" t="s">
        <v>461</v>
      </c>
      <c r="I237" s="3">
        <f>VLOOKUP(Table1[[#This Row],[Provider Type]] &amp; Table1[[#This Row],[Provider Type Description]], PROVIDER_TYPE, 2, FALSE)</f>
        <v>102</v>
      </c>
      <c r="J237" s="3">
        <v>617</v>
      </c>
      <c r="K237" s="3" t="s">
        <v>458</v>
      </c>
      <c r="L237" s="3">
        <f>VLOOKUP(TRIM(Table1[[#This Row],[Provider Specialty]]) &amp; TRIM(Table1[[#This Row],[Provider Specialty Description]]), SPECIALTY_TYPE, 2, FALSE)</f>
        <v>2312</v>
      </c>
      <c r="M237" s="3" t="s">
        <v>18</v>
      </c>
      <c r="N237" s="27" t="s">
        <v>18</v>
      </c>
      <c r="O237" s="38">
        <f>VLOOKUP(TRIM(Table1[[#This Row],[Provider Specialty]]) &amp; TRIM(Table1[[#This Row],[Provider Specialty Description]]), SPECIALTY_TYPE, 2, FALSE)</f>
        <v>2312</v>
      </c>
      <c r="P237" s="3" t="str">
        <f>Table1[[#This Row],[Provider Type]] &amp; "+" &amp; Table1[[#This Row],[Provider Type Description]]</f>
        <v>11+Mental Health</v>
      </c>
      <c r="Q237" s="7" t="str">
        <f>Table1[[#This Row],[Provider Specialty]] &amp; "+" &amp; Table1[[#This Row],[Provider Specialty Description]]</f>
        <v>617+Poetry Therapist</v>
      </c>
      <c r="R237" s="7" t="str">
        <f>Table1[[#This Row],[PDMS Specialty Type ID]] &amp; "+" &amp; Table1[[#This Row],[PDMS Provider Type ID]] &amp; "+" &amp;Table1[[#This Row],[TAXONOMY]]</f>
        <v>2312+102+102X00000X</v>
      </c>
      <c r="S2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(9250, 2312, 102, N'102X00000X', N'Poetry Therapist - Poetry Therapist****')</v>
      </c>
    </row>
    <row r="238" spans="1:19" ht="47.25" hidden="1" customHeight="1" x14ac:dyDescent="0.25">
      <c r="A238" s="25"/>
      <c r="B238" s="3" t="s">
        <v>175</v>
      </c>
      <c r="C238" s="3" t="s">
        <v>545</v>
      </c>
      <c r="D238" s="3" t="s">
        <v>545</v>
      </c>
      <c r="E238" s="3" t="s">
        <v>546</v>
      </c>
      <c r="F238" s="3">
        <f>VLOOKUP(Table1[[#This Row],[Column2]], TAXONOMY_TYPE, 2, FALSE)</f>
        <v>4837</v>
      </c>
      <c r="G238" s="3">
        <v>12</v>
      </c>
      <c r="H238" s="3" t="s">
        <v>547</v>
      </c>
      <c r="I238" s="3">
        <f>VLOOKUP(Table1[[#This Row],[Provider Type]] &amp; Table1[[#This Row],[Provider Type Description]], PROVIDER_TYPE, 2, FALSE)</f>
        <v>60</v>
      </c>
      <c r="J238" s="3">
        <v>120</v>
      </c>
      <c r="K238" s="3" t="s">
        <v>547</v>
      </c>
      <c r="L238" s="3">
        <f>VLOOKUP(TRIM(Table1[[#This Row],[Provider Specialty]]) &amp; TRIM(Table1[[#This Row],[Provider Specialty Description]]), SPECIALTY_TYPE, 2, FALSE)</f>
        <v>2163</v>
      </c>
      <c r="M238" s="3" t="s">
        <v>19</v>
      </c>
      <c r="N238" s="27" t="s">
        <v>18</v>
      </c>
      <c r="O238" s="38">
        <f>VLOOKUP(TRIM(Table1[[#This Row],[Provider Specialty]]) &amp; TRIM(Table1[[#This Row],[Provider Specialty Description]]), SPECIALTY_TYPE, 2, FALSE)</f>
        <v>2163</v>
      </c>
      <c r="P238" s="3" t="str">
        <f>Table1[[#This Row],[Provider Type]] &amp; "+" &amp; Table1[[#This Row],[Provider Type Description]]</f>
        <v>12+School Corporation</v>
      </c>
      <c r="Q238" s="7" t="str">
        <f>Table1[[#This Row],[Provider Specialty]] &amp; "+" &amp; Table1[[#This Row],[Provider Specialty Description]]</f>
        <v>120+School Corporation</v>
      </c>
      <c r="R238" s="7" t="str">
        <f>Table1[[#This Row],[PDMS Specialty Type ID]] &amp; "+" &amp; Table1[[#This Row],[PDMS Provider Type ID]] &amp; "+" &amp;Table1[[#This Row],[TAXONOMY]]</f>
        <v>2163+60+251300000X</v>
      </c>
      <c r="S2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(4837, 2163, 60, N'251300000X', N'Local Education Agency (LEA) - Local Education Agency (LEA)')</v>
      </c>
    </row>
    <row r="239" spans="1:19" ht="47.25" hidden="1" customHeight="1" x14ac:dyDescent="0.25">
      <c r="A239" s="22" t="s">
        <v>11</v>
      </c>
      <c r="B239" s="3" t="s">
        <v>84</v>
      </c>
      <c r="C239" s="3" t="s">
        <v>85</v>
      </c>
      <c r="D239" s="3" t="s">
        <v>199</v>
      </c>
      <c r="E239" s="3" t="s">
        <v>200</v>
      </c>
      <c r="F239" s="3">
        <f>VLOOKUP(Table1[[#This Row],[Column2]], TAXONOMY_TYPE, 2, FALSE)</f>
        <v>9251</v>
      </c>
      <c r="G239" s="3">
        <v>12</v>
      </c>
      <c r="H239" s="3" t="s">
        <v>547</v>
      </c>
      <c r="I239" s="3">
        <f>VLOOKUP(Table1[[#This Row],[Provider Type]] &amp; Table1[[#This Row],[Provider Type Description]], PROVIDER_TYPE, 2, FALSE)</f>
        <v>60</v>
      </c>
      <c r="J239" s="3">
        <v>120</v>
      </c>
      <c r="K239" s="3" t="s">
        <v>203</v>
      </c>
      <c r="L239" s="3">
        <f>VLOOKUP(TRIM(Table1[[#This Row],[Provider Specialty]]) &amp; TRIM(Table1[[#This Row],[Provider Specialty Description]]), SPECIALTY_TYPE, 2, FALSE)</f>
        <v>2212</v>
      </c>
      <c r="M239" s="3" t="s">
        <v>19</v>
      </c>
      <c r="N239" s="27" t="s">
        <v>18</v>
      </c>
      <c r="O239" s="38">
        <f>VLOOKUP(TRIM(Table1[[#This Row],[Provider Specialty]]) &amp; TRIM(Table1[[#This Row],[Provider Specialty Description]]), SPECIALTY_TYPE, 2, FALSE)</f>
        <v>2212</v>
      </c>
      <c r="P239" s="3" t="str">
        <f>Table1[[#This Row],[Provider Type]] &amp; "+" &amp; Table1[[#This Row],[Provider Type Description]]</f>
        <v>12+School Corporation</v>
      </c>
      <c r="Q239" s="7" t="str">
        <f>Table1[[#This Row],[Provider Specialty]] &amp; "+" &amp; Table1[[#This Row],[Provider Specialty Description]]</f>
        <v>120+Teaching Institute</v>
      </c>
      <c r="R239" s="7" t="str">
        <f>Table1[[#This Row],[PDMS Specialty Type ID]] &amp; "+" &amp; Table1[[#This Row],[PDMS Provider Type ID]] &amp; "+" &amp;Table1[[#This Row],[TAXONOMY]]</f>
        <v>2212+60+261QS1000X</v>
      </c>
      <c r="S2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(9251, 2212, 60, N'261QS1000X', N'Clinic/Center - Student Health')</v>
      </c>
    </row>
    <row r="240" spans="1:19" ht="47.25" hidden="1" customHeight="1" x14ac:dyDescent="0.25">
      <c r="A240" s="22" t="s">
        <v>11</v>
      </c>
      <c r="B240" s="3" t="s">
        <v>175</v>
      </c>
      <c r="C240" s="3" t="s">
        <v>548</v>
      </c>
      <c r="D240" s="3" t="s">
        <v>548</v>
      </c>
      <c r="E240" s="3" t="s">
        <v>549</v>
      </c>
      <c r="F240" s="3">
        <f>VLOOKUP(Table1[[#This Row],[Column2]], TAXONOMY_TYPE, 2, FALSE)</f>
        <v>4646</v>
      </c>
      <c r="G240" s="3">
        <v>13</v>
      </c>
      <c r="H240" s="3" t="s">
        <v>550</v>
      </c>
      <c r="I240" s="3">
        <f>VLOOKUP(Table1[[#This Row],[Provider Type]] &amp; Table1[[#This Row],[Provider Type Description]], PROVIDER_TYPE, 2, FALSE)</f>
        <v>61</v>
      </c>
      <c r="J240" s="3">
        <v>130</v>
      </c>
      <c r="K240" s="3" t="s">
        <v>551</v>
      </c>
      <c r="L240" s="3">
        <f>VLOOKUP(TRIM(Table1[[#This Row],[Provider Specialty]]) &amp; TRIM(Table1[[#This Row],[Provider Specialty Description]]), SPECIALTY_TYPE, 2, FALSE)</f>
        <v>2134</v>
      </c>
      <c r="M240" s="3" t="s">
        <v>19</v>
      </c>
      <c r="N240" s="27" t="s">
        <v>18</v>
      </c>
      <c r="O240" s="38">
        <f>VLOOKUP(TRIM(Table1[[#This Row],[Provider Specialty]]) &amp; TRIM(Table1[[#This Row],[Provider Specialty Description]]), SPECIALTY_TYPE, 2, FALSE)</f>
        <v>2134</v>
      </c>
      <c r="P240" s="3" t="str">
        <f>Table1[[#This Row],[Provider Type]] &amp; "+" &amp; Table1[[#This Row],[Provider Type Description]]</f>
        <v>13+Public Health Agency</v>
      </c>
      <c r="Q240" s="7" t="str">
        <f>Table1[[#This Row],[Provider Specialty]] &amp; "+" &amp; Table1[[#This Row],[Provider Specialty Description]]</f>
        <v>130+County Health Department</v>
      </c>
      <c r="R240" s="7" t="str">
        <f>Table1[[#This Row],[PDMS Specialty Type ID]] &amp; "+" &amp; Table1[[#This Row],[PDMS Provider Type ID]] &amp; "+" &amp;Table1[[#This Row],[TAXONOMY]]</f>
        <v>2134+61+251K00000X</v>
      </c>
      <c r="S2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(4646, 2134, 61, N'251K00000X', N'Public Health or Welfare - Public Health or Welfare')</v>
      </c>
    </row>
    <row r="241" spans="1:19" ht="47.25" hidden="1" customHeight="1" x14ac:dyDescent="0.25">
      <c r="A241" s="22" t="s">
        <v>11</v>
      </c>
      <c r="B241" s="3" t="s">
        <v>175</v>
      </c>
      <c r="C241" s="3" t="s">
        <v>552</v>
      </c>
      <c r="D241" s="3" t="s">
        <v>553</v>
      </c>
      <c r="E241" s="3" t="s">
        <v>554</v>
      </c>
      <c r="F241" s="3">
        <f>VLOOKUP(Table1[[#This Row],[Column2]], TAXONOMY_TYPE, 2, FALSE)</f>
        <v>9060</v>
      </c>
      <c r="G241" s="3">
        <v>13</v>
      </c>
      <c r="H241" s="3" t="s">
        <v>550</v>
      </c>
      <c r="I241" s="3">
        <f>VLOOKUP(Table1[[#This Row],[Provider Type]] &amp; Table1[[#This Row],[Provider Type Description]], PROVIDER_TYPE, 2, FALSE)</f>
        <v>61</v>
      </c>
      <c r="J241" s="3">
        <v>183</v>
      </c>
      <c r="K241" s="3" t="s">
        <v>210</v>
      </c>
      <c r="L241" s="3">
        <f>VLOOKUP(TRIM(Table1[[#This Row],[Provider Specialty]]) &amp; TRIM(Table1[[#This Row],[Provider Specialty Description]]), SPECIALTY_TYPE, 2, FALSE)</f>
        <v>2138</v>
      </c>
      <c r="M241" s="3" t="s">
        <v>18</v>
      </c>
      <c r="N241" s="27" t="s">
        <v>18</v>
      </c>
      <c r="O241" s="38">
        <f>VLOOKUP(TRIM(Table1[[#This Row],[Provider Specialty]]) &amp; TRIM(Table1[[#This Row],[Provider Specialty Description]]), SPECIALTY_TYPE, 2, FALSE)</f>
        <v>2138</v>
      </c>
      <c r="P241" s="3" t="str">
        <f>Table1[[#This Row],[Provider Type]] &amp; "+" &amp; Table1[[#This Row],[Provider Type Description]]</f>
        <v>13+Public Health Agency</v>
      </c>
      <c r="Q241" s="7" t="str">
        <f>Table1[[#This Row],[Provider Specialty]] &amp; "+" &amp; Table1[[#This Row],[Provider Specialty Description]]</f>
        <v>183+Early Intervention Services</v>
      </c>
      <c r="R241" s="7" t="str">
        <f>Table1[[#This Row],[PDMS Specialty Type ID]] &amp; "+" &amp; Table1[[#This Row],[PDMS Provider Type ID]] &amp; "+" &amp;Table1[[#This Row],[TAXONOMY]]</f>
        <v>2138+61+252Y00000X</v>
      </c>
      <c r="S2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(9060, 2138, 61, N'252Y00000X', N'Early InterventionProvider Agency - Early Intervention Provider Agency****')</v>
      </c>
    </row>
    <row r="242" spans="1:19" ht="47.25" customHeight="1" x14ac:dyDescent="0.25">
      <c r="A242" s="22" t="s">
        <v>227</v>
      </c>
      <c r="B242" s="3" t="s">
        <v>429</v>
      </c>
      <c r="C242" s="3" t="s">
        <v>555</v>
      </c>
      <c r="D242" s="3" t="s">
        <v>555</v>
      </c>
      <c r="E242" s="3" t="s">
        <v>556</v>
      </c>
      <c r="F242" s="3">
        <f>VLOOKUP(Table1[[#This Row],[Column2]], TAXONOMY_TYPE, 2, FALSE)</f>
        <v>9252</v>
      </c>
      <c r="G242" s="3">
        <v>14</v>
      </c>
      <c r="H242" s="3" t="s">
        <v>557</v>
      </c>
      <c r="I242" s="3">
        <f>VLOOKUP(Table1[[#This Row],[Provider Type]] &amp; Table1[[#This Row],[Provider Type Description]], PROVIDER_TYPE, 2, FALSE)</f>
        <v>104</v>
      </c>
      <c r="J242" s="3">
        <v>140</v>
      </c>
      <c r="K242" s="3" t="s">
        <v>557</v>
      </c>
      <c r="L242" s="3">
        <f>VLOOKUP(TRIM(Table1[[#This Row],[Provider Specialty]]) &amp; TRIM(Table1[[#This Row],[Provider Specialty Description]]), SPECIALTY_TYPE, 2, FALSE)</f>
        <v>2215</v>
      </c>
      <c r="M242" s="3" t="s">
        <v>19</v>
      </c>
      <c r="N242" s="27" t="s">
        <v>19</v>
      </c>
      <c r="O242" s="38">
        <f>VLOOKUP(TRIM(Table1[[#This Row],[Provider Specialty]]) &amp; TRIM(Table1[[#This Row],[Provider Specialty Description]]), SPECIALTY_TYPE, 2, FALSE)</f>
        <v>2215</v>
      </c>
      <c r="P242" s="3" t="str">
        <f>Table1[[#This Row],[Provider Type]] &amp; "+" &amp; Table1[[#This Row],[Provider Type Description]]</f>
        <v>14+Podiatrist</v>
      </c>
      <c r="Q242" s="7" t="str">
        <f>Table1[[#This Row],[Provider Specialty]] &amp; "+" &amp; Table1[[#This Row],[Provider Specialty Description]]</f>
        <v>140+Podiatrist</v>
      </c>
      <c r="R242" s="7" t="str">
        <f>Table1[[#This Row],[PDMS Specialty Type ID]] &amp; "+" &amp; Table1[[#This Row],[PDMS Provider Type ID]] &amp; "+" &amp;Table1[[#This Row],[TAXONOMY]]</f>
        <v>2215+104+213E00000X</v>
      </c>
      <c r="S2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(9252, 2215, 104, N'213E00000X', N'Podiatrist - Podiatrist')</v>
      </c>
    </row>
    <row r="243" spans="1:19" ht="47.25" customHeight="1" x14ac:dyDescent="0.25">
      <c r="A243" s="22" t="s">
        <v>227</v>
      </c>
      <c r="B243" s="3" t="s">
        <v>429</v>
      </c>
      <c r="C243" s="3" t="s">
        <v>555</v>
      </c>
      <c r="D243" s="3" t="s">
        <v>558</v>
      </c>
      <c r="E243" s="3" t="s">
        <v>559</v>
      </c>
      <c r="F243" s="3">
        <f>VLOOKUP(Table1[[#This Row],[Column2]], TAXONOMY_TYPE, 2, FALSE)</f>
        <v>9253</v>
      </c>
      <c r="G243" s="3">
        <v>14</v>
      </c>
      <c r="H243" s="3" t="s">
        <v>557</v>
      </c>
      <c r="I243" s="3">
        <f>VLOOKUP(Table1[[#This Row],[Provider Type]] &amp; Table1[[#This Row],[Provider Type Description]], PROVIDER_TYPE, 2, FALSE)</f>
        <v>104</v>
      </c>
      <c r="J243" s="3">
        <v>140</v>
      </c>
      <c r="K243" s="3" t="s">
        <v>557</v>
      </c>
      <c r="L243" s="3">
        <f>VLOOKUP(TRIM(Table1[[#This Row],[Provider Specialty]]) &amp; TRIM(Table1[[#This Row],[Provider Specialty Description]]), SPECIALTY_TYPE, 2, FALSE)</f>
        <v>2215</v>
      </c>
      <c r="M243" s="3" t="s">
        <v>19</v>
      </c>
      <c r="N243" s="27" t="s">
        <v>19</v>
      </c>
      <c r="O243" s="38">
        <f>VLOOKUP(TRIM(Table1[[#This Row],[Provider Specialty]]) &amp; TRIM(Table1[[#This Row],[Provider Specialty Description]]), SPECIALTY_TYPE, 2, FALSE)</f>
        <v>2215</v>
      </c>
      <c r="P243" s="3" t="str">
        <f>Table1[[#This Row],[Provider Type]] &amp; "+" &amp; Table1[[#This Row],[Provider Type Description]]</f>
        <v>14+Podiatrist</v>
      </c>
      <c r="Q243" s="7" t="str">
        <f>Table1[[#This Row],[Provider Specialty]] &amp; "+" &amp; Table1[[#This Row],[Provider Specialty Description]]</f>
        <v>140+Podiatrist</v>
      </c>
      <c r="R243" s="7" t="str">
        <f>Table1[[#This Row],[PDMS Specialty Type ID]] &amp; "+" &amp; Table1[[#This Row],[PDMS Provider Type ID]] &amp; "+" &amp;Table1[[#This Row],[TAXONOMY]]</f>
        <v>2215+104+213EG0000X</v>
      </c>
      <c r="S2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(9253, 2215, 104, N'213EG0000X', N'Podiatrist - General Practice^^^ (use 213E00000X)')</v>
      </c>
    </row>
    <row r="244" spans="1:19" ht="47.25" customHeight="1" x14ac:dyDescent="0.25">
      <c r="A244" s="22" t="s">
        <v>227</v>
      </c>
      <c r="B244" s="3" t="s">
        <v>429</v>
      </c>
      <c r="C244" s="3" t="s">
        <v>555</v>
      </c>
      <c r="D244" s="3" t="s">
        <v>560</v>
      </c>
      <c r="E244" s="3" t="s">
        <v>561</v>
      </c>
      <c r="F244" s="3">
        <f>VLOOKUP(Table1[[#This Row],[Column2]], TAXONOMY_TYPE, 2, FALSE)</f>
        <v>9254</v>
      </c>
      <c r="G244" s="3">
        <v>14</v>
      </c>
      <c r="H244" s="3" t="s">
        <v>557</v>
      </c>
      <c r="I244" s="3">
        <f>VLOOKUP(Table1[[#This Row],[Provider Type]] &amp; Table1[[#This Row],[Provider Type Description]], PROVIDER_TYPE, 2, FALSE)</f>
        <v>104</v>
      </c>
      <c r="J244" s="3">
        <v>140</v>
      </c>
      <c r="K244" s="3" t="s">
        <v>557</v>
      </c>
      <c r="L244" s="3">
        <f>VLOOKUP(TRIM(Table1[[#This Row],[Provider Specialty]]) &amp; TRIM(Table1[[#This Row],[Provider Specialty Description]]), SPECIALTY_TYPE, 2, FALSE)</f>
        <v>2215</v>
      </c>
      <c r="M244" s="3" t="s">
        <v>19</v>
      </c>
      <c r="N244" s="27" t="s">
        <v>19</v>
      </c>
      <c r="O244" s="38">
        <f>VLOOKUP(TRIM(Table1[[#This Row],[Provider Specialty]]) &amp; TRIM(Table1[[#This Row],[Provider Specialty Description]]), SPECIALTY_TYPE, 2, FALSE)</f>
        <v>2215</v>
      </c>
      <c r="P244" s="3" t="str">
        <f>Table1[[#This Row],[Provider Type]] &amp; "+" &amp; Table1[[#This Row],[Provider Type Description]]</f>
        <v>14+Podiatrist</v>
      </c>
      <c r="Q244" s="7" t="str">
        <f>Table1[[#This Row],[Provider Specialty]] &amp; "+" &amp; Table1[[#This Row],[Provider Specialty Description]]</f>
        <v>140+Podiatrist</v>
      </c>
      <c r="R244" s="7" t="str">
        <f>Table1[[#This Row],[PDMS Specialty Type ID]] &amp; "+" &amp; Table1[[#This Row],[PDMS Provider Type ID]] &amp; "+" &amp;Table1[[#This Row],[TAXONOMY]]</f>
        <v>2215+104+213EP0504X</v>
      </c>
      <c r="S2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(9254, 2215, 104, N'213EP0504X', N'Podiatrist - Public Medicine')</v>
      </c>
    </row>
    <row r="245" spans="1:19" ht="47.25" customHeight="1" x14ac:dyDescent="0.25">
      <c r="A245" s="22" t="s">
        <v>227</v>
      </c>
      <c r="B245" s="3" t="s">
        <v>429</v>
      </c>
      <c r="C245" s="3" t="s">
        <v>555</v>
      </c>
      <c r="D245" s="3" t="s">
        <v>562</v>
      </c>
      <c r="E245" s="3" t="s">
        <v>563</v>
      </c>
      <c r="F245" s="3">
        <f>VLOOKUP(Table1[[#This Row],[Column2]], TAXONOMY_TYPE, 2, FALSE)</f>
        <v>9255</v>
      </c>
      <c r="G245" s="3">
        <v>14</v>
      </c>
      <c r="H245" s="3" t="s">
        <v>557</v>
      </c>
      <c r="I245" s="3">
        <f>VLOOKUP(Table1[[#This Row],[Provider Type]] &amp; Table1[[#This Row],[Provider Type Description]], PROVIDER_TYPE, 2, FALSE)</f>
        <v>104</v>
      </c>
      <c r="J245" s="3">
        <v>140</v>
      </c>
      <c r="K245" s="3" t="s">
        <v>557</v>
      </c>
      <c r="L245" s="3">
        <f>VLOOKUP(TRIM(Table1[[#This Row],[Provider Specialty]]) &amp; TRIM(Table1[[#This Row],[Provider Specialty Description]]), SPECIALTY_TYPE, 2, FALSE)</f>
        <v>2215</v>
      </c>
      <c r="M245" s="3" t="s">
        <v>19</v>
      </c>
      <c r="N245" s="27" t="s">
        <v>19</v>
      </c>
      <c r="O245" s="38">
        <f>VLOOKUP(TRIM(Table1[[#This Row],[Provider Specialty]]) &amp; TRIM(Table1[[#This Row],[Provider Specialty Description]]), SPECIALTY_TYPE, 2, FALSE)</f>
        <v>2215</v>
      </c>
      <c r="P245" s="3" t="str">
        <f>Table1[[#This Row],[Provider Type]] &amp; "+" &amp; Table1[[#This Row],[Provider Type Description]]</f>
        <v>14+Podiatrist</v>
      </c>
      <c r="Q245" s="7" t="str">
        <f>Table1[[#This Row],[Provider Specialty]] &amp; "+" &amp; Table1[[#This Row],[Provider Specialty Description]]</f>
        <v>140+Podiatrist</v>
      </c>
      <c r="R245" s="7" t="str">
        <f>Table1[[#This Row],[PDMS Specialty Type ID]] &amp; "+" &amp; Table1[[#This Row],[PDMS Provider Type ID]] &amp; "+" &amp;Table1[[#This Row],[TAXONOMY]]</f>
        <v>2215+104+213EP1101X</v>
      </c>
      <c r="S2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(9255, 2215, 104, N'213EP1101X', N'Podiatrist - Primary Podiatric Medicine')</v>
      </c>
    </row>
    <row r="246" spans="1:19" ht="47.25" customHeight="1" x14ac:dyDescent="0.25">
      <c r="A246" s="22" t="s">
        <v>227</v>
      </c>
      <c r="B246" s="3" t="s">
        <v>429</v>
      </c>
      <c r="C246" s="3" t="s">
        <v>555</v>
      </c>
      <c r="D246" s="3" t="s">
        <v>564</v>
      </c>
      <c r="E246" s="3" t="s">
        <v>565</v>
      </c>
      <c r="F246" s="3">
        <f>VLOOKUP(Table1[[#This Row],[Column2]], TAXONOMY_TYPE, 2, FALSE)</f>
        <v>9256</v>
      </c>
      <c r="G246" s="3">
        <v>14</v>
      </c>
      <c r="H246" s="3" t="s">
        <v>557</v>
      </c>
      <c r="I246" s="3">
        <f>VLOOKUP(Table1[[#This Row],[Provider Type]] &amp; Table1[[#This Row],[Provider Type Description]], PROVIDER_TYPE, 2, FALSE)</f>
        <v>104</v>
      </c>
      <c r="J246" s="3">
        <v>140</v>
      </c>
      <c r="K246" s="3" t="s">
        <v>557</v>
      </c>
      <c r="L246" s="3">
        <f>VLOOKUP(TRIM(Table1[[#This Row],[Provider Specialty]]) &amp; TRIM(Table1[[#This Row],[Provider Specialty Description]]), SPECIALTY_TYPE, 2, FALSE)</f>
        <v>2215</v>
      </c>
      <c r="M246" s="3" t="s">
        <v>19</v>
      </c>
      <c r="N246" s="27" t="s">
        <v>19</v>
      </c>
      <c r="O246" s="38">
        <f>VLOOKUP(TRIM(Table1[[#This Row],[Provider Specialty]]) &amp; TRIM(Table1[[#This Row],[Provider Specialty Description]]), SPECIALTY_TYPE, 2, FALSE)</f>
        <v>2215</v>
      </c>
      <c r="P246" s="3" t="str">
        <f>Table1[[#This Row],[Provider Type]] &amp; "+" &amp; Table1[[#This Row],[Provider Type Description]]</f>
        <v>14+Podiatrist</v>
      </c>
      <c r="Q246" s="7" t="str">
        <f>Table1[[#This Row],[Provider Specialty]] &amp; "+" &amp; Table1[[#This Row],[Provider Specialty Description]]</f>
        <v>140+Podiatrist</v>
      </c>
      <c r="R246" s="7" t="str">
        <f>Table1[[#This Row],[PDMS Specialty Type ID]] &amp; "+" &amp; Table1[[#This Row],[PDMS Provider Type ID]] &amp; "+" &amp;Table1[[#This Row],[TAXONOMY]]</f>
        <v>2215+104+213ER0200X</v>
      </c>
      <c r="S2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(9256, 2215, 104, N'213ER0200X', N'Podiatrist - Radiology')</v>
      </c>
    </row>
    <row r="247" spans="1:19" ht="47.25" customHeight="1" x14ac:dyDescent="0.25">
      <c r="A247" s="22" t="s">
        <v>227</v>
      </c>
      <c r="B247" s="3" t="s">
        <v>429</v>
      </c>
      <c r="C247" s="3" t="s">
        <v>555</v>
      </c>
      <c r="D247" s="3" t="s">
        <v>566</v>
      </c>
      <c r="E247" s="3" t="s">
        <v>567</v>
      </c>
      <c r="F247" s="3">
        <f>VLOOKUP(Table1[[#This Row],[Column2]], TAXONOMY_TYPE, 2, FALSE)</f>
        <v>9257</v>
      </c>
      <c r="G247" s="3">
        <v>14</v>
      </c>
      <c r="H247" s="3" t="s">
        <v>557</v>
      </c>
      <c r="I247" s="3">
        <f>VLOOKUP(Table1[[#This Row],[Provider Type]] &amp; Table1[[#This Row],[Provider Type Description]], PROVIDER_TYPE, 2, FALSE)</f>
        <v>104</v>
      </c>
      <c r="J247" s="3">
        <v>140</v>
      </c>
      <c r="K247" s="3" t="s">
        <v>557</v>
      </c>
      <c r="L247" s="3">
        <f>VLOOKUP(TRIM(Table1[[#This Row],[Provider Specialty]]) &amp; TRIM(Table1[[#This Row],[Provider Specialty Description]]), SPECIALTY_TYPE, 2, FALSE)</f>
        <v>2215</v>
      </c>
      <c r="M247" s="3" t="s">
        <v>19</v>
      </c>
      <c r="N247" s="27" t="s">
        <v>19</v>
      </c>
      <c r="O247" s="38">
        <f>VLOOKUP(TRIM(Table1[[#This Row],[Provider Specialty]]) &amp; TRIM(Table1[[#This Row],[Provider Specialty Description]]), SPECIALTY_TYPE, 2, FALSE)</f>
        <v>2215</v>
      </c>
      <c r="P247" s="3" t="str">
        <f>Table1[[#This Row],[Provider Type]] &amp; "+" &amp; Table1[[#This Row],[Provider Type Description]]</f>
        <v>14+Podiatrist</v>
      </c>
      <c r="Q247" s="7" t="str">
        <f>Table1[[#This Row],[Provider Specialty]] &amp; "+" &amp; Table1[[#This Row],[Provider Specialty Description]]</f>
        <v>140+Podiatrist</v>
      </c>
      <c r="R247" s="7" t="str">
        <f>Table1[[#This Row],[PDMS Specialty Type ID]] &amp; "+" &amp; Table1[[#This Row],[PDMS Provider Type ID]] &amp; "+" &amp;Table1[[#This Row],[TAXONOMY]]</f>
        <v>2215+104+213ES0000X</v>
      </c>
      <c r="S2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(9257, 2215, 104, N'213ES0000X', N'Podiatrist - Sports Medicine')</v>
      </c>
    </row>
    <row r="248" spans="1:19" ht="47.25" customHeight="1" x14ac:dyDescent="0.25">
      <c r="A248" s="22" t="s">
        <v>227</v>
      </c>
      <c r="B248" s="3" t="s">
        <v>429</v>
      </c>
      <c r="C248" s="3" t="s">
        <v>555</v>
      </c>
      <c r="D248" s="3" t="s">
        <v>568</v>
      </c>
      <c r="E248" s="3" t="s">
        <v>569</v>
      </c>
      <c r="F248" s="3">
        <f>VLOOKUP(Table1[[#This Row],[Column2]], TAXONOMY_TYPE, 2, FALSE)</f>
        <v>9258</v>
      </c>
      <c r="G248" s="3">
        <v>14</v>
      </c>
      <c r="H248" s="3" t="s">
        <v>557</v>
      </c>
      <c r="I248" s="3">
        <f>VLOOKUP(Table1[[#This Row],[Provider Type]] &amp; Table1[[#This Row],[Provider Type Description]], PROVIDER_TYPE, 2, FALSE)</f>
        <v>104</v>
      </c>
      <c r="J248" s="3">
        <v>140</v>
      </c>
      <c r="K248" s="3" t="s">
        <v>557</v>
      </c>
      <c r="L248" s="3">
        <f>VLOOKUP(TRIM(Table1[[#This Row],[Provider Specialty]]) &amp; TRIM(Table1[[#This Row],[Provider Specialty Description]]), SPECIALTY_TYPE, 2, FALSE)</f>
        <v>2215</v>
      </c>
      <c r="M248" s="3" t="s">
        <v>19</v>
      </c>
      <c r="N248" s="27" t="s">
        <v>19</v>
      </c>
      <c r="O248" s="38">
        <f>VLOOKUP(TRIM(Table1[[#This Row],[Provider Specialty]]) &amp; TRIM(Table1[[#This Row],[Provider Specialty Description]]), SPECIALTY_TYPE, 2, FALSE)</f>
        <v>2215</v>
      </c>
      <c r="P248" s="3" t="str">
        <f>Table1[[#This Row],[Provider Type]] &amp; "+" &amp; Table1[[#This Row],[Provider Type Description]]</f>
        <v>14+Podiatrist</v>
      </c>
      <c r="Q248" s="7" t="str">
        <f>Table1[[#This Row],[Provider Specialty]] &amp; "+" &amp; Table1[[#This Row],[Provider Specialty Description]]</f>
        <v>140+Podiatrist</v>
      </c>
      <c r="R248" s="7" t="str">
        <f>Table1[[#This Row],[PDMS Specialty Type ID]] &amp; "+" &amp; Table1[[#This Row],[PDMS Provider Type ID]] &amp; "+" &amp;Table1[[#This Row],[TAXONOMY]]</f>
        <v>2215+104+213ES0103X</v>
      </c>
      <c r="S2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(9258, 2215, 104, N'213ES0103X', N'Podiatrist - Foot &amp; Ankle Surgery')</v>
      </c>
    </row>
    <row r="249" spans="1:19" ht="47.25" customHeight="1" x14ac:dyDescent="0.25">
      <c r="A249" s="22" t="s">
        <v>227</v>
      </c>
      <c r="B249" s="3" t="s">
        <v>429</v>
      </c>
      <c r="C249" s="3" t="s">
        <v>555</v>
      </c>
      <c r="D249" s="3" t="s">
        <v>570</v>
      </c>
      <c r="E249" s="3" t="s">
        <v>571</v>
      </c>
      <c r="F249" s="3">
        <f>VLOOKUP(Table1[[#This Row],[Column2]], TAXONOMY_TYPE, 2, FALSE)</f>
        <v>9259</v>
      </c>
      <c r="G249" s="3">
        <v>14</v>
      </c>
      <c r="H249" s="3" t="s">
        <v>557</v>
      </c>
      <c r="I249" s="3">
        <f>VLOOKUP(Table1[[#This Row],[Provider Type]] &amp; Table1[[#This Row],[Provider Type Description]], PROVIDER_TYPE, 2, FALSE)</f>
        <v>104</v>
      </c>
      <c r="J249" s="3">
        <v>140</v>
      </c>
      <c r="K249" s="3" t="s">
        <v>557</v>
      </c>
      <c r="L249" s="3">
        <f>VLOOKUP(TRIM(Table1[[#This Row],[Provider Specialty]]) &amp; TRIM(Table1[[#This Row],[Provider Specialty Description]]), SPECIALTY_TYPE, 2, FALSE)</f>
        <v>2215</v>
      </c>
      <c r="M249" s="3" t="s">
        <v>19</v>
      </c>
      <c r="N249" s="27" t="s">
        <v>19</v>
      </c>
      <c r="O249" s="38">
        <f>VLOOKUP(TRIM(Table1[[#This Row],[Provider Specialty]]) &amp; TRIM(Table1[[#This Row],[Provider Specialty Description]]), SPECIALTY_TYPE, 2, FALSE)</f>
        <v>2215</v>
      </c>
      <c r="P249" s="3" t="str">
        <f>Table1[[#This Row],[Provider Type]] &amp; "+" &amp; Table1[[#This Row],[Provider Type Description]]</f>
        <v>14+Podiatrist</v>
      </c>
      <c r="Q249" s="7" t="str">
        <f>Table1[[#This Row],[Provider Specialty]] &amp; "+" &amp; Table1[[#This Row],[Provider Specialty Description]]</f>
        <v>140+Podiatrist</v>
      </c>
      <c r="R249" s="7" t="str">
        <f>Table1[[#This Row],[PDMS Specialty Type ID]] &amp; "+" &amp; Table1[[#This Row],[PDMS Provider Type ID]] &amp; "+" &amp;Table1[[#This Row],[TAXONOMY]]</f>
        <v>2215+104+213ES0131X</v>
      </c>
      <c r="S2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(9259, 2215, 104, N'213ES0131X', N'Podiatrist - Foot Surgery')</v>
      </c>
    </row>
    <row r="250" spans="1:19" ht="47.25" customHeight="1" x14ac:dyDescent="0.25">
      <c r="A250" s="22" t="s">
        <v>227</v>
      </c>
      <c r="B250" s="3" t="s">
        <v>572</v>
      </c>
      <c r="C250" s="3" t="s">
        <v>573</v>
      </c>
      <c r="D250" s="3" t="s">
        <v>573</v>
      </c>
      <c r="E250" s="3" t="s">
        <v>574</v>
      </c>
      <c r="F250" s="3">
        <f>VLOOKUP(Table1[[#This Row],[Column2]], TAXONOMY_TYPE, 2, FALSE)</f>
        <v>9260</v>
      </c>
      <c r="G250" s="3">
        <v>15</v>
      </c>
      <c r="H250" s="3" t="s">
        <v>575</v>
      </c>
      <c r="I250" s="3">
        <f>VLOOKUP(Table1[[#This Row],[Provider Type]] &amp; Table1[[#This Row],[Provider Type Description]], PROVIDER_TYPE, 2, FALSE)</f>
        <v>105</v>
      </c>
      <c r="J250" s="3">
        <v>150</v>
      </c>
      <c r="K250" s="3" t="s">
        <v>575</v>
      </c>
      <c r="L250" s="3">
        <f>VLOOKUP(TRIM(Table1[[#This Row],[Provider Specialty]]) &amp; TRIM(Table1[[#This Row],[Provider Specialty Description]]), SPECIALTY_TYPE, 2, FALSE)</f>
        <v>1</v>
      </c>
      <c r="M250" s="3" t="s">
        <v>19</v>
      </c>
      <c r="N250" s="27" t="s">
        <v>19</v>
      </c>
      <c r="O250" s="38">
        <f>VLOOKUP(TRIM(Table1[[#This Row],[Provider Specialty]]) &amp; TRIM(Table1[[#This Row],[Provider Specialty Description]]), SPECIALTY_TYPE, 2, FALSE)</f>
        <v>1</v>
      </c>
      <c r="P250" s="3" t="str">
        <f>Table1[[#This Row],[Provider Type]] &amp; "+" &amp; Table1[[#This Row],[Provider Type Description]]</f>
        <v>15+Chiropractor</v>
      </c>
      <c r="Q250" s="7" t="str">
        <f>Table1[[#This Row],[Provider Specialty]] &amp; "+" &amp; Table1[[#This Row],[Provider Specialty Description]]</f>
        <v>150+Chiropractor</v>
      </c>
      <c r="R250" s="7" t="str">
        <f>Table1[[#This Row],[PDMS Specialty Type ID]] &amp; "+" &amp; Table1[[#This Row],[PDMS Provider Type ID]] &amp; "+" &amp;Table1[[#This Row],[TAXONOMY]]</f>
        <v>1+105+111N00000X</v>
      </c>
      <c r="S2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(9260, 1, 105, N'111N00000X', N'Chiropractor - Chiropractor')</v>
      </c>
    </row>
    <row r="251" spans="1:19" ht="47.25" customHeight="1" x14ac:dyDescent="0.25">
      <c r="A251" s="22" t="s">
        <v>227</v>
      </c>
      <c r="B251" s="3" t="s">
        <v>572</v>
      </c>
      <c r="C251" s="3" t="s">
        <v>573</v>
      </c>
      <c r="D251" s="3" t="s">
        <v>576</v>
      </c>
      <c r="E251" s="3" t="s">
        <v>577</v>
      </c>
      <c r="F251" s="3">
        <f>VLOOKUP(Table1[[#This Row],[Column2]], TAXONOMY_TYPE, 2, FALSE)</f>
        <v>9261</v>
      </c>
      <c r="G251" s="3">
        <v>15</v>
      </c>
      <c r="H251" s="3" t="s">
        <v>575</v>
      </c>
      <c r="I251" s="3">
        <f>VLOOKUP(Table1[[#This Row],[Provider Type]] &amp; Table1[[#This Row],[Provider Type Description]], PROVIDER_TYPE, 2, FALSE)</f>
        <v>105</v>
      </c>
      <c r="J251" s="3">
        <v>150</v>
      </c>
      <c r="K251" s="3" t="s">
        <v>575</v>
      </c>
      <c r="L251" s="3">
        <f>VLOOKUP(TRIM(Table1[[#This Row],[Provider Specialty]]) &amp; TRIM(Table1[[#This Row],[Provider Specialty Description]]), SPECIALTY_TYPE, 2, FALSE)</f>
        <v>1</v>
      </c>
      <c r="M251" s="3" t="s">
        <v>19</v>
      </c>
      <c r="N251" s="27" t="s">
        <v>19</v>
      </c>
      <c r="O251" s="38">
        <f>VLOOKUP(TRIM(Table1[[#This Row],[Provider Specialty]]) &amp; TRIM(Table1[[#This Row],[Provider Specialty Description]]), SPECIALTY_TYPE, 2, FALSE)</f>
        <v>1</v>
      </c>
      <c r="P251" s="3" t="str">
        <f>Table1[[#This Row],[Provider Type]] &amp; "+" &amp; Table1[[#This Row],[Provider Type Description]]</f>
        <v>15+Chiropractor</v>
      </c>
      <c r="Q251" s="7" t="str">
        <f>Table1[[#This Row],[Provider Specialty]] &amp; "+" &amp; Table1[[#This Row],[Provider Specialty Description]]</f>
        <v>150+Chiropractor</v>
      </c>
      <c r="R251" s="7" t="str">
        <f>Table1[[#This Row],[PDMS Specialty Type ID]] &amp; "+" &amp; Table1[[#This Row],[PDMS Provider Type ID]] &amp; "+" &amp;Table1[[#This Row],[TAXONOMY]]</f>
        <v>1+105+111NI0013X</v>
      </c>
      <c r="S2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(9261, 1, 105, N'111NI0013X', N'Chiropractor - Independent Medical Examiner**')</v>
      </c>
    </row>
    <row r="252" spans="1:19" ht="47.25" customHeight="1" x14ac:dyDescent="0.25">
      <c r="A252" s="22" t="s">
        <v>227</v>
      </c>
      <c r="B252" s="3" t="s">
        <v>572</v>
      </c>
      <c r="C252" s="3" t="s">
        <v>573</v>
      </c>
      <c r="D252" s="3" t="s">
        <v>578</v>
      </c>
      <c r="E252" s="3" t="s">
        <v>579</v>
      </c>
      <c r="F252" s="3">
        <f>VLOOKUP(Table1[[#This Row],[Column2]], TAXONOMY_TYPE, 2, FALSE)</f>
        <v>9262</v>
      </c>
      <c r="G252" s="3">
        <v>15</v>
      </c>
      <c r="H252" s="3" t="s">
        <v>575</v>
      </c>
      <c r="I252" s="3">
        <f>VLOOKUP(Table1[[#This Row],[Provider Type]] &amp; Table1[[#This Row],[Provider Type Description]], PROVIDER_TYPE, 2, FALSE)</f>
        <v>105</v>
      </c>
      <c r="J252" s="3">
        <v>150</v>
      </c>
      <c r="K252" s="3" t="s">
        <v>575</v>
      </c>
      <c r="L252" s="3">
        <f>VLOOKUP(TRIM(Table1[[#This Row],[Provider Specialty]]) &amp; TRIM(Table1[[#This Row],[Provider Specialty Description]]), SPECIALTY_TYPE, 2, FALSE)</f>
        <v>1</v>
      </c>
      <c r="M252" s="3" t="s">
        <v>19</v>
      </c>
      <c r="N252" s="27" t="s">
        <v>19</v>
      </c>
      <c r="O252" s="38">
        <f>VLOOKUP(TRIM(Table1[[#This Row],[Provider Specialty]]) &amp; TRIM(Table1[[#This Row],[Provider Specialty Description]]), SPECIALTY_TYPE, 2, FALSE)</f>
        <v>1</v>
      </c>
      <c r="P252" s="3" t="str">
        <f>Table1[[#This Row],[Provider Type]] &amp; "+" &amp; Table1[[#This Row],[Provider Type Description]]</f>
        <v>15+Chiropractor</v>
      </c>
      <c r="Q252" s="7" t="str">
        <f>Table1[[#This Row],[Provider Specialty]] &amp; "+" &amp; Table1[[#This Row],[Provider Specialty Description]]</f>
        <v>150+Chiropractor</v>
      </c>
      <c r="R252" s="7" t="str">
        <f>Table1[[#This Row],[PDMS Specialty Type ID]] &amp; "+" &amp; Table1[[#This Row],[PDMS Provider Type ID]] &amp; "+" &amp;Table1[[#This Row],[TAXONOMY]]</f>
        <v>1+105+111NI0900X</v>
      </c>
      <c r="S2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(9262, 1, 105, N'111NI0900X', N'Chiropractor - Internist')</v>
      </c>
    </row>
    <row r="253" spans="1:19" ht="47.25" customHeight="1" x14ac:dyDescent="0.25">
      <c r="A253" s="22" t="s">
        <v>227</v>
      </c>
      <c r="B253" s="3" t="s">
        <v>572</v>
      </c>
      <c r="C253" s="3" t="s">
        <v>573</v>
      </c>
      <c r="D253" s="3" t="s">
        <v>580</v>
      </c>
      <c r="E253" s="3" t="s">
        <v>581</v>
      </c>
      <c r="F253" s="3">
        <f>VLOOKUP(Table1[[#This Row],[Column2]], TAXONOMY_TYPE, 2, FALSE)</f>
        <v>9263</v>
      </c>
      <c r="G253" s="3">
        <v>15</v>
      </c>
      <c r="H253" s="3" t="s">
        <v>575</v>
      </c>
      <c r="I253" s="3">
        <f>VLOOKUP(Table1[[#This Row],[Provider Type]] &amp; Table1[[#This Row],[Provider Type Description]], PROVIDER_TYPE, 2, FALSE)</f>
        <v>105</v>
      </c>
      <c r="J253" s="3">
        <v>150</v>
      </c>
      <c r="K253" s="3" t="s">
        <v>575</v>
      </c>
      <c r="L253" s="3">
        <f>VLOOKUP(TRIM(Table1[[#This Row],[Provider Specialty]]) &amp; TRIM(Table1[[#This Row],[Provider Specialty Description]]), SPECIALTY_TYPE, 2, FALSE)</f>
        <v>1</v>
      </c>
      <c r="M253" s="3" t="s">
        <v>19</v>
      </c>
      <c r="N253" s="27" t="s">
        <v>19</v>
      </c>
      <c r="O253" s="38">
        <f>VLOOKUP(TRIM(Table1[[#This Row],[Provider Specialty]]) &amp; TRIM(Table1[[#This Row],[Provider Specialty Description]]), SPECIALTY_TYPE, 2, FALSE)</f>
        <v>1</v>
      </c>
      <c r="P253" s="3" t="str">
        <f>Table1[[#This Row],[Provider Type]] &amp; "+" &amp; Table1[[#This Row],[Provider Type Description]]</f>
        <v>15+Chiropractor</v>
      </c>
      <c r="Q253" s="7" t="str">
        <f>Table1[[#This Row],[Provider Specialty]] &amp; "+" &amp; Table1[[#This Row],[Provider Specialty Description]]</f>
        <v>150+Chiropractor</v>
      </c>
      <c r="R253" s="7" t="str">
        <f>Table1[[#This Row],[PDMS Specialty Type ID]] &amp; "+" &amp; Table1[[#This Row],[PDMS Provider Type ID]] &amp; "+" &amp;Table1[[#This Row],[TAXONOMY]]</f>
        <v>1+105+111NN0400X</v>
      </c>
      <c r="S2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(9263, 1, 105, N'111NN0400X', N'Chiropractor - Neurology')</v>
      </c>
    </row>
    <row r="254" spans="1:19" ht="47.25" customHeight="1" x14ac:dyDescent="0.25">
      <c r="A254" s="22" t="s">
        <v>227</v>
      </c>
      <c r="B254" s="3" t="s">
        <v>572</v>
      </c>
      <c r="C254" s="3" t="s">
        <v>573</v>
      </c>
      <c r="D254" s="3" t="s">
        <v>582</v>
      </c>
      <c r="E254" s="3" t="s">
        <v>583</v>
      </c>
      <c r="F254" s="3">
        <f>VLOOKUP(Table1[[#This Row],[Column2]], TAXONOMY_TYPE, 2, FALSE)</f>
        <v>9264</v>
      </c>
      <c r="G254" s="3">
        <v>15</v>
      </c>
      <c r="H254" s="3" t="s">
        <v>575</v>
      </c>
      <c r="I254" s="3">
        <f>VLOOKUP(Table1[[#This Row],[Provider Type]] &amp; Table1[[#This Row],[Provider Type Description]], PROVIDER_TYPE, 2, FALSE)</f>
        <v>105</v>
      </c>
      <c r="J254" s="3">
        <v>150</v>
      </c>
      <c r="K254" s="3" t="s">
        <v>575</v>
      </c>
      <c r="L254" s="3">
        <f>VLOOKUP(TRIM(Table1[[#This Row],[Provider Specialty]]) &amp; TRIM(Table1[[#This Row],[Provider Specialty Description]]), SPECIALTY_TYPE, 2, FALSE)</f>
        <v>1</v>
      </c>
      <c r="M254" s="3" t="s">
        <v>19</v>
      </c>
      <c r="N254" s="27" t="s">
        <v>19</v>
      </c>
      <c r="O254" s="38">
        <f>VLOOKUP(TRIM(Table1[[#This Row],[Provider Specialty]]) &amp; TRIM(Table1[[#This Row],[Provider Specialty Description]]), SPECIALTY_TYPE, 2, FALSE)</f>
        <v>1</v>
      </c>
      <c r="P254" s="3" t="str">
        <f>Table1[[#This Row],[Provider Type]] &amp; "+" &amp; Table1[[#This Row],[Provider Type Description]]</f>
        <v>15+Chiropractor</v>
      </c>
      <c r="Q254" s="7" t="str">
        <f>Table1[[#This Row],[Provider Specialty]] &amp; "+" &amp; Table1[[#This Row],[Provider Specialty Description]]</f>
        <v>150+Chiropractor</v>
      </c>
      <c r="R254" s="7" t="str">
        <f>Table1[[#This Row],[PDMS Specialty Type ID]] &amp; "+" &amp; Table1[[#This Row],[PDMS Provider Type ID]] &amp; "+" &amp;Table1[[#This Row],[TAXONOMY]]</f>
        <v>1+105+111NN1001X</v>
      </c>
      <c r="S2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(9264, 1, 105, N'111NN1001X', N'Chiropractor - Nutrition')</v>
      </c>
    </row>
    <row r="255" spans="1:19" ht="47.25" customHeight="1" x14ac:dyDescent="0.25">
      <c r="A255" s="22" t="s">
        <v>227</v>
      </c>
      <c r="B255" s="3" t="s">
        <v>572</v>
      </c>
      <c r="C255" s="3" t="s">
        <v>573</v>
      </c>
      <c r="D255" s="3" t="s">
        <v>584</v>
      </c>
      <c r="E255" s="3" t="s">
        <v>585</v>
      </c>
      <c r="F255" s="3">
        <f>VLOOKUP(Table1[[#This Row],[Column2]], TAXONOMY_TYPE, 2, FALSE)</f>
        <v>9265</v>
      </c>
      <c r="G255" s="3">
        <v>15</v>
      </c>
      <c r="H255" s="3" t="s">
        <v>575</v>
      </c>
      <c r="I255" s="3">
        <f>VLOOKUP(Table1[[#This Row],[Provider Type]] &amp; Table1[[#This Row],[Provider Type Description]], PROVIDER_TYPE, 2, FALSE)</f>
        <v>105</v>
      </c>
      <c r="J255" s="3">
        <v>150</v>
      </c>
      <c r="K255" s="3" t="s">
        <v>575</v>
      </c>
      <c r="L255" s="3">
        <f>VLOOKUP(TRIM(Table1[[#This Row],[Provider Specialty]]) &amp; TRIM(Table1[[#This Row],[Provider Specialty Description]]), SPECIALTY_TYPE, 2, FALSE)</f>
        <v>1</v>
      </c>
      <c r="M255" s="3" t="s">
        <v>19</v>
      </c>
      <c r="N255" s="27" t="s">
        <v>18</v>
      </c>
      <c r="O255" s="38">
        <f>VLOOKUP(TRIM(Table1[[#This Row],[Provider Specialty]]) &amp; TRIM(Table1[[#This Row],[Provider Specialty Description]]), SPECIALTY_TYPE, 2, FALSE)</f>
        <v>1</v>
      </c>
      <c r="P255" s="3" t="str">
        <f>Table1[[#This Row],[Provider Type]] &amp; "+" &amp; Table1[[#This Row],[Provider Type Description]]</f>
        <v>15+Chiropractor</v>
      </c>
      <c r="Q255" s="7" t="str">
        <f>Table1[[#This Row],[Provider Specialty]] &amp; "+" &amp; Table1[[#This Row],[Provider Specialty Description]]</f>
        <v>150+Chiropractor</v>
      </c>
      <c r="R255" s="7" t="str">
        <f>Table1[[#This Row],[PDMS Specialty Type ID]] &amp; "+" &amp; Table1[[#This Row],[PDMS Provider Type ID]] &amp; "+" &amp;Table1[[#This Row],[TAXONOMY]]</f>
        <v>1+105+111NP0017X</v>
      </c>
      <c r="S2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(9265, 1, 105, N'111NP0017X', N'Chiropractor - Pediatric*****')</v>
      </c>
    </row>
    <row r="256" spans="1:19" ht="47.25" customHeight="1" x14ac:dyDescent="0.25">
      <c r="A256" s="22" t="s">
        <v>227</v>
      </c>
      <c r="B256" s="3" t="s">
        <v>572</v>
      </c>
      <c r="C256" s="3" t="s">
        <v>573</v>
      </c>
      <c r="D256" s="3" t="s">
        <v>564</v>
      </c>
      <c r="E256" s="3" t="s">
        <v>586</v>
      </c>
      <c r="F256" s="3">
        <f>VLOOKUP(Table1[[#This Row],[Column2]], TAXONOMY_TYPE, 2, FALSE)</f>
        <v>9266</v>
      </c>
      <c r="G256" s="3">
        <v>15</v>
      </c>
      <c r="H256" s="3" t="s">
        <v>575</v>
      </c>
      <c r="I256" s="3">
        <f>VLOOKUP(Table1[[#This Row],[Provider Type]] &amp; Table1[[#This Row],[Provider Type Description]], PROVIDER_TYPE, 2, FALSE)</f>
        <v>105</v>
      </c>
      <c r="J256" s="3">
        <v>150</v>
      </c>
      <c r="K256" s="3" t="s">
        <v>575</v>
      </c>
      <c r="L256" s="3">
        <f>VLOOKUP(TRIM(Table1[[#This Row],[Provider Specialty]]) &amp; TRIM(Table1[[#This Row],[Provider Specialty Description]]), SPECIALTY_TYPE, 2, FALSE)</f>
        <v>1</v>
      </c>
      <c r="M256" s="3" t="s">
        <v>19</v>
      </c>
      <c r="N256" s="27" t="s">
        <v>19</v>
      </c>
      <c r="O256" s="38">
        <f>VLOOKUP(TRIM(Table1[[#This Row],[Provider Specialty]]) &amp; TRIM(Table1[[#This Row],[Provider Specialty Description]]), SPECIALTY_TYPE, 2, FALSE)</f>
        <v>1</v>
      </c>
      <c r="P256" s="3" t="str">
        <f>Table1[[#This Row],[Provider Type]] &amp; "+" &amp; Table1[[#This Row],[Provider Type Description]]</f>
        <v>15+Chiropractor</v>
      </c>
      <c r="Q256" s="7" t="str">
        <f>Table1[[#This Row],[Provider Specialty]] &amp; "+" &amp; Table1[[#This Row],[Provider Specialty Description]]</f>
        <v>150+Chiropractor</v>
      </c>
      <c r="R256" s="7" t="str">
        <f>Table1[[#This Row],[PDMS Specialty Type ID]] &amp; "+" &amp; Table1[[#This Row],[PDMS Provider Type ID]] &amp; "+" &amp;Table1[[#This Row],[TAXONOMY]]</f>
        <v>1+105+111NR0200X</v>
      </c>
      <c r="S2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(9266, 1, 105, N'111NR0200X', N'Chiropractor - Radiology')</v>
      </c>
    </row>
    <row r="257" spans="1:19" ht="47.25" customHeight="1" x14ac:dyDescent="0.25">
      <c r="A257" s="22" t="s">
        <v>227</v>
      </c>
      <c r="B257" s="3" t="s">
        <v>572</v>
      </c>
      <c r="C257" s="3" t="s">
        <v>573</v>
      </c>
      <c r="D257" s="3" t="s">
        <v>152</v>
      </c>
      <c r="E257" s="3" t="s">
        <v>587</v>
      </c>
      <c r="F257" s="3">
        <f>VLOOKUP(Table1[[#This Row],[Column2]], TAXONOMY_TYPE, 2, FALSE)</f>
        <v>9267</v>
      </c>
      <c r="G257" s="3">
        <v>15</v>
      </c>
      <c r="H257" s="3" t="s">
        <v>575</v>
      </c>
      <c r="I257" s="3">
        <f>VLOOKUP(Table1[[#This Row],[Provider Type]] &amp; Table1[[#This Row],[Provider Type Description]], PROVIDER_TYPE, 2, FALSE)</f>
        <v>105</v>
      </c>
      <c r="J257" s="3">
        <v>150</v>
      </c>
      <c r="K257" s="3" t="s">
        <v>575</v>
      </c>
      <c r="L257" s="3">
        <f>VLOOKUP(TRIM(Table1[[#This Row],[Provider Specialty]]) &amp; TRIM(Table1[[#This Row],[Provider Specialty Description]]), SPECIALTY_TYPE, 2, FALSE)</f>
        <v>1</v>
      </c>
      <c r="M257" s="3" t="s">
        <v>19</v>
      </c>
      <c r="N257" s="27" t="s">
        <v>19</v>
      </c>
      <c r="O257" s="38">
        <f>VLOOKUP(TRIM(Table1[[#This Row],[Provider Specialty]]) &amp; TRIM(Table1[[#This Row],[Provider Specialty Description]]), SPECIALTY_TYPE, 2, FALSE)</f>
        <v>1</v>
      </c>
      <c r="P257" s="3" t="str">
        <f>Table1[[#This Row],[Provider Type]] &amp; "+" &amp; Table1[[#This Row],[Provider Type Description]]</f>
        <v>15+Chiropractor</v>
      </c>
      <c r="Q257" s="7" t="str">
        <f>Table1[[#This Row],[Provider Specialty]] &amp; "+" &amp; Table1[[#This Row],[Provider Specialty Description]]</f>
        <v>150+Chiropractor</v>
      </c>
      <c r="R257" s="7" t="str">
        <f>Table1[[#This Row],[PDMS Specialty Type ID]] &amp; "+" &amp; Table1[[#This Row],[PDMS Provider Type ID]] &amp; "+" &amp;Table1[[#This Row],[TAXONOMY]]</f>
        <v>1+105+111NR0400X</v>
      </c>
      <c r="S2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(9267, 1, 105, N'111NR0400X', N'Chiropractor - Rehabilitation')</v>
      </c>
    </row>
    <row r="258" spans="1:19" ht="47.25" customHeight="1" x14ac:dyDescent="0.25">
      <c r="A258" s="22" t="s">
        <v>227</v>
      </c>
      <c r="B258" s="3" t="s">
        <v>572</v>
      </c>
      <c r="C258" s="3" t="s">
        <v>573</v>
      </c>
      <c r="D258" s="3" t="s">
        <v>588</v>
      </c>
      <c r="E258" s="3" t="s">
        <v>589</v>
      </c>
      <c r="F258" s="3">
        <f>VLOOKUP(Table1[[#This Row],[Column2]], TAXONOMY_TYPE, 2, FALSE)</f>
        <v>9268</v>
      </c>
      <c r="G258" s="3">
        <v>15</v>
      </c>
      <c r="H258" s="3" t="s">
        <v>575</v>
      </c>
      <c r="I258" s="3">
        <f>VLOOKUP(Table1[[#This Row],[Provider Type]] &amp; Table1[[#This Row],[Provider Type Description]], PROVIDER_TYPE, 2, FALSE)</f>
        <v>105</v>
      </c>
      <c r="J258" s="3">
        <v>150</v>
      </c>
      <c r="K258" s="3" t="s">
        <v>575</v>
      </c>
      <c r="L258" s="3">
        <f>VLOOKUP(TRIM(Table1[[#This Row],[Provider Specialty]]) &amp; TRIM(Table1[[#This Row],[Provider Specialty Description]]), SPECIALTY_TYPE, 2, FALSE)</f>
        <v>1</v>
      </c>
      <c r="M258" s="3" t="s">
        <v>19</v>
      </c>
      <c r="N258" s="27" t="s">
        <v>19</v>
      </c>
      <c r="O258" s="38">
        <f>VLOOKUP(TRIM(Table1[[#This Row],[Provider Specialty]]) &amp; TRIM(Table1[[#This Row],[Provider Specialty Description]]), SPECIALTY_TYPE, 2, FALSE)</f>
        <v>1</v>
      </c>
      <c r="P258" s="3" t="str">
        <f>Table1[[#This Row],[Provider Type]] &amp; "+" &amp; Table1[[#This Row],[Provider Type Description]]</f>
        <v>15+Chiropractor</v>
      </c>
      <c r="Q258" s="7" t="str">
        <f>Table1[[#This Row],[Provider Specialty]] &amp; "+" &amp; Table1[[#This Row],[Provider Specialty Description]]</f>
        <v>150+Chiropractor</v>
      </c>
      <c r="R258" s="7" t="str">
        <f>Table1[[#This Row],[PDMS Specialty Type ID]] &amp; "+" &amp; Table1[[#This Row],[PDMS Provider Type ID]] &amp; "+" &amp;Table1[[#This Row],[TAXONOMY]]</f>
        <v>1+105+111NS0005X</v>
      </c>
      <c r="S2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(9268, 1, 105, N'111NS0005X', N'Chiropractor - Sports Physician')</v>
      </c>
    </row>
    <row r="259" spans="1:19" ht="47.25" customHeight="1" x14ac:dyDescent="0.25">
      <c r="A259" s="22" t="s">
        <v>227</v>
      </c>
      <c r="B259" s="3" t="s">
        <v>572</v>
      </c>
      <c r="C259" s="3" t="s">
        <v>573</v>
      </c>
      <c r="D259" s="3" t="s">
        <v>590</v>
      </c>
      <c r="E259" s="3" t="s">
        <v>591</v>
      </c>
      <c r="F259" s="3">
        <f>VLOOKUP(Table1[[#This Row],[Column2]], TAXONOMY_TYPE, 2, FALSE)</f>
        <v>9269</v>
      </c>
      <c r="G259" s="3">
        <v>15</v>
      </c>
      <c r="H259" s="3" t="s">
        <v>575</v>
      </c>
      <c r="I259" s="3">
        <f>VLOOKUP(Table1[[#This Row],[Provider Type]] &amp; Table1[[#This Row],[Provider Type Description]], PROVIDER_TYPE, 2, FALSE)</f>
        <v>105</v>
      </c>
      <c r="J259" s="3">
        <v>150</v>
      </c>
      <c r="K259" s="3" t="s">
        <v>575</v>
      </c>
      <c r="L259" s="3">
        <f>VLOOKUP(TRIM(Table1[[#This Row],[Provider Specialty]]) &amp; TRIM(Table1[[#This Row],[Provider Specialty Description]]), SPECIALTY_TYPE, 2, FALSE)</f>
        <v>1</v>
      </c>
      <c r="M259" s="3" t="s">
        <v>19</v>
      </c>
      <c r="N259" s="27" t="s">
        <v>19</v>
      </c>
      <c r="O259" s="38">
        <f>VLOOKUP(TRIM(Table1[[#This Row],[Provider Specialty]]) &amp; TRIM(Table1[[#This Row],[Provider Specialty Description]]), SPECIALTY_TYPE, 2, FALSE)</f>
        <v>1</v>
      </c>
      <c r="P259" s="3" t="str">
        <f>Table1[[#This Row],[Provider Type]] &amp; "+" &amp; Table1[[#This Row],[Provider Type Description]]</f>
        <v>15+Chiropractor</v>
      </c>
      <c r="Q259" s="7" t="str">
        <f>Table1[[#This Row],[Provider Specialty]] &amp; "+" &amp; Table1[[#This Row],[Provider Specialty Description]]</f>
        <v>150+Chiropractor</v>
      </c>
      <c r="R259" s="7" t="str">
        <f>Table1[[#This Row],[PDMS Specialty Type ID]] &amp; "+" &amp; Table1[[#This Row],[PDMS Provider Type ID]] &amp; "+" &amp;Table1[[#This Row],[TAXONOMY]]</f>
        <v>1+105+111NT0100X</v>
      </c>
      <c r="S2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(9269, 1, 105, N'111NT0100X', N'Chiropractor - Thermography')</v>
      </c>
    </row>
    <row r="260" spans="1:19" ht="47.25" customHeight="1" x14ac:dyDescent="0.25">
      <c r="A260" s="22" t="s">
        <v>227</v>
      </c>
      <c r="B260" s="3" t="s">
        <v>572</v>
      </c>
      <c r="C260" s="3" t="s">
        <v>573</v>
      </c>
      <c r="D260" s="3" t="s">
        <v>317</v>
      </c>
      <c r="E260" s="3" t="s">
        <v>592</v>
      </c>
      <c r="F260" s="3">
        <f>VLOOKUP(Table1[[#This Row],[Column2]], TAXONOMY_TYPE, 2, FALSE)</f>
        <v>9270</v>
      </c>
      <c r="G260" s="3">
        <v>15</v>
      </c>
      <c r="H260" s="3" t="s">
        <v>575</v>
      </c>
      <c r="I260" s="3">
        <f>VLOOKUP(Table1[[#This Row],[Provider Type]] &amp; Table1[[#This Row],[Provider Type Description]], PROVIDER_TYPE, 2, FALSE)</f>
        <v>105</v>
      </c>
      <c r="J260" s="3">
        <v>150</v>
      </c>
      <c r="K260" s="3" t="s">
        <v>575</v>
      </c>
      <c r="L260" s="3">
        <f>VLOOKUP(TRIM(Table1[[#This Row],[Provider Specialty]]) &amp; TRIM(Table1[[#This Row],[Provider Specialty Description]]), SPECIALTY_TYPE, 2, FALSE)</f>
        <v>1</v>
      </c>
      <c r="M260" s="3" t="s">
        <v>19</v>
      </c>
      <c r="N260" s="27" t="s">
        <v>19</v>
      </c>
      <c r="O260" s="38">
        <f>VLOOKUP(TRIM(Table1[[#This Row],[Provider Specialty]]) &amp; TRIM(Table1[[#This Row],[Provider Specialty Description]]), SPECIALTY_TYPE, 2, FALSE)</f>
        <v>1</v>
      </c>
      <c r="P260" s="3" t="str">
        <f>Table1[[#This Row],[Provider Type]] &amp; "+" &amp; Table1[[#This Row],[Provider Type Description]]</f>
        <v>15+Chiropractor</v>
      </c>
      <c r="Q260" s="7" t="str">
        <f>Table1[[#This Row],[Provider Specialty]] &amp; "+" &amp; Table1[[#This Row],[Provider Specialty Description]]</f>
        <v>150+Chiropractor</v>
      </c>
      <c r="R260" s="7" t="str">
        <f>Table1[[#This Row],[PDMS Specialty Type ID]] &amp; "+" &amp; Table1[[#This Row],[PDMS Provider Type ID]] &amp; "+" &amp;Table1[[#This Row],[TAXONOMY]]</f>
        <v>1+105+111NX0100X</v>
      </c>
      <c r="S2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(9270, 1, 105, N'111NX0100X', N'Chiropractor - Occupational Medicine')</v>
      </c>
    </row>
    <row r="261" spans="1:19" ht="47.25" customHeight="1" x14ac:dyDescent="0.25">
      <c r="A261" s="22" t="s">
        <v>227</v>
      </c>
      <c r="B261" s="3" t="s">
        <v>572</v>
      </c>
      <c r="C261" s="3" t="s">
        <v>573</v>
      </c>
      <c r="D261" s="3" t="s">
        <v>593</v>
      </c>
      <c r="E261" s="3" t="s">
        <v>594</v>
      </c>
      <c r="F261" s="3">
        <f>VLOOKUP(Table1[[#This Row],[Column2]], TAXONOMY_TYPE, 2, FALSE)</f>
        <v>9271</v>
      </c>
      <c r="G261" s="3">
        <v>15</v>
      </c>
      <c r="H261" s="3" t="s">
        <v>575</v>
      </c>
      <c r="I261" s="3">
        <f>VLOOKUP(Table1[[#This Row],[Provider Type]] &amp; Table1[[#This Row],[Provider Type Description]], PROVIDER_TYPE, 2, FALSE)</f>
        <v>105</v>
      </c>
      <c r="J261" s="3">
        <v>150</v>
      </c>
      <c r="K261" s="3" t="s">
        <v>575</v>
      </c>
      <c r="L261" s="3">
        <f>VLOOKUP(TRIM(Table1[[#This Row],[Provider Specialty]]) &amp; TRIM(Table1[[#This Row],[Provider Specialty Description]]), SPECIALTY_TYPE, 2, FALSE)</f>
        <v>1</v>
      </c>
      <c r="M261" s="3" t="s">
        <v>19</v>
      </c>
      <c r="N261" s="27" t="s">
        <v>19</v>
      </c>
      <c r="O261" s="38">
        <f>VLOOKUP(TRIM(Table1[[#This Row],[Provider Specialty]]) &amp; TRIM(Table1[[#This Row],[Provider Specialty Description]]), SPECIALTY_TYPE, 2, FALSE)</f>
        <v>1</v>
      </c>
      <c r="P261" s="3" t="str">
        <f>Table1[[#This Row],[Provider Type]] &amp; "+" &amp; Table1[[#This Row],[Provider Type Description]]</f>
        <v>15+Chiropractor</v>
      </c>
      <c r="Q261" s="7" t="str">
        <f>Table1[[#This Row],[Provider Specialty]] &amp; "+" &amp; Table1[[#This Row],[Provider Specialty Description]]</f>
        <v>150+Chiropractor</v>
      </c>
      <c r="R261" s="7" t="str">
        <f>Table1[[#This Row],[PDMS Specialty Type ID]] &amp; "+" &amp; Table1[[#This Row],[PDMS Provider Type ID]] &amp; "+" &amp;Table1[[#This Row],[TAXONOMY]]</f>
        <v>1+105+111NX0800X</v>
      </c>
      <c r="S2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(9271, 1, 105, N'111NX0800X', N'Chiropractor - Orthopedic')</v>
      </c>
    </row>
    <row r="262" spans="1:19" ht="47.25" customHeight="1" x14ac:dyDescent="0.25">
      <c r="A262" s="22" t="s">
        <v>227</v>
      </c>
      <c r="B262" s="3" t="s">
        <v>337</v>
      </c>
      <c r="C262" s="3" t="s">
        <v>711</v>
      </c>
      <c r="D262" s="3" t="s">
        <v>711</v>
      </c>
      <c r="E262" s="3" t="s">
        <v>712</v>
      </c>
      <c r="F262" s="3">
        <f>VLOOKUP(Table1[[#This Row],[Column2]], TAXONOMY_TYPE, 2, FALSE)</f>
        <v>9272</v>
      </c>
      <c r="G262" s="3">
        <v>17</v>
      </c>
      <c r="H262" s="3" t="s">
        <v>664</v>
      </c>
      <c r="I262" s="3">
        <f>VLOOKUP(Table1[[#This Row],[Provider Type]] &amp; Table1[[#This Row],[Provider Type Description]], PROVIDER_TYPE, 2, FALSE)</f>
        <v>108</v>
      </c>
      <c r="J262" s="3">
        <v>170</v>
      </c>
      <c r="K262" s="3" t="s">
        <v>713</v>
      </c>
      <c r="L262" s="3">
        <f>VLOOKUP(TRIM(Table1[[#This Row],[Provider Specialty]]) &amp; TRIM(Table1[[#This Row],[Provider Specialty Description]]), SPECIALTY_TYPE, 2, FALSE)</f>
        <v>2216</v>
      </c>
      <c r="M262" s="3" t="s">
        <v>19</v>
      </c>
      <c r="N262" s="27" t="s">
        <v>19</v>
      </c>
      <c r="O262" s="38">
        <f>VLOOKUP(TRIM(Table1[[#This Row],[Provider Specialty]]) &amp; TRIM(Table1[[#This Row],[Provider Specialty Description]]), SPECIALTY_TYPE, 2, FALSE)</f>
        <v>2216</v>
      </c>
      <c r="P262" s="3" t="str">
        <f>Table1[[#This Row],[Provider Type]] &amp; "+" &amp; Table1[[#This Row],[Provider Type Description]]</f>
        <v>17+Therapist</v>
      </c>
      <c r="Q262" s="7" t="str">
        <f>Table1[[#This Row],[Provider Specialty]] &amp; "+" &amp; Table1[[#This Row],[Provider Specialty Description]]</f>
        <v>170+Physical Therapist</v>
      </c>
      <c r="R262" s="7" t="str">
        <f>Table1[[#This Row],[PDMS Specialty Type ID]] &amp; "+" &amp; Table1[[#This Row],[PDMS Provider Type ID]] &amp; "+" &amp;Table1[[#This Row],[TAXONOMY]]</f>
        <v>2216+108+171100000X</v>
      </c>
      <c r="S2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(9272, 2216, 108, N'171100000X', N'Acupuncturist - Acupuncturist')</v>
      </c>
    </row>
    <row r="263" spans="1:19" ht="47.25" customHeight="1" x14ac:dyDescent="0.25">
      <c r="A263" s="22" t="s">
        <v>227</v>
      </c>
      <c r="B263" s="3" t="s">
        <v>337</v>
      </c>
      <c r="C263" s="3" t="s">
        <v>714</v>
      </c>
      <c r="D263" s="3" t="s">
        <v>714</v>
      </c>
      <c r="E263" s="3" t="s">
        <v>715</v>
      </c>
      <c r="F263" s="3">
        <f>VLOOKUP(Table1[[#This Row],[Column2]], TAXONOMY_TYPE, 2, FALSE)</f>
        <v>9273</v>
      </c>
      <c r="G263" s="3">
        <v>17</v>
      </c>
      <c r="H263" s="3" t="s">
        <v>664</v>
      </c>
      <c r="I263" s="3">
        <f>VLOOKUP(Table1[[#This Row],[Provider Type]] &amp; Table1[[#This Row],[Provider Type Description]], PROVIDER_TYPE, 2, FALSE)</f>
        <v>108</v>
      </c>
      <c r="J263" s="3">
        <v>170</v>
      </c>
      <c r="K263" s="3" t="s">
        <v>713</v>
      </c>
      <c r="L263" s="3">
        <f>VLOOKUP(TRIM(Table1[[#This Row],[Provider Specialty]]) &amp; TRIM(Table1[[#This Row],[Provider Specialty Description]]), SPECIALTY_TYPE, 2, FALSE)</f>
        <v>2216</v>
      </c>
      <c r="M263" s="3" t="s">
        <v>19</v>
      </c>
      <c r="N263" s="27" t="s">
        <v>19</v>
      </c>
      <c r="O263" s="38">
        <f>VLOOKUP(TRIM(Table1[[#This Row],[Provider Specialty]]) &amp; TRIM(Table1[[#This Row],[Provider Specialty Description]]), SPECIALTY_TYPE, 2, FALSE)</f>
        <v>2216</v>
      </c>
      <c r="P263" s="3" t="str">
        <f>Table1[[#This Row],[Provider Type]] &amp; "+" &amp; Table1[[#This Row],[Provider Type Description]]</f>
        <v>17+Therapist</v>
      </c>
      <c r="Q263" s="7" t="str">
        <f>Table1[[#This Row],[Provider Specialty]] &amp; "+" &amp; Table1[[#This Row],[Provider Specialty Description]]</f>
        <v>170+Physical Therapist</v>
      </c>
      <c r="R263" s="7" t="str">
        <f>Table1[[#This Row],[PDMS Specialty Type ID]] &amp; "+" &amp; Table1[[#This Row],[PDMS Provider Type ID]] &amp; "+" &amp;Table1[[#This Row],[TAXONOMY]]</f>
        <v>2216+108+172M00000X</v>
      </c>
      <c r="S2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(9273, 2216, 108, N'172M00000X', N'Mechanotherapist** - Mechanotherapist**')</v>
      </c>
    </row>
    <row r="264" spans="1:19" ht="47.25" customHeight="1" x14ac:dyDescent="0.25">
      <c r="A264" s="22" t="s">
        <v>227</v>
      </c>
      <c r="B264" s="3" t="s">
        <v>661</v>
      </c>
      <c r="C264" s="3" t="s">
        <v>716</v>
      </c>
      <c r="D264" s="3" t="s">
        <v>716</v>
      </c>
      <c r="E264" s="3" t="s">
        <v>717</v>
      </c>
      <c r="F264" s="3">
        <f>VLOOKUP(Table1[[#This Row],[Column2]], TAXONOMY_TYPE, 2, FALSE)</f>
        <v>9274</v>
      </c>
      <c r="G264" s="3">
        <v>17</v>
      </c>
      <c r="H264" s="3" t="s">
        <v>664</v>
      </c>
      <c r="I264" s="3">
        <f>VLOOKUP(Table1[[#This Row],[Provider Type]] &amp; Table1[[#This Row],[Provider Type Description]], PROVIDER_TYPE, 2, FALSE)</f>
        <v>108</v>
      </c>
      <c r="J264" s="3">
        <v>170</v>
      </c>
      <c r="K264" s="3" t="s">
        <v>713</v>
      </c>
      <c r="L264" s="3">
        <f>VLOOKUP(TRIM(Table1[[#This Row],[Provider Specialty]]) &amp; TRIM(Table1[[#This Row],[Provider Specialty Description]]), SPECIALTY_TYPE, 2, FALSE)</f>
        <v>2216</v>
      </c>
      <c r="M264" s="3" t="s">
        <v>19</v>
      </c>
      <c r="N264" s="27" t="s">
        <v>19</v>
      </c>
      <c r="O264" s="38">
        <f>VLOOKUP(TRIM(Table1[[#This Row],[Provider Specialty]]) &amp; TRIM(Table1[[#This Row],[Provider Specialty Description]]), SPECIALTY_TYPE, 2, FALSE)</f>
        <v>2216</v>
      </c>
      <c r="P264" s="3" t="str">
        <f>Table1[[#This Row],[Provider Type]] &amp; "+" &amp; Table1[[#This Row],[Provider Type Description]]</f>
        <v>17+Therapist</v>
      </c>
      <c r="Q264" s="7" t="str">
        <f>Table1[[#This Row],[Provider Specialty]] &amp; "+" &amp; Table1[[#This Row],[Provider Specialty Description]]</f>
        <v>170+Physical Therapist</v>
      </c>
      <c r="R264" s="7" t="str">
        <f>Table1[[#This Row],[PDMS Specialty Type ID]] &amp; "+" &amp; Table1[[#This Row],[PDMS Provider Type ID]] &amp; "+" &amp;Table1[[#This Row],[TAXONOMY]]</f>
        <v>2216+108+225100000X</v>
      </c>
      <c r="S2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(9274, 2216, 108, N'225100000X', N'Physical Therapist - Physical Therapist')</v>
      </c>
    </row>
    <row r="265" spans="1:19" ht="47.25" customHeight="1" x14ac:dyDescent="0.25">
      <c r="A265" s="22" t="s">
        <v>227</v>
      </c>
      <c r="B265" s="3" t="s">
        <v>661</v>
      </c>
      <c r="C265" s="3" t="s">
        <v>716</v>
      </c>
      <c r="D265" s="3" t="s">
        <v>718</v>
      </c>
      <c r="E265" s="3" t="s">
        <v>719</v>
      </c>
      <c r="F265" s="3">
        <f>VLOOKUP(Table1[[#This Row],[Column2]], TAXONOMY_TYPE, 2, FALSE)</f>
        <v>9275</v>
      </c>
      <c r="G265" s="3">
        <v>17</v>
      </c>
      <c r="H265" s="3" t="s">
        <v>664</v>
      </c>
      <c r="I265" s="3">
        <f>VLOOKUP(Table1[[#This Row],[Provider Type]] &amp; Table1[[#This Row],[Provider Type Description]], PROVIDER_TYPE, 2, FALSE)</f>
        <v>108</v>
      </c>
      <c r="J265" s="3">
        <v>170</v>
      </c>
      <c r="K265" s="3" t="s">
        <v>713</v>
      </c>
      <c r="L265" s="3">
        <f>VLOOKUP(TRIM(Table1[[#This Row],[Provider Specialty]]) &amp; TRIM(Table1[[#This Row],[Provider Specialty Description]]), SPECIALTY_TYPE, 2, FALSE)</f>
        <v>2216</v>
      </c>
      <c r="M265" s="3" t="s">
        <v>19</v>
      </c>
      <c r="N265" s="27" t="s">
        <v>19</v>
      </c>
      <c r="O265" s="38">
        <f>VLOOKUP(TRIM(Table1[[#This Row],[Provider Specialty]]) &amp; TRIM(Table1[[#This Row],[Provider Specialty Description]]), SPECIALTY_TYPE, 2, FALSE)</f>
        <v>2216</v>
      </c>
      <c r="P265" s="3" t="str">
        <f>Table1[[#This Row],[Provider Type]] &amp; "+" &amp; Table1[[#This Row],[Provider Type Description]]</f>
        <v>17+Therapist</v>
      </c>
      <c r="Q265" s="7" t="str">
        <f>Table1[[#This Row],[Provider Specialty]] &amp; "+" &amp; Table1[[#This Row],[Provider Specialty Description]]</f>
        <v>170+Physical Therapist</v>
      </c>
      <c r="R265" s="7" t="str">
        <f>Table1[[#This Row],[PDMS Specialty Type ID]] &amp; "+" &amp; Table1[[#This Row],[PDMS Provider Type ID]] &amp; "+" &amp;Table1[[#This Row],[TAXONOMY]]</f>
        <v>2216+108+2251C2600X</v>
      </c>
      <c r="S2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(9275, 2216, 108, N'2251C2600X', N'Physical Therapist - Cardiopulmonary')</v>
      </c>
    </row>
    <row r="266" spans="1:19" ht="47.25" customHeight="1" x14ac:dyDescent="0.25">
      <c r="A266" s="22" t="s">
        <v>227</v>
      </c>
      <c r="B266" s="3" t="s">
        <v>661</v>
      </c>
      <c r="C266" s="3" t="s">
        <v>716</v>
      </c>
      <c r="D266" s="3" t="s">
        <v>720</v>
      </c>
      <c r="E266" s="3" t="s">
        <v>721</v>
      </c>
      <c r="F266" s="3">
        <f>VLOOKUP(Table1[[#This Row],[Column2]], TAXONOMY_TYPE, 2, FALSE)</f>
        <v>9276</v>
      </c>
      <c r="G266" s="3">
        <v>17</v>
      </c>
      <c r="H266" s="3" t="s">
        <v>664</v>
      </c>
      <c r="I266" s="3">
        <f>VLOOKUP(Table1[[#This Row],[Provider Type]] &amp; Table1[[#This Row],[Provider Type Description]], PROVIDER_TYPE, 2, FALSE)</f>
        <v>108</v>
      </c>
      <c r="J266" s="3">
        <v>170</v>
      </c>
      <c r="K266" s="3" t="s">
        <v>713</v>
      </c>
      <c r="L266" s="3">
        <f>VLOOKUP(TRIM(Table1[[#This Row],[Provider Specialty]]) &amp; TRIM(Table1[[#This Row],[Provider Specialty Description]]), SPECIALTY_TYPE, 2, FALSE)</f>
        <v>2216</v>
      </c>
      <c r="M266" s="3" t="s">
        <v>19</v>
      </c>
      <c r="N266" s="27" t="s">
        <v>19</v>
      </c>
      <c r="O266" s="38">
        <f>VLOOKUP(TRIM(Table1[[#This Row],[Provider Specialty]]) &amp; TRIM(Table1[[#This Row],[Provider Specialty Description]]), SPECIALTY_TYPE, 2, FALSE)</f>
        <v>2216</v>
      </c>
      <c r="P266" s="3" t="str">
        <f>Table1[[#This Row],[Provider Type]] &amp; "+" &amp; Table1[[#This Row],[Provider Type Description]]</f>
        <v>17+Therapist</v>
      </c>
      <c r="Q266" s="7" t="str">
        <f>Table1[[#This Row],[Provider Specialty]] &amp; "+" &amp; Table1[[#This Row],[Provider Specialty Description]]</f>
        <v>170+Physical Therapist</v>
      </c>
      <c r="R266" s="7" t="str">
        <f>Table1[[#This Row],[PDMS Specialty Type ID]] &amp; "+" &amp; Table1[[#This Row],[PDMS Provider Type ID]] &amp; "+" &amp;Table1[[#This Row],[TAXONOMY]]</f>
        <v>2216+108+2251E1200X</v>
      </c>
      <c r="S2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(9276, 2216, 108, N'2251E1200X', N'Physical Therapist - Ergonomics')</v>
      </c>
    </row>
    <row r="267" spans="1:19" ht="47.25" customHeight="1" x14ac:dyDescent="0.25">
      <c r="A267" s="22" t="s">
        <v>227</v>
      </c>
      <c r="B267" s="3" t="s">
        <v>661</v>
      </c>
      <c r="C267" s="3" t="s">
        <v>716</v>
      </c>
      <c r="D267" s="3" t="s">
        <v>722</v>
      </c>
      <c r="E267" s="3" t="s">
        <v>723</v>
      </c>
      <c r="F267" s="3">
        <f>VLOOKUP(Table1[[#This Row],[Column2]], TAXONOMY_TYPE, 2, FALSE)</f>
        <v>9277</v>
      </c>
      <c r="G267" s="3">
        <v>17</v>
      </c>
      <c r="H267" s="3" t="s">
        <v>664</v>
      </c>
      <c r="I267" s="3">
        <f>VLOOKUP(Table1[[#This Row],[Provider Type]] &amp; Table1[[#This Row],[Provider Type Description]], PROVIDER_TYPE, 2, FALSE)</f>
        <v>108</v>
      </c>
      <c r="J267" s="3">
        <v>170</v>
      </c>
      <c r="K267" s="3" t="s">
        <v>713</v>
      </c>
      <c r="L267" s="3">
        <f>VLOOKUP(TRIM(Table1[[#This Row],[Provider Specialty]]) &amp; TRIM(Table1[[#This Row],[Provider Specialty Description]]), SPECIALTY_TYPE, 2, FALSE)</f>
        <v>2216</v>
      </c>
      <c r="M267" s="3" t="s">
        <v>19</v>
      </c>
      <c r="N267" s="27" t="s">
        <v>19</v>
      </c>
      <c r="O267" s="38">
        <f>VLOOKUP(TRIM(Table1[[#This Row],[Provider Specialty]]) &amp; TRIM(Table1[[#This Row],[Provider Specialty Description]]), SPECIALTY_TYPE, 2, FALSE)</f>
        <v>2216</v>
      </c>
      <c r="P267" s="3" t="str">
        <f>Table1[[#This Row],[Provider Type]] &amp; "+" &amp; Table1[[#This Row],[Provider Type Description]]</f>
        <v>17+Therapist</v>
      </c>
      <c r="Q267" s="7" t="str">
        <f>Table1[[#This Row],[Provider Specialty]] &amp; "+" &amp; Table1[[#This Row],[Provider Specialty Description]]</f>
        <v>170+Physical Therapist</v>
      </c>
      <c r="R267" s="7" t="str">
        <f>Table1[[#This Row],[PDMS Specialty Type ID]] &amp; "+" &amp; Table1[[#This Row],[PDMS Provider Type ID]] &amp; "+" &amp;Table1[[#This Row],[TAXONOMY]]</f>
        <v>2216+108+2251E1300X</v>
      </c>
      <c r="S2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(9277, 2216, 108, N'2251E1300X', N'Physical Therapist - Electrophysiology, Clinical')</v>
      </c>
    </row>
    <row r="268" spans="1:19" ht="47.25" customHeight="1" x14ac:dyDescent="0.25">
      <c r="A268" s="22" t="s">
        <v>227</v>
      </c>
      <c r="B268" s="3" t="s">
        <v>661</v>
      </c>
      <c r="C268" s="3" t="s">
        <v>716</v>
      </c>
      <c r="D268" s="3" t="s">
        <v>724</v>
      </c>
      <c r="E268" s="3" t="s">
        <v>725</v>
      </c>
      <c r="F268" s="3">
        <f>VLOOKUP(Table1[[#This Row],[Column2]], TAXONOMY_TYPE, 2, FALSE)</f>
        <v>9278</v>
      </c>
      <c r="G268" s="3">
        <v>17</v>
      </c>
      <c r="H268" s="3" t="s">
        <v>664</v>
      </c>
      <c r="I268" s="3">
        <f>VLOOKUP(Table1[[#This Row],[Provider Type]] &amp; Table1[[#This Row],[Provider Type Description]], PROVIDER_TYPE, 2, FALSE)</f>
        <v>108</v>
      </c>
      <c r="J268" s="3">
        <v>170</v>
      </c>
      <c r="K268" s="3" t="s">
        <v>713</v>
      </c>
      <c r="L268" s="3">
        <f>VLOOKUP(TRIM(Table1[[#This Row],[Provider Specialty]]) &amp; TRIM(Table1[[#This Row],[Provider Specialty Description]]), SPECIALTY_TYPE, 2, FALSE)</f>
        <v>2216</v>
      </c>
      <c r="M268" s="3" t="s">
        <v>19</v>
      </c>
      <c r="N268" s="27" t="s">
        <v>19</v>
      </c>
      <c r="O268" s="38">
        <f>VLOOKUP(TRIM(Table1[[#This Row],[Provider Specialty]]) &amp; TRIM(Table1[[#This Row],[Provider Specialty Description]]), SPECIALTY_TYPE, 2, FALSE)</f>
        <v>2216</v>
      </c>
      <c r="P268" s="3" t="str">
        <f>Table1[[#This Row],[Provider Type]] &amp; "+" &amp; Table1[[#This Row],[Provider Type Description]]</f>
        <v>17+Therapist</v>
      </c>
      <c r="Q268" s="7" t="str">
        <f>Table1[[#This Row],[Provider Specialty]] &amp; "+" &amp; Table1[[#This Row],[Provider Specialty Description]]</f>
        <v>170+Physical Therapist</v>
      </c>
      <c r="R268" s="7" t="str">
        <f>Table1[[#This Row],[PDMS Specialty Type ID]] &amp; "+" &amp; Table1[[#This Row],[PDMS Provider Type ID]] &amp; "+" &amp;Table1[[#This Row],[TAXONOMY]]</f>
        <v>2216+108+2251G0304X</v>
      </c>
      <c r="S2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(9278, 2216, 108, N'2251G0304X', N'Physical Therapist - Geriatrics')</v>
      </c>
    </row>
    <row r="269" spans="1:19" ht="47.25" customHeight="1" x14ac:dyDescent="0.25">
      <c r="A269" s="22" t="s">
        <v>227</v>
      </c>
      <c r="B269" s="3" t="s">
        <v>661</v>
      </c>
      <c r="C269" s="3" t="s">
        <v>716</v>
      </c>
      <c r="D269" s="3" t="s">
        <v>726</v>
      </c>
      <c r="E269" s="3" t="s">
        <v>727</v>
      </c>
      <c r="F269" s="3">
        <f>VLOOKUP(Table1[[#This Row],[Column2]], TAXONOMY_TYPE, 2, FALSE)</f>
        <v>9279</v>
      </c>
      <c r="G269" s="3">
        <v>17</v>
      </c>
      <c r="H269" s="3" t="s">
        <v>664</v>
      </c>
      <c r="I269" s="3">
        <f>VLOOKUP(Table1[[#This Row],[Provider Type]] &amp; Table1[[#This Row],[Provider Type Description]], PROVIDER_TYPE, 2, FALSE)</f>
        <v>108</v>
      </c>
      <c r="J269" s="3">
        <v>170</v>
      </c>
      <c r="K269" s="3" t="s">
        <v>713</v>
      </c>
      <c r="L269" s="3">
        <f>VLOOKUP(TRIM(Table1[[#This Row],[Provider Specialty]]) &amp; TRIM(Table1[[#This Row],[Provider Specialty Description]]), SPECIALTY_TYPE, 2, FALSE)</f>
        <v>2216</v>
      </c>
      <c r="M269" s="3" t="s">
        <v>19</v>
      </c>
      <c r="N269" s="27" t="s">
        <v>19</v>
      </c>
      <c r="O269" s="38">
        <f>VLOOKUP(TRIM(Table1[[#This Row],[Provider Specialty]]) &amp; TRIM(Table1[[#This Row],[Provider Specialty Description]]), SPECIALTY_TYPE, 2, FALSE)</f>
        <v>2216</v>
      </c>
      <c r="P269" s="3" t="str">
        <f>Table1[[#This Row],[Provider Type]] &amp; "+" &amp; Table1[[#This Row],[Provider Type Description]]</f>
        <v>17+Therapist</v>
      </c>
      <c r="Q269" s="7" t="str">
        <f>Table1[[#This Row],[Provider Specialty]] &amp; "+" &amp; Table1[[#This Row],[Provider Specialty Description]]</f>
        <v>170+Physical Therapist</v>
      </c>
      <c r="R269" s="7" t="str">
        <f>Table1[[#This Row],[PDMS Specialty Type ID]] &amp; "+" &amp; Table1[[#This Row],[PDMS Provider Type ID]] &amp; "+" &amp;Table1[[#This Row],[TAXONOMY]]</f>
        <v>2216+108+2251H1200X</v>
      </c>
      <c r="S2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(9279, 2216, 108, N'2251H1200X', N'Physical Therapist - Hand')</v>
      </c>
    </row>
    <row r="270" spans="1:19" ht="47.25" customHeight="1" x14ac:dyDescent="0.25">
      <c r="A270" s="22" t="s">
        <v>227</v>
      </c>
      <c r="B270" s="3" t="s">
        <v>661</v>
      </c>
      <c r="C270" s="3" t="s">
        <v>716</v>
      </c>
      <c r="D270" s="3" t="s">
        <v>728</v>
      </c>
      <c r="E270" s="3" t="s">
        <v>729</v>
      </c>
      <c r="F270" s="3">
        <f>VLOOKUP(Table1[[#This Row],[Column2]], TAXONOMY_TYPE, 2, FALSE)</f>
        <v>9280</v>
      </c>
      <c r="G270" s="3">
        <v>17</v>
      </c>
      <c r="H270" s="3" t="s">
        <v>664</v>
      </c>
      <c r="I270" s="3">
        <f>VLOOKUP(Table1[[#This Row],[Provider Type]] &amp; Table1[[#This Row],[Provider Type Description]], PROVIDER_TYPE, 2, FALSE)</f>
        <v>108</v>
      </c>
      <c r="J270" s="3">
        <v>170</v>
      </c>
      <c r="K270" s="3" t="s">
        <v>713</v>
      </c>
      <c r="L270" s="3">
        <f>VLOOKUP(TRIM(Table1[[#This Row],[Provider Specialty]]) &amp; TRIM(Table1[[#This Row],[Provider Specialty Description]]), SPECIALTY_TYPE, 2, FALSE)</f>
        <v>2216</v>
      </c>
      <c r="M270" s="3" t="s">
        <v>19</v>
      </c>
      <c r="N270" s="27" t="s">
        <v>19</v>
      </c>
      <c r="O270" s="38">
        <f>VLOOKUP(TRIM(Table1[[#This Row],[Provider Specialty]]) &amp; TRIM(Table1[[#This Row],[Provider Specialty Description]]), SPECIALTY_TYPE, 2, FALSE)</f>
        <v>2216</v>
      </c>
      <c r="P270" s="3" t="str">
        <f>Table1[[#This Row],[Provider Type]] &amp; "+" &amp; Table1[[#This Row],[Provider Type Description]]</f>
        <v>17+Therapist</v>
      </c>
      <c r="Q270" s="7" t="str">
        <f>Table1[[#This Row],[Provider Specialty]] &amp; "+" &amp; Table1[[#This Row],[Provider Specialty Description]]</f>
        <v>170+Physical Therapist</v>
      </c>
      <c r="R270" s="7" t="str">
        <f>Table1[[#This Row],[PDMS Specialty Type ID]] &amp; "+" &amp; Table1[[#This Row],[PDMS Provider Type ID]] &amp; "+" &amp;Table1[[#This Row],[TAXONOMY]]</f>
        <v>2216+108+2251H1300X</v>
      </c>
      <c r="S2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(9280, 2216, 108, N'2251H1300X', N'Physical Therapist - Human Factors')</v>
      </c>
    </row>
    <row r="271" spans="1:19" ht="47.25" customHeight="1" x14ac:dyDescent="0.25">
      <c r="A271" s="22" t="s">
        <v>227</v>
      </c>
      <c r="B271" s="3" t="s">
        <v>661</v>
      </c>
      <c r="C271" s="3" t="s">
        <v>716</v>
      </c>
      <c r="D271" s="3" t="s">
        <v>580</v>
      </c>
      <c r="E271" s="3" t="s">
        <v>730</v>
      </c>
      <c r="F271" s="3">
        <f>VLOOKUP(Table1[[#This Row],[Column2]], TAXONOMY_TYPE, 2, FALSE)</f>
        <v>9281</v>
      </c>
      <c r="G271" s="3">
        <v>17</v>
      </c>
      <c r="H271" s="3" t="s">
        <v>664</v>
      </c>
      <c r="I271" s="3">
        <f>VLOOKUP(Table1[[#This Row],[Provider Type]] &amp; Table1[[#This Row],[Provider Type Description]], PROVIDER_TYPE, 2, FALSE)</f>
        <v>108</v>
      </c>
      <c r="J271" s="3">
        <v>170</v>
      </c>
      <c r="K271" s="3" t="s">
        <v>713</v>
      </c>
      <c r="L271" s="3">
        <f>VLOOKUP(TRIM(Table1[[#This Row],[Provider Specialty]]) &amp; TRIM(Table1[[#This Row],[Provider Specialty Description]]), SPECIALTY_TYPE, 2, FALSE)</f>
        <v>2216</v>
      </c>
      <c r="M271" s="3" t="s">
        <v>19</v>
      </c>
      <c r="N271" s="27" t="s">
        <v>19</v>
      </c>
      <c r="O271" s="38">
        <f>VLOOKUP(TRIM(Table1[[#This Row],[Provider Specialty]]) &amp; TRIM(Table1[[#This Row],[Provider Specialty Description]]), SPECIALTY_TYPE, 2, FALSE)</f>
        <v>2216</v>
      </c>
      <c r="P271" s="3" t="str">
        <f>Table1[[#This Row],[Provider Type]] &amp; "+" &amp; Table1[[#This Row],[Provider Type Description]]</f>
        <v>17+Therapist</v>
      </c>
      <c r="Q271" s="7" t="str">
        <f>Table1[[#This Row],[Provider Specialty]] &amp; "+" &amp; Table1[[#This Row],[Provider Specialty Description]]</f>
        <v>170+Physical Therapist</v>
      </c>
      <c r="R271" s="7" t="str">
        <f>Table1[[#This Row],[PDMS Specialty Type ID]] &amp; "+" &amp; Table1[[#This Row],[PDMS Provider Type ID]] &amp; "+" &amp;Table1[[#This Row],[TAXONOMY]]</f>
        <v>2216+108+2251N0400X</v>
      </c>
      <c r="S2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(9281, 2216, 108, N'2251N0400X', N'Physical Therapist - Neurology')</v>
      </c>
    </row>
    <row r="272" spans="1:19" ht="47.25" customHeight="1" x14ac:dyDescent="0.25">
      <c r="A272" s="22" t="s">
        <v>227</v>
      </c>
      <c r="B272" s="3" t="s">
        <v>661</v>
      </c>
      <c r="C272" s="3" t="s">
        <v>716</v>
      </c>
      <c r="D272" s="3" t="s">
        <v>325</v>
      </c>
      <c r="E272" s="3" t="s">
        <v>731</v>
      </c>
      <c r="F272" s="3">
        <f>VLOOKUP(Table1[[#This Row],[Column2]], TAXONOMY_TYPE, 2, FALSE)</f>
        <v>9282</v>
      </c>
      <c r="G272" s="3">
        <v>17</v>
      </c>
      <c r="H272" s="3" t="s">
        <v>664</v>
      </c>
      <c r="I272" s="3">
        <f>VLOOKUP(Table1[[#This Row],[Provider Type]] &amp; Table1[[#This Row],[Provider Type Description]], PROVIDER_TYPE, 2, FALSE)</f>
        <v>108</v>
      </c>
      <c r="J272" s="3">
        <v>170</v>
      </c>
      <c r="K272" s="3" t="s">
        <v>713</v>
      </c>
      <c r="L272" s="3">
        <f>VLOOKUP(TRIM(Table1[[#This Row],[Provider Specialty]]) &amp; TRIM(Table1[[#This Row],[Provider Specialty Description]]), SPECIALTY_TYPE, 2, FALSE)</f>
        <v>2216</v>
      </c>
      <c r="M272" s="3" t="s">
        <v>19</v>
      </c>
      <c r="N272" s="27" t="s">
        <v>19</v>
      </c>
      <c r="O272" s="38">
        <f>VLOOKUP(TRIM(Table1[[#This Row],[Provider Specialty]]) &amp; TRIM(Table1[[#This Row],[Provider Specialty Description]]), SPECIALTY_TYPE, 2, FALSE)</f>
        <v>2216</v>
      </c>
      <c r="P272" s="3" t="str">
        <f>Table1[[#This Row],[Provider Type]] &amp; "+" &amp; Table1[[#This Row],[Provider Type Description]]</f>
        <v>17+Therapist</v>
      </c>
      <c r="Q272" s="7" t="str">
        <f>Table1[[#This Row],[Provider Specialty]] &amp; "+" &amp; Table1[[#This Row],[Provider Specialty Description]]</f>
        <v>170+Physical Therapist</v>
      </c>
      <c r="R272" s="7" t="str">
        <f>Table1[[#This Row],[PDMS Specialty Type ID]] &amp; "+" &amp; Table1[[#This Row],[PDMS Provider Type ID]] &amp; "+" &amp;Table1[[#This Row],[TAXONOMY]]</f>
        <v>2216+108+2251P0200X</v>
      </c>
      <c r="S2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(9282, 2216, 108, N'2251P0200X', N'Physical Therapist - Pediatrics')</v>
      </c>
    </row>
    <row r="273" spans="1:19" ht="47.25" customHeight="1" x14ac:dyDescent="0.25">
      <c r="A273" s="22" t="s">
        <v>227</v>
      </c>
      <c r="B273" s="3" t="s">
        <v>661</v>
      </c>
      <c r="C273" s="3" t="s">
        <v>716</v>
      </c>
      <c r="D273" s="3" t="s">
        <v>732</v>
      </c>
      <c r="E273" s="3" t="s">
        <v>733</v>
      </c>
      <c r="F273" s="3">
        <f>VLOOKUP(Table1[[#This Row],[Column2]], TAXONOMY_TYPE, 2, FALSE)</f>
        <v>9283</v>
      </c>
      <c r="G273" s="3">
        <v>17</v>
      </c>
      <c r="H273" s="3" t="s">
        <v>664</v>
      </c>
      <c r="I273" s="3">
        <f>VLOOKUP(Table1[[#This Row],[Provider Type]] &amp; Table1[[#This Row],[Provider Type Description]], PROVIDER_TYPE, 2, FALSE)</f>
        <v>108</v>
      </c>
      <c r="J273" s="3">
        <v>170</v>
      </c>
      <c r="K273" s="3" t="s">
        <v>713</v>
      </c>
      <c r="L273" s="3">
        <f>VLOOKUP(TRIM(Table1[[#This Row],[Provider Specialty]]) &amp; TRIM(Table1[[#This Row],[Provider Specialty Description]]), SPECIALTY_TYPE, 2, FALSE)</f>
        <v>2216</v>
      </c>
      <c r="M273" s="3" t="s">
        <v>19</v>
      </c>
      <c r="N273" s="27" t="s">
        <v>19</v>
      </c>
      <c r="O273" s="38">
        <f>VLOOKUP(TRIM(Table1[[#This Row],[Provider Specialty]]) &amp; TRIM(Table1[[#This Row],[Provider Specialty Description]]), SPECIALTY_TYPE, 2, FALSE)</f>
        <v>2216</v>
      </c>
      <c r="P273" s="3" t="str">
        <f>Table1[[#This Row],[Provider Type]] &amp; "+" &amp; Table1[[#This Row],[Provider Type Description]]</f>
        <v>17+Therapist</v>
      </c>
      <c r="Q273" s="7" t="str">
        <f>Table1[[#This Row],[Provider Specialty]] &amp; "+" &amp; Table1[[#This Row],[Provider Specialty Description]]</f>
        <v>170+Physical Therapist</v>
      </c>
      <c r="R273" s="7" t="str">
        <f>Table1[[#This Row],[PDMS Specialty Type ID]] &amp; "+" &amp; Table1[[#This Row],[PDMS Provider Type ID]] &amp; "+" &amp;Table1[[#This Row],[TAXONOMY]]</f>
        <v>2216+108+2251S0007X</v>
      </c>
      <c r="S2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(9283, 2216, 108, N'2251S0007X', N'Physical Therapist - Sports')</v>
      </c>
    </row>
    <row r="274" spans="1:19" ht="47.25" customHeight="1" x14ac:dyDescent="0.25">
      <c r="A274" s="22" t="s">
        <v>227</v>
      </c>
      <c r="B274" s="3" t="s">
        <v>661</v>
      </c>
      <c r="C274" s="3" t="s">
        <v>716</v>
      </c>
      <c r="D274" s="3" t="s">
        <v>593</v>
      </c>
      <c r="E274" s="3" t="s">
        <v>734</v>
      </c>
      <c r="F274" s="3">
        <f>VLOOKUP(Table1[[#This Row],[Column2]], TAXONOMY_TYPE, 2, FALSE)</f>
        <v>9284</v>
      </c>
      <c r="G274" s="3">
        <v>17</v>
      </c>
      <c r="H274" s="3" t="s">
        <v>664</v>
      </c>
      <c r="I274" s="3">
        <f>VLOOKUP(Table1[[#This Row],[Provider Type]] &amp; Table1[[#This Row],[Provider Type Description]], PROVIDER_TYPE, 2, FALSE)</f>
        <v>108</v>
      </c>
      <c r="J274" s="3">
        <v>170</v>
      </c>
      <c r="K274" s="3" t="s">
        <v>713</v>
      </c>
      <c r="L274" s="3">
        <f>VLOOKUP(TRIM(Table1[[#This Row],[Provider Specialty]]) &amp; TRIM(Table1[[#This Row],[Provider Specialty Description]]), SPECIALTY_TYPE, 2, FALSE)</f>
        <v>2216</v>
      </c>
      <c r="M274" s="3" t="s">
        <v>19</v>
      </c>
      <c r="N274" s="27" t="s">
        <v>19</v>
      </c>
      <c r="O274" s="38">
        <f>VLOOKUP(TRIM(Table1[[#This Row],[Provider Specialty]]) &amp; TRIM(Table1[[#This Row],[Provider Specialty Description]]), SPECIALTY_TYPE, 2, FALSE)</f>
        <v>2216</v>
      </c>
      <c r="P274" s="3" t="str">
        <f>Table1[[#This Row],[Provider Type]] &amp; "+" &amp; Table1[[#This Row],[Provider Type Description]]</f>
        <v>17+Therapist</v>
      </c>
      <c r="Q274" s="7" t="str">
        <f>Table1[[#This Row],[Provider Specialty]] &amp; "+" &amp; Table1[[#This Row],[Provider Specialty Description]]</f>
        <v>170+Physical Therapist</v>
      </c>
      <c r="R274" s="7" t="str">
        <f>Table1[[#This Row],[PDMS Specialty Type ID]] &amp; "+" &amp; Table1[[#This Row],[PDMS Provider Type ID]] &amp; "+" &amp;Table1[[#This Row],[TAXONOMY]]</f>
        <v>2216+108+2251X0800X</v>
      </c>
      <c r="S2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(9284, 2216, 108, N'2251X0800X', N'Physical Therapist - Orthopedic')</v>
      </c>
    </row>
    <row r="275" spans="1:19" ht="47.25" customHeight="1" x14ac:dyDescent="0.25">
      <c r="A275" s="22" t="s">
        <v>227</v>
      </c>
      <c r="B275" s="3" t="s">
        <v>661</v>
      </c>
      <c r="C275" s="3" t="s">
        <v>735</v>
      </c>
      <c r="D275" s="3" t="s">
        <v>735</v>
      </c>
      <c r="E275" s="3" t="s">
        <v>736</v>
      </c>
      <c r="F275" s="3">
        <f>VLOOKUP(Table1[[#This Row],[Column2]], TAXONOMY_TYPE, 2, FALSE)</f>
        <v>9285</v>
      </c>
      <c r="G275" s="3">
        <v>17</v>
      </c>
      <c r="H275" s="3" t="s">
        <v>664</v>
      </c>
      <c r="I275" s="3">
        <f>VLOOKUP(Table1[[#This Row],[Provider Type]] &amp; Table1[[#This Row],[Provider Type Description]], PROVIDER_TYPE, 2, FALSE)</f>
        <v>108</v>
      </c>
      <c r="J275" s="3">
        <v>170</v>
      </c>
      <c r="K275" s="3" t="s">
        <v>713</v>
      </c>
      <c r="L275" s="3">
        <f>VLOOKUP(TRIM(Table1[[#This Row],[Provider Specialty]]) &amp; TRIM(Table1[[#This Row],[Provider Specialty Description]]), SPECIALTY_TYPE, 2, FALSE)</f>
        <v>2216</v>
      </c>
      <c r="M275" s="3" t="s">
        <v>19</v>
      </c>
      <c r="N275" s="27" t="s">
        <v>19</v>
      </c>
      <c r="O275" s="38">
        <f>VLOOKUP(TRIM(Table1[[#This Row],[Provider Specialty]]) &amp; TRIM(Table1[[#This Row],[Provider Specialty Description]]), SPECIALTY_TYPE, 2, FALSE)</f>
        <v>2216</v>
      </c>
      <c r="P275" s="3" t="str">
        <f>Table1[[#This Row],[Provider Type]] &amp; "+" &amp; Table1[[#This Row],[Provider Type Description]]</f>
        <v>17+Therapist</v>
      </c>
      <c r="Q275" s="7" t="str">
        <f>Table1[[#This Row],[Provider Specialty]] &amp; "+" &amp; Table1[[#This Row],[Provider Specialty Description]]</f>
        <v>170+Physical Therapist</v>
      </c>
      <c r="R275" s="7" t="str">
        <f>Table1[[#This Row],[PDMS Specialty Type ID]] &amp; "+" &amp; Table1[[#This Row],[PDMS Provider Type ID]] &amp; "+" &amp;Table1[[#This Row],[TAXONOMY]]</f>
        <v>2216+108+225400000X</v>
      </c>
      <c r="S2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(9285, 2216, 108, N'225400000X', N'Rehabilitation Practitioner - Rehabilitation Practitioner')</v>
      </c>
    </row>
    <row r="276" spans="1:19" ht="47.25" customHeight="1" x14ac:dyDescent="0.25">
      <c r="A276" s="22" t="s">
        <v>227</v>
      </c>
      <c r="B276" s="3" t="s">
        <v>337</v>
      </c>
      <c r="C276" s="3" t="s">
        <v>752</v>
      </c>
      <c r="D276" s="3" t="s">
        <v>753</v>
      </c>
      <c r="E276" s="3" t="s">
        <v>754</v>
      </c>
      <c r="F276" s="3">
        <f>VLOOKUP(Table1[[#This Row],[Column2]], TAXONOMY_TYPE, 2, FALSE)</f>
        <v>9286</v>
      </c>
      <c r="G276" s="3">
        <v>17</v>
      </c>
      <c r="H276" s="3" t="s">
        <v>664</v>
      </c>
      <c r="I276" s="3">
        <f>VLOOKUP(Table1[[#This Row],[Provider Type]] &amp; Table1[[#This Row],[Provider Type Description]], PROVIDER_TYPE, 2, FALSE)</f>
        <v>108</v>
      </c>
      <c r="J276" s="3">
        <v>170</v>
      </c>
      <c r="K276" s="3" t="s">
        <v>713</v>
      </c>
      <c r="L276" s="3">
        <f>VLOOKUP(TRIM(Table1[[#This Row],[Provider Specialty]]) &amp; TRIM(Table1[[#This Row],[Provider Specialty Description]]), SPECIALTY_TYPE, 2, FALSE)</f>
        <v>2216</v>
      </c>
      <c r="M276" s="3" t="s">
        <v>19</v>
      </c>
      <c r="N276" s="27" t="s">
        <v>18</v>
      </c>
      <c r="O276" s="38">
        <f>VLOOKUP(TRIM(Table1[[#This Row],[Provider Specialty]]) &amp; TRIM(Table1[[#This Row],[Provider Specialty Description]]), SPECIALTY_TYPE, 2, FALSE)</f>
        <v>2216</v>
      </c>
      <c r="P276" s="3" t="str">
        <f>Table1[[#This Row],[Provider Type]] &amp; "+" &amp; Table1[[#This Row],[Provider Type Description]]</f>
        <v>17+Therapist</v>
      </c>
      <c r="Q276" s="7" t="str">
        <f>Table1[[#This Row],[Provider Specialty]] &amp; "+" &amp; Table1[[#This Row],[Provider Specialty Description]]</f>
        <v>170+Physical Therapist</v>
      </c>
      <c r="R276" s="7" t="str">
        <f>Table1[[#This Row],[PDMS Specialty Type ID]] &amp; "+" &amp; Table1[[#This Row],[PDMS Provider Type ID]] &amp; "+" &amp;Table1[[#This Row],[TAXONOMY]]</f>
        <v>2216+108+173C00000X</v>
      </c>
      <c r="S2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(9286, 2216, 108, N'173C00000X', N'Reflexologist - Reflexologist*****')</v>
      </c>
    </row>
    <row r="277" spans="1:19" ht="47.25" customHeight="1" x14ac:dyDescent="0.25">
      <c r="A277" s="22" t="s">
        <v>227</v>
      </c>
      <c r="B277" s="3" t="s">
        <v>661</v>
      </c>
      <c r="C277" s="3" t="s">
        <v>737</v>
      </c>
      <c r="D277" s="3" t="s">
        <v>737</v>
      </c>
      <c r="E277" s="3" t="s">
        <v>738</v>
      </c>
      <c r="F277" s="3">
        <f>VLOOKUP(Table1[[#This Row],[Column2]], TAXONOMY_TYPE, 2, FALSE)</f>
        <v>9287</v>
      </c>
      <c r="G277" s="3">
        <v>17</v>
      </c>
      <c r="H277" s="3" t="s">
        <v>664</v>
      </c>
      <c r="I277" s="3">
        <f>VLOOKUP(Table1[[#This Row],[Provider Type]] &amp; Table1[[#This Row],[Provider Type Description]], PROVIDER_TYPE, 2, FALSE)</f>
        <v>108</v>
      </c>
      <c r="J277" s="3">
        <v>171</v>
      </c>
      <c r="K277" s="3" t="s">
        <v>739</v>
      </c>
      <c r="L277" s="3">
        <f>VLOOKUP(TRIM(Table1[[#This Row],[Provider Specialty]]) &amp; TRIM(Table1[[#This Row],[Provider Specialty Description]]), SPECIALTY_TYPE, 2, FALSE)</f>
        <v>2217</v>
      </c>
      <c r="M277" s="3" t="s">
        <v>19</v>
      </c>
      <c r="N277" s="27" t="s">
        <v>19</v>
      </c>
      <c r="O277" s="38">
        <f>VLOOKUP(TRIM(Table1[[#This Row],[Provider Specialty]]) &amp; TRIM(Table1[[#This Row],[Provider Specialty Description]]), SPECIALTY_TYPE, 2, FALSE)</f>
        <v>2217</v>
      </c>
      <c r="P277" s="3" t="str">
        <f>Table1[[#This Row],[Provider Type]] &amp; "+" &amp; Table1[[#This Row],[Provider Type Description]]</f>
        <v>17+Therapist</v>
      </c>
      <c r="Q277" s="7" t="str">
        <f>Table1[[#This Row],[Provider Specialty]] &amp; "+" &amp; Table1[[#This Row],[Provider Specialty Description]]</f>
        <v>171+Occupational Therapist</v>
      </c>
      <c r="R277" s="7" t="str">
        <f>Table1[[#This Row],[PDMS Specialty Type ID]] &amp; "+" &amp; Table1[[#This Row],[PDMS Provider Type ID]] &amp; "+" &amp;Table1[[#This Row],[TAXONOMY]]</f>
        <v>2217+108+225X00000X</v>
      </c>
      <c r="S2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(9287, 2217, 108, N'225X00000X', N'Occupational Therapist - Occupational Therapist')</v>
      </c>
    </row>
    <row r="278" spans="1:19" ht="47.25" customHeight="1" x14ac:dyDescent="0.25">
      <c r="A278" s="22" t="s">
        <v>227</v>
      </c>
      <c r="B278" s="3" t="s">
        <v>661</v>
      </c>
      <c r="C278" s="3" t="s">
        <v>737</v>
      </c>
      <c r="D278" s="3" t="s">
        <v>720</v>
      </c>
      <c r="E278" s="3" t="s">
        <v>740</v>
      </c>
      <c r="F278" s="3">
        <f>VLOOKUP(Table1[[#This Row],[Column2]], TAXONOMY_TYPE, 2, FALSE)</f>
        <v>9288</v>
      </c>
      <c r="G278" s="3">
        <v>17</v>
      </c>
      <c r="H278" s="3" t="s">
        <v>664</v>
      </c>
      <c r="I278" s="3">
        <f>VLOOKUP(Table1[[#This Row],[Provider Type]] &amp; Table1[[#This Row],[Provider Type Description]], PROVIDER_TYPE, 2, FALSE)</f>
        <v>108</v>
      </c>
      <c r="J278" s="3">
        <v>171</v>
      </c>
      <c r="K278" s="3" t="s">
        <v>739</v>
      </c>
      <c r="L278" s="3">
        <f>VLOOKUP(TRIM(Table1[[#This Row],[Provider Specialty]]) &amp; TRIM(Table1[[#This Row],[Provider Specialty Description]]), SPECIALTY_TYPE, 2, FALSE)</f>
        <v>2217</v>
      </c>
      <c r="M278" s="3" t="s">
        <v>19</v>
      </c>
      <c r="N278" s="27" t="s">
        <v>19</v>
      </c>
      <c r="O278" s="38">
        <f>VLOOKUP(TRIM(Table1[[#This Row],[Provider Specialty]]) &amp; TRIM(Table1[[#This Row],[Provider Specialty Description]]), SPECIALTY_TYPE, 2, FALSE)</f>
        <v>2217</v>
      </c>
      <c r="P278" s="3" t="str">
        <f>Table1[[#This Row],[Provider Type]] &amp; "+" &amp; Table1[[#This Row],[Provider Type Description]]</f>
        <v>17+Therapist</v>
      </c>
      <c r="Q278" s="7" t="str">
        <f>Table1[[#This Row],[Provider Specialty]] &amp; "+" &amp; Table1[[#This Row],[Provider Specialty Description]]</f>
        <v>171+Occupational Therapist</v>
      </c>
      <c r="R278" s="7" t="str">
        <f>Table1[[#This Row],[PDMS Specialty Type ID]] &amp; "+" &amp; Table1[[#This Row],[PDMS Provider Type ID]] &amp; "+" &amp;Table1[[#This Row],[TAXONOMY]]</f>
        <v>2217+108+225XE1200X</v>
      </c>
      <c r="S2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(9288, 2217, 108, N'225XE1200X', N'Occupational Therapist - Ergonomics')</v>
      </c>
    </row>
    <row r="279" spans="1:19" ht="47.25" customHeight="1" x14ac:dyDescent="0.25">
      <c r="A279" s="22" t="s">
        <v>227</v>
      </c>
      <c r="B279" s="3" t="s">
        <v>661</v>
      </c>
      <c r="C279" s="3" t="s">
        <v>737</v>
      </c>
      <c r="D279" s="3" t="s">
        <v>726</v>
      </c>
      <c r="E279" s="3" t="s">
        <v>741</v>
      </c>
      <c r="F279" s="3">
        <f>VLOOKUP(Table1[[#This Row],[Column2]], TAXONOMY_TYPE, 2, FALSE)</f>
        <v>9289</v>
      </c>
      <c r="G279" s="3">
        <v>17</v>
      </c>
      <c r="H279" s="3" t="s">
        <v>664</v>
      </c>
      <c r="I279" s="3">
        <f>VLOOKUP(Table1[[#This Row],[Provider Type]] &amp; Table1[[#This Row],[Provider Type Description]], PROVIDER_TYPE, 2, FALSE)</f>
        <v>108</v>
      </c>
      <c r="J279" s="3">
        <v>171</v>
      </c>
      <c r="K279" s="3" t="s">
        <v>739</v>
      </c>
      <c r="L279" s="3">
        <f>VLOOKUP(TRIM(Table1[[#This Row],[Provider Specialty]]) &amp; TRIM(Table1[[#This Row],[Provider Specialty Description]]), SPECIALTY_TYPE, 2, FALSE)</f>
        <v>2217</v>
      </c>
      <c r="M279" s="3" t="s">
        <v>19</v>
      </c>
      <c r="N279" s="27" t="s">
        <v>19</v>
      </c>
      <c r="O279" s="38">
        <f>VLOOKUP(TRIM(Table1[[#This Row],[Provider Specialty]]) &amp; TRIM(Table1[[#This Row],[Provider Specialty Description]]), SPECIALTY_TYPE, 2, FALSE)</f>
        <v>2217</v>
      </c>
      <c r="P279" s="3" t="str">
        <f>Table1[[#This Row],[Provider Type]] &amp; "+" &amp; Table1[[#This Row],[Provider Type Description]]</f>
        <v>17+Therapist</v>
      </c>
      <c r="Q279" s="7" t="str">
        <f>Table1[[#This Row],[Provider Specialty]] &amp; "+" &amp; Table1[[#This Row],[Provider Specialty Description]]</f>
        <v>171+Occupational Therapist</v>
      </c>
      <c r="R279" s="7" t="str">
        <f>Table1[[#This Row],[PDMS Specialty Type ID]] &amp; "+" &amp; Table1[[#This Row],[PDMS Provider Type ID]] &amp; "+" &amp;Table1[[#This Row],[TAXONOMY]]</f>
        <v>2217+108+225XH1200X</v>
      </c>
      <c r="S2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(9289, 2217, 108, N'225XH1200X', N'Occupational Therapist - Hand')</v>
      </c>
    </row>
    <row r="280" spans="1:19" ht="47.25" customHeight="1" x14ac:dyDescent="0.25">
      <c r="A280" s="22" t="s">
        <v>227</v>
      </c>
      <c r="B280" s="3" t="s">
        <v>661</v>
      </c>
      <c r="C280" s="3" t="s">
        <v>737</v>
      </c>
      <c r="D280" s="3" t="s">
        <v>728</v>
      </c>
      <c r="E280" s="3" t="s">
        <v>742</v>
      </c>
      <c r="F280" s="3">
        <f>VLOOKUP(Table1[[#This Row],[Column2]], TAXONOMY_TYPE, 2, FALSE)</f>
        <v>9290</v>
      </c>
      <c r="G280" s="3">
        <v>17</v>
      </c>
      <c r="H280" s="3" t="s">
        <v>664</v>
      </c>
      <c r="I280" s="3">
        <f>VLOOKUP(Table1[[#This Row],[Provider Type]] &amp; Table1[[#This Row],[Provider Type Description]], PROVIDER_TYPE, 2, FALSE)</f>
        <v>108</v>
      </c>
      <c r="J280" s="3">
        <v>171</v>
      </c>
      <c r="K280" s="3" t="s">
        <v>739</v>
      </c>
      <c r="L280" s="3">
        <f>VLOOKUP(TRIM(Table1[[#This Row],[Provider Specialty]]) &amp; TRIM(Table1[[#This Row],[Provider Specialty Description]]), SPECIALTY_TYPE, 2, FALSE)</f>
        <v>2217</v>
      </c>
      <c r="M280" s="3" t="s">
        <v>19</v>
      </c>
      <c r="N280" s="27" t="s">
        <v>19</v>
      </c>
      <c r="O280" s="38">
        <f>VLOOKUP(TRIM(Table1[[#This Row],[Provider Specialty]]) &amp; TRIM(Table1[[#This Row],[Provider Specialty Description]]), SPECIALTY_TYPE, 2, FALSE)</f>
        <v>2217</v>
      </c>
      <c r="P280" s="3" t="str">
        <f>Table1[[#This Row],[Provider Type]] &amp; "+" &amp; Table1[[#This Row],[Provider Type Description]]</f>
        <v>17+Therapist</v>
      </c>
      <c r="Q280" s="7" t="str">
        <f>Table1[[#This Row],[Provider Specialty]] &amp; "+" &amp; Table1[[#This Row],[Provider Specialty Description]]</f>
        <v>171+Occupational Therapist</v>
      </c>
      <c r="R280" s="7" t="str">
        <f>Table1[[#This Row],[PDMS Specialty Type ID]] &amp; "+" &amp; Table1[[#This Row],[PDMS Provider Type ID]] &amp; "+" &amp;Table1[[#This Row],[TAXONOMY]]</f>
        <v>2217+108+225XH1300X</v>
      </c>
      <c r="S2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(9290, 2217, 108, N'225XH1300X', N'Occupational Therapist - Human Factors')</v>
      </c>
    </row>
    <row r="281" spans="1:19" ht="47.25" customHeight="1" x14ac:dyDescent="0.25">
      <c r="A281" s="22" t="s">
        <v>227</v>
      </c>
      <c r="B281" s="3" t="s">
        <v>661</v>
      </c>
      <c r="C281" s="3" t="s">
        <v>737</v>
      </c>
      <c r="D281" s="3" t="s">
        <v>743</v>
      </c>
      <c r="E281" s="3" t="s">
        <v>744</v>
      </c>
      <c r="F281" s="3">
        <f>VLOOKUP(Table1[[#This Row],[Column2]], TAXONOMY_TYPE, 2, FALSE)</f>
        <v>9291</v>
      </c>
      <c r="G281" s="3">
        <v>17</v>
      </c>
      <c r="H281" s="3" t="s">
        <v>664</v>
      </c>
      <c r="I281" s="3">
        <f>VLOOKUP(Table1[[#This Row],[Provider Type]] &amp; Table1[[#This Row],[Provider Type Description]], PROVIDER_TYPE, 2, FALSE)</f>
        <v>108</v>
      </c>
      <c r="J281" s="3">
        <v>171</v>
      </c>
      <c r="K281" s="3" t="s">
        <v>739</v>
      </c>
      <c r="L281" s="3">
        <f>VLOOKUP(TRIM(Table1[[#This Row],[Provider Specialty]]) &amp; TRIM(Table1[[#This Row],[Provider Specialty Description]]), SPECIALTY_TYPE, 2, FALSE)</f>
        <v>2217</v>
      </c>
      <c r="M281" s="3" t="s">
        <v>19</v>
      </c>
      <c r="N281" s="27" t="s">
        <v>19</v>
      </c>
      <c r="O281" s="38">
        <f>VLOOKUP(TRIM(Table1[[#This Row],[Provider Specialty]]) &amp; TRIM(Table1[[#This Row],[Provider Specialty Description]]), SPECIALTY_TYPE, 2, FALSE)</f>
        <v>2217</v>
      </c>
      <c r="P281" s="3" t="str">
        <f>Table1[[#This Row],[Provider Type]] &amp; "+" &amp; Table1[[#This Row],[Provider Type Description]]</f>
        <v>17+Therapist</v>
      </c>
      <c r="Q281" s="7" t="str">
        <f>Table1[[#This Row],[Provider Specialty]] &amp; "+" &amp; Table1[[#This Row],[Provider Specialty Description]]</f>
        <v>171+Occupational Therapist</v>
      </c>
      <c r="R281" s="7" t="str">
        <f>Table1[[#This Row],[PDMS Specialty Type ID]] &amp; "+" &amp; Table1[[#This Row],[PDMS Provider Type ID]] &amp; "+" &amp;Table1[[#This Row],[TAXONOMY]]</f>
        <v>2217+108+225XN1300X</v>
      </c>
      <c r="S2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(9291, 2217, 108, N'225XN1300X', N'Occupational Therapist - Neurorehabilitation')</v>
      </c>
    </row>
    <row r="282" spans="1:19" ht="47.25" customHeight="1" x14ac:dyDescent="0.25">
      <c r="A282" s="22" t="s">
        <v>227</v>
      </c>
      <c r="B282" s="3" t="s">
        <v>661</v>
      </c>
      <c r="C282" s="3" t="s">
        <v>737</v>
      </c>
      <c r="D282" s="3" t="s">
        <v>325</v>
      </c>
      <c r="E282" s="3" t="s">
        <v>745</v>
      </c>
      <c r="F282" s="3">
        <f>VLOOKUP(Table1[[#This Row],[Column2]], TAXONOMY_TYPE, 2, FALSE)</f>
        <v>9292</v>
      </c>
      <c r="G282" s="3">
        <v>17</v>
      </c>
      <c r="H282" s="3" t="s">
        <v>664</v>
      </c>
      <c r="I282" s="3">
        <f>VLOOKUP(Table1[[#This Row],[Provider Type]] &amp; Table1[[#This Row],[Provider Type Description]], PROVIDER_TYPE, 2, FALSE)</f>
        <v>108</v>
      </c>
      <c r="J282" s="3">
        <v>171</v>
      </c>
      <c r="K282" s="3" t="s">
        <v>739</v>
      </c>
      <c r="L282" s="3">
        <f>VLOOKUP(TRIM(Table1[[#This Row],[Provider Specialty]]) &amp; TRIM(Table1[[#This Row],[Provider Specialty Description]]), SPECIALTY_TYPE, 2, FALSE)</f>
        <v>2217</v>
      </c>
      <c r="M282" s="3" t="s">
        <v>19</v>
      </c>
      <c r="N282" s="27" t="s">
        <v>19</v>
      </c>
      <c r="O282" s="38">
        <f>VLOOKUP(TRIM(Table1[[#This Row],[Provider Specialty]]) &amp; TRIM(Table1[[#This Row],[Provider Specialty Description]]), SPECIALTY_TYPE, 2, FALSE)</f>
        <v>2217</v>
      </c>
      <c r="P282" s="3" t="str">
        <f>Table1[[#This Row],[Provider Type]] &amp; "+" &amp; Table1[[#This Row],[Provider Type Description]]</f>
        <v>17+Therapist</v>
      </c>
      <c r="Q282" s="7" t="str">
        <f>Table1[[#This Row],[Provider Specialty]] &amp; "+" &amp; Table1[[#This Row],[Provider Specialty Description]]</f>
        <v>171+Occupational Therapist</v>
      </c>
      <c r="R282" s="7" t="str">
        <f>Table1[[#This Row],[PDMS Specialty Type ID]] &amp; "+" &amp; Table1[[#This Row],[PDMS Provider Type ID]] &amp; "+" &amp;Table1[[#This Row],[TAXONOMY]]</f>
        <v>2217+108+225XP0200X</v>
      </c>
      <c r="S2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(9292, 2217, 108, N'225XP0200X', N'Occupational Therapist - Pediatrics')</v>
      </c>
    </row>
    <row r="283" spans="1:19" ht="47.25" customHeight="1" x14ac:dyDescent="0.25">
      <c r="A283" s="22" t="s">
        <v>227</v>
      </c>
      <c r="B283" s="3" t="s">
        <v>661</v>
      </c>
      <c r="C283" s="3" t="s">
        <v>737</v>
      </c>
      <c r="D283" s="3" t="s">
        <v>746</v>
      </c>
      <c r="E283" s="3" t="s">
        <v>747</v>
      </c>
      <c r="F283" s="3">
        <f>VLOOKUP(Table1[[#This Row],[Column2]], TAXONOMY_TYPE, 2, FALSE)</f>
        <v>9293</v>
      </c>
      <c r="G283" s="3">
        <v>17</v>
      </c>
      <c r="H283" s="3" t="s">
        <v>664</v>
      </c>
      <c r="I283" s="3">
        <f>VLOOKUP(Table1[[#This Row],[Provider Type]] &amp; Table1[[#This Row],[Provider Type Description]], PROVIDER_TYPE, 2, FALSE)</f>
        <v>108</v>
      </c>
      <c r="J283" s="3">
        <v>171</v>
      </c>
      <c r="K283" s="3" t="s">
        <v>739</v>
      </c>
      <c r="L283" s="3">
        <f>VLOOKUP(TRIM(Table1[[#This Row],[Provider Specialty]]) &amp; TRIM(Table1[[#This Row],[Provider Specialty Description]]), SPECIALTY_TYPE, 2, FALSE)</f>
        <v>2217</v>
      </c>
      <c r="M283" s="3" t="s">
        <v>19</v>
      </c>
      <c r="N283" s="27" t="s">
        <v>19</v>
      </c>
      <c r="O283" s="38">
        <f>VLOOKUP(TRIM(Table1[[#This Row],[Provider Specialty]]) &amp; TRIM(Table1[[#This Row],[Provider Specialty Description]]), SPECIALTY_TYPE, 2, FALSE)</f>
        <v>2217</v>
      </c>
      <c r="P283" s="3" t="str">
        <f>Table1[[#This Row],[Provider Type]] &amp; "+" &amp; Table1[[#This Row],[Provider Type Description]]</f>
        <v>17+Therapist</v>
      </c>
      <c r="Q283" s="7" t="str">
        <f>Table1[[#This Row],[Provider Specialty]] &amp; "+" &amp; Table1[[#This Row],[Provider Specialty Description]]</f>
        <v>171+Occupational Therapist</v>
      </c>
      <c r="R283" s="7" t="str">
        <f>Table1[[#This Row],[PDMS Specialty Type ID]] &amp; "+" &amp; Table1[[#This Row],[PDMS Provider Type ID]] &amp; "+" &amp;Table1[[#This Row],[TAXONOMY]]</f>
        <v>2217+108+225XR0403X</v>
      </c>
      <c r="S2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(9293, 2217, 108, N'225XR0403X', N'Occupational Therapist - Rehabilitation, Driver')</v>
      </c>
    </row>
    <row r="284" spans="1:19" ht="47.25" customHeight="1" x14ac:dyDescent="0.25">
      <c r="A284" s="22" t="s">
        <v>227</v>
      </c>
      <c r="B284" s="3" t="s">
        <v>755</v>
      </c>
      <c r="C284" s="3" t="s">
        <v>737</v>
      </c>
      <c r="D284" s="3" t="s">
        <v>759</v>
      </c>
      <c r="E284" s="3" t="s">
        <v>768</v>
      </c>
      <c r="F284" s="3">
        <f>VLOOKUP(Table1[[#This Row],[Column2]], TAXONOMY_TYPE, 2, FALSE)</f>
        <v>9294</v>
      </c>
      <c r="G284" s="3">
        <v>17</v>
      </c>
      <c r="H284" s="3" t="s">
        <v>664</v>
      </c>
      <c r="I284" s="3">
        <f>VLOOKUP(Table1[[#This Row],[Provider Type]] &amp; Table1[[#This Row],[Provider Type Description]], PROVIDER_TYPE, 2, FALSE)</f>
        <v>108</v>
      </c>
      <c r="J284" s="3">
        <v>171</v>
      </c>
      <c r="K284" s="3" t="s">
        <v>739</v>
      </c>
      <c r="L284" s="3">
        <f>VLOOKUP(TRIM(Table1[[#This Row],[Provider Specialty]]) &amp; TRIM(Table1[[#This Row],[Provider Specialty Description]]), SPECIALTY_TYPE, 2, FALSE)</f>
        <v>2217</v>
      </c>
      <c r="M284" s="3" t="s">
        <v>19</v>
      </c>
      <c r="N284" s="27" t="s">
        <v>19</v>
      </c>
      <c r="O284" s="38">
        <f>VLOOKUP(TRIM(Table1[[#This Row],[Provider Specialty]]) &amp; TRIM(Table1[[#This Row],[Provider Specialty Description]]), SPECIALTY_TYPE, 2, FALSE)</f>
        <v>2217</v>
      </c>
      <c r="P284" s="3" t="str">
        <f>Table1[[#This Row],[Provider Type]] &amp; "+" &amp; Table1[[#This Row],[Provider Type Description]]</f>
        <v>17+Therapist</v>
      </c>
      <c r="Q284" s="7" t="str">
        <f>Table1[[#This Row],[Provider Specialty]] &amp; "+" &amp; Table1[[#This Row],[Provider Specialty Description]]</f>
        <v>171+Occupational Therapist</v>
      </c>
      <c r="R284" s="7" t="str">
        <f>Table1[[#This Row],[PDMS Specialty Type ID]] &amp; "+" &amp; Table1[[#This Row],[PDMS Provider Type ID]] &amp; "+" &amp;Table1[[#This Row],[TAXONOMY]]</f>
        <v>2217+108+225XE0001X</v>
      </c>
      <c r="S2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(9294, 2217, 108, N'225XE0001X', N'Occupational Therapist - Environmental Modification Specialization')</v>
      </c>
    </row>
    <row r="285" spans="1:19" ht="47.25" customHeight="1" x14ac:dyDescent="0.25">
      <c r="A285" s="22" t="s">
        <v>227</v>
      </c>
      <c r="B285" s="3" t="s">
        <v>755</v>
      </c>
      <c r="C285" s="3" t="s">
        <v>769</v>
      </c>
      <c r="D285" s="3" t="s">
        <v>737</v>
      </c>
      <c r="E285" s="3" t="s">
        <v>770</v>
      </c>
      <c r="F285" s="3">
        <f>VLOOKUP(Table1[[#This Row],[Column2]], TAXONOMY_TYPE, 2, FALSE)</f>
        <v>9295</v>
      </c>
      <c r="G285" s="3">
        <v>17</v>
      </c>
      <c r="H285" s="3" t="s">
        <v>664</v>
      </c>
      <c r="I285" s="3">
        <f>VLOOKUP(Table1[[#This Row],[Provider Type]] &amp; Table1[[#This Row],[Provider Type Description]], PROVIDER_TYPE, 2, FALSE)</f>
        <v>108</v>
      </c>
      <c r="J285" s="3">
        <v>171</v>
      </c>
      <c r="K285" s="3" t="s">
        <v>739</v>
      </c>
      <c r="L285" s="3">
        <f>VLOOKUP(TRIM(Table1[[#This Row],[Provider Specialty]]) &amp; TRIM(Table1[[#This Row],[Provider Specialty Description]]), SPECIALTY_TYPE, 2, FALSE)</f>
        <v>2217</v>
      </c>
      <c r="M285" s="3" t="s">
        <v>19</v>
      </c>
      <c r="N285" s="27" t="s">
        <v>19</v>
      </c>
      <c r="O285" s="38">
        <f>VLOOKUP(TRIM(Table1[[#This Row],[Provider Specialty]]) &amp; TRIM(Table1[[#This Row],[Provider Specialty Description]]), SPECIALTY_TYPE, 2, FALSE)</f>
        <v>2217</v>
      </c>
      <c r="P285" s="3" t="str">
        <f>Table1[[#This Row],[Provider Type]] &amp; "+" &amp; Table1[[#This Row],[Provider Type Description]]</f>
        <v>17+Therapist</v>
      </c>
      <c r="Q285" s="7" t="str">
        <f>Table1[[#This Row],[Provider Specialty]] &amp; "+" &amp; Table1[[#This Row],[Provider Specialty Description]]</f>
        <v>171+Occupational Therapist</v>
      </c>
      <c r="R285" s="7" t="str">
        <f>Table1[[#This Row],[PDMS Specialty Type ID]] &amp; "+" &amp; Table1[[#This Row],[PDMS Provider Type ID]] &amp; "+" &amp;Table1[[#This Row],[TAXONOMY]]</f>
        <v>2217+108+225XF0002X</v>
      </c>
      <c r="S2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(9295, 2217, 108, N'225XF0002X', N'Restorative Service Providers - Occupational Therapist')</v>
      </c>
    </row>
    <row r="286" spans="1:19" ht="47.25" customHeight="1" x14ac:dyDescent="0.25">
      <c r="A286" s="22" t="s">
        <v>227</v>
      </c>
      <c r="B286" s="3" t="s">
        <v>771</v>
      </c>
      <c r="C286" s="3" t="s">
        <v>772</v>
      </c>
      <c r="D286" s="3" t="s">
        <v>773</v>
      </c>
      <c r="E286" s="3" t="s">
        <v>774</v>
      </c>
      <c r="F286" s="3">
        <f>VLOOKUP(Table1[[#This Row],[Column2]], TAXONOMY_TYPE, 2, FALSE)</f>
        <v>9296</v>
      </c>
      <c r="G286" s="3">
        <v>17</v>
      </c>
      <c r="H286" s="3" t="s">
        <v>664</v>
      </c>
      <c r="I286" s="3">
        <f>VLOOKUP(Table1[[#This Row],[Provider Type]] &amp; Table1[[#This Row],[Provider Type Description]], PROVIDER_TYPE, 2, FALSE)</f>
        <v>108</v>
      </c>
      <c r="J286" s="3">
        <v>171</v>
      </c>
      <c r="K286" s="3" t="s">
        <v>739</v>
      </c>
      <c r="L286" s="3">
        <f>VLOOKUP(TRIM(Table1[[#This Row],[Provider Specialty]]) &amp; TRIM(Table1[[#This Row],[Provider Specialty Description]]), SPECIALTY_TYPE, 2, FALSE)</f>
        <v>2217</v>
      </c>
      <c r="M286" s="3" t="s">
        <v>19</v>
      </c>
      <c r="N286" s="27" t="s">
        <v>19</v>
      </c>
      <c r="O286" s="38">
        <f>VLOOKUP(TRIM(Table1[[#This Row],[Provider Specialty]]) &amp; TRIM(Table1[[#This Row],[Provider Specialty Description]]), SPECIALTY_TYPE, 2, FALSE)</f>
        <v>2217</v>
      </c>
      <c r="P286" s="3" t="str">
        <f>Table1[[#This Row],[Provider Type]] &amp; "+" &amp; Table1[[#This Row],[Provider Type Description]]</f>
        <v>17+Therapist</v>
      </c>
      <c r="Q286" s="7" t="str">
        <f>Table1[[#This Row],[Provider Specialty]] &amp; "+" &amp; Table1[[#This Row],[Provider Specialty Description]]</f>
        <v>171+Occupational Therapist</v>
      </c>
      <c r="R286" s="7" t="str">
        <f>Table1[[#This Row],[PDMS Specialty Type ID]] &amp; "+" &amp; Table1[[#This Row],[PDMS Provider Type ID]] &amp; "+" &amp;Table1[[#This Row],[TAXONOMY]]</f>
        <v>2217+108+225XG0600X</v>
      </c>
      <c r="S2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(9296, 2217, 108, N'225XG0600X', N'Rehabilitative and Restorative Service Providers Type, Occupational Therapist - Gerontology Specialization')</v>
      </c>
    </row>
    <row r="287" spans="1:19" ht="47.25" customHeight="1" x14ac:dyDescent="0.25">
      <c r="A287" s="22" t="s">
        <v>227</v>
      </c>
      <c r="B287" s="3" t="s">
        <v>755</v>
      </c>
      <c r="C287" s="3" t="s">
        <v>737</v>
      </c>
      <c r="D287" s="3" t="s">
        <v>764</v>
      </c>
      <c r="E287" s="3" t="s">
        <v>775</v>
      </c>
      <c r="F287" s="3">
        <f>VLOOKUP(Table1[[#This Row],[Column2]], TAXONOMY_TYPE, 2, FALSE)</f>
        <v>9297</v>
      </c>
      <c r="G287" s="3">
        <v>17</v>
      </c>
      <c r="H287" s="3" t="s">
        <v>664</v>
      </c>
      <c r="I287" s="3">
        <f>VLOOKUP(Table1[[#This Row],[Provider Type]] &amp; Table1[[#This Row],[Provider Type Description]], PROVIDER_TYPE, 2, FALSE)</f>
        <v>108</v>
      </c>
      <c r="J287" s="3">
        <v>171</v>
      </c>
      <c r="K287" s="3" t="s">
        <v>739</v>
      </c>
      <c r="L287" s="3">
        <f>VLOOKUP(TRIM(Table1[[#This Row],[Provider Specialty]]) &amp; TRIM(Table1[[#This Row],[Provider Specialty Description]]), SPECIALTY_TYPE, 2, FALSE)</f>
        <v>2217</v>
      </c>
      <c r="M287" s="3" t="s">
        <v>19</v>
      </c>
      <c r="N287" s="27" t="s">
        <v>19</v>
      </c>
      <c r="O287" s="38">
        <f>VLOOKUP(TRIM(Table1[[#This Row],[Provider Specialty]]) &amp; TRIM(Table1[[#This Row],[Provider Specialty Description]]), SPECIALTY_TYPE, 2, FALSE)</f>
        <v>2217</v>
      </c>
      <c r="P287" s="3" t="str">
        <f>Table1[[#This Row],[Provider Type]] &amp; "+" &amp; Table1[[#This Row],[Provider Type Description]]</f>
        <v>17+Therapist</v>
      </c>
      <c r="Q287" s="7" t="str">
        <f>Table1[[#This Row],[Provider Specialty]] &amp; "+" &amp; Table1[[#This Row],[Provider Specialty Description]]</f>
        <v>171+Occupational Therapist</v>
      </c>
      <c r="R287" s="7" t="str">
        <f>Table1[[#This Row],[PDMS Specialty Type ID]] &amp; "+" &amp; Table1[[#This Row],[PDMS Provider Type ID]] &amp; "+" &amp;Table1[[#This Row],[TAXONOMY]]</f>
        <v>2217+108+225XL0004X</v>
      </c>
      <c r="S2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(9297, 2217, 108, N'225XL0004X', N'Occupational Therapist - Low Vision Specialization')</v>
      </c>
    </row>
    <row r="288" spans="1:19" ht="47.25" customHeight="1" x14ac:dyDescent="0.25">
      <c r="A288" s="22" t="s">
        <v>227</v>
      </c>
      <c r="B288" s="3" t="s">
        <v>755</v>
      </c>
      <c r="C288" s="3" t="s">
        <v>739</v>
      </c>
      <c r="D288" s="3" t="s">
        <v>776</v>
      </c>
      <c r="E288" s="3" t="s">
        <v>777</v>
      </c>
      <c r="F288" s="3">
        <f>VLOOKUP(Table1[[#This Row],[Column2]], TAXONOMY_TYPE, 2, FALSE)</f>
        <v>9298</v>
      </c>
      <c r="G288" s="3">
        <v>17</v>
      </c>
      <c r="H288" s="3" t="s">
        <v>664</v>
      </c>
      <c r="I288" s="3">
        <f>VLOOKUP(Table1[[#This Row],[Provider Type]] &amp; Table1[[#This Row],[Provider Type Description]], PROVIDER_TYPE, 2, FALSE)</f>
        <v>108</v>
      </c>
      <c r="J288" s="3">
        <v>171</v>
      </c>
      <c r="K288" s="3" t="s">
        <v>739</v>
      </c>
      <c r="L288" s="3">
        <f>VLOOKUP(TRIM(Table1[[#This Row],[Provider Specialty]]) &amp; TRIM(Table1[[#This Row],[Provider Specialty Description]]), SPECIALTY_TYPE, 2, FALSE)</f>
        <v>2217</v>
      </c>
      <c r="M288" s="3" t="s">
        <v>19</v>
      </c>
      <c r="N288" s="27" t="s">
        <v>19</v>
      </c>
      <c r="O288" s="38">
        <f>VLOOKUP(TRIM(Table1[[#This Row],[Provider Specialty]]) &amp; TRIM(Table1[[#This Row],[Provider Specialty Description]]), SPECIALTY_TYPE, 2, FALSE)</f>
        <v>2217</v>
      </c>
      <c r="P288" s="3" t="str">
        <f>Table1[[#This Row],[Provider Type]] &amp; "+" &amp; Table1[[#This Row],[Provider Type Description]]</f>
        <v>17+Therapist</v>
      </c>
      <c r="Q288" s="7" t="str">
        <f>Table1[[#This Row],[Provider Specialty]] &amp; "+" &amp; Table1[[#This Row],[Provider Specialty Description]]</f>
        <v>171+Occupational Therapist</v>
      </c>
      <c r="R288" s="7" t="str">
        <f>Table1[[#This Row],[PDMS Specialty Type ID]] &amp; "+" &amp; Table1[[#This Row],[PDMS Provider Type ID]] &amp; "+" &amp;Table1[[#This Row],[TAXONOMY]]</f>
        <v>2217+108+225XM0800X</v>
      </c>
      <c r="S2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(9298, 2217, 108, N'225XM0800X', N'Occupational Therapist - Mental Health Specialization')</v>
      </c>
    </row>
    <row r="289" spans="1:19" ht="47.25" customHeight="1" x14ac:dyDescent="0.25">
      <c r="A289" s="22" t="s">
        <v>227</v>
      </c>
      <c r="B289" s="3" t="s">
        <v>755</v>
      </c>
      <c r="C289" s="3" t="s">
        <v>737</v>
      </c>
      <c r="D289" s="3" t="s">
        <v>778</v>
      </c>
      <c r="E289" s="3" t="s">
        <v>779</v>
      </c>
      <c r="F289" s="3">
        <f>VLOOKUP(Table1[[#This Row],[Column2]], TAXONOMY_TYPE, 2, FALSE)</f>
        <v>9299</v>
      </c>
      <c r="G289" s="3">
        <v>17</v>
      </c>
      <c r="H289" s="3" t="s">
        <v>664</v>
      </c>
      <c r="I289" s="3">
        <f>VLOOKUP(Table1[[#This Row],[Provider Type]] &amp; Table1[[#This Row],[Provider Type Description]], PROVIDER_TYPE, 2, FALSE)</f>
        <v>108</v>
      </c>
      <c r="J289" s="3">
        <v>171</v>
      </c>
      <c r="K289" s="3" t="s">
        <v>739</v>
      </c>
      <c r="L289" s="3">
        <f>VLOOKUP(TRIM(Table1[[#This Row],[Provider Specialty]]) &amp; TRIM(Table1[[#This Row],[Provider Specialty Description]]), SPECIALTY_TYPE, 2, FALSE)</f>
        <v>2217</v>
      </c>
      <c r="M289" s="3" t="s">
        <v>19</v>
      </c>
      <c r="N289" s="27" t="s">
        <v>19</v>
      </c>
      <c r="O289" s="38">
        <f>VLOOKUP(TRIM(Table1[[#This Row],[Provider Specialty]]) &amp; TRIM(Table1[[#This Row],[Provider Specialty Description]]), SPECIALTY_TYPE, 2, FALSE)</f>
        <v>2217</v>
      </c>
      <c r="P289" s="3" t="str">
        <f>Table1[[#This Row],[Provider Type]] &amp; "+" &amp; Table1[[#This Row],[Provider Type Description]]</f>
        <v>17+Therapist</v>
      </c>
      <c r="Q289" s="7" t="str">
        <f>Table1[[#This Row],[Provider Specialty]] &amp; "+" &amp; Table1[[#This Row],[Provider Specialty Description]]</f>
        <v>171+Occupational Therapist</v>
      </c>
      <c r="R289" s="7" t="str">
        <f>Table1[[#This Row],[PDMS Specialty Type ID]] &amp; "+" &amp; Table1[[#This Row],[PDMS Provider Type ID]] &amp; "+" &amp;Table1[[#This Row],[TAXONOMY]]</f>
        <v>2217+108+225XP0019X</v>
      </c>
      <c r="S2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(9299, 2217, 108, N'225XP0019X', N'Occupational Therapist - Physical Rehabilitation')</v>
      </c>
    </row>
    <row r="290" spans="1:19" ht="47.25" customHeight="1" x14ac:dyDescent="0.25">
      <c r="A290" s="22" t="s">
        <v>227</v>
      </c>
      <c r="B290" s="3" t="s">
        <v>661</v>
      </c>
      <c r="C290" s="3" t="s">
        <v>669</v>
      </c>
      <c r="D290" s="3" t="s">
        <v>669</v>
      </c>
      <c r="E290" s="3" t="s">
        <v>670</v>
      </c>
      <c r="F290" s="3">
        <f>VLOOKUP(Table1[[#This Row],[Column2]], TAXONOMY_TYPE, 2, FALSE)</f>
        <v>9300</v>
      </c>
      <c r="G290" s="3">
        <v>17</v>
      </c>
      <c r="H290" s="3" t="s">
        <v>664</v>
      </c>
      <c r="I290" s="3">
        <f>VLOOKUP(Table1[[#This Row],[Provider Type]] &amp; Table1[[#This Row],[Provider Type Description]], PROVIDER_TYPE, 2, FALSE)</f>
        <v>108</v>
      </c>
      <c r="J290" s="3">
        <v>172</v>
      </c>
      <c r="K290" s="3" t="s">
        <v>671</v>
      </c>
      <c r="L290" s="3">
        <f>VLOOKUP(TRIM(Table1[[#This Row],[Provider Specialty]]) &amp; TRIM(Table1[[#This Row],[Provider Specialty Description]]), SPECIALTY_TYPE, 2, FALSE)</f>
        <v>2218</v>
      </c>
      <c r="M290" s="3" t="s">
        <v>18</v>
      </c>
      <c r="N290" s="27" t="s">
        <v>19</v>
      </c>
      <c r="O290" s="38">
        <f>VLOOKUP(TRIM(Table1[[#This Row],[Provider Specialty]]) &amp; TRIM(Table1[[#This Row],[Provider Specialty Description]]), SPECIALTY_TYPE, 2, FALSE)</f>
        <v>2218</v>
      </c>
      <c r="P290" s="3" t="str">
        <f>Table1[[#This Row],[Provider Type]] &amp; "+" &amp; Table1[[#This Row],[Provider Type Description]]</f>
        <v>17+Therapist</v>
      </c>
      <c r="Q290" s="7" t="str">
        <f>Table1[[#This Row],[Provider Specialty]] &amp; "+" &amp; Table1[[#This Row],[Provider Specialty Description]]</f>
        <v>172+Respiratory Therapist</v>
      </c>
      <c r="R290" s="7" t="str">
        <f>Table1[[#This Row],[PDMS Specialty Type ID]] &amp; "+" &amp; Table1[[#This Row],[PDMS Provider Type ID]] &amp; "+" &amp;Table1[[#This Row],[TAXONOMY]]</f>
        <v>2218+108+227800000X</v>
      </c>
      <c r="S2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(9300, 2218, 108, N'227800000X', N'Respiratory Therapist, Certified - Respiratory Therapist, Certified')</v>
      </c>
    </row>
    <row r="291" spans="1:19" ht="47.25" customHeight="1" x14ac:dyDescent="0.25">
      <c r="A291" s="22" t="s">
        <v>227</v>
      </c>
      <c r="B291" s="3" t="s">
        <v>661</v>
      </c>
      <c r="C291" s="3" t="s">
        <v>669</v>
      </c>
      <c r="D291" s="3" t="s">
        <v>672</v>
      </c>
      <c r="E291" s="3" t="s">
        <v>673</v>
      </c>
      <c r="F291" s="3">
        <f>VLOOKUP(Table1[[#This Row],[Column2]], TAXONOMY_TYPE, 2, FALSE)</f>
        <v>9301</v>
      </c>
      <c r="G291" s="3">
        <v>17</v>
      </c>
      <c r="H291" s="3" t="s">
        <v>664</v>
      </c>
      <c r="I291" s="3">
        <f>VLOOKUP(Table1[[#This Row],[Provider Type]] &amp; Table1[[#This Row],[Provider Type Description]], PROVIDER_TYPE, 2, FALSE)</f>
        <v>108</v>
      </c>
      <c r="J291" s="3">
        <v>172</v>
      </c>
      <c r="K291" s="3" t="s">
        <v>671</v>
      </c>
      <c r="L291" s="3">
        <f>VLOOKUP(TRIM(Table1[[#This Row],[Provider Specialty]]) &amp; TRIM(Table1[[#This Row],[Provider Specialty Description]]), SPECIALTY_TYPE, 2, FALSE)</f>
        <v>2218</v>
      </c>
      <c r="M291" s="3" t="s">
        <v>18</v>
      </c>
      <c r="N291" s="27" t="s">
        <v>19</v>
      </c>
      <c r="O291" s="38">
        <f>VLOOKUP(TRIM(Table1[[#This Row],[Provider Specialty]]) &amp; TRIM(Table1[[#This Row],[Provider Specialty Description]]), SPECIALTY_TYPE, 2, FALSE)</f>
        <v>2218</v>
      </c>
      <c r="P291" s="3" t="str">
        <f>Table1[[#This Row],[Provider Type]] &amp; "+" &amp; Table1[[#This Row],[Provider Type Description]]</f>
        <v>17+Therapist</v>
      </c>
      <c r="Q291" s="7" t="str">
        <f>Table1[[#This Row],[Provider Specialty]] &amp; "+" &amp; Table1[[#This Row],[Provider Specialty Description]]</f>
        <v>172+Respiratory Therapist</v>
      </c>
      <c r="R291" s="7" t="str">
        <f>Table1[[#This Row],[PDMS Specialty Type ID]] &amp; "+" &amp; Table1[[#This Row],[PDMS Provider Type ID]] &amp; "+" &amp;Table1[[#This Row],[TAXONOMY]]</f>
        <v>2218+108+2278C0205X</v>
      </c>
      <c r="S2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(9301, 2218, 108, N'2278C0205X', N'Respiratory Therapist, Certified - Critical Care')</v>
      </c>
    </row>
    <row r="292" spans="1:19" ht="47.25" customHeight="1" x14ac:dyDescent="0.25">
      <c r="A292" s="22" t="s">
        <v>227</v>
      </c>
      <c r="B292" s="3" t="s">
        <v>661</v>
      </c>
      <c r="C292" s="3" t="s">
        <v>669</v>
      </c>
      <c r="D292" s="3" t="s">
        <v>259</v>
      </c>
      <c r="E292" s="3" t="s">
        <v>674</v>
      </c>
      <c r="F292" s="3">
        <f>VLOOKUP(Table1[[#This Row],[Column2]], TAXONOMY_TYPE, 2, FALSE)</f>
        <v>9302</v>
      </c>
      <c r="G292" s="3">
        <v>17</v>
      </c>
      <c r="H292" s="3" t="s">
        <v>664</v>
      </c>
      <c r="I292" s="3">
        <f>VLOOKUP(Table1[[#This Row],[Provider Type]] &amp; Table1[[#This Row],[Provider Type Description]], PROVIDER_TYPE, 2, FALSE)</f>
        <v>108</v>
      </c>
      <c r="J292" s="3">
        <v>172</v>
      </c>
      <c r="K292" s="3" t="s">
        <v>671</v>
      </c>
      <c r="L292" s="3">
        <f>VLOOKUP(TRIM(Table1[[#This Row],[Provider Specialty]]) &amp; TRIM(Table1[[#This Row],[Provider Specialty Description]]), SPECIALTY_TYPE, 2, FALSE)</f>
        <v>2218</v>
      </c>
      <c r="M292" s="3" t="s">
        <v>18</v>
      </c>
      <c r="N292" s="27" t="s">
        <v>19</v>
      </c>
      <c r="O292" s="38">
        <f>VLOOKUP(TRIM(Table1[[#This Row],[Provider Specialty]]) &amp; TRIM(Table1[[#This Row],[Provider Specialty Description]]), SPECIALTY_TYPE, 2, FALSE)</f>
        <v>2218</v>
      </c>
      <c r="P292" s="3" t="str">
        <f>Table1[[#This Row],[Provider Type]] &amp; "+" &amp; Table1[[#This Row],[Provider Type Description]]</f>
        <v>17+Therapist</v>
      </c>
      <c r="Q292" s="7" t="str">
        <f>Table1[[#This Row],[Provider Specialty]] &amp; "+" &amp; Table1[[#This Row],[Provider Specialty Description]]</f>
        <v>172+Respiratory Therapist</v>
      </c>
      <c r="R292" s="7" t="str">
        <f>Table1[[#This Row],[PDMS Specialty Type ID]] &amp; "+" &amp; Table1[[#This Row],[PDMS Provider Type ID]] &amp; "+" &amp;Table1[[#This Row],[TAXONOMY]]</f>
        <v>2218+108+2278E0002X</v>
      </c>
      <c r="S2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(9302, 2218, 108, N'2278E0002X', N'Respiratory Therapist, Certified - Emergency Care')</v>
      </c>
    </row>
    <row r="293" spans="1:19" ht="47.25" customHeight="1" x14ac:dyDescent="0.25">
      <c r="A293" s="22" t="s">
        <v>227</v>
      </c>
      <c r="B293" s="3" t="s">
        <v>661</v>
      </c>
      <c r="C293" s="3" t="s">
        <v>669</v>
      </c>
      <c r="D293" s="3" t="s">
        <v>675</v>
      </c>
      <c r="E293" s="3" t="s">
        <v>676</v>
      </c>
      <c r="F293" s="3">
        <f>VLOOKUP(Table1[[#This Row],[Column2]], TAXONOMY_TYPE, 2, FALSE)</f>
        <v>9303</v>
      </c>
      <c r="G293" s="3">
        <v>17</v>
      </c>
      <c r="H293" s="3" t="s">
        <v>664</v>
      </c>
      <c r="I293" s="3">
        <f>VLOOKUP(Table1[[#This Row],[Provider Type]] &amp; Table1[[#This Row],[Provider Type Description]], PROVIDER_TYPE, 2, FALSE)</f>
        <v>108</v>
      </c>
      <c r="J293" s="3">
        <v>172</v>
      </c>
      <c r="K293" s="3" t="s">
        <v>671</v>
      </c>
      <c r="L293" s="3">
        <f>VLOOKUP(TRIM(Table1[[#This Row],[Provider Specialty]]) &amp; TRIM(Table1[[#This Row],[Provider Specialty Description]]), SPECIALTY_TYPE, 2, FALSE)</f>
        <v>2218</v>
      </c>
      <c r="M293" s="3" t="s">
        <v>18</v>
      </c>
      <c r="N293" s="27" t="s">
        <v>19</v>
      </c>
      <c r="O293" s="38">
        <f>VLOOKUP(TRIM(Table1[[#This Row],[Provider Specialty]]) &amp; TRIM(Table1[[#This Row],[Provider Specialty Description]]), SPECIALTY_TYPE, 2, FALSE)</f>
        <v>2218</v>
      </c>
      <c r="P293" s="3" t="str">
        <f>Table1[[#This Row],[Provider Type]] &amp; "+" &amp; Table1[[#This Row],[Provider Type Description]]</f>
        <v>17+Therapist</v>
      </c>
      <c r="Q293" s="7" t="str">
        <f>Table1[[#This Row],[Provider Specialty]] &amp; "+" &amp; Table1[[#This Row],[Provider Specialty Description]]</f>
        <v>172+Respiratory Therapist</v>
      </c>
      <c r="R293" s="7" t="str">
        <f>Table1[[#This Row],[PDMS Specialty Type ID]] &amp; "+" &amp; Table1[[#This Row],[PDMS Provider Type ID]] &amp; "+" &amp;Table1[[#This Row],[TAXONOMY]]</f>
        <v>2218+108+2278E1000X</v>
      </c>
      <c r="S2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(9303, 2218, 108, N'2278E1000X', N'Respiratory Therapist, Certified - Educational')</v>
      </c>
    </row>
    <row r="294" spans="1:19" ht="47.25" customHeight="1" x14ac:dyDescent="0.25">
      <c r="A294" s="22" t="s">
        <v>227</v>
      </c>
      <c r="B294" s="3" t="s">
        <v>661</v>
      </c>
      <c r="C294" s="3" t="s">
        <v>669</v>
      </c>
      <c r="D294" s="3" t="s">
        <v>677</v>
      </c>
      <c r="E294" s="3" t="s">
        <v>678</v>
      </c>
      <c r="F294" s="3">
        <f>VLOOKUP(Table1[[#This Row],[Column2]], TAXONOMY_TYPE, 2, FALSE)</f>
        <v>9304</v>
      </c>
      <c r="G294" s="3">
        <v>17</v>
      </c>
      <c r="H294" s="3" t="s">
        <v>664</v>
      </c>
      <c r="I294" s="3">
        <f>VLOOKUP(Table1[[#This Row],[Provider Type]] &amp; Table1[[#This Row],[Provider Type Description]], PROVIDER_TYPE, 2, FALSE)</f>
        <v>108</v>
      </c>
      <c r="J294" s="3">
        <v>172</v>
      </c>
      <c r="K294" s="3" t="s">
        <v>671</v>
      </c>
      <c r="L294" s="3">
        <f>VLOOKUP(TRIM(Table1[[#This Row],[Provider Specialty]]) &amp; TRIM(Table1[[#This Row],[Provider Specialty Description]]), SPECIALTY_TYPE, 2, FALSE)</f>
        <v>2218</v>
      </c>
      <c r="M294" s="3" t="s">
        <v>18</v>
      </c>
      <c r="N294" s="27" t="s">
        <v>19</v>
      </c>
      <c r="O294" s="38">
        <f>VLOOKUP(TRIM(Table1[[#This Row],[Provider Specialty]]) &amp; TRIM(Table1[[#This Row],[Provider Specialty Description]]), SPECIALTY_TYPE, 2, FALSE)</f>
        <v>2218</v>
      </c>
      <c r="P294" s="3" t="str">
        <f>Table1[[#This Row],[Provider Type]] &amp; "+" &amp; Table1[[#This Row],[Provider Type Description]]</f>
        <v>17+Therapist</v>
      </c>
      <c r="Q294" s="7" t="str">
        <f>Table1[[#This Row],[Provider Specialty]] &amp; "+" &amp; Table1[[#This Row],[Provider Specialty Description]]</f>
        <v>172+Respiratory Therapist</v>
      </c>
      <c r="R294" s="7" t="str">
        <f>Table1[[#This Row],[PDMS Specialty Type ID]] &amp; "+" &amp; Table1[[#This Row],[PDMS Provider Type ID]] &amp; "+" &amp;Table1[[#This Row],[TAXONOMY]]</f>
        <v>2218+108+2278G0305X</v>
      </c>
      <c r="S2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(9304, 2218, 108, N'2278G0305X', N'Respiratory Therapist, Certified - Geriatric Care')</v>
      </c>
    </row>
    <row r="295" spans="1:19" ht="47.25" customHeight="1" x14ac:dyDescent="0.25">
      <c r="A295" s="22" t="s">
        <v>227</v>
      </c>
      <c r="B295" s="3" t="s">
        <v>661</v>
      </c>
      <c r="C295" s="3" t="s">
        <v>669</v>
      </c>
      <c r="D295" s="3" t="s">
        <v>679</v>
      </c>
      <c r="E295" s="3" t="s">
        <v>680</v>
      </c>
      <c r="F295" s="3">
        <f>VLOOKUP(Table1[[#This Row],[Column2]], TAXONOMY_TYPE, 2, FALSE)</f>
        <v>9305</v>
      </c>
      <c r="G295" s="3">
        <v>17</v>
      </c>
      <c r="H295" s="3" t="s">
        <v>664</v>
      </c>
      <c r="I295" s="3">
        <f>VLOOKUP(Table1[[#This Row],[Provider Type]] &amp; Table1[[#This Row],[Provider Type Description]], PROVIDER_TYPE, 2, FALSE)</f>
        <v>108</v>
      </c>
      <c r="J295" s="3">
        <v>172</v>
      </c>
      <c r="K295" s="3" t="s">
        <v>671</v>
      </c>
      <c r="L295" s="3">
        <f>VLOOKUP(TRIM(Table1[[#This Row],[Provider Specialty]]) &amp; TRIM(Table1[[#This Row],[Provider Specialty Description]]), SPECIALTY_TYPE, 2, FALSE)</f>
        <v>2218</v>
      </c>
      <c r="M295" s="3" t="s">
        <v>18</v>
      </c>
      <c r="N295" s="27" t="s">
        <v>19</v>
      </c>
      <c r="O295" s="38">
        <f>VLOOKUP(TRIM(Table1[[#This Row],[Provider Specialty]]) &amp; TRIM(Table1[[#This Row],[Provider Specialty Description]]), SPECIALTY_TYPE, 2, FALSE)</f>
        <v>2218</v>
      </c>
      <c r="P295" s="3" t="str">
        <f>Table1[[#This Row],[Provider Type]] &amp; "+" &amp; Table1[[#This Row],[Provider Type Description]]</f>
        <v>17+Therapist</v>
      </c>
      <c r="Q295" s="7" t="str">
        <f>Table1[[#This Row],[Provider Specialty]] &amp; "+" &amp; Table1[[#This Row],[Provider Specialty Description]]</f>
        <v>172+Respiratory Therapist</v>
      </c>
      <c r="R295" s="7" t="str">
        <f>Table1[[#This Row],[PDMS Specialty Type ID]] &amp; "+" &amp; Table1[[#This Row],[PDMS Provider Type ID]] &amp; "+" &amp;Table1[[#This Row],[TAXONOMY]]</f>
        <v>2218+108+2278G1100X</v>
      </c>
      <c r="S2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(9305, 2218, 108, N'2278G1100X', N'Respiratory Therapist, Certified - General Care')</v>
      </c>
    </row>
    <row r="296" spans="1:19" ht="47.25" customHeight="1" x14ac:dyDescent="0.25">
      <c r="A296" s="22" t="s">
        <v>227</v>
      </c>
      <c r="B296" s="3" t="s">
        <v>661</v>
      </c>
      <c r="C296" s="3" t="s">
        <v>669</v>
      </c>
      <c r="D296" s="3" t="s">
        <v>176</v>
      </c>
      <c r="E296" s="3" t="s">
        <v>681</v>
      </c>
      <c r="F296" s="3">
        <f>VLOOKUP(Table1[[#This Row],[Column2]], TAXONOMY_TYPE, 2, FALSE)</f>
        <v>9306</v>
      </c>
      <c r="G296" s="3">
        <v>17</v>
      </c>
      <c r="H296" s="3" t="s">
        <v>664</v>
      </c>
      <c r="I296" s="3">
        <f>VLOOKUP(Table1[[#This Row],[Provider Type]] &amp; Table1[[#This Row],[Provider Type Description]], PROVIDER_TYPE, 2, FALSE)</f>
        <v>108</v>
      </c>
      <c r="J296" s="3">
        <v>172</v>
      </c>
      <c r="K296" s="3" t="s">
        <v>671</v>
      </c>
      <c r="L296" s="3">
        <f>VLOOKUP(TRIM(Table1[[#This Row],[Provider Specialty]]) &amp; TRIM(Table1[[#This Row],[Provider Specialty Description]]), SPECIALTY_TYPE, 2, FALSE)</f>
        <v>2218</v>
      </c>
      <c r="M296" s="3" t="s">
        <v>18</v>
      </c>
      <c r="N296" s="27" t="s">
        <v>19</v>
      </c>
      <c r="O296" s="38">
        <f>VLOOKUP(TRIM(Table1[[#This Row],[Provider Specialty]]) &amp; TRIM(Table1[[#This Row],[Provider Specialty Description]]), SPECIALTY_TYPE, 2, FALSE)</f>
        <v>2218</v>
      </c>
      <c r="P296" s="3" t="str">
        <f>Table1[[#This Row],[Provider Type]] &amp; "+" &amp; Table1[[#This Row],[Provider Type Description]]</f>
        <v>17+Therapist</v>
      </c>
      <c r="Q296" s="7" t="str">
        <f>Table1[[#This Row],[Provider Specialty]] &amp; "+" &amp; Table1[[#This Row],[Provider Specialty Description]]</f>
        <v>172+Respiratory Therapist</v>
      </c>
      <c r="R296" s="7" t="str">
        <f>Table1[[#This Row],[PDMS Specialty Type ID]] &amp; "+" &amp; Table1[[#This Row],[PDMS Provider Type ID]] &amp; "+" &amp;Table1[[#This Row],[TAXONOMY]]</f>
        <v>2218+108+2278H0200X</v>
      </c>
      <c r="S2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(9306, 2218, 108, N'2278H0200X', N'Respiratory Therapist, Certified - Home Health')</v>
      </c>
    </row>
    <row r="297" spans="1:19" ht="47.25" customHeight="1" x14ac:dyDescent="0.25">
      <c r="A297" s="22" t="s">
        <v>227</v>
      </c>
      <c r="B297" s="3" t="s">
        <v>661</v>
      </c>
      <c r="C297" s="3" t="s">
        <v>669</v>
      </c>
      <c r="D297" s="3" t="s">
        <v>682</v>
      </c>
      <c r="E297" s="3" t="s">
        <v>683</v>
      </c>
      <c r="F297" s="3">
        <f>VLOOKUP(Table1[[#This Row],[Column2]], TAXONOMY_TYPE, 2, FALSE)</f>
        <v>9307</v>
      </c>
      <c r="G297" s="3">
        <v>17</v>
      </c>
      <c r="H297" s="3" t="s">
        <v>664</v>
      </c>
      <c r="I297" s="3">
        <f>VLOOKUP(Table1[[#This Row],[Provider Type]] &amp; Table1[[#This Row],[Provider Type Description]], PROVIDER_TYPE, 2, FALSE)</f>
        <v>108</v>
      </c>
      <c r="J297" s="3">
        <v>172</v>
      </c>
      <c r="K297" s="3" t="s">
        <v>671</v>
      </c>
      <c r="L297" s="3">
        <f>VLOOKUP(TRIM(Table1[[#This Row],[Provider Specialty]]) &amp; TRIM(Table1[[#This Row],[Provider Specialty Description]]), SPECIALTY_TYPE, 2, FALSE)</f>
        <v>2218</v>
      </c>
      <c r="M297" s="3" t="s">
        <v>18</v>
      </c>
      <c r="N297" s="27" t="s">
        <v>19</v>
      </c>
      <c r="O297" s="38">
        <f>VLOOKUP(TRIM(Table1[[#This Row],[Provider Specialty]]) &amp; TRIM(Table1[[#This Row],[Provider Specialty Description]]), SPECIALTY_TYPE, 2, FALSE)</f>
        <v>2218</v>
      </c>
      <c r="P297" s="3" t="str">
        <f>Table1[[#This Row],[Provider Type]] &amp; "+" &amp; Table1[[#This Row],[Provider Type Description]]</f>
        <v>17+Therapist</v>
      </c>
      <c r="Q297" s="7" t="str">
        <f>Table1[[#This Row],[Provider Specialty]] &amp; "+" &amp; Table1[[#This Row],[Provider Specialty Description]]</f>
        <v>172+Respiratory Therapist</v>
      </c>
      <c r="R297" s="7" t="str">
        <f>Table1[[#This Row],[PDMS Specialty Type ID]] &amp; "+" &amp; Table1[[#This Row],[PDMS Provider Type ID]] &amp; "+" &amp;Table1[[#This Row],[TAXONOMY]]</f>
        <v>2218+108+2278P1004X</v>
      </c>
      <c r="S2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(9307, 2218, 108, N'2278P1004X', N'Respiratory Therapist, Certified - Pulmonary Diagnostics')</v>
      </c>
    </row>
    <row r="298" spans="1:19" ht="47.25" customHeight="1" x14ac:dyDescent="0.25">
      <c r="A298" s="22" t="s">
        <v>227</v>
      </c>
      <c r="B298" s="3" t="s">
        <v>661</v>
      </c>
      <c r="C298" s="3" t="s">
        <v>669</v>
      </c>
      <c r="D298" s="3" t="s">
        <v>684</v>
      </c>
      <c r="E298" s="3" t="s">
        <v>685</v>
      </c>
      <c r="F298" s="3">
        <f>VLOOKUP(Table1[[#This Row],[Column2]], TAXONOMY_TYPE, 2, FALSE)</f>
        <v>9308</v>
      </c>
      <c r="G298" s="3">
        <v>17</v>
      </c>
      <c r="H298" s="3" t="s">
        <v>664</v>
      </c>
      <c r="I298" s="3">
        <f>VLOOKUP(Table1[[#This Row],[Provider Type]] &amp; Table1[[#This Row],[Provider Type Description]], PROVIDER_TYPE, 2, FALSE)</f>
        <v>108</v>
      </c>
      <c r="J298" s="3">
        <v>172</v>
      </c>
      <c r="K298" s="3" t="s">
        <v>671</v>
      </c>
      <c r="L298" s="3">
        <f>VLOOKUP(TRIM(Table1[[#This Row],[Provider Specialty]]) &amp; TRIM(Table1[[#This Row],[Provider Specialty Description]]), SPECIALTY_TYPE, 2, FALSE)</f>
        <v>2218</v>
      </c>
      <c r="M298" s="3" t="s">
        <v>18</v>
      </c>
      <c r="N298" s="27" t="s">
        <v>19</v>
      </c>
      <c r="O298" s="38">
        <f>VLOOKUP(TRIM(Table1[[#This Row],[Provider Specialty]]) &amp; TRIM(Table1[[#This Row],[Provider Specialty Description]]), SPECIALTY_TYPE, 2, FALSE)</f>
        <v>2218</v>
      </c>
      <c r="P298" s="3" t="str">
        <f>Table1[[#This Row],[Provider Type]] &amp; "+" &amp; Table1[[#This Row],[Provider Type Description]]</f>
        <v>17+Therapist</v>
      </c>
      <c r="Q298" s="7" t="str">
        <f>Table1[[#This Row],[Provider Specialty]] &amp; "+" &amp; Table1[[#This Row],[Provider Specialty Description]]</f>
        <v>172+Respiratory Therapist</v>
      </c>
      <c r="R298" s="7" t="str">
        <f>Table1[[#This Row],[PDMS Specialty Type ID]] &amp; "+" &amp; Table1[[#This Row],[PDMS Provider Type ID]] &amp; "+" &amp;Table1[[#This Row],[TAXONOMY]]</f>
        <v>2218+108+2278P1005X</v>
      </c>
      <c r="S2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(9308, 2218, 108, N'2278P1005X', N'Respiratory Therapist, Certified - Pulmonary Rehabilitation')</v>
      </c>
    </row>
    <row r="299" spans="1:19" ht="47.25" customHeight="1" x14ac:dyDescent="0.25">
      <c r="A299" s="22" t="s">
        <v>227</v>
      </c>
      <c r="B299" s="3" t="s">
        <v>661</v>
      </c>
      <c r="C299" s="3" t="s">
        <v>669</v>
      </c>
      <c r="D299" s="3" t="s">
        <v>686</v>
      </c>
      <c r="E299" s="3" t="s">
        <v>687</v>
      </c>
      <c r="F299" s="3">
        <f>VLOOKUP(Table1[[#This Row],[Column2]], TAXONOMY_TYPE, 2, FALSE)</f>
        <v>9309</v>
      </c>
      <c r="G299" s="3">
        <v>17</v>
      </c>
      <c r="H299" s="3" t="s">
        <v>664</v>
      </c>
      <c r="I299" s="3">
        <f>VLOOKUP(Table1[[#This Row],[Provider Type]] &amp; Table1[[#This Row],[Provider Type Description]], PROVIDER_TYPE, 2, FALSE)</f>
        <v>108</v>
      </c>
      <c r="J299" s="3">
        <v>172</v>
      </c>
      <c r="K299" s="3" t="s">
        <v>671</v>
      </c>
      <c r="L299" s="3">
        <f>VLOOKUP(TRIM(Table1[[#This Row],[Provider Specialty]]) &amp; TRIM(Table1[[#This Row],[Provider Specialty Description]]), SPECIALTY_TYPE, 2, FALSE)</f>
        <v>2218</v>
      </c>
      <c r="M299" s="3" t="s">
        <v>18</v>
      </c>
      <c r="N299" s="27" t="s">
        <v>19</v>
      </c>
      <c r="O299" s="38">
        <f>VLOOKUP(TRIM(Table1[[#This Row],[Provider Specialty]]) &amp; TRIM(Table1[[#This Row],[Provider Specialty Description]]), SPECIALTY_TYPE, 2, FALSE)</f>
        <v>2218</v>
      </c>
      <c r="P299" s="3" t="str">
        <f>Table1[[#This Row],[Provider Type]] &amp; "+" &amp; Table1[[#This Row],[Provider Type Description]]</f>
        <v>17+Therapist</v>
      </c>
      <c r="Q299" s="7" t="str">
        <f>Table1[[#This Row],[Provider Specialty]] &amp; "+" &amp; Table1[[#This Row],[Provider Specialty Description]]</f>
        <v>172+Respiratory Therapist</v>
      </c>
      <c r="R299" s="7" t="str">
        <f>Table1[[#This Row],[PDMS Specialty Type ID]] &amp; "+" &amp; Table1[[#This Row],[PDMS Provider Type ID]] &amp; "+" &amp;Table1[[#This Row],[TAXONOMY]]</f>
        <v>2218+108+2278P1006X</v>
      </c>
      <c r="S2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(9309, 2218, 108, N'2278P1006X', N'Respiratory Therapist, Certified - Pulmonary Function Technologist')</v>
      </c>
    </row>
    <row r="300" spans="1:19" ht="47.25" customHeight="1" x14ac:dyDescent="0.25">
      <c r="A300" s="22" t="s">
        <v>227</v>
      </c>
      <c r="B300" s="3" t="s">
        <v>661</v>
      </c>
      <c r="C300" s="3" t="s">
        <v>669</v>
      </c>
      <c r="D300" s="3" t="s">
        <v>688</v>
      </c>
      <c r="E300" s="3" t="s">
        <v>689</v>
      </c>
      <c r="F300" s="3">
        <f>VLOOKUP(Table1[[#This Row],[Column2]], TAXONOMY_TYPE, 2, FALSE)</f>
        <v>9310</v>
      </c>
      <c r="G300" s="3">
        <v>17</v>
      </c>
      <c r="H300" s="3" t="s">
        <v>664</v>
      </c>
      <c r="I300" s="3">
        <f>VLOOKUP(Table1[[#This Row],[Provider Type]] &amp; Table1[[#This Row],[Provider Type Description]], PROVIDER_TYPE, 2, FALSE)</f>
        <v>108</v>
      </c>
      <c r="J300" s="3">
        <v>172</v>
      </c>
      <c r="K300" s="3" t="s">
        <v>671</v>
      </c>
      <c r="L300" s="3">
        <f>VLOOKUP(TRIM(Table1[[#This Row],[Provider Specialty]]) &amp; TRIM(Table1[[#This Row],[Provider Specialty Description]]), SPECIALTY_TYPE, 2, FALSE)</f>
        <v>2218</v>
      </c>
      <c r="M300" s="3" t="s">
        <v>18</v>
      </c>
      <c r="N300" s="27" t="s">
        <v>19</v>
      </c>
      <c r="O300" s="38">
        <f>VLOOKUP(TRIM(Table1[[#This Row],[Provider Specialty]]) &amp; TRIM(Table1[[#This Row],[Provider Specialty Description]]), SPECIALTY_TYPE, 2, FALSE)</f>
        <v>2218</v>
      </c>
      <c r="P300" s="3" t="str">
        <f>Table1[[#This Row],[Provider Type]] &amp; "+" &amp; Table1[[#This Row],[Provider Type Description]]</f>
        <v>17+Therapist</v>
      </c>
      <c r="Q300" s="7" t="str">
        <f>Table1[[#This Row],[Provider Specialty]] &amp; "+" &amp; Table1[[#This Row],[Provider Specialty Description]]</f>
        <v>172+Respiratory Therapist</v>
      </c>
      <c r="R300" s="7" t="str">
        <f>Table1[[#This Row],[PDMS Specialty Type ID]] &amp; "+" &amp; Table1[[#This Row],[PDMS Provider Type ID]] &amp; "+" &amp;Table1[[#This Row],[TAXONOMY]]</f>
        <v>2218+108+2278P3800X</v>
      </c>
      <c r="S3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(9310, 2218, 108, N'2278P3800X', N'Respiratory Therapist, Certified - Palliative/Hospice')</v>
      </c>
    </row>
    <row r="301" spans="1:19" ht="47.25" customHeight="1" x14ac:dyDescent="0.25">
      <c r="A301" s="22" t="s">
        <v>227</v>
      </c>
      <c r="B301" s="3" t="s">
        <v>661</v>
      </c>
      <c r="C301" s="3" t="s">
        <v>669</v>
      </c>
      <c r="D301" s="3" t="s">
        <v>690</v>
      </c>
      <c r="E301" s="3" t="s">
        <v>691</v>
      </c>
      <c r="F301" s="3">
        <f>VLOOKUP(Table1[[#This Row],[Column2]], TAXONOMY_TYPE, 2, FALSE)</f>
        <v>9311</v>
      </c>
      <c r="G301" s="3">
        <v>17</v>
      </c>
      <c r="H301" s="3" t="s">
        <v>664</v>
      </c>
      <c r="I301" s="3">
        <f>VLOOKUP(Table1[[#This Row],[Provider Type]] &amp; Table1[[#This Row],[Provider Type Description]], PROVIDER_TYPE, 2, FALSE)</f>
        <v>108</v>
      </c>
      <c r="J301" s="3">
        <v>172</v>
      </c>
      <c r="K301" s="3" t="s">
        <v>671</v>
      </c>
      <c r="L301" s="3">
        <f>VLOOKUP(TRIM(Table1[[#This Row],[Provider Specialty]]) &amp; TRIM(Table1[[#This Row],[Provider Specialty Description]]), SPECIALTY_TYPE, 2, FALSE)</f>
        <v>2218</v>
      </c>
      <c r="M301" s="3" t="s">
        <v>18</v>
      </c>
      <c r="N301" s="27" t="s">
        <v>19</v>
      </c>
      <c r="O301" s="38">
        <f>VLOOKUP(TRIM(Table1[[#This Row],[Provider Specialty]]) &amp; TRIM(Table1[[#This Row],[Provider Specialty Description]]), SPECIALTY_TYPE, 2, FALSE)</f>
        <v>2218</v>
      </c>
      <c r="P301" s="3" t="str">
        <f>Table1[[#This Row],[Provider Type]] &amp; "+" &amp; Table1[[#This Row],[Provider Type Description]]</f>
        <v>17+Therapist</v>
      </c>
      <c r="Q301" s="7" t="str">
        <f>Table1[[#This Row],[Provider Specialty]] &amp; "+" &amp; Table1[[#This Row],[Provider Specialty Description]]</f>
        <v>172+Respiratory Therapist</v>
      </c>
      <c r="R301" s="7" t="str">
        <f>Table1[[#This Row],[PDMS Specialty Type ID]] &amp; "+" &amp; Table1[[#This Row],[PDMS Provider Type ID]] &amp; "+" &amp;Table1[[#This Row],[TAXONOMY]]</f>
        <v>2218+108+2278P3900X</v>
      </c>
      <c r="S3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(9311, 2218, 108, N'2278P3900X', N'Respiratory Therapist, Certified - Neonatal/Pediatrics')</v>
      </c>
    </row>
    <row r="302" spans="1:19" ht="47.25" customHeight="1" x14ac:dyDescent="0.25">
      <c r="A302" s="22" t="s">
        <v>227</v>
      </c>
      <c r="B302" s="3" t="s">
        <v>661</v>
      </c>
      <c r="C302" s="3" t="s">
        <v>669</v>
      </c>
      <c r="D302" s="3" t="s">
        <v>692</v>
      </c>
      <c r="E302" s="3" t="s">
        <v>693</v>
      </c>
      <c r="F302" s="3">
        <f>VLOOKUP(Table1[[#This Row],[Column2]], TAXONOMY_TYPE, 2, FALSE)</f>
        <v>9312</v>
      </c>
      <c r="G302" s="3">
        <v>17</v>
      </c>
      <c r="H302" s="3" t="s">
        <v>664</v>
      </c>
      <c r="I302" s="3">
        <f>VLOOKUP(Table1[[#This Row],[Provider Type]] &amp; Table1[[#This Row],[Provider Type Description]], PROVIDER_TYPE, 2, FALSE)</f>
        <v>108</v>
      </c>
      <c r="J302" s="3">
        <v>172</v>
      </c>
      <c r="K302" s="3" t="s">
        <v>671</v>
      </c>
      <c r="L302" s="3">
        <f>VLOOKUP(TRIM(Table1[[#This Row],[Provider Specialty]]) &amp; TRIM(Table1[[#This Row],[Provider Specialty Description]]), SPECIALTY_TYPE, 2, FALSE)</f>
        <v>2218</v>
      </c>
      <c r="M302" s="3" t="s">
        <v>18</v>
      </c>
      <c r="N302" s="27" t="s">
        <v>19</v>
      </c>
      <c r="O302" s="38">
        <f>VLOOKUP(TRIM(Table1[[#This Row],[Provider Specialty]]) &amp; TRIM(Table1[[#This Row],[Provider Specialty Description]]), SPECIALTY_TYPE, 2, FALSE)</f>
        <v>2218</v>
      </c>
      <c r="P302" s="3" t="str">
        <f>Table1[[#This Row],[Provider Type]] &amp; "+" &amp; Table1[[#This Row],[Provider Type Description]]</f>
        <v>17+Therapist</v>
      </c>
      <c r="Q302" s="7" t="str">
        <f>Table1[[#This Row],[Provider Specialty]] &amp; "+" &amp; Table1[[#This Row],[Provider Specialty Description]]</f>
        <v>172+Respiratory Therapist</v>
      </c>
      <c r="R302" s="7" t="str">
        <f>Table1[[#This Row],[PDMS Specialty Type ID]] &amp; "+" &amp; Table1[[#This Row],[PDMS Provider Type ID]] &amp; "+" &amp;Table1[[#This Row],[TAXONOMY]]</f>
        <v>2218+108+2278P4000X</v>
      </c>
      <c r="S3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(9312, 2218, 108, N'2278P4000X', N'Respiratory Therapist, Certified - Patient Transport')</v>
      </c>
    </row>
    <row r="303" spans="1:19" ht="47.25" customHeight="1" x14ac:dyDescent="0.25">
      <c r="A303" s="22" t="s">
        <v>227</v>
      </c>
      <c r="B303" s="3" t="s">
        <v>661</v>
      </c>
      <c r="C303" s="3" t="s">
        <v>669</v>
      </c>
      <c r="D303" s="3" t="s">
        <v>694</v>
      </c>
      <c r="E303" s="3" t="s">
        <v>695</v>
      </c>
      <c r="F303" s="3">
        <f>VLOOKUP(Table1[[#This Row],[Column2]], TAXONOMY_TYPE, 2, FALSE)</f>
        <v>9313</v>
      </c>
      <c r="G303" s="3">
        <v>17</v>
      </c>
      <c r="H303" s="3" t="s">
        <v>664</v>
      </c>
      <c r="I303" s="3">
        <f>VLOOKUP(Table1[[#This Row],[Provider Type]] &amp; Table1[[#This Row],[Provider Type Description]], PROVIDER_TYPE, 2, FALSE)</f>
        <v>108</v>
      </c>
      <c r="J303" s="3">
        <v>172</v>
      </c>
      <c r="K303" s="3" t="s">
        <v>671</v>
      </c>
      <c r="L303" s="3">
        <f>VLOOKUP(TRIM(Table1[[#This Row],[Provider Specialty]]) &amp; TRIM(Table1[[#This Row],[Provider Specialty Description]]), SPECIALTY_TYPE, 2, FALSE)</f>
        <v>2218</v>
      </c>
      <c r="M303" s="3" t="s">
        <v>18</v>
      </c>
      <c r="N303" s="27" t="s">
        <v>19</v>
      </c>
      <c r="O303" s="38">
        <f>VLOOKUP(TRIM(Table1[[#This Row],[Provider Specialty]]) &amp; TRIM(Table1[[#This Row],[Provider Specialty Description]]), SPECIALTY_TYPE, 2, FALSE)</f>
        <v>2218</v>
      </c>
      <c r="P303" s="3" t="str">
        <f>Table1[[#This Row],[Provider Type]] &amp; "+" &amp; Table1[[#This Row],[Provider Type Description]]</f>
        <v>17+Therapist</v>
      </c>
      <c r="Q303" s="7" t="str">
        <f>Table1[[#This Row],[Provider Specialty]] &amp; "+" &amp; Table1[[#This Row],[Provider Specialty Description]]</f>
        <v>172+Respiratory Therapist</v>
      </c>
      <c r="R303" s="7" t="str">
        <f>Table1[[#This Row],[PDMS Specialty Type ID]] &amp; "+" &amp; Table1[[#This Row],[PDMS Provider Type ID]] &amp; "+" &amp;Table1[[#This Row],[TAXONOMY]]</f>
        <v>2218+108+2278S1500X</v>
      </c>
      <c r="S3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(9313, 2218, 108, N'2278S1500X', N'Respiratory Therapist, Certified - SNF/Subacute Care')</v>
      </c>
    </row>
    <row r="304" spans="1:19" ht="47.25" customHeight="1" x14ac:dyDescent="0.25">
      <c r="A304" s="22" t="s">
        <v>227</v>
      </c>
      <c r="B304" s="3" t="s">
        <v>661</v>
      </c>
      <c r="C304" s="3" t="s">
        <v>696</v>
      </c>
      <c r="D304" s="3" t="s">
        <v>696</v>
      </c>
      <c r="E304" s="3" t="s">
        <v>697</v>
      </c>
      <c r="F304" s="3">
        <f>VLOOKUP(Table1[[#This Row],[Column2]], TAXONOMY_TYPE, 2, FALSE)</f>
        <v>9314</v>
      </c>
      <c r="G304" s="3">
        <v>17</v>
      </c>
      <c r="H304" s="3" t="s">
        <v>664</v>
      </c>
      <c r="I304" s="3">
        <f>VLOOKUP(Table1[[#This Row],[Provider Type]] &amp; Table1[[#This Row],[Provider Type Description]], PROVIDER_TYPE, 2, FALSE)</f>
        <v>108</v>
      </c>
      <c r="J304" s="3">
        <v>172</v>
      </c>
      <c r="K304" s="3" t="s">
        <v>671</v>
      </c>
      <c r="L304" s="3">
        <f>VLOOKUP(TRIM(Table1[[#This Row],[Provider Specialty]]) &amp; TRIM(Table1[[#This Row],[Provider Specialty Description]]), SPECIALTY_TYPE, 2, FALSE)</f>
        <v>2218</v>
      </c>
      <c r="M304" s="3" t="s">
        <v>18</v>
      </c>
      <c r="N304" s="27" t="s">
        <v>19</v>
      </c>
      <c r="O304" s="38">
        <f>VLOOKUP(TRIM(Table1[[#This Row],[Provider Specialty]]) &amp; TRIM(Table1[[#This Row],[Provider Specialty Description]]), SPECIALTY_TYPE, 2, FALSE)</f>
        <v>2218</v>
      </c>
      <c r="P304" s="3" t="str">
        <f>Table1[[#This Row],[Provider Type]] &amp; "+" &amp; Table1[[#This Row],[Provider Type Description]]</f>
        <v>17+Therapist</v>
      </c>
      <c r="Q304" s="7" t="str">
        <f>Table1[[#This Row],[Provider Specialty]] &amp; "+" &amp; Table1[[#This Row],[Provider Specialty Description]]</f>
        <v>172+Respiratory Therapist</v>
      </c>
      <c r="R304" s="7" t="str">
        <f>Table1[[#This Row],[PDMS Specialty Type ID]] &amp; "+" &amp; Table1[[#This Row],[PDMS Provider Type ID]] &amp; "+" &amp;Table1[[#This Row],[TAXONOMY]]</f>
        <v>2218+108+227900000X</v>
      </c>
      <c r="S3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(9314, 2218, 108, N'227900000X', N'Respiratory Therapist, Registered - Respiratory Therapist, Registered')</v>
      </c>
    </row>
    <row r="305" spans="1:19" ht="47.25" customHeight="1" x14ac:dyDescent="0.25">
      <c r="A305" s="22" t="s">
        <v>227</v>
      </c>
      <c r="B305" s="3" t="s">
        <v>661</v>
      </c>
      <c r="C305" s="3" t="s">
        <v>696</v>
      </c>
      <c r="D305" s="3" t="s">
        <v>672</v>
      </c>
      <c r="E305" s="3" t="s">
        <v>698</v>
      </c>
      <c r="F305" s="3">
        <f>VLOOKUP(Table1[[#This Row],[Column2]], TAXONOMY_TYPE, 2, FALSE)</f>
        <v>9315</v>
      </c>
      <c r="G305" s="3">
        <v>17</v>
      </c>
      <c r="H305" s="3" t="s">
        <v>664</v>
      </c>
      <c r="I305" s="3">
        <f>VLOOKUP(Table1[[#This Row],[Provider Type]] &amp; Table1[[#This Row],[Provider Type Description]], PROVIDER_TYPE, 2, FALSE)</f>
        <v>108</v>
      </c>
      <c r="J305" s="3">
        <v>172</v>
      </c>
      <c r="K305" s="3" t="s">
        <v>671</v>
      </c>
      <c r="L305" s="3">
        <f>VLOOKUP(TRIM(Table1[[#This Row],[Provider Specialty]]) &amp; TRIM(Table1[[#This Row],[Provider Specialty Description]]), SPECIALTY_TYPE, 2, FALSE)</f>
        <v>2218</v>
      </c>
      <c r="M305" s="3" t="s">
        <v>18</v>
      </c>
      <c r="N305" s="27" t="s">
        <v>19</v>
      </c>
      <c r="O305" s="38">
        <f>VLOOKUP(TRIM(Table1[[#This Row],[Provider Specialty]]) &amp; TRIM(Table1[[#This Row],[Provider Specialty Description]]), SPECIALTY_TYPE, 2, FALSE)</f>
        <v>2218</v>
      </c>
      <c r="P305" s="3" t="str">
        <f>Table1[[#This Row],[Provider Type]] &amp; "+" &amp; Table1[[#This Row],[Provider Type Description]]</f>
        <v>17+Therapist</v>
      </c>
      <c r="Q305" s="7" t="str">
        <f>Table1[[#This Row],[Provider Specialty]] &amp; "+" &amp; Table1[[#This Row],[Provider Specialty Description]]</f>
        <v>172+Respiratory Therapist</v>
      </c>
      <c r="R305" s="7" t="str">
        <f>Table1[[#This Row],[PDMS Specialty Type ID]] &amp; "+" &amp; Table1[[#This Row],[PDMS Provider Type ID]] &amp; "+" &amp;Table1[[#This Row],[TAXONOMY]]</f>
        <v>2218+108+2279C0205X</v>
      </c>
      <c r="S3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(9315, 2218, 108, N'2279C0205X', N'Respiratory Therapist, Registered - Critical Care')</v>
      </c>
    </row>
    <row r="306" spans="1:19" ht="47.25" customHeight="1" x14ac:dyDescent="0.25">
      <c r="A306" s="22" t="s">
        <v>227</v>
      </c>
      <c r="B306" s="3" t="s">
        <v>661</v>
      </c>
      <c r="C306" s="3" t="s">
        <v>696</v>
      </c>
      <c r="D306" s="3" t="s">
        <v>259</v>
      </c>
      <c r="E306" s="3" t="s">
        <v>699</v>
      </c>
      <c r="F306" s="3">
        <f>VLOOKUP(Table1[[#This Row],[Column2]], TAXONOMY_TYPE, 2, FALSE)</f>
        <v>9316</v>
      </c>
      <c r="G306" s="3">
        <v>17</v>
      </c>
      <c r="H306" s="3" t="s">
        <v>664</v>
      </c>
      <c r="I306" s="3">
        <f>VLOOKUP(Table1[[#This Row],[Provider Type]] &amp; Table1[[#This Row],[Provider Type Description]], PROVIDER_TYPE, 2, FALSE)</f>
        <v>108</v>
      </c>
      <c r="J306" s="3">
        <v>172</v>
      </c>
      <c r="K306" s="3" t="s">
        <v>671</v>
      </c>
      <c r="L306" s="3">
        <f>VLOOKUP(TRIM(Table1[[#This Row],[Provider Specialty]]) &amp; TRIM(Table1[[#This Row],[Provider Specialty Description]]), SPECIALTY_TYPE, 2, FALSE)</f>
        <v>2218</v>
      </c>
      <c r="M306" s="3" t="s">
        <v>18</v>
      </c>
      <c r="N306" s="27" t="s">
        <v>19</v>
      </c>
      <c r="O306" s="38">
        <f>VLOOKUP(TRIM(Table1[[#This Row],[Provider Specialty]]) &amp; TRIM(Table1[[#This Row],[Provider Specialty Description]]), SPECIALTY_TYPE, 2, FALSE)</f>
        <v>2218</v>
      </c>
      <c r="P306" s="3" t="str">
        <f>Table1[[#This Row],[Provider Type]] &amp; "+" &amp; Table1[[#This Row],[Provider Type Description]]</f>
        <v>17+Therapist</v>
      </c>
      <c r="Q306" s="7" t="str">
        <f>Table1[[#This Row],[Provider Specialty]] &amp; "+" &amp; Table1[[#This Row],[Provider Specialty Description]]</f>
        <v>172+Respiratory Therapist</v>
      </c>
      <c r="R306" s="7" t="str">
        <f>Table1[[#This Row],[PDMS Specialty Type ID]] &amp; "+" &amp; Table1[[#This Row],[PDMS Provider Type ID]] &amp; "+" &amp;Table1[[#This Row],[TAXONOMY]]</f>
        <v>2218+108+2279E0002X</v>
      </c>
      <c r="S3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(9316, 2218, 108, N'2279E0002X', N'Respiratory Therapist, Registered - Emergency Care')</v>
      </c>
    </row>
    <row r="307" spans="1:19" ht="47.25" customHeight="1" x14ac:dyDescent="0.25">
      <c r="A307" s="22" t="s">
        <v>227</v>
      </c>
      <c r="B307" s="3" t="s">
        <v>661</v>
      </c>
      <c r="C307" s="3" t="s">
        <v>696</v>
      </c>
      <c r="D307" s="3" t="s">
        <v>675</v>
      </c>
      <c r="E307" s="3" t="s">
        <v>700</v>
      </c>
      <c r="F307" s="3">
        <f>VLOOKUP(Table1[[#This Row],[Column2]], TAXONOMY_TYPE, 2, FALSE)</f>
        <v>9317</v>
      </c>
      <c r="G307" s="3">
        <v>17</v>
      </c>
      <c r="H307" s="3" t="s">
        <v>664</v>
      </c>
      <c r="I307" s="3">
        <f>VLOOKUP(Table1[[#This Row],[Provider Type]] &amp; Table1[[#This Row],[Provider Type Description]], PROVIDER_TYPE, 2, FALSE)</f>
        <v>108</v>
      </c>
      <c r="J307" s="3">
        <v>172</v>
      </c>
      <c r="K307" s="3" t="s">
        <v>671</v>
      </c>
      <c r="L307" s="3">
        <f>VLOOKUP(TRIM(Table1[[#This Row],[Provider Specialty]]) &amp; TRIM(Table1[[#This Row],[Provider Specialty Description]]), SPECIALTY_TYPE, 2, FALSE)</f>
        <v>2218</v>
      </c>
      <c r="M307" s="3" t="s">
        <v>18</v>
      </c>
      <c r="N307" s="27" t="s">
        <v>19</v>
      </c>
      <c r="O307" s="38">
        <f>VLOOKUP(TRIM(Table1[[#This Row],[Provider Specialty]]) &amp; TRIM(Table1[[#This Row],[Provider Specialty Description]]), SPECIALTY_TYPE, 2, FALSE)</f>
        <v>2218</v>
      </c>
      <c r="P307" s="3" t="str">
        <f>Table1[[#This Row],[Provider Type]] &amp; "+" &amp; Table1[[#This Row],[Provider Type Description]]</f>
        <v>17+Therapist</v>
      </c>
      <c r="Q307" s="7" t="str">
        <f>Table1[[#This Row],[Provider Specialty]] &amp; "+" &amp; Table1[[#This Row],[Provider Specialty Description]]</f>
        <v>172+Respiratory Therapist</v>
      </c>
      <c r="R307" s="7" t="str">
        <f>Table1[[#This Row],[PDMS Specialty Type ID]] &amp; "+" &amp; Table1[[#This Row],[PDMS Provider Type ID]] &amp; "+" &amp;Table1[[#This Row],[TAXONOMY]]</f>
        <v>2218+108+2279E1000X</v>
      </c>
      <c r="S3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(9317, 2218, 108, N'2279E1000X', N'Respiratory Therapist, Registered - Educational')</v>
      </c>
    </row>
    <row r="308" spans="1:19" ht="47.25" customHeight="1" x14ac:dyDescent="0.25">
      <c r="A308" s="22" t="s">
        <v>227</v>
      </c>
      <c r="B308" s="3" t="s">
        <v>661</v>
      </c>
      <c r="C308" s="3" t="s">
        <v>696</v>
      </c>
      <c r="D308" s="3" t="s">
        <v>677</v>
      </c>
      <c r="E308" s="3" t="s">
        <v>701</v>
      </c>
      <c r="F308" s="3">
        <f>VLOOKUP(Table1[[#This Row],[Column2]], TAXONOMY_TYPE, 2, FALSE)</f>
        <v>9318</v>
      </c>
      <c r="G308" s="3">
        <v>17</v>
      </c>
      <c r="H308" s="3" t="s">
        <v>664</v>
      </c>
      <c r="I308" s="3">
        <f>VLOOKUP(Table1[[#This Row],[Provider Type]] &amp; Table1[[#This Row],[Provider Type Description]], PROVIDER_TYPE, 2, FALSE)</f>
        <v>108</v>
      </c>
      <c r="J308" s="3">
        <v>172</v>
      </c>
      <c r="K308" s="3" t="s">
        <v>671</v>
      </c>
      <c r="L308" s="3">
        <f>VLOOKUP(TRIM(Table1[[#This Row],[Provider Specialty]]) &amp; TRIM(Table1[[#This Row],[Provider Specialty Description]]), SPECIALTY_TYPE, 2, FALSE)</f>
        <v>2218</v>
      </c>
      <c r="M308" s="3" t="s">
        <v>18</v>
      </c>
      <c r="N308" s="27" t="s">
        <v>19</v>
      </c>
      <c r="O308" s="38">
        <f>VLOOKUP(TRIM(Table1[[#This Row],[Provider Specialty]]) &amp; TRIM(Table1[[#This Row],[Provider Specialty Description]]), SPECIALTY_TYPE, 2, FALSE)</f>
        <v>2218</v>
      </c>
      <c r="P308" s="3" t="str">
        <f>Table1[[#This Row],[Provider Type]] &amp; "+" &amp; Table1[[#This Row],[Provider Type Description]]</f>
        <v>17+Therapist</v>
      </c>
      <c r="Q308" s="7" t="str">
        <f>Table1[[#This Row],[Provider Specialty]] &amp; "+" &amp; Table1[[#This Row],[Provider Specialty Description]]</f>
        <v>172+Respiratory Therapist</v>
      </c>
      <c r="R308" s="7" t="str">
        <f>Table1[[#This Row],[PDMS Specialty Type ID]] &amp; "+" &amp; Table1[[#This Row],[PDMS Provider Type ID]] &amp; "+" &amp;Table1[[#This Row],[TAXONOMY]]</f>
        <v>2218+108+2279G0305X</v>
      </c>
      <c r="S3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(9318, 2218, 108, N'2279G0305X', N'Respiratory Therapist, Registered - Geriatric Care')</v>
      </c>
    </row>
    <row r="309" spans="1:19" ht="47.25" customHeight="1" x14ac:dyDescent="0.25">
      <c r="A309" s="22" t="s">
        <v>227</v>
      </c>
      <c r="B309" s="3" t="s">
        <v>661</v>
      </c>
      <c r="C309" s="3" t="s">
        <v>696</v>
      </c>
      <c r="D309" s="3" t="s">
        <v>679</v>
      </c>
      <c r="E309" s="3" t="s">
        <v>702</v>
      </c>
      <c r="F309" s="3">
        <f>VLOOKUP(Table1[[#This Row],[Column2]], TAXONOMY_TYPE, 2, FALSE)</f>
        <v>9319</v>
      </c>
      <c r="G309" s="3">
        <v>17</v>
      </c>
      <c r="H309" s="3" t="s">
        <v>664</v>
      </c>
      <c r="I309" s="3">
        <f>VLOOKUP(Table1[[#This Row],[Provider Type]] &amp; Table1[[#This Row],[Provider Type Description]], PROVIDER_TYPE, 2, FALSE)</f>
        <v>108</v>
      </c>
      <c r="J309" s="3">
        <v>172</v>
      </c>
      <c r="K309" s="3" t="s">
        <v>671</v>
      </c>
      <c r="L309" s="3">
        <f>VLOOKUP(TRIM(Table1[[#This Row],[Provider Specialty]]) &amp; TRIM(Table1[[#This Row],[Provider Specialty Description]]), SPECIALTY_TYPE, 2, FALSE)</f>
        <v>2218</v>
      </c>
      <c r="M309" s="3" t="s">
        <v>18</v>
      </c>
      <c r="N309" s="27" t="s">
        <v>19</v>
      </c>
      <c r="O309" s="38">
        <f>VLOOKUP(TRIM(Table1[[#This Row],[Provider Specialty]]) &amp; TRIM(Table1[[#This Row],[Provider Specialty Description]]), SPECIALTY_TYPE, 2, FALSE)</f>
        <v>2218</v>
      </c>
      <c r="P309" s="3" t="str">
        <f>Table1[[#This Row],[Provider Type]] &amp; "+" &amp; Table1[[#This Row],[Provider Type Description]]</f>
        <v>17+Therapist</v>
      </c>
      <c r="Q309" s="7" t="str">
        <f>Table1[[#This Row],[Provider Specialty]] &amp; "+" &amp; Table1[[#This Row],[Provider Specialty Description]]</f>
        <v>172+Respiratory Therapist</v>
      </c>
      <c r="R309" s="7" t="str">
        <f>Table1[[#This Row],[PDMS Specialty Type ID]] &amp; "+" &amp; Table1[[#This Row],[PDMS Provider Type ID]] &amp; "+" &amp;Table1[[#This Row],[TAXONOMY]]</f>
        <v>2218+108+2279G1100X</v>
      </c>
      <c r="S3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(9319, 2218, 108, N'2279G1100X', N'Respiratory Therapist, Registered - General Care')</v>
      </c>
    </row>
    <row r="310" spans="1:19" ht="47.25" customHeight="1" x14ac:dyDescent="0.25">
      <c r="A310" s="22" t="s">
        <v>227</v>
      </c>
      <c r="B310" s="3" t="s">
        <v>661</v>
      </c>
      <c r="C310" s="3" t="s">
        <v>696</v>
      </c>
      <c r="D310" s="3" t="s">
        <v>176</v>
      </c>
      <c r="E310" s="3" t="s">
        <v>703</v>
      </c>
      <c r="F310" s="3">
        <f>VLOOKUP(Table1[[#This Row],[Column2]], TAXONOMY_TYPE, 2, FALSE)</f>
        <v>9320</v>
      </c>
      <c r="G310" s="3">
        <v>17</v>
      </c>
      <c r="H310" s="3" t="s">
        <v>664</v>
      </c>
      <c r="I310" s="3">
        <f>VLOOKUP(Table1[[#This Row],[Provider Type]] &amp; Table1[[#This Row],[Provider Type Description]], PROVIDER_TYPE, 2, FALSE)</f>
        <v>108</v>
      </c>
      <c r="J310" s="3">
        <v>172</v>
      </c>
      <c r="K310" s="3" t="s">
        <v>671</v>
      </c>
      <c r="L310" s="3">
        <f>VLOOKUP(TRIM(Table1[[#This Row],[Provider Specialty]]) &amp; TRIM(Table1[[#This Row],[Provider Specialty Description]]), SPECIALTY_TYPE, 2, FALSE)</f>
        <v>2218</v>
      </c>
      <c r="M310" s="3" t="s">
        <v>18</v>
      </c>
      <c r="N310" s="27" t="s">
        <v>19</v>
      </c>
      <c r="O310" s="38">
        <f>VLOOKUP(TRIM(Table1[[#This Row],[Provider Specialty]]) &amp; TRIM(Table1[[#This Row],[Provider Specialty Description]]), SPECIALTY_TYPE, 2, FALSE)</f>
        <v>2218</v>
      </c>
      <c r="P310" s="3" t="str">
        <f>Table1[[#This Row],[Provider Type]] &amp; "+" &amp; Table1[[#This Row],[Provider Type Description]]</f>
        <v>17+Therapist</v>
      </c>
      <c r="Q310" s="7" t="str">
        <f>Table1[[#This Row],[Provider Specialty]] &amp; "+" &amp; Table1[[#This Row],[Provider Specialty Description]]</f>
        <v>172+Respiratory Therapist</v>
      </c>
      <c r="R310" s="7" t="str">
        <f>Table1[[#This Row],[PDMS Specialty Type ID]] &amp; "+" &amp; Table1[[#This Row],[PDMS Provider Type ID]] &amp; "+" &amp;Table1[[#This Row],[TAXONOMY]]</f>
        <v>2218+108+2279H0200X</v>
      </c>
      <c r="S3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(9320, 2218, 108, N'2279H0200X', N'Respiratory Therapist, Registered - Home Health')</v>
      </c>
    </row>
    <row r="311" spans="1:19" ht="47.25" customHeight="1" x14ac:dyDescent="0.25">
      <c r="A311" s="22" t="s">
        <v>227</v>
      </c>
      <c r="B311" s="3" t="s">
        <v>661</v>
      </c>
      <c r="C311" s="3" t="s">
        <v>696</v>
      </c>
      <c r="D311" s="3" t="s">
        <v>682</v>
      </c>
      <c r="E311" s="3" t="s">
        <v>704</v>
      </c>
      <c r="F311" s="3">
        <f>VLOOKUP(Table1[[#This Row],[Column2]], TAXONOMY_TYPE, 2, FALSE)</f>
        <v>9321</v>
      </c>
      <c r="G311" s="3">
        <v>17</v>
      </c>
      <c r="H311" s="3" t="s">
        <v>664</v>
      </c>
      <c r="I311" s="3">
        <f>VLOOKUP(Table1[[#This Row],[Provider Type]] &amp; Table1[[#This Row],[Provider Type Description]], PROVIDER_TYPE, 2, FALSE)</f>
        <v>108</v>
      </c>
      <c r="J311" s="3">
        <v>172</v>
      </c>
      <c r="K311" s="3" t="s">
        <v>671</v>
      </c>
      <c r="L311" s="3">
        <f>VLOOKUP(TRIM(Table1[[#This Row],[Provider Specialty]]) &amp; TRIM(Table1[[#This Row],[Provider Specialty Description]]), SPECIALTY_TYPE, 2, FALSE)</f>
        <v>2218</v>
      </c>
      <c r="M311" s="3" t="s">
        <v>18</v>
      </c>
      <c r="N311" s="27" t="s">
        <v>19</v>
      </c>
      <c r="O311" s="38">
        <f>VLOOKUP(TRIM(Table1[[#This Row],[Provider Specialty]]) &amp; TRIM(Table1[[#This Row],[Provider Specialty Description]]), SPECIALTY_TYPE, 2, FALSE)</f>
        <v>2218</v>
      </c>
      <c r="P311" s="3" t="str">
        <f>Table1[[#This Row],[Provider Type]] &amp; "+" &amp; Table1[[#This Row],[Provider Type Description]]</f>
        <v>17+Therapist</v>
      </c>
      <c r="Q311" s="7" t="str">
        <f>Table1[[#This Row],[Provider Specialty]] &amp; "+" &amp; Table1[[#This Row],[Provider Specialty Description]]</f>
        <v>172+Respiratory Therapist</v>
      </c>
      <c r="R311" s="7" t="str">
        <f>Table1[[#This Row],[PDMS Specialty Type ID]] &amp; "+" &amp; Table1[[#This Row],[PDMS Provider Type ID]] &amp; "+" &amp;Table1[[#This Row],[TAXONOMY]]</f>
        <v>2218+108+2279P1004X</v>
      </c>
      <c r="S3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(9321, 2218, 108, N'2279P1004X', N'Respiratory Therapist, Registered - Pulmonary Diagnostics')</v>
      </c>
    </row>
    <row r="312" spans="1:19" ht="47.25" customHeight="1" x14ac:dyDescent="0.25">
      <c r="A312" s="22" t="s">
        <v>227</v>
      </c>
      <c r="B312" s="3" t="s">
        <v>661</v>
      </c>
      <c r="C312" s="3" t="s">
        <v>696</v>
      </c>
      <c r="D312" s="3" t="s">
        <v>684</v>
      </c>
      <c r="E312" s="3" t="s">
        <v>705</v>
      </c>
      <c r="F312" s="3">
        <f>VLOOKUP(Table1[[#This Row],[Column2]], TAXONOMY_TYPE, 2, FALSE)</f>
        <v>9322</v>
      </c>
      <c r="G312" s="3">
        <v>17</v>
      </c>
      <c r="H312" s="3" t="s">
        <v>664</v>
      </c>
      <c r="I312" s="3">
        <f>VLOOKUP(Table1[[#This Row],[Provider Type]] &amp; Table1[[#This Row],[Provider Type Description]], PROVIDER_TYPE, 2, FALSE)</f>
        <v>108</v>
      </c>
      <c r="J312" s="3">
        <v>172</v>
      </c>
      <c r="K312" s="3" t="s">
        <v>671</v>
      </c>
      <c r="L312" s="3">
        <f>VLOOKUP(TRIM(Table1[[#This Row],[Provider Specialty]]) &amp; TRIM(Table1[[#This Row],[Provider Specialty Description]]), SPECIALTY_TYPE, 2, FALSE)</f>
        <v>2218</v>
      </c>
      <c r="M312" s="3" t="s">
        <v>18</v>
      </c>
      <c r="N312" s="27" t="s">
        <v>19</v>
      </c>
      <c r="O312" s="38">
        <f>VLOOKUP(TRIM(Table1[[#This Row],[Provider Specialty]]) &amp; TRIM(Table1[[#This Row],[Provider Specialty Description]]), SPECIALTY_TYPE, 2, FALSE)</f>
        <v>2218</v>
      </c>
      <c r="P312" s="3" t="str">
        <f>Table1[[#This Row],[Provider Type]] &amp; "+" &amp; Table1[[#This Row],[Provider Type Description]]</f>
        <v>17+Therapist</v>
      </c>
      <c r="Q312" s="7" t="str">
        <f>Table1[[#This Row],[Provider Specialty]] &amp; "+" &amp; Table1[[#This Row],[Provider Specialty Description]]</f>
        <v>172+Respiratory Therapist</v>
      </c>
      <c r="R312" s="7" t="str">
        <f>Table1[[#This Row],[PDMS Specialty Type ID]] &amp; "+" &amp; Table1[[#This Row],[PDMS Provider Type ID]] &amp; "+" &amp;Table1[[#This Row],[TAXONOMY]]</f>
        <v>2218+108+2279P1005X</v>
      </c>
      <c r="S3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(9322, 2218, 108, N'2279P1005X', N'Respiratory Therapist, Registered - Pulmonary Rehabilitation')</v>
      </c>
    </row>
    <row r="313" spans="1:19" ht="47.25" customHeight="1" x14ac:dyDescent="0.25">
      <c r="A313" s="22" t="s">
        <v>227</v>
      </c>
      <c r="B313" s="3" t="s">
        <v>661</v>
      </c>
      <c r="C313" s="3" t="s">
        <v>696</v>
      </c>
      <c r="D313" s="3" t="s">
        <v>686</v>
      </c>
      <c r="E313" s="3" t="s">
        <v>706</v>
      </c>
      <c r="F313" s="3">
        <f>VLOOKUP(Table1[[#This Row],[Column2]], TAXONOMY_TYPE, 2, FALSE)</f>
        <v>9323</v>
      </c>
      <c r="G313" s="3">
        <v>17</v>
      </c>
      <c r="H313" s="3" t="s">
        <v>664</v>
      </c>
      <c r="I313" s="3">
        <f>VLOOKUP(Table1[[#This Row],[Provider Type]] &amp; Table1[[#This Row],[Provider Type Description]], PROVIDER_TYPE, 2, FALSE)</f>
        <v>108</v>
      </c>
      <c r="J313" s="3">
        <v>172</v>
      </c>
      <c r="K313" s="3" t="s">
        <v>671</v>
      </c>
      <c r="L313" s="3">
        <f>VLOOKUP(TRIM(Table1[[#This Row],[Provider Specialty]]) &amp; TRIM(Table1[[#This Row],[Provider Specialty Description]]), SPECIALTY_TYPE, 2, FALSE)</f>
        <v>2218</v>
      </c>
      <c r="M313" s="3" t="s">
        <v>18</v>
      </c>
      <c r="N313" s="27" t="s">
        <v>19</v>
      </c>
      <c r="O313" s="38">
        <f>VLOOKUP(TRIM(Table1[[#This Row],[Provider Specialty]]) &amp; TRIM(Table1[[#This Row],[Provider Specialty Description]]), SPECIALTY_TYPE, 2, FALSE)</f>
        <v>2218</v>
      </c>
      <c r="P313" s="3" t="str">
        <f>Table1[[#This Row],[Provider Type]] &amp; "+" &amp; Table1[[#This Row],[Provider Type Description]]</f>
        <v>17+Therapist</v>
      </c>
      <c r="Q313" s="7" t="str">
        <f>Table1[[#This Row],[Provider Specialty]] &amp; "+" &amp; Table1[[#This Row],[Provider Specialty Description]]</f>
        <v>172+Respiratory Therapist</v>
      </c>
      <c r="R313" s="7" t="str">
        <f>Table1[[#This Row],[PDMS Specialty Type ID]] &amp; "+" &amp; Table1[[#This Row],[PDMS Provider Type ID]] &amp; "+" &amp;Table1[[#This Row],[TAXONOMY]]</f>
        <v>2218+108+2279P1006X</v>
      </c>
      <c r="S3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(9323, 2218, 108, N'2279P1006X', N'Respiratory Therapist, Registered - Pulmonary Function Technologist')</v>
      </c>
    </row>
    <row r="314" spans="1:19" ht="47.25" customHeight="1" x14ac:dyDescent="0.25">
      <c r="A314" s="22" t="s">
        <v>227</v>
      </c>
      <c r="B314" s="3" t="s">
        <v>661</v>
      </c>
      <c r="C314" s="3" t="s">
        <v>696</v>
      </c>
      <c r="D314" s="3" t="s">
        <v>688</v>
      </c>
      <c r="E314" s="3" t="s">
        <v>707</v>
      </c>
      <c r="F314" s="3">
        <f>VLOOKUP(Table1[[#This Row],[Column2]], TAXONOMY_TYPE, 2, FALSE)</f>
        <v>9324</v>
      </c>
      <c r="G314" s="3">
        <v>17</v>
      </c>
      <c r="H314" s="3" t="s">
        <v>664</v>
      </c>
      <c r="I314" s="3">
        <f>VLOOKUP(Table1[[#This Row],[Provider Type]] &amp; Table1[[#This Row],[Provider Type Description]], PROVIDER_TYPE, 2, FALSE)</f>
        <v>108</v>
      </c>
      <c r="J314" s="3">
        <v>172</v>
      </c>
      <c r="K314" s="3" t="s">
        <v>671</v>
      </c>
      <c r="L314" s="3">
        <f>VLOOKUP(TRIM(Table1[[#This Row],[Provider Specialty]]) &amp; TRIM(Table1[[#This Row],[Provider Specialty Description]]), SPECIALTY_TYPE, 2, FALSE)</f>
        <v>2218</v>
      </c>
      <c r="M314" s="3" t="s">
        <v>18</v>
      </c>
      <c r="N314" s="27" t="s">
        <v>19</v>
      </c>
      <c r="O314" s="38">
        <f>VLOOKUP(TRIM(Table1[[#This Row],[Provider Specialty]]) &amp; TRIM(Table1[[#This Row],[Provider Specialty Description]]), SPECIALTY_TYPE, 2, FALSE)</f>
        <v>2218</v>
      </c>
      <c r="P314" s="3" t="str">
        <f>Table1[[#This Row],[Provider Type]] &amp; "+" &amp; Table1[[#This Row],[Provider Type Description]]</f>
        <v>17+Therapist</v>
      </c>
      <c r="Q314" s="7" t="str">
        <f>Table1[[#This Row],[Provider Specialty]] &amp; "+" &amp; Table1[[#This Row],[Provider Specialty Description]]</f>
        <v>172+Respiratory Therapist</v>
      </c>
      <c r="R314" s="7" t="str">
        <f>Table1[[#This Row],[PDMS Specialty Type ID]] &amp; "+" &amp; Table1[[#This Row],[PDMS Provider Type ID]] &amp; "+" &amp;Table1[[#This Row],[TAXONOMY]]</f>
        <v>2218+108+2279P3800X</v>
      </c>
      <c r="S3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(9324, 2218, 108, N'2279P3800X', N'Respiratory Therapist, Registered - Palliative/Hospice')</v>
      </c>
    </row>
    <row r="315" spans="1:19" ht="47.25" customHeight="1" x14ac:dyDescent="0.25">
      <c r="A315" s="22" t="s">
        <v>227</v>
      </c>
      <c r="B315" s="3" t="s">
        <v>661</v>
      </c>
      <c r="C315" s="3" t="s">
        <v>696</v>
      </c>
      <c r="D315" s="3" t="s">
        <v>690</v>
      </c>
      <c r="E315" s="3" t="s">
        <v>708</v>
      </c>
      <c r="F315" s="3">
        <f>VLOOKUP(Table1[[#This Row],[Column2]], TAXONOMY_TYPE, 2, FALSE)</f>
        <v>9325</v>
      </c>
      <c r="G315" s="3">
        <v>17</v>
      </c>
      <c r="H315" s="3" t="s">
        <v>664</v>
      </c>
      <c r="I315" s="3">
        <f>VLOOKUP(Table1[[#This Row],[Provider Type]] &amp; Table1[[#This Row],[Provider Type Description]], PROVIDER_TYPE, 2, FALSE)</f>
        <v>108</v>
      </c>
      <c r="J315" s="3">
        <v>172</v>
      </c>
      <c r="K315" s="3" t="s">
        <v>671</v>
      </c>
      <c r="L315" s="3">
        <f>VLOOKUP(TRIM(Table1[[#This Row],[Provider Specialty]]) &amp; TRIM(Table1[[#This Row],[Provider Specialty Description]]), SPECIALTY_TYPE, 2, FALSE)</f>
        <v>2218</v>
      </c>
      <c r="M315" s="3" t="s">
        <v>18</v>
      </c>
      <c r="N315" s="27" t="s">
        <v>19</v>
      </c>
      <c r="O315" s="38">
        <f>VLOOKUP(TRIM(Table1[[#This Row],[Provider Specialty]]) &amp; TRIM(Table1[[#This Row],[Provider Specialty Description]]), SPECIALTY_TYPE, 2, FALSE)</f>
        <v>2218</v>
      </c>
      <c r="P315" s="3" t="str">
        <f>Table1[[#This Row],[Provider Type]] &amp; "+" &amp; Table1[[#This Row],[Provider Type Description]]</f>
        <v>17+Therapist</v>
      </c>
      <c r="Q315" s="7" t="str">
        <f>Table1[[#This Row],[Provider Specialty]] &amp; "+" &amp; Table1[[#This Row],[Provider Specialty Description]]</f>
        <v>172+Respiratory Therapist</v>
      </c>
      <c r="R315" s="7" t="str">
        <f>Table1[[#This Row],[PDMS Specialty Type ID]] &amp; "+" &amp; Table1[[#This Row],[PDMS Provider Type ID]] &amp; "+" &amp;Table1[[#This Row],[TAXONOMY]]</f>
        <v>2218+108+2279P3900X</v>
      </c>
      <c r="S3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(9325, 2218, 108, N'2279P3900X', N'Respiratory Therapist, Registered - Neonatal/Pediatrics')</v>
      </c>
    </row>
    <row r="316" spans="1:19" ht="47.25" customHeight="1" x14ac:dyDescent="0.25">
      <c r="A316" s="22" t="s">
        <v>227</v>
      </c>
      <c r="B316" s="3" t="s">
        <v>661</v>
      </c>
      <c r="C316" s="3" t="s">
        <v>696</v>
      </c>
      <c r="D316" s="3" t="s">
        <v>692</v>
      </c>
      <c r="E316" s="3" t="s">
        <v>709</v>
      </c>
      <c r="F316" s="3">
        <f>VLOOKUP(Table1[[#This Row],[Column2]], TAXONOMY_TYPE, 2, FALSE)</f>
        <v>9326</v>
      </c>
      <c r="G316" s="3">
        <v>17</v>
      </c>
      <c r="H316" s="3" t="s">
        <v>664</v>
      </c>
      <c r="I316" s="3">
        <f>VLOOKUP(Table1[[#This Row],[Provider Type]] &amp; Table1[[#This Row],[Provider Type Description]], PROVIDER_TYPE, 2, FALSE)</f>
        <v>108</v>
      </c>
      <c r="J316" s="3">
        <v>172</v>
      </c>
      <c r="K316" s="3" t="s">
        <v>671</v>
      </c>
      <c r="L316" s="3">
        <f>VLOOKUP(TRIM(Table1[[#This Row],[Provider Specialty]]) &amp; TRIM(Table1[[#This Row],[Provider Specialty Description]]), SPECIALTY_TYPE, 2, FALSE)</f>
        <v>2218</v>
      </c>
      <c r="M316" s="3" t="s">
        <v>18</v>
      </c>
      <c r="N316" s="27" t="s">
        <v>19</v>
      </c>
      <c r="O316" s="38">
        <f>VLOOKUP(TRIM(Table1[[#This Row],[Provider Specialty]]) &amp; TRIM(Table1[[#This Row],[Provider Specialty Description]]), SPECIALTY_TYPE, 2, FALSE)</f>
        <v>2218</v>
      </c>
      <c r="P316" s="3" t="str">
        <f>Table1[[#This Row],[Provider Type]] &amp; "+" &amp; Table1[[#This Row],[Provider Type Description]]</f>
        <v>17+Therapist</v>
      </c>
      <c r="Q316" s="7" t="str">
        <f>Table1[[#This Row],[Provider Specialty]] &amp; "+" &amp; Table1[[#This Row],[Provider Specialty Description]]</f>
        <v>172+Respiratory Therapist</v>
      </c>
      <c r="R316" s="7" t="str">
        <f>Table1[[#This Row],[PDMS Specialty Type ID]] &amp; "+" &amp; Table1[[#This Row],[PDMS Provider Type ID]] &amp; "+" &amp;Table1[[#This Row],[TAXONOMY]]</f>
        <v>2218+108+2279P4000X</v>
      </c>
      <c r="S3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(9326, 2218, 108, N'2279P4000X', N'Respiratory Therapist, Registered - Patient Transport')</v>
      </c>
    </row>
    <row r="317" spans="1:19" ht="47.25" customHeight="1" x14ac:dyDescent="0.25">
      <c r="A317" s="22" t="s">
        <v>227</v>
      </c>
      <c r="B317" s="3" t="s">
        <v>661</v>
      </c>
      <c r="C317" s="3" t="s">
        <v>696</v>
      </c>
      <c r="D317" s="3" t="s">
        <v>694</v>
      </c>
      <c r="E317" s="3" t="s">
        <v>710</v>
      </c>
      <c r="F317" s="3">
        <f>VLOOKUP(Table1[[#This Row],[Column2]], TAXONOMY_TYPE, 2, FALSE)</f>
        <v>9327</v>
      </c>
      <c r="G317" s="3">
        <v>17</v>
      </c>
      <c r="H317" s="3" t="s">
        <v>664</v>
      </c>
      <c r="I317" s="3">
        <f>VLOOKUP(Table1[[#This Row],[Provider Type]] &amp; Table1[[#This Row],[Provider Type Description]], PROVIDER_TYPE, 2, FALSE)</f>
        <v>108</v>
      </c>
      <c r="J317" s="3">
        <v>172</v>
      </c>
      <c r="K317" s="3" t="s">
        <v>671</v>
      </c>
      <c r="L317" s="3">
        <f>VLOOKUP(TRIM(Table1[[#This Row],[Provider Specialty]]) &amp; TRIM(Table1[[#This Row],[Provider Specialty Description]]), SPECIALTY_TYPE, 2, FALSE)</f>
        <v>2218</v>
      </c>
      <c r="M317" s="3" t="s">
        <v>18</v>
      </c>
      <c r="N317" s="27" t="s">
        <v>19</v>
      </c>
      <c r="O317" s="38">
        <f>VLOOKUP(TRIM(Table1[[#This Row],[Provider Specialty]]) &amp; TRIM(Table1[[#This Row],[Provider Specialty Description]]), SPECIALTY_TYPE, 2, FALSE)</f>
        <v>2218</v>
      </c>
      <c r="P317" s="3" t="str">
        <f>Table1[[#This Row],[Provider Type]] &amp; "+" &amp; Table1[[#This Row],[Provider Type Description]]</f>
        <v>17+Therapist</v>
      </c>
      <c r="Q317" s="7" t="str">
        <f>Table1[[#This Row],[Provider Specialty]] &amp; "+" &amp; Table1[[#This Row],[Provider Specialty Description]]</f>
        <v>172+Respiratory Therapist</v>
      </c>
      <c r="R317" s="7" t="str">
        <f>Table1[[#This Row],[PDMS Specialty Type ID]] &amp; "+" &amp; Table1[[#This Row],[PDMS Provider Type ID]] &amp; "+" &amp;Table1[[#This Row],[TAXONOMY]]</f>
        <v>2218+108+2279S1500X</v>
      </c>
      <c r="S3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(9327, 2218, 108, N'2279S1500X', N'Respiratory Therapist, Registered - SNF/Subacute Care')</v>
      </c>
    </row>
    <row r="318" spans="1:19" ht="47.25" customHeight="1" x14ac:dyDescent="0.25">
      <c r="A318" s="22" t="s">
        <v>227</v>
      </c>
      <c r="B318" s="3" t="s">
        <v>755</v>
      </c>
      <c r="C318" s="3" t="s">
        <v>756</v>
      </c>
      <c r="D318" s="3" t="s">
        <v>756</v>
      </c>
      <c r="E318" s="3" t="s">
        <v>757</v>
      </c>
      <c r="F318" s="3">
        <f>VLOOKUP(Table1[[#This Row],[Column2]], TAXONOMY_TYPE, 2, FALSE)</f>
        <v>9328</v>
      </c>
      <c r="G318" s="3">
        <v>17</v>
      </c>
      <c r="H318" s="8" t="s">
        <v>758</v>
      </c>
      <c r="I318" s="3">
        <f>VLOOKUP(Table1[[#This Row],[Provider Type]] &amp; Table1[[#This Row],[Provider Type Description]], PROVIDER_TYPE, 2, FALSE)</f>
        <v>107</v>
      </c>
      <c r="J318" s="3">
        <v>172</v>
      </c>
      <c r="K318" s="9" t="s">
        <v>671</v>
      </c>
      <c r="L318" s="9">
        <f>VLOOKUP(TRIM(Table1[[#This Row],[Provider Specialty]]) &amp; TRIM(Table1[[#This Row],[Provider Specialty Description]]), SPECIALTY_TYPE, 2, FALSE)</f>
        <v>2218</v>
      </c>
      <c r="M318" s="3" t="s">
        <v>18</v>
      </c>
      <c r="N318" s="27" t="s">
        <v>18</v>
      </c>
      <c r="O318" s="38">
        <f>VLOOKUP(TRIM(Table1[[#This Row],[Provider Specialty]]) &amp; TRIM(Table1[[#This Row],[Provider Specialty Description]]), SPECIALTY_TYPE, 2, FALSE)</f>
        <v>2218</v>
      </c>
      <c r="P318" s="3" t="str">
        <f>Table1[[#This Row],[Provider Type]] &amp; "+" &amp; Table1[[#This Row],[Provider Type Description]]</f>
        <v>17+Clinical Exercise Physiologist</v>
      </c>
      <c r="Q318" s="7" t="str">
        <f>Table1[[#This Row],[Provider Specialty]] &amp; "+" &amp; Table1[[#This Row],[Provider Specialty Description]]</f>
        <v>172+Respiratory Therapist</v>
      </c>
      <c r="R318" s="7" t="str">
        <f>Table1[[#This Row],[PDMS Specialty Type ID]] &amp; "+" &amp; Table1[[#This Row],[PDMS Provider Type ID]] &amp; "+" &amp;Table1[[#This Row],[TAXONOMY]]</f>
        <v>2218+107+224Y00000X</v>
      </c>
      <c r="S3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(9328, 2218, 107, N'224Y00000X', N'Clinical Exercise Physiologist - Clinical Exercise Physiologist')</v>
      </c>
    </row>
    <row r="319" spans="1:19" ht="47.25" customHeight="1" x14ac:dyDescent="0.25">
      <c r="A319" s="22" t="s">
        <v>227</v>
      </c>
      <c r="B319" s="3" t="s">
        <v>748</v>
      </c>
      <c r="C319" s="3" t="s">
        <v>749</v>
      </c>
      <c r="D319" s="3" t="s">
        <v>749</v>
      </c>
      <c r="E319" s="3" t="s">
        <v>750</v>
      </c>
      <c r="F319" s="3">
        <f>VLOOKUP(Table1[[#This Row],[Column2]], TAXONOMY_TYPE, 2, FALSE)</f>
        <v>9329</v>
      </c>
      <c r="G319" s="3">
        <v>17</v>
      </c>
      <c r="H319" s="3" t="s">
        <v>664</v>
      </c>
      <c r="I319" s="3">
        <f>VLOOKUP(Table1[[#This Row],[Provider Type]] &amp; Table1[[#This Row],[Provider Type Description]], PROVIDER_TYPE, 2, FALSE)</f>
        <v>108</v>
      </c>
      <c r="J319" s="3">
        <v>173</v>
      </c>
      <c r="K319" s="3" t="s">
        <v>751</v>
      </c>
      <c r="L319" s="3">
        <f>VLOOKUP(TRIM(Table1[[#This Row],[Provider Specialty]]) &amp; TRIM(Table1[[#This Row],[Provider Specialty Description]]), SPECIALTY_TYPE, 2, FALSE)</f>
        <v>2219</v>
      </c>
      <c r="M319" s="3" t="s">
        <v>19</v>
      </c>
      <c r="N319" s="27" t="s">
        <v>19</v>
      </c>
      <c r="O319" s="38">
        <f>VLOOKUP(TRIM(Table1[[#This Row],[Provider Specialty]]) &amp; TRIM(Table1[[#This Row],[Provider Specialty Description]]), SPECIALTY_TYPE, 2, FALSE)</f>
        <v>2219</v>
      </c>
      <c r="P319" s="3" t="str">
        <f>Table1[[#This Row],[Provider Type]] &amp; "+" &amp; Table1[[#This Row],[Provider Type Description]]</f>
        <v>17+Therapist</v>
      </c>
      <c r="Q319" s="7" t="str">
        <f>Table1[[#This Row],[Provider Specialty]] &amp; "+" &amp; Table1[[#This Row],[Provider Specialty Description]]</f>
        <v>173+Speech/Hearing Therapist</v>
      </c>
      <c r="R319" s="7" t="str">
        <f>Table1[[#This Row],[PDMS Specialty Type ID]] &amp; "+" &amp; Table1[[#This Row],[PDMS Provider Type ID]] &amp; "+" &amp;Table1[[#This Row],[TAXONOMY]]</f>
        <v>2219+108+235Z00000X</v>
      </c>
      <c r="S3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(9329, 2219, 108, N'235Z00000X', N'Speech-Language Pathologist - Speech-Language Pathologist')</v>
      </c>
    </row>
    <row r="320" spans="1:19" ht="47.25" customHeight="1" x14ac:dyDescent="0.25">
      <c r="A320" s="22" t="s">
        <v>227</v>
      </c>
      <c r="B320" s="3" t="s">
        <v>661</v>
      </c>
      <c r="C320" s="3" t="s">
        <v>662</v>
      </c>
      <c r="D320" s="3" t="s">
        <v>662</v>
      </c>
      <c r="E320" s="3" t="s">
        <v>663</v>
      </c>
      <c r="F320" s="3">
        <f>VLOOKUP(Table1[[#This Row],[Column2]], TAXONOMY_TYPE, 2, FALSE)</f>
        <v>9330</v>
      </c>
      <c r="G320" s="3">
        <v>17</v>
      </c>
      <c r="H320" s="3" t="s">
        <v>664</v>
      </c>
      <c r="I320" s="3">
        <f>VLOOKUP(Table1[[#This Row],[Provider Type]] &amp; Table1[[#This Row],[Provider Type Description]], PROVIDER_TYPE, 2, FALSE)</f>
        <v>108</v>
      </c>
      <c r="J320" s="3">
        <v>174</v>
      </c>
      <c r="K320" s="3" t="s">
        <v>665</v>
      </c>
      <c r="L320" s="3">
        <f>VLOOKUP(TRIM(Table1[[#This Row],[Provider Specialty]]) &amp; TRIM(Table1[[#This Row],[Provider Specialty Description]]), SPECIALTY_TYPE, 2, FALSE)</f>
        <v>2220</v>
      </c>
      <c r="M320" s="3" t="s">
        <v>18</v>
      </c>
      <c r="N320" s="27" t="s">
        <v>19</v>
      </c>
      <c r="O320" s="38">
        <f>VLOOKUP(TRIM(Table1[[#This Row],[Provider Specialty]]) &amp; TRIM(Table1[[#This Row],[Provider Specialty Description]]), SPECIALTY_TYPE, 2, FALSE)</f>
        <v>2220</v>
      </c>
      <c r="P320" s="3" t="str">
        <f>Table1[[#This Row],[Provider Type]] &amp; "+" &amp; Table1[[#This Row],[Provider Type Description]]</f>
        <v>17+Therapist</v>
      </c>
      <c r="Q320" s="7" t="str">
        <f>Table1[[#This Row],[Provider Specialty]] &amp; "+" &amp; Table1[[#This Row],[Provider Specialty Description]]</f>
        <v>174+Occupational Therapy Assistant</v>
      </c>
      <c r="R320" s="7" t="str">
        <f>Table1[[#This Row],[PDMS Specialty Type ID]] &amp; "+" &amp; Table1[[#This Row],[PDMS Provider Type ID]] &amp; "+" &amp;Table1[[#This Row],[TAXONOMY]]</f>
        <v>2220+108+224Z00000X</v>
      </c>
      <c r="S3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(9330, 2220, 108, N'224Z00000X', N'Occupational Therapy Assistant - Occupational Therapy Assistant')</v>
      </c>
    </row>
    <row r="321" spans="1:19" ht="47.25" customHeight="1" x14ac:dyDescent="0.25">
      <c r="A321" s="22" t="s">
        <v>227</v>
      </c>
      <c r="B321" s="3" t="s">
        <v>755</v>
      </c>
      <c r="C321" s="3" t="s">
        <v>662</v>
      </c>
      <c r="D321" s="3" t="s">
        <v>759</v>
      </c>
      <c r="E321" s="3" t="s">
        <v>760</v>
      </c>
      <c r="F321" s="3">
        <f>VLOOKUP(Table1[[#This Row],[Column2]], TAXONOMY_TYPE, 2, FALSE)</f>
        <v>9331</v>
      </c>
      <c r="G321" s="3">
        <v>17</v>
      </c>
      <c r="H321" s="3" t="s">
        <v>761</v>
      </c>
      <c r="I321" s="3">
        <f>VLOOKUP(Table1[[#This Row],[Provider Type]] &amp; Table1[[#This Row],[Provider Type Description]], PROVIDER_TYPE, 2, FALSE)</f>
        <v>106</v>
      </c>
      <c r="J321" s="3">
        <v>174</v>
      </c>
      <c r="K321" s="3" t="s">
        <v>665</v>
      </c>
      <c r="L321" s="3">
        <f>VLOOKUP(TRIM(Table1[[#This Row],[Provider Specialty]]) &amp; TRIM(Table1[[#This Row],[Provider Specialty Description]]), SPECIALTY_TYPE, 2, FALSE)</f>
        <v>2220</v>
      </c>
      <c r="M321" s="3" t="s">
        <v>18</v>
      </c>
      <c r="N321" s="27" t="s">
        <v>19</v>
      </c>
      <c r="O321" s="38">
        <f>VLOOKUP(TRIM(Table1[[#This Row],[Provider Specialty]]) &amp; TRIM(Table1[[#This Row],[Provider Specialty Description]]), SPECIALTY_TYPE, 2, FALSE)</f>
        <v>2220</v>
      </c>
      <c r="P321" s="3" t="str">
        <f>Table1[[#This Row],[Provider Type]] &amp; "+" &amp; Table1[[#This Row],[Provider Type Description]]</f>
        <v>17+Assistant Therapist</v>
      </c>
      <c r="Q321" s="7" t="str">
        <f>Table1[[#This Row],[Provider Specialty]] &amp; "+" &amp; Table1[[#This Row],[Provider Specialty Description]]</f>
        <v>174+Occupational Therapy Assistant</v>
      </c>
      <c r="R321" s="7" t="str">
        <f>Table1[[#This Row],[PDMS Specialty Type ID]] &amp; "+" &amp; Table1[[#This Row],[PDMS Provider Type ID]] &amp; "+" &amp;Table1[[#This Row],[TAXONOMY]]</f>
        <v>2220+106+224ZE0001X</v>
      </c>
      <c r="S3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(9331, 2220, 106, N'224ZE0001X', N'Occupational Therapy Assistant - Environmental Modification Specialization')</v>
      </c>
    </row>
    <row r="322" spans="1:19" ht="47.25" customHeight="1" x14ac:dyDescent="0.25">
      <c r="A322" s="22" t="s">
        <v>227</v>
      </c>
      <c r="B322" s="3" t="s">
        <v>755</v>
      </c>
      <c r="C322" s="3" t="s">
        <v>662</v>
      </c>
      <c r="D322" s="3" t="s">
        <v>762</v>
      </c>
      <c r="E322" s="3" t="s">
        <v>763</v>
      </c>
      <c r="F322" s="3">
        <f>VLOOKUP(Table1[[#This Row],[Column2]], TAXONOMY_TYPE, 2, FALSE)</f>
        <v>9332</v>
      </c>
      <c r="G322" s="3">
        <v>17</v>
      </c>
      <c r="H322" s="3" t="s">
        <v>761</v>
      </c>
      <c r="I322" s="3">
        <f>VLOOKUP(Table1[[#This Row],[Provider Type]] &amp; Table1[[#This Row],[Provider Type Description]], PROVIDER_TYPE, 2, FALSE)</f>
        <v>106</v>
      </c>
      <c r="J322" s="3">
        <v>174</v>
      </c>
      <c r="K322" s="3" t="s">
        <v>665</v>
      </c>
      <c r="L322" s="3">
        <f>VLOOKUP(TRIM(Table1[[#This Row],[Provider Specialty]]) &amp; TRIM(Table1[[#This Row],[Provider Specialty Description]]), SPECIALTY_TYPE, 2, FALSE)</f>
        <v>2220</v>
      </c>
      <c r="M322" s="3" t="s">
        <v>18</v>
      </c>
      <c r="N322" s="27" t="s">
        <v>19</v>
      </c>
      <c r="O322" s="38">
        <f>VLOOKUP(TRIM(Table1[[#This Row],[Provider Specialty]]) &amp; TRIM(Table1[[#This Row],[Provider Specialty Description]]), SPECIALTY_TYPE, 2, FALSE)</f>
        <v>2220</v>
      </c>
      <c r="P322" s="3" t="str">
        <f>Table1[[#This Row],[Provider Type]] &amp; "+" &amp; Table1[[#This Row],[Provider Type Description]]</f>
        <v>17+Assistant Therapist</v>
      </c>
      <c r="Q322" s="7" t="str">
        <f>Table1[[#This Row],[Provider Specialty]] &amp; "+" &amp; Table1[[#This Row],[Provider Specialty Description]]</f>
        <v>174+Occupational Therapy Assistant</v>
      </c>
      <c r="R322" s="7" t="str">
        <f>Table1[[#This Row],[PDMS Specialty Type ID]] &amp; "+" &amp; Table1[[#This Row],[PDMS Provider Type ID]] &amp; "+" &amp;Table1[[#This Row],[TAXONOMY]]</f>
        <v>2220+106+224ZF0002X</v>
      </c>
      <c r="S3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(9332, 2220, 106, N'224ZF0002X', N'Occupational Therapy Assistant - Feeding, Eating &amp; Swallowing Specialization')</v>
      </c>
    </row>
    <row r="323" spans="1:19" ht="47.25" customHeight="1" x14ac:dyDescent="0.25">
      <c r="A323" s="22" t="s">
        <v>227</v>
      </c>
      <c r="B323" s="3" t="s">
        <v>755</v>
      </c>
      <c r="C323" s="3" t="s">
        <v>662</v>
      </c>
      <c r="D323" s="3" t="s">
        <v>764</v>
      </c>
      <c r="E323" s="3" t="s">
        <v>765</v>
      </c>
      <c r="F323" s="3">
        <f>VLOOKUP(Table1[[#This Row],[Column2]], TAXONOMY_TYPE, 2, FALSE)</f>
        <v>9333</v>
      </c>
      <c r="G323" s="3">
        <v>17</v>
      </c>
      <c r="H323" s="3" t="s">
        <v>761</v>
      </c>
      <c r="I323" s="3">
        <f>VLOOKUP(Table1[[#This Row],[Provider Type]] &amp; Table1[[#This Row],[Provider Type Description]], PROVIDER_TYPE, 2, FALSE)</f>
        <v>106</v>
      </c>
      <c r="J323" s="3">
        <v>174</v>
      </c>
      <c r="K323" s="3" t="s">
        <v>665</v>
      </c>
      <c r="L323" s="3">
        <f>VLOOKUP(TRIM(Table1[[#This Row],[Provider Specialty]]) &amp; TRIM(Table1[[#This Row],[Provider Specialty Description]]), SPECIALTY_TYPE, 2, FALSE)</f>
        <v>2220</v>
      </c>
      <c r="M323" s="3" t="s">
        <v>18</v>
      </c>
      <c r="N323" s="27" t="s">
        <v>19</v>
      </c>
      <c r="O323" s="38">
        <f>VLOOKUP(TRIM(Table1[[#This Row],[Provider Specialty]]) &amp; TRIM(Table1[[#This Row],[Provider Specialty Description]]), SPECIALTY_TYPE, 2, FALSE)</f>
        <v>2220</v>
      </c>
      <c r="P323" s="3" t="str">
        <f>Table1[[#This Row],[Provider Type]] &amp; "+" &amp; Table1[[#This Row],[Provider Type Description]]</f>
        <v>17+Assistant Therapist</v>
      </c>
      <c r="Q323" s="7" t="str">
        <f>Table1[[#This Row],[Provider Specialty]] &amp; "+" &amp; Table1[[#This Row],[Provider Specialty Description]]</f>
        <v>174+Occupational Therapy Assistant</v>
      </c>
      <c r="R323" s="7" t="str">
        <f>Table1[[#This Row],[PDMS Specialty Type ID]] &amp; "+" &amp; Table1[[#This Row],[PDMS Provider Type ID]] &amp; "+" &amp;Table1[[#This Row],[TAXONOMY]]</f>
        <v>2220+106+224ZL0004X</v>
      </c>
      <c r="S3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(9333, 2220, 106, N'224ZL0004X', N'Occupational Therapy Assistant - Low Vision Specialization')</v>
      </c>
    </row>
    <row r="324" spans="1:19" ht="47.25" customHeight="1" x14ac:dyDescent="0.25">
      <c r="A324" s="22" t="s">
        <v>227</v>
      </c>
      <c r="B324" s="3" t="s">
        <v>755</v>
      </c>
      <c r="C324" s="3" t="s">
        <v>662</v>
      </c>
      <c r="D324" s="3" t="s">
        <v>766</v>
      </c>
      <c r="E324" s="3" t="s">
        <v>767</v>
      </c>
      <c r="F324" s="3">
        <f>VLOOKUP(Table1[[#This Row],[Column2]], TAXONOMY_TYPE, 2, FALSE)</f>
        <v>9334</v>
      </c>
      <c r="G324" s="3">
        <v>17</v>
      </c>
      <c r="H324" s="3" t="s">
        <v>761</v>
      </c>
      <c r="I324" s="3">
        <f>VLOOKUP(Table1[[#This Row],[Provider Type]] &amp; Table1[[#This Row],[Provider Type Description]], PROVIDER_TYPE, 2, FALSE)</f>
        <v>106</v>
      </c>
      <c r="J324" s="3">
        <v>174</v>
      </c>
      <c r="K324" s="3" t="s">
        <v>665</v>
      </c>
      <c r="L324" s="3">
        <f>VLOOKUP(TRIM(Table1[[#This Row],[Provider Specialty]]) &amp; TRIM(Table1[[#This Row],[Provider Specialty Description]]), SPECIALTY_TYPE, 2, FALSE)</f>
        <v>2220</v>
      </c>
      <c r="M324" s="3" t="s">
        <v>18</v>
      </c>
      <c r="N324" s="27" t="s">
        <v>19</v>
      </c>
      <c r="O324" s="38">
        <f>VLOOKUP(TRIM(Table1[[#This Row],[Provider Specialty]]) &amp; TRIM(Table1[[#This Row],[Provider Specialty Description]]), SPECIALTY_TYPE, 2, FALSE)</f>
        <v>2220</v>
      </c>
      <c r="P324" s="3" t="str">
        <f>Table1[[#This Row],[Provider Type]] &amp; "+" &amp; Table1[[#This Row],[Provider Type Description]]</f>
        <v>17+Assistant Therapist</v>
      </c>
      <c r="Q324" s="7" t="str">
        <f>Table1[[#This Row],[Provider Specialty]] &amp; "+" &amp; Table1[[#This Row],[Provider Specialty Description]]</f>
        <v>174+Occupational Therapy Assistant</v>
      </c>
      <c r="R324" s="7" t="str">
        <f>Table1[[#This Row],[PDMS Specialty Type ID]] &amp; "+" &amp; Table1[[#This Row],[PDMS Provider Type ID]] &amp; "+" &amp;Table1[[#This Row],[TAXONOMY]]</f>
        <v>2220+106+224ZR0403X</v>
      </c>
      <c r="S3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(9334, 2220, 106, N'224ZR0403X', N'Occupational Therapy Assistant - Driving &amp; Community Mobility Specialization')</v>
      </c>
    </row>
    <row r="325" spans="1:19" ht="47.25" customHeight="1" x14ac:dyDescent="0.25">
      <c r="A325" s="22" t="s">
        <v>227</v>
      </c>
      <c r="B325" s="3" t="s">
        <v>661</v>
      </c>
      <c r="C325" s="3" t="s">
        <v>666</v>
      </c>
      <c r="D325" s="3" t="s">
        <v>666</v>
      </c>
      <c r="E325" s="3" t="s">
        <v>667</v>
      </c>
      <c r="F325" s="3">
        <f>VLOOKUP(Table1[[#This Row],[Column2]], TAXONOMY_TYPE, 2, FALSE)</f>
        <v>9335</v>
      </c>
      <c r="G325" s="3">
        <v>17</v>
      </c>
      <c r="H325" s="3" t="s">
        <v>664</v>
      </c>
      <c r="I325" s="3">
        <f>VLOOKUP(Table1[[#This Row],[Provider Type]] &amp; Table1[[#This Row],[Provider Type Description]], PROVIDER_TYPE, 2, FALSE)</f>
        <v>108</v>
      </c>
      <c r="J325" s="3">
        <v>175</v>
      </c>
      <c r="K325" s="3" t="s">
        <v>668</v>
      </c>
      <c r="L325" s="3">
        <f>VLOOKUP(TRIM(Table1[[#This Row],[Provider Specialty]]) &amp; TRIM(Table1[[#This Row],[Provider Specialty Description]]), SPECIALTY_TYPE, 2, FALSE)</f>
        <v>2221</v>
      </c>
      <c r="M325" s="3" t="s">
        <v>18</v>
      </c>
      <c r="N325" s="27" t="s">
        <v>19</v>
      </c>
      <c r="O325" s="38">
        <f>VLOOKUP(TRIM(Table1[[#This Row],[Provider Specialty]]) &amp; TRIM(Table1[[#This Row],[Provider Specialty Description]]), SPECIALTY_TYPE, 2, FALSE)</f>
        <v>2221</v>
      </c>
      <c r="P325" s="3" t="str">
        <f>Table1[[#This Row],[Provider Type]] &amp; "+" &amp; Table1[[#This Row],[Provider Type Description]]</f>
        <v>17+Therapist</v>
      </c>
      <c r="Q325" s="7" t="str">
        <f>Table1[[#This Row],[Provider Specialty]] &amp; "+" &amp; Table1[[#This Row],[Provider Specialty Description]]</f>
        <v>175+Physical Therapy Assistant</v>
      </c>
      <c r="R325" s="7" t="str">
        <f>Table1[[#This Row],[PDMS Specialty Type ID]] &amp; "+" &amp; Table1[[#This Row],[PDMS Provider Type ID]] &amp; "+" &amp;Table1[[#This Row],[TAXONOMY]]</f>
        <v>2221+108+225200000X</v>
      </c>
      <c r="S3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(9335, 2221, 108, N'225200000X', N'Physical Therapy Assistant - Physical Therapy Assistant')</v>
      </c>
    </row>
    <row r="326" spans="1:19" ht="47.25" hidden="1" customHeight="1" x14ac:dyDescent="0.25">
      <c r="A326" s="22" t="s">
        <v>227</v>
      </c>
      <c r="B326" s="3" t="s">
        <v>780</v>
      </c>
      <c r="C326" s="3" t="s">
        <v>781</v>
      </c>
      <c r="D326" s="3" t="s">
        <v>781</v>
      </c>
      <c r="E326" s="3" t="s">
        <v>782</v>
      </c>
      <c r="F326" s="3">
        <f>VLOOKUP(Table1[[#This Row],[Column2]], TAXONOMY_TYPE, 2, FALSE)</f>
        <v>9336</v>
      </c>
      <c r="G326" s="3">
        <v>18</v>
      </c>
      <c r="H326" s="3" t="s">
        <v>783</v>
      </c>
      <c r="I326" s="3">
        <f>VLOOKUP(Table1[[#This Row],[Provider Type]] &amp; Table1[[#This Row],[Provider Type Description]], PROVIDER_TYPE, 2, FALSE)</f>
        <v>41</v>
      </c>
      <c r="J326" s="3">
        <v>180</v>
      </c>
      <c r="K326" s="3" t="s">
        <v>783</v>
      </c>
      <c r="L326" s="3">
        <f>VLOOKUP(TRIM(Table1[[#This Row],[Provider Specialty]]) &amp; TRIM(Table1[[#This Row],[Provider Specialty Description]]), SPECIALTY_TYPE, 2, FALSE)</f>
        <v>2222</v>
      </c>
      <c r="M326" s="3" t="s">
        <v>19</v>
      </c>
      <c r="N326" s="27" t="s">
        <v>19</v>
      </c>
      <c r="O326" s="38">
        <f>VLOOKUP(TRIM(Table1[[#This Row],[Provider Specialty]]) &amp; TRIM(Table1[[#This Row],[Provider Specialty Description]]), SPECIALTY_TYPE, 2, FALSE)</f>
        <v>2222</v>
      </c>
      <c r="P326" s="3" t="str">
        <f>Table1[[#This Row],[Provider Type]] &amp; "+" &amp; Table1[[#This Row],[Provider Type Description]]</f>
        <v>18+Optometrist</v>
      </c>
      <c r="Q326" s="7" t="str">
        <f>Table1[[#This Row],[Provider Specialty]] &amp; "+" &amp; Table1[[#This Row],[Provider Specialty Description]]</f>
        <v>180+Optometrist</v>
      </c>
      <c r="R326" s="7" t="str">
        <f>Table1[[#This Row],[PDMS Specialty Type ID]] &amp; "+" &amp; Table1[[#This Row],[PDMS Provider Type ID]] &amp; "+" &amp;Table1[[#This Row],[TAXONOMY]]</f>
        <v>2222+41+152W00000X</v>
      </c>
      <c r="S3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(9336, 2222, 41, N'152W00000X', N'Optometrist - Optometrist')</v>
      </c>
    </row>
    <row r="327" spans="1:19" ht="47.25" hidden="1" customHeight="1" x14ac:dyDescent="0.25">
      <c r="A327" s="22" t="s">
        <v>227</v>
      </c>
      <c r="B327" s="3" t="s">
        <v>780</v>
      </c>
      <c r="C327" s="3" t="s">
        <v>781</v>
      </c>
      <c r="D327" s="3" t="s">
        <v>784</v>
      </c>
      <c r="E327" s="3" t="s">
        <v>785</v>
      </c>
      <c r="F327" s="3">
        <f>VLOOKUP(Table1[[#This Row],[Column2]], TAXONOMY_TYPE, 2, FALSE)</f>
        <v>9337</v>
      </c>
      <c r="G327" s="3">
        <v>18</v>
      </c>
      <c r="H327" s="3" t="s">
        <v>783</v>
      </c>
      <c r="I327" s="3">
        <f>VLOOKUP(Table1[[#This Row],[Provider Type]] &amp; Table1[[#This Row],[Provider Type Description]], PROVIDER_TYPE, 2, FALSE)</f>
        <v>41</v>
      </c>
      <c r="J327" s="3">
        <v>180</v>
      </c>
      <c r="K327" s="3" t="s">
        <v>783</v>
      </c>
      <c r="L327" s="3">
        <f>VLOOKUP(TRIM(Table1[[#This Row],[Provider Specialty]]) &amp; TRIM(Table1[[#This Row],[Provider Specialty Description]]), SPECIALTY_TYPE, 2, FALSE)</f>
        <v>2222</v>
      </c>
      <c r="M327" s="3" t="s">
        <v>19</v>
      </c>
      <c r="N327" s="27" t="s">
        <v>19</v>
      </c>
      <c r="O327" s="38">
        <f>VLOOKUP(TRIM(Table1[[#This Row],[Provider Specialty]]) &amp; TRIM(Table1[[#This Row],[Provider Specialty Description]]), SPECIALTY_TYPE, 2, FALSE)</f>
        <v>2222</v>
      </c>
      <c r="P327" s="3" t="str">
        <f>Table1[[#This Row],[Provider Type]] &amp; "+" &amp; Table1[[#This Row],[Provider Type Description]]</f>
        <v>18+Optometrist</v>
      </c>
      <c r="Q327" s="7" t="str">
        <f>Table1[[#This Row],[Provider Specialty]] &amp; "+" &amp; Table1[[#This Row],[Provider Specialty Description]]</f>
        <v>180+Optometrist</v>
      </c>
      <c r="R327" s="7" t="str">
        <f>Table1[[#This Row],[PDMS Specialty Type ID]] &amp; "+" &amp; Table1[[#This Row],[PDMS Provider Type ID]] &amp; "+" &amp;Table1[[#This Row],[TAXONOMY]]</f>
        <v>2222+41+152WC0802X</v>
      </c>
      <c r="S3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(9337, 2222, 41, N'152WC0802X', N'Optometrist - Corneal and Contact Management')</v>
      </c>
    </row>
    <row r="328" spans="1:19" ht="47.25" hidden="1" customHeight="1" x14ac:dyDescent="0.25">
      <c r="A328" s="22" t="s">
        <v>227</v>
      </c>
      <c r="B328" s="3" t="s">
        <v>780</v>
      </c>
      <c r="C328" s="3" t="s">
        <v>781</v>
      </c>
      <c r="D328" s="3" t="s">
        <v>786</v>
      </c>
      <c r="E328" s="3" t="s">
        <v>787</v>
      </c>
      <c r="F328" s="3">
        <f>VLOOKUP(Table1[[#This Row],[Column2]], TAXONOMY_TYPE, 2, FALSE)</f>
        <v>9338</v>
      </c>
      <c r="G328" s="3">
        <v>18</v>
      </c>
      <c r="H328" s="3" t="s">
        <v>783</v>
      </c>
      <c r="I328" s="3">
        <f>VLOOKUP(Table1[[#This Row],[Provider Type]] &amp; Table1[[#This Row],[Provider Type Description]], PROVIDER_TYPE, 2, FALSE)</f>
        <v>41</v>
      </c>
      <c r="J328" s="3">
        <v>180</v>
      </c>
      <c r="K328" s="3" t="s">
        <v>783</v>
      </c>
      <c r="L328" s="3">
        <f>VLOOKUP(TRIM(Table1[[#This Row],[Provider Specialty]]) &amp; TRIM(Table1[[#This Row],[Provider Specialty Description]]), SPECIALTY_TYPE, 2, FALSE)</f>
        <v>2222</v>
      </c>
      <c r="M328" s="3" t="s">
        <v>19</v>
      </c>
      <c r="N328" s="27" t="s">
        <v>19</v>
      </c>
      <c r="O328" s="38">
        <f>VLOOKUP(TRIM(Table1[[#This Row],[Provider Specialty]]) &amp; TRIM(Table1[[#This Row],[Provider Specialty Description]]), SPECIALTY_TYPE, 2, FALSE)</f>
        <v>2222</v>
      </c>
      <c r="P328" s="3" t="str">
        <f>Table1[[#This Row],[Provider Type]] &amp; "+" &amp; Table1[[#This Row],[Provider Type Description]]</f>
        <v>18+Optometrist</v>
      </c>
      <c r="Q328" s="7" t="str">
        <f>Table1[[#This Row],[Provider Specialty]] &amp; "+" &amp; Table1[[#This Row],[Provider Specialty Description]]</f>
        <v>180+Optometrist</v>
      </c>
      <c r="R328" s="7" t="str">
        <f>Table1[[#This Row],[PDMS Specialty Type ID]] &amp; "+" &amp; Table1[[#This Row],[PDMS Provider Type ID]] &amp; "+" &amp;Table1[[#This Row],[TAXONOMY]]</f>
        <v>2222+41+152WL0500X</v>
      </c>
      <c r="S3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(9338, 2222, 41, N'152WL0500X', N'Optometrist - Low Vision Rehabilitation')</v>
      </c>
    </row>
    <row r="329" spans="1:19" ht="47.25" hidden="1" customHeight="1" x14ac:dyDescent="0.25">
      <c r="A329" s="22" t="s">
        <v>227</v>
      </c>
      <c r="B329" s="3" t="s">
        <v>780</v>
      </c>
      <c r="C329" s="3" t="s">
        <v>781</v>
      </c>
      <c r="D329" s="3" t="s">
        <v>325</v>
      </c>
      <c r="E329" s="3" t="s">
        <v>788</v>
      </c>
      <c r="F329" s="3">
        <f>VLOOKUP(Table1[[#This Row],[Column2]], TAXONOMY_TYPE, 2, FALSE)</f>
        <v>9339</v>
      </c>
      <c r="G329" s="3">
        <v>18</v>
      </c>
      <c r="H329" s="3" t="s">
        <v>783</v>
      </c>
      <c r="I329" s="3">
        <f>VLOOKUP(Table1[[#This Row],[Provider Type]] &amp; Table1[[#This Row],[Provider Type Description]], PROVIDER_TYPE, 2, FALSE)</f>
        <v>41</v>
      </c>
      <c r="J329" s="3">
        <v>180</v>
      </c>
      <c r="K329" s="3" t="s">
        <v>783</v>
      </c>
      <c r="L329" s="3">
        <f>VLOOKUP(TRIM(Table1[[#This Row],[Provider Specialty]]) &amp; TRIM(Table1[[#This Row],[Provider Specialty Description]]), SPECIALTY_TYPE, 2, FALSE)</f>
        <v>2222</v>
      </c>
      <c r="M329" s="3" t="s">
        <v>19</v>
      </c>
      <c r="N329" s="27" t="s">
        <v>19</v>
      </c>
      <c r="O329" s="38">
        <f>VLOOKUP(TRIM(Table1[[#This Row],[Provider Specialty]]) &amp; TRIM(Table1[[#This Row],[Provider Specialty Description]]), SPECIALTY_TYPE, 2, FALSE)</f>
        <v>2222</v>
      </c>
      <c r="P329" s="3" t="str">
        <f>Table1[[#This Row],[Provider Type]] &amp; "+" &amp; Table1[[#This Row],[Provider Type Description]]</f>
        <v>18+Optometrist</v>
      </c>
      <c r="Q329" s="7" t="str">
        <f>Table1[[#This Row],[Provider Specialty]] &amp; "+" &amp; Table1[[#This Row],[Provider Specialty Description]]</f>
        <v>180+Optometrist</v>
      </c>
      <c r="R329" s="7" t="str">
        <f>Table1[[#This Row],[PDMS Specialty Type ID]] &amp; "+" &amp; Table1[[#This Row],[PDMS Provider Type ID]] &amp; "+" &amp;Table1[[#This Row],[TAXONOMY]]</f>
        <v>2222+41+152WP0200X</v>
      </c>
      <c r="S3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(9339, 2222, 41, N'152WP0200X', N'Optometrist - Pediatrics')</v>
      </c>
    </row>
    <row r="330" spans="1:19" ht="47.25" hidden="1" customHeight="1" x14ac:dyDescent="0.25">
      <c r="A330" s="22" t="s">
        <v>227</v>
      </c>
      <c r="B330" s="3" t="s">
        <v>780</v>
      </c>
      <c r="C330" s="3" t="s">
        <v>781</v>
      </c>
      <c r="D330" s="3" t="s">
        <v>789</v>
      </c>
      <c r="E330" s="3" t="s">
        <v>790</v>
      </c>
      <c r="F330" s="3">
        <f>VLOOKUP(Table1[[#This Row],[Column2]], TAXONOMY_TYPE, 2, FALSE)</f>
        <v>9340</v>
      </c>
      <c r="G330" s="3">
        <v>18</v>
      </c>
      <c r="H330" s="3" t="s">
        <v>783</v>
      </c>
      <c r="I330" s="3">
        <f>VLOOKUP(Table1[[#This Row],[Provider Type]] &amp; Table1[[#This Row],[Provider Type Description]], PROVIDER_TYPE, 2, FALSE)</f>
        <v>41</v>
      </c>
      <c r="J330" s="3">
        <v>180</v>
      </c>
      <c r="K330" s="3" t="s">
        <v>783</v>
      </c>
      <c r="L330" s="3">
        <f>VLOOKUP(TRIM(Table1[[#This Row],[Provider Specialty]]) &amp; TRIM(Table1[[#This Row],[Provider Specialty Description]]), SPECIALTY_TYPE, 2, FALSE)</f>
        <v>2222</v>
      </c>
      <c r="M330" s="3" t="s">
        <v>19</v>
      </c>
      <c r="N330" s="27" t="s">
        <v>19</v>
      </c>
      <c r="O330" s="38">
        <f>VLOOKUP(TRIM(Table1[[#This Row],[Provider Specialty]]) &amp; TRIM(Table1[[#This Row],[Provider Specialty Description]]), SPECIALTY_TYPE, 2, FALSE)</f>
        <v>2222</v>
      </c>
      <c r="P330" s="3" t="str">
        <f>Table1[[#This Row],[Provider Type]] &amp; "+" &amp; Table1[[#This Row],[Provider Type Description]]</f>
        <v>18+Optometrist</v>
      </c>
      <c r="Q330" s="7" t="str">
        <f>Table1[[#This Row],[Provider Specialty]] &amp; "+" &amp; Table1[[#This Row],[Provider Specialty Description]]</f>
        <v>180+Optometrist</v>
      </c>
      <c r="R330" s="7" t="str">
        <f>Table1[[#This Row],[PDMS Specialty Type ID]] &amp; "+" &amp; Table1[[#This Row],[PDMS Provider Type ID]] &amp; "+" &amp;Table1[[#This Row],[TAXONOMY]]</f>
        <v>2222+41+152WS0006X</v>
      </c>
      <c r="S3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(9340, 2222, 41, N'152WS0006X', N'Optometrist - Sports Vision')</v>
      </c>
    </row>
    <row r="331" spans="1:19" ht="47.25" hidden="1" customHeight="1" x14ac:dyDescent="0.25">
      <c r="A331" s="22" t="s">
        <v>227</v>
      </c>
      <c r="B331" s="3" t="s">
        <v>780</v>
      </c>
      <c r="C331" s="3" t="s">
        <v>781</v>
      </c>
      <c r="D331" s="3" t="s">
        <v>791</v>
      </c>
      <c r="E331" s="3" t="s">
        <v>792</v>
      </c>
      <c r="F331" s="3">
        <f>VLOOKUP(Table1[[#This Row],[Column2]], TAXONOMY_TYPE, 2, FALSE)</f>
        <v>9341</v>
      </c>
      <c r="G331" s="3">
        <v>18</v>
      </c>
      <c r="H331" s="3" t="s">
        <v>783</v>
      </c>
      <c r="I331" s="3">
        <f>VLOOKUP(Table1[[#This Row],[Provider Type]] &amp; Table1[[#This Row],[Provider Type Description]], PROVIDER_TYPE, 2, FALSE)</f>
        <v>41</v>
      </c>
      <c r="J331" s="3">
        <v>180</v>
      </c>
      <c r="K331" s="3" t="s">
        <v>783</v>
      </c>
      <c r="L331" s="3">
        <f>VLOOKUP(TRIM(Table1[[#This Row],[Provider Specialty]]) &amp; TRIM(Table1[[#This Row],[Provider Specialty Description]]), SPECIALTY_TYPE, 2, FALSE)</f>
        <v>2222</v>
      </c>
      <c r="M331" s="3" t="s">
        <v>19</v>
      </c>
      <c r="N331" s="27" t="s">
        <v>19</v>
      </c>
      <c r="O331" s="38">
        <f>VLOOKUP(TRIM(Table1[[#This Row],[Provider Specialty]]) &amp; TRIM(Table1[[#This Row],[Provider Specialty Description]]), SPECIALTY_TYPE, 2, FALSE)</f>
        <v>2222</v>
      </c>
      <c r="P331" s="3" t="str">
        <f>Table1[[#This Row],[Provider Type]] &amp; "+" &amp; Table1[[#This Row],[Provider Type Description]]</f>
        <v>18+Optometrist</v>
      </c>
      <c r="Q331" s="7" t="str">
        <f>Table1[[#This Row],[Provider Specialty]] &amp; "+" &amp; Table1[[#This Row],[Provider Specialty Description]]</f>
        <v>180+Optometrist</v>
      </c>
      <c r="R331" s="7" t="str">
        <f>Table1[[#This Row],[PDMS Specialty Type ID]] &amp; "+" &amp; Table1[[#This Row],[PDMS Provider Type ID]] &amp; "+" &amp;Table1[[#This Row],[TAXONOMY]]</f>
        <v>2222+41+152WV0400X</v>
      </c>
      <c r="S3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(9341, 2222, 41, N'152WV0400X', N'Optometrist - Vision Therapy')</v>
      </c>
    </row>
    <row r="332" spans="1:19" ht="47.25" hidden="1" customHeight="1" x14ac:dyDescent="0.25">
      <c r="A332" s="22" t="s">
        <v>227</v>
      </c>
      <c r="B332" s="3" t="s">
        <v>780</v>
      </c>
      <c r="C332" s="3" t="s">
        <v>781</v>
      </c>
      <c r="D332" s="3" t="s">
        <v>793</v>
      </c>
      <c r="E332" s="3" t="s">
        <v>794</v>
      </c>
      <c r="F332" s="3">
        <f>VLOOKUP(Table1[[#This Row],[Column2]], TAXONOMY_TYPE, 2, FALSE)</f>
        <v>9342</v>
      </c>
      <c r="G332" s="3">
        <v>18</v>
      </c>
      <c r="H332" s="3" t="s">
        <v>783</v>
      </c>
      <c r="I332" s="3">
        <f>VLOOKUP(Table1[[#This Row],[Provider Type]] &amp; Table1[[#This Row],[Provider Type Description]], PROVIDER_TYPE, 2, FALSE)</f>
        <v>41</v>
      </c>
      <c r="J332" s="3">
        <v>180</v>
      </c>
      <c r="K332" s="3" t="s">
        <v>783</v>
      </c>
      <c r="L332" s="3">
        <f>VLOOKUP(TRIM(Table1[[#This Row],[Provider Specialty]]) &amp; TRIM(Table1[[#This Row],[Provider Specialty Description]]), SPECIALTY_TYPE, 2, FALSE)</f>
        <v>2222</v>
      </c>
      <c r="M332" s="3" t="s">
        <v>19</v>
      </c>
      <c r="N332" s="27" t="s">
        <v>19</v>
      </c>
      <c r="O332" s="38">
        <f>VLOOKUP(TRIM(Table1[[#This Row],[Provider Specialty]]) &amp; TRIM(Table1[[#This Row],[Provider Specialty Description]]), SPECIALTY_TYPE, 2, FALSE)</f>
        <v>2222</v>
      </c>
      <c r="P332" s="3" t="str">
        <f>Table1[[#This Row],[Provider Type]] &amp; "+" &amp; Table1[[#This Row],[Provider Type Description]]</f>
        <v>18+Optometrist</v>
      </c>
      <c r="Q332" s="7" t="str">
        <f>Table1[[#This Row],[Provider Specialty]] &amp; "+" &amp; Table1[[#This Row],[Provider Specialty Description]]</f>
        <v>180+Optometrist</v>
      </c>
      <c r="R332" s="7" t="str">
        <f>Table1[[#This Row],[PDMS Specialty Type ID]] &amp; "+" &amp; Table1[[#This Row],[PDMS Provider Type ID]] &amp; "+" &amp;Table1[[#This Row],[TAXONOMY]]</f>
        <v>2222+41+152WX0102X</v>
      </c>
      <c r="S3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(9342, 2222, 41, N'152WX0102X', N'Optometrist - Occupational Vision')</v>
      </c>
    </row>
    <row r="333" spans="1:19" ht="47.25" hidden="1" customHeight="1" x14ac:dyDescent="0.25">
      <c r="A333" s="22" t="s">
        <v>227</v>
      </c>
      <c r="B333" s="3" t="s">
        <v>780</v>
      </c>
      <c r="C333" s="3" t="s">
        <v>795</v>
      </c>
      <c r="D333" s="3" t="s">
        <v>795</v>
      </c>
      <c r="E333" s="3" t="s">
        <v>796</v>
      </c>
      <c r="F333" s="3">
        <f>VLOOKUP(Table1[[#This Row],[Column2]], TAXONOMY_TYPE, 2, FALSE)</f>
        <v>9343</v>
      </c>
      <c r="G333" s="3">
        <v>19</v>
      </c>
      <c r="H333" s="3" t="s">
        <v>797</v>
      </c>
      <c r="I333" s="3">
        <f>VLOOKUP(Table1[[#This Row],[Provider Type]] &amp; Table1[[#This Row],[Provider Type Description]], PROVIDER_TYPE, 2, FALSE)</f>
        <v>40</v>
      </c>
      <c r="J333" s="3">
        <v>190</v>
      </c>
      <c r="K333" s="3" t="s">
        <v>797</v>
      </c>
      <c r="L333" s="3">
        <f>VLOOKUP(TRIM(Table1[[#This Row],[Provider Specialty]]) &amp; TRIM(Table1[[#This Row],[Provider Specialty Description]]), SPECIALTY_TYPE, 2, FALSE)</f>
        <v>1063</v>
      </c>
      <c r="M333" s="3" t="s">
        <v>19</v>
      </c>
      <c r="N333" s="27" t="s">
        <v>19</v>
      </c>
      <c r="O333" s="38">
        <f>VLOOKUP(TRIM(Table1[[#This Row],[Provider Specialty]]) &amp; TRIM(Table1[[#This Row],[Provider Specialty Description]]), SPECIALTY_TYPE, 2, FALSE)</f>
        <v>1063</v>
      </c>
      <c r="P333" s="3" t="str">
        <f>Table1[[#This Row],[Provider Type]] &amp; "+" &amp; Table1[[#This Row],[Provider Type Description]]</f>
        <v>19+Optician</v>
      </c>
      <c r="Q333" s="7" t="str">
        <f>Table1[[#This Row],[Provider Specialty]] &amp; "+" &amp; Table1[[#This Row],[Provider Specialty Description]]</f>
        <v>190+Optician</v>
      </c>
      <c r="R333" s="7" t="str">
        <f>Table1[[#This Row],[PDMS Specialty Type ID]] &amp; "+" &amp; Table1[[#This Row],[PDMS Provider Type ID]] &amp; "+" &amp;Table1[[#This Row],[TAXONOMY]]</f>
        <v>1063+40+156F00000X</v>
      </c>
      <c r="S3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(9343, 1063, 40, N'156F00000X', N'Technician/Technologist - Technician/Technologist')</v>
      </c>
    </row>
    <row r="334" spans="1:19" ht="47.25" hidden="1" customHeight="1" x14ac:dyDescent="0.25">
      <c r="A334" s="22" t="s">
        <v>227</v>
      </c>
      <c r="B334" s="3" t="s">
        <v>780</v>
      </c>
      <c r="C334" s="3" t="s">
        <v>795</v>
      </c>
      <c r="D334" s="3" t="s">
        <v>798</v>
      </c>
      <c r="E334" s="3" t="s">
        <v>799</v>
      </c>
      <c r="F334" s="3">
        <f>VLOOKUP(Table1[[#This Row],[Column2]], TAXONOMY_TYPE, 2, FALSE)</f>
        <v>9344</v>
      </c>
      <c r="G334" s="3">
        <v>19</v>
      </c>
      <c r="H334" s="3" t="s">
        <v>797</v>
      </c>
      <c r="I334" s="3">
        <f>VLOOKUP(Table1[[#This Row],[Provider Type]] &amp; Table1[[#This Row],[Provider Type Description]], PROVIDER_TYPE, 2, FALSE)</f>
        <v>40</v>
      </c>
      <c r="J334" s="3">
        <v>190</v>
      </c>
      <c r="K334" s="3" t="s">
        <v>797</v>
      </c>
      <c r="L334" s="3">
        <f>VLOOKUP(TRIM(Table1[[#This Row],[Provider Specialty]]) &amp; TRIM(Table1[[#This Row],[Provider Specialty Description]]), SPECIALTY_TYPE, 2, FALSE)</f>
        <v>1063</v>
      </c>
      <c r="M334" s="3" t="s">
        <v>19</v>
      </c>
      <c r="N334" s="27" t="s">
        <v>19</v>
      </c>
      <c r="O334" s="38">
        <f>VLOOKUP(TRIM(Table1[[#This Row],[Provider Specialty]]) &amp; TRIM(Table1[[#This Row],[Provider Specialty Description]]), SPECIALTY_TYPE, 2, FALSE)</f>
        <v>1063</v>
      </c>
      <c r="P334" s="3" t="str">
        <f>Table1[[#This Row],[Provider Type]] &amp; "+" &amp; Table1[[#This Row],[Provider Type Description]]</f>
        <v>19+Optician</v>
      </c>
      <c r="Q334" s="7" t="str">
        <f>Table1[[#This Row],[Provider Specialty]] &amp; "+" &amp; Table1[[#This Row],[Provider Specialty Description]]</f>
        <v>190+Optician</v>
      </c>
      <c r="R334" s="7" t="str">
        <f>Table1[[#This Row],[PDMS Specialty Type ID]] &amp; "+" &amp; Table1[[#This Row],[PDMS Provider Type ID]] &amp; "+" &amp;Table1[[#This Row],[TAXONOMY]]</f>
        <v>1063+40+156FC0800X</v>
      </c>
      <c r="S3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(9344, 1063, 40, N'156FC0800X', N'Technician/Technologist - Contact Lens')</v>
      </c>
    </row>
    <row r="335" spans="1:19" ht="47.25" hidden="1" customHeight="1" x14ac:dyDescent="0.25">
      <c r="A335" s="22" t="s">
        <v>227</v>
      </c>
      <c r="B335" s="3" t="s">
        <v>780</v>
      </c>
      <c r="C335" s="3" t="s">
        <v>795</v>
      </c>
      <c r="D335" s="3" t="s">
        <v>800</v>
      </c>
      <c r="E335" s="3" t="s">
        <v>801</v>
      </c>
      <c r="F335" s="3">
        <f>VLOOKUP(Table1[[#This Row],[Column2]], TAXONOMY_TYPE, 2, FALSE)</f>
        <v>9345</v>
      </c>
      <c r="G335" s="3">
        <v>19</v>
      </c>
      <c r="H335" s="3" t="s">
        <v>797</v>
      </c>
      <c r="I335" s="3">
        <f>VLOOKUP(Table1[[#This Row],[Provider Type]] &amp; Table1[[#This Row],[Provider Type Description]], PROVIDER_TYPE, 2, FALSE)</f>
        <v>40</v>
      </c>
      <c r="J335" s="3">
        <v>190</v>
      </c>
      <c r="K335" s="3" t="s">
        <v>797</v>
      </c>
      <c r="L335" s="3">
        <f>VLOOKUP(TRIM(Table1[[#This Row],[Provider Specialty]]) &amp; TRIM(Table1[[#This Row],[Provider Specialty Description]]), SPECIALTY_TYPE, 2, FALSE)</f>
        <v>1063</v>
      </c>
      <c r="M335" s="3" t="s">
        <v>19</v>
      </c>
      <c r="N335" s="27" t="s">
        <v>19</v>
      </c>
      <c r="O335" s="38">
        <f>VLOOKUP(TRIM(Table1[[#This Row],[Provider Specialty]]) &amp; TRIM(Table1[[#This Row],[Provider Specialty Description]]), SPECIALTY_TYPE, 2, FALSE)</f>
        <v>1063</v>
      </c>
      <c r="P335" s="3" t="str">
        <f>Table1[[#This Row],[Provider Type]] &amp; "+" &amp; Table1[[#This Row],[Provider Type Description]]</f>
        <v>19+Optician</v>
      </c>
      <c r="Q335" s="7" t="str">
        <f>Table1[[#This Row],[Provider Specialty]] &amp; "+" &amp; Table1[[#This Row],[Provider Specialty Description]]</f>
        <v>190+Optician</v>
      </c>
      <c r="R335" s="7" t="str">
        <f>Table1[[#This Row],[PDMS Specialty Type ID]] &amp; "+" &amp; Table1[[#This Row],[PDMS Provider Type ID]] &amp; "+" &amp;Table1[[#This Row],[TAXONOMY]]</f>
        <v>1063+40+156FC0801X</v>
      </c>
      <c r="S3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(9345, 1063, 40, N'156FC0801X', N'Technician/Technologist - Contact Lens Fitter')</v>
      </c>
    </row>
    <row r="336" spans="1:19" ht="47.25" hidden="1" customHeight="1" x14ac:dyDescent="0.25">
      <c r="A336" s="22" t="s">
        <v>227</v>
      </c>
      <c r="B336" s="3" t="s">
        <v>780</v>
      </c>
      <c r="C336" s="3" t="s">
        <v>795</v>
      </c>
      <c r="D336" s="3" t="s">
        <v>656</v>
      </c>
      <c r="E336" s="3" t="s">
        <v>802</v>
      </c>
      <c r="F336" s="3">
        <f>VLOOKUP(Table1[[#This Row],[Column2]], TAXONOMY_TYPE, 2, FALSE)</f>
        <v>9346</v>
      </c>
      <c r="G336" s="3">
        <v>19</v>
      </c>
      <c r="H336" s="3" t="s">
        <v>797</v>
      </c>
      <c r="I336" s="3">
        <f>VLOOKUP(Table1[[#This Row],[Provider Type]] &amp; Table1[[#This Row],[Provider Type Description]], PROVIDER_TYPE, 2, FALSE)</f>
        <v>40</v>
      </c>
      <c r="J336" s="3">
        <v>190</v>
      </c>
      <c r="K336" s="3" t="s">
        <v>797</v>
      </c>
      <c r="L336" s="3">
        <f>VLOOKUP(TRIM(Table1[[#This Row],[Provider Specialty]]) &amp; TRIM(Table1[[#This Row],[Provider Specialty Description]]), SPECIALTY_TYPE, 2, FALSE)</f>
        <v>1063</v>
      </c>
      <c r="M336" s="3" t="s">
        <v>19</v>
      </c>
      <c r="N336" s="27" t="s">
        <v>19</v>
      </c>
      <c r="O336" s="38">
        <f>VLOOKUP(TRIM(Table1[[#This Row],[Provider Specialty]]) &amp; TRIM(Table1[[#This Row],[Provider Specialty Description]]), SPECIALTY_TYPE, 2, FALSE)</f>
        <v>1063</v>
      </c>
      <c r="P336" s="3" t="str">
        <f>Table1[[#This Row],[Provider Type]] &amp; "+" &amp; Table1[[#This Row],[Provider Type Description]]</f>
        <v>19+Optician</v>
      </c>
      <c r="Q336" s="7" t="str">
        <f>Table1[[#This Row],[Provider Specialty]] &amp; "+" &amp; Table1[[#This Row],[Provider Specialty Description]]</f>
        <v>190+Optician</v>
      </c>
      <c r="R336" s="7" t="str">
        <f>Table1[[#This Row],[PDMS Specialty Type ID]] &amp; "+" &amp; Table1[[#This Row],[PDMS Provider Type ID]] &amp; "+" &amp;Table1[[#This Row],[TAXONOMY]]</f>
        <v>1063+40+156FX1100X</v>
      </c>
      <c r="S3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(9346, 1063, 40, N'156FX1100X', N'Technician/Technologist - Ophthalmic')</v>
      </c>
    </row>
    <row r="337" spans="1:19" ht="47.25" hidden="1" customHeight="1" x14ac:dyDescent="0.25">
      <c r="A337" s="22" t="s">
        <v>227</v>
      </c>
      <c r="B337" s="3" t="s">
        <v>780</v>
      </c>
      <c r="C337" s="3" t="s">
        <v>795</v>
      </c>
      <c r="D337" s="3" t="s">
        <v>803</v>
      </c>
      <c r="E337" s="3" t="s">
        <v>804</v>
      </c>
      <c r="F337" s="3">
        <f>VLOOKUP(Table1[[#This Row],[Column2]], TAXONOMY_TYPE, 2, FALSE)</f>
        <v>9347</v>
      </c>
      <c r="G337" s="3">
        <v>19</v>
      </c>
      <c r="H337" s="3" t="s">
        <v>797</v>
      </c>
      <c r="I337" s="3">
        <f>VLOOKUP(Table1[[#This Row],[Provider Type]] &amp; Table1[[#This Row],[Provider Type Description]], PROVIDER_TYPE, 2, FALSE)</f>
        <v>40</v>
      </c>
      <c r="J337" s="3">
        <v>190</v>
      </c>
      <c r="K337" s="3" t="s">
        <v>797</v>
      </c>
      <c r="L337" s="3">
        <f>VLOOKUP(TRIM(Table1[[#This Row],[Provider Specialty]]) &amp; TRIM(Table1[[#This Row],[Provider Specialty Description]]), SPECIALTY_TYPE, 2, FALSE)</f>
        <v>1063</v>
      </c>
      <c r="M337" s="3" t="s">
        <v>19</v>
      </c>
      <c r="N337" s="27" t="s">
        <v>19</v>
      </c>
      <c r="O337" s="38">
        <f>VLOOKUP(TRIM(Table1[[#This Row],[Provider Specialty]]) &amp; TRIM(Table1[[#This Row],[Provider Specialty Description]]), SPECIALTY_TYPE, 2, FALSE)</f>
        <v>1063</v>
      </c>
      <c r="P337" s="3" t="str">
        <f>Table1[[#This Row],[Provider Type]] &amp; "+" &amp; Table1[[#This Row],[Provider Type Description]]</f>
        <v>19+Optician</v>
      </c>
      <c r="Q337" s="7" t="str">
        <f>Table1[[#This Row],[Provider Specialty]] &amp; "+" &amp; Table1[[#This Row],[Provider Specialty Description]]</f>
        <v>190+Optician</v>
      </c>
      <c r="R337" s="7" t="str">
        <f>Table1[[#This Row],[PDMS Specialty Type ID]] &amp; "+" &amp; Table1[[#This Row],[PDMS Provider Type ID]] &amp; "+" &amp;Table1[[#This Row],[TAXONOMY]]</f>
        <v>1063+40+156FX1101X</v>
      </c>
      <c r="S3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(9347, 1063, 40, N'156FX1101X', N'Technician/Technologist - Ophthalmic Assistant')</v>
      </c>
    </row>
    <row r="338" spans="1:19" ht="47.25" hidden="1" customHeight="1" x14ac:dyDescent="0.25">
      <c r="A338" s="22" t="s">
        <v>227</v>
      </c>
      <c r="B338" s="3" t="s">
        <v>780</v>
      </c>
      <c r="C338" s="3" t="s">
        <v>795</v>
      </c>
      <c r="D338" s="3" t="s">
        <v>805</v>
      </c>
      <c r="E338" s="3" t="s">
        <v>806</v>
      </c>
      <c r="F338" s="3">
        <f>VLOOKUP(Table1[[#This Row],[Column2]], TAXONOMY_TYPE, 2, FALSE)</f>
        <v>9348</v>
      </c>
      <c r="G338" s="3">
        <v>19</v>
      </c>
      <c r="H338" s="3" t="s">
        <v>797</v>
      </c>
      <c r="I338" s="3">
        <f>VLOOKUP(Table1[[#This Row],[Provider Type]] &amp; Table1[[#This Row],[Provider Type Description]], PROVIDER_TYPE, 2, FALSE)</f>
        <v>40</v>
      </c>
      <c r="J338" s="3">
        <v>190</v>
      </c>
      <c r="K338" s="3" t="s">
        <v>797</v>
      </c>
      <c r="L338" s="3">
        <f>VLOOKUP(TRIM(Table1[[#This Row],[Provider Specialty]]) &amp; TRIM(Table1[[#This Row],[Provider Specialty Description]]), SPECIALTY_TYPE, 2, FALSE)</f>
        <v>1063</v>
      </c>
      <c r="M338" s="3" t="s">
        <v>19</v>
      </c>
      <c r="N338" s="27" t="s">
        <v>19</v>
      </c>
      <c r="O338" s="38">
        <f>VLOOKUP(TRIM(Table1[[#This Row],[Provider Specialty]]) &amp; TRIM(Table1[[#This Row],[Provider Specialty Description]]), SPECIALTY_TYPE, 2, FALSE)</f>
        <v>1063</v>
      </c>
      <c r="P338" s="3" t="str">
        <f>Table1[[#This Row],[Provider Type]] &amp; "+" &amp; Table1[[#This Row],[Provider Type Description]]</f>
        <v>19+Optician</v>
      </c>
      <c r="Q338" s="7" t="str">
        <f>Table1[[#This Row],[Provider Specialty]] &amp; "+" &amp; Table1[[#This Row],[Provider Specialty Description]]</f>
        <v>190+Optician</v>
      </c>
      <c r="R338" s="7" t="str">
        <f>Table1[[#This Row],[PDMS Specialty Type ID]] &amp; "+" &amp; Table1[[#This Row],[PDMS Provider Type ID]] &amp; "+" &amp;Table1[[#This Row],[TAXONOMY]]</f>
        <v>1063+40+156FX1201X</v>
      </c>
      <c r="S3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(9348, 1063, 40, N'156FX1201X', N'Technician/Technologist - Optometric Assistant')</v>
      </c>
    </row>
    <row r="339" spans="1:19" ht="47.25" hidden="1" customHeight="1" x14ac:dyDescent="0.25">
      <c r="A339" s="22" t="s">
        <v>227</v>
      </c>
      <c r="B339" s="3" t="s">
        <v>780</v>
      </c>
      <c r="C339" s="3" t="s">
        <v>795</v>
      </c>
      <c r="D339" s="3" t="s">
        <v>807</v>
      </c>
      <c r="E339" s="3" t="s">
        <v>808</v>
      </c>
      <c r="F339" s="3">
        <f>VLOOKUP(Table1[[#This Row],[Column2]], TAXONOMY_TYPE, 2, FALSE)</f>
        <v>9349</v>
      </c>
      <c r="G339" s="3">
        <v>19</v>
      </c>
      <c r="H339" s="3" t="s">
        <v>797</v>
      </c>
      <c r="I339" s="3">
        <f>VLOOKUP(Table1[[#This Row],[Provider Type]] &amp; Table1[[#This Row],[Provider Type Description]], PROVIDER_TYPE, 2, FALSE)</f>
        <v>40</v>
      </c>
      <c r="J339" s="3">
        <v>190</v>
      </c>
      <c r="K339" s="3" t="s">
        <v>797</v>
      </c>
      <c r="L339" s="3">
        <f>VLOOKUP(TRIM(Table1[[#This Row],[Provider Specialty]]) &amp; TRIM(Table1[[#This Row],[Provider Specialty Description]]), SPECIALTY_TYPE, 2, FALSE)</f>
        <v>1063</v>
      </c>
      <c r="M339" s="3" t="s">
        <v>19</v>
      </c>
      <c r="N339" s="27" t="s">
        <v>19</v>
      </c>
      <c r="O339" s="38">
        <f>VLOOKUP(TRIM(Table1[[#This Row],[Provider Specialty]]) &amp; TRIM(Table1[[#This Row],[Provider Specialty Description]]), SPECIALTY_TYPE, 2, FALSE)</f>
        <v>1063</v>
      </c>
      <c r="P339" s="3" t="str">
        <f>Table1[[#This Row],[Provider Type]] &amp; "+" &amp; Table1[[#This Row],[Provider Type Description]]</f>
        <v>19+Optician</v>
      </c>
      <c r="Q339" s="7" t="str">
        <f>Table1[[#This Row],[Provider Specialty]] &amp; "+" &amp; Table1[[#This Row],[Provider Specialty Description]]</f>
        <v>190+Optician</v>
      </c>
      <c r="R339" s="7" t="str">
        <f>Table1[[#This Row],[PDMS Specialty Type ID]] &amp; "+" &amp; Table1[[#This Row],[PDMS Provider Type ID]] &amp; "+" &amp;Table1[[#This Row],[TAXONOMY]]</f>
        <v>1063+40+156FX1202X</v>
      </c>
      <c r="S3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(9349, 1063, 40, N'156FX1202X', N'Technician/Technologist - Optometric Technician')</v>
      </c>
    </row>
    <row r="340" spans="1:19" ht="47.25" hidden="1" customHeight="1" x14ac:dyDescent="0.25">
      <c r="A340" s="22" t="s">
        <v>227</v>
      </c>
      <c r="B340" s="3" t="s">
        <v>780</v>
      </c>
      <c r="C340" s="3" t="s">
        <v>795</v>
      </c>
      <c r="D340" s="3" t="s">
        <v>809</v>
      </c>
      <c r="E340" s="3" t="s">
        <v>810</v>
      </c>
      <c r="F340" s="3">
        <f>VLOOKUP(Table1[[#This Row],[Column2]], TAXONOMY_TYPE, 2, FALSE)</f>
        <v>9350</v>
      </c>
      <c r="G340" s="3">
        <v>19</v>
      </c>
      <c r="H340" s="3" t="s">
        <v>797</v>
      </c>
      <c r="I340" s="3">
        <f>VLOOKUP(Table1[[#This Row],[Provider Type]] &amp; Table1[[#This Row],[Provider Type Description]], PROVIDER_TYPE, 2, FALSE)</f>
        <v>40</v>
      </c>
      <c r="J340" s="3">
        <v>190</v>
      </c>
      <c r="K340" s="3" t="s">
        <v>797</v>
      </c>
      <c r="L340" s="3">
        <f>VLOOKUP(TRIM(Table1[[#This Row],[Provider Specialty]]) &amp; TRIM(Table1[[#This Row],[Provider Specialty Description]]), SPECIALTY_TYPE, 2, FALSE)</f>
        <v>1063</v>
      </c>
      <c r="M340" s="3" t="s">
        <v>19</v>
      </c>
      <c r="N340" s="27" t="s">
        <v>19</v>
      </c>
      <c r="O340" s="38">
        <f>VLOOKUP(TRIM(Table1[[#This Row],[Provider Specialty]]) &amp; TRIM(Table1[[#This Row],[Provider Specialty Description]]), SPECIALTY_TYPE, 2, FALSE)</f>
        <v>1063</v>
      </c>
      <c r="P340" s="3" t="str">
        <f>Table1[[#This Row],[Provider Type]] &amp; "+" &amp; Table1[[#This Row],[Provider Type Description]]</f>
        <v>19+Optician</v>
      </c>
      <c r="Q340" s="7" t="str">
        <f>Table1[[#This Row],[Provider Specialty]] &amp; "+" &amp; Table1[[#This Row],[Provider Specialty Description]]</f>
        <v>190+Optician</v>
      </c>
      <c r="R340" s="7" t="str">
        <f>Table1[[#This Row],[PDMS Specialty Type ID]] &amp; "+" &amp; Table1[[#This Row],[PDMS Provider Type ID]] &amp; "+" &amp;Table1[[#This Row],[TAXONOMY]]</f>
        <v>1063+40+156FX1700X</v>
      </c>
      <c r="S3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(9350, 1063, 40, N'156FX1700X', N'Technician/Technologist - Ocularist')</v>
      </c>
    </row>
    <row r="341" spans="1:19" ht="47.25" hidden="1" customHeight="1" x14ac:dyDescent="0.25">
      <c r="A341" s="22" t="s">
        <v>227</v>
      </c>
      <c r="B341" s="3" t="s">
        <v>780</v>
      </c>
      <c r="C341" s="3" t="s">
        <v>795</v>
      </c>
      <c r="D341" s="3" t="s">
        <v>811</v>
      </c>
      <c r="E341" s="3" t="s">
        <v>812</v>
      </c>
      <c r="F341" s="3">
        <f>VLOOKUP(Table1[[#This Row],[Column2]], TAXONOMY_TYPE, 2, FALSE)</f>
        <v>3452</v>
      </c>
      <c r="G341" s="3">
        <v>19</v>
      </c>
      <c r="H341" s="3" t="s">
        <v>797</v>
      </c>
      <c r="I341" s="3">
        <f>VLOOKUP(Table1[[#This Row],[Provider Type]] &amp; Table1[[#This Row],[Provider Type Description]], PROVIDER_TYPE, 2, FALSE)</f>
        <v>40</v>
      </c>
      <c r="J341" s="3">
        <v>190</v>
      </c>
      <c r="K341" s="3" t="s">
        <v>797</v>
      </c>
      <c r="L341" s="3">
        <f>VLOOKUP(TRIM(Table1[[#This Row],[Provider Specialty]]) &amp; TRIM(Table1[[#This Row],[Provider Specialty Description]]), SPECIALTY_TYPE, 2, FALSE)</f>
        <v>1063</v>
      </c>
      <c r="M341" s="3" t="s">
        <v>19</v>
      </c>
      <c r="N341" s="27" t="s">
        <v>19</v>
      </c>
      <c r="O341" s="38">
        <f>VLOOKUP(TRIM(Table1[[#This Row],[Provider Specialty]]) &amp; TRIM(Table1[[#This Row],[Provider Specialty Description]]), SPECIALTY_TYPE, 2, FALSE)</f>
        <v>1063</v>
      </c>
      <c r="P341" s="3" t="str">
        <f>Table1[[#This Row],[Provider Type]] &amp; "+" &amp; Table1[[#This Row],[Provider Type Description]]</f>
        <v>19+Optician</v>
      </c>
      <c r="Q341" s="7" t="str">
        <f>Table1[[#This Row],[Provider Specialty]] &amp; "+" &amp; Table1[[#This Row],[Provider Specialty Description]]</f>
        <v>190+Optician</v>
      </c>
      <c r="R341" s="7" t="str">
        <f>Table1[[#This Row],[PDMS Specialty Type ID]] &amp; "+" &amp; Table1[[#This Row],[PDMS Provider Type ID]] &amp; "+" &amp;Table1[[#This Row],[TAXONOMY]]</f>
        <v>1063+40+156FX1800X</v>
      </c>
      <c r="S3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(3452, 1063, 40, N'156FX1800X', N'Technician/Technologist - Optician')</v>
      </c>
    </row>
    <row r="342" spans="1:19" ht="47.25" hidden="1" customHeight="1" x14ac:dyDescent="0.25">
      <c r="A342" s="22" t="s">
        <v>227</v>
      </c>
      <c r="B342" s="3" t="s">
        <v>780</v>
      </c>
      <c r="C342" s="3" t="s">
        <v>795</v>
      </c>
      <c r="D342" s="3" t="s">
        <v>813</v>
      </c>
      <c r="E342" s="3" t="s">
        <v>814</v>
      </c>
      <c r="F342" s="3">
        <f>VLOOKUP(Table1[[#This Row],[Column2]], TAXONOMY_TYPE, 2, FALSE)</f>
        <v>9351</v>
      </c>
      <c r="G342" s="3">
        <v>19</v>
      </c>
      <c r="H342" s="3" t="s">
        <v>797</v>
      </c>
      <c r="I342" s="3">
        <f>VLOOKUP(Table1[[#This Row],[Provider Type]] &amp; Table1[[#This Row],[Provider Type Description]], PROVIDER_TYPE, 2, FALSE)</f>
        <v>40</v>
      </c>
      <c r="J342" s="3">
        <v>190</v>
      </c>
      <c r="K342" s="3" t="s">
        <v>797</v>
      </c>
      <c r="L342" s="3">
        <f>VLOOKUP(TRIM(Table1[[#This Row],[Provider Specialty]]) &amp; TRIM(Table1[[#This Row],[Provider Specialty Description]]), SPECIALTY_TYPE, 2, FALSE)</f>
        <v>1063</v>
      </c>
      <c r="M342" s="3" t="s">
        <v>19</v>
      </c>
      <c r="N342" s="27" t="s">
        <v>19</v>
      </c>
      <c r="O342" s="38">
        <f>VLOOKUP(TRIM(Table1[[#This Row],[Provider Specialty]]) &amp; TRIM(Table1[[#This Row],[Provider Specialty Description]]), SPECIALTY_TYPE, 2, FALSE)</f>
        <v>1063</v>
      </c>
      <c r="P342" s="3" t="str">
        <f>Table1[[#This Row],[Provider Type]] &amp; "+" &amp; Table1[[#This Row],[Provider Type Description]]</f>
        <v>19+Optician</v>
      </c>
      <c r="Q342" s="7" t="str">
        <f>Table1[[#This Row],[Provider Specialty]] &amp; "+" &amp; Table1[[#This Row],[Provider Specialty Description]]</f>
        <v>190+Optician</v>
      </c>
      <c r="R342" s="7" t="str">
        <f>Table1[[#This Row],[PDMS Specialty Type ID]] &amp; "+" &amp; Table1[[#This Row],[PDMS Provider Type ID]] &amp; "+" &amp;Table1[[#This Row],[TAXONOMY]]</f>
        <v>1063+40+156FX1900X</v>
      </c>
      <c r="S3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(9351, 1063, 40, N'156FX1900X', N'Technician/Technologist - Orthoptist')</v>
      </c>
    </row>
    <row r="343" spans="1:19" ht="47.25" hidden="1" customHeight="1" x14ac:dyDescent="0.25">
      <c r="A343" s="22" t="s">
        <v>227</v>
      </c>
      <c r="B343" s="3" t="s">
        <v>748</v>
      </c>
      <c r="C343" s="3" t="s">
        <v>815</v>
      </c>
      <c r="D343" s="3" t="s">
        <v>815</v>
      </c>
      <c r="E343" s="3" t="s">
        <v>816</v>
      </c>
      <c r="F343" s="3">
        <f>VLOOKUP(Table1[[#This Row],[Column2]], TAXONOMY_TYPE, 2, FALSE)</f>
        <v>9352</v>
      </c>
      <c r="G343" s="3">
        <v>20</v>
      </c>
      <c r="H343" s="3" t="s">
        <v>817</v>
      </c>
      <c r="I343" s="3">
        <f>VLOOKUP(Table1[[#This Row],[Provider Type]] &amp; Table1[[#This Row],[Provider Type Description]], PROVIDER_TYPE, 2, FALSE)</f>
        <v>22</v>
      </c>
      <c r="J343" s="3">
        <v>200</v>
      </c>
      <c r="K343" s="3" t="s">
        <v>817</v>
      </c>
      <c r="L343" s="3">
        <f>VLOOKUP(TRIM(Table1[[#This Row],[Provider Specialty]]) &amp; TRIM(Table1[[#This Row],[Provider Specialty Description]]), SPECIALTY_TYPE, 2, FALSE)</f>
        <v>2224</v>
      </c>
      <c r="M343" s="3" t="s">
        <v>19</v>
      </c>
      <c r="N343" s="27" t="s">
        <v>19</v>
      </c>
      <c r="O343" s="38">
        <f>VLOOKUP(TRIM(Table1[[#This Row],[Provider Specialty]]) &amp; TRIM(Table1[[#This Row],[Provider Specialty Description]]), SPECIALTY_TYPE, 2, FALSE)</f>
        <v>2224</v>
      </c>
      <c r="P343" s="3" t="str">
        <f>Table1[[#This Row],[Provider Type]] &amp; "+" &amp; Table1[[#This Row],[Provider Type Description]]</f>
        <v>20+Audiologist</v>
      </c>
      <c r="Q343" s="7" t="str">
        <f>Table1[[#This Row],[Provider Specialty]] &amp; "+" &amp; Table1[[#This Row],[Provider Specialty Description]]</f>
        <v>200+Audiologist</v>
      </c>
      <c r="R343" s="7" t="str">
        <f>Table1[[#This Row],[PDMS Specialty Type ID]] &amp; "+" &amp; Table1[[#This Row],[PDMS Provider Type ID]] &amp; "+" &amp;Table1[[#This Row],[TAXONOMY]]</f>
        <v>2224+22+231H00000X</v>
      </c>
      <c r="S3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(9352, 2224, 22, N'231H00000X', N'Audiologist - Audiologist')</v>
      </c>
    </row>
    <row r="344" spans="1:19" ht="47.25" hidden="1" customHeight="1" x14ac:dyDescent="0.25">
      <c r="A344" s="22" t="s">
        <v>227</v>
      </c>
      <c r="B344" s="3" t="s">
        <v>748</v>
      </c>
      <c r="C344" s="3" t="s">
        <v>815</v>
      </c>
      <c r="D344" s="3" t="s">
        <v>818</v>
      </c>
      <c r="E344" s="3" t="s">
        <v>819</v>
      </c>
      <c r="F344" s="3">
        <f>VLOOKUP(Table1[[#This Row],[Column2]], TAXONOMY_TYPE, 2, FALSE)</f>
        <v>9353</v>
      </c>
      <c r="G344" s="3">
        <v>20</v>
      </c>
      <c r="H344" s="3" t="s">
        <v>817</v>
      </c>
      <c r="I344" s="3">
        <f>VLOOKUP(Table1[[#This Row],[Provider Type]] &amp; Table1[[#This Row],[Provider Type Description]], PROVIDER_TYPE, 2, FALSE)</f>
        <v>22</v>
      </c>
      <c r="J344" s="3">
        <v>251</v>
      </c>
      <c r="K344" s="3" t="s">
        <v>820</v>
      </c>
      <c r="L344" s="3">
        <f>VLOOKUP(TRIM(Table1[[#This Row],[Provider Specialty]]) &amp; TRIM(Table1[[#This Row],[Provider Specialty Description]]), SPECIALTY_TYPE, 2, FALSE)</f>
        <v>2178</v>
      </c>
      <c r="M344" s="3" t="s">
        <v>18</v>
      </c>
      <c r="N344" s="27" t="s">
        <v>18</v>
      </c>
      <c r="O344" s="38">
        <f>VLOOKUP(TRIM(Table1[[#This Row],[Provider Specialty]]) &amp; TRIM(Table1[[#This Row],[Provider Specialty Description]]), SPECIALTY_TYPE, 2, FALSE)</f>
        <v>2178</v>
      </c>
      <c r="P344" s="3" t="str">
        <f>Table1[[#This Row],[Provider Type]] &amp; "+" &amp; Table1[[#This Row],[Provider Type Description]]</f>
        <v>20+Audiologist</v>
      </c>
      <c r="Q344" s="7" t="str">
        <f>Table1[[#This Row],[Provider Specialty]] &amp; "+" &amp; Table1[[#This Row],[Provider Specialty Description]]</f>
        <v>251+Assistive Technology</v>
      </c>
      <c r="R344" s="7" t="str">
        <f>Table1[[#This Row],[PDMS Specialty Type ID]] &amp; "+" &amp; Table1[[#This Row],[PDMS Provider Type ID]] &amp; "+" &amp;Table1[[#This Row],[TAXONOMY]]</f>
        <v>2178+22+231HA2400X</v>
      </c>
      <c r="S3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(9353, 2178, 22, N'231HA2400X', N'Audiologist - Assistive Technology Practitioner')</v>
      </c>
    </row>
    <row r="345" spans="1:19" ht="47.25" hidden="1" customHeight="1" x14ac:dyDescent="0.25">
      <c r="A345" s="22" t="s">
        <v>227</v>
      </c>
      <c r="B345" s="3" t="s">
        <v>748</v>
      </c>
      <c r="C345" s="3" t="s">
        <v>815</v>
      </c>
      <c r="D345" s="3" t="s">
        <v>821</v>
      </c>
      <c r="E345" s="3" t="s">
        <v>822</v>
      </c>
      <c r="F345" s="3">
        <f>VLOOKUP(Table1[[#This Row],[Column2]], TAXONOMY_TYPE, 2, FALSE)</f>
        <v>9354</v>
      </c>
      <c r="G345" s="3">
        <v>20</v>
      </c>
      <c r="H345" s="3" t="s">
        <v>817</v>
      </c>
      <c r="I345" s="3">
        <f>VLOOKUP(Table1[[#This Row],[Provider Type]] &amp; Table1[[#This Row],[Provider Type Description]], PROVIDER_TYPE, 2, FALSE)</f>
        <v>22</v>
      </c>
      <c r="J345" s="3">
        <v>621</v>
      </c>
      <c r="K345" s="3" t="s">
        <v>823</v>
      </c>
      <c r="L345" s="3">
        <f>VLOOKUP(TRIM(Table1[[#This Row],[Provider Specialty]]) &amp; TRIM(Table1[[#This Row],[Provider Specialty Description]]), SPECIALTY_TYPE, 2, FALSE)</f>
        <v>2314</v>
      </c>
      <c r="M345" s="3" t="s">
        <v>18</v>
      </c>
      <c r="N345" s="27" t="s">
        <v>18</v>
      </c>
      <c r="O345" s="38">
        <f>VLOOKUP(TRIM(Table1[[#This Row],[Provider Specialty]]) &amp; TRIM(Table1[[#This Row],[Provider Specialty Description]]), SPECIALTY_TYPE, 2, FALSE)</f>
        <v>2314</v>
      </c>
      <c r="P345" s="3" t="str">
        <f>Table1[[#This Row],[Provider Type]] &amp; "+" &amp; Table1[[#This Row],[Provider Type Description]]</f>
        <v>20+Audiologist</v>
      </c>
      <c r="Q345" s="7" t="str">
        <f>Table1[[#This Row],[Provider Specialty]] &amp; "+" &amp; Table1[[#This Row],[Provider Specialty Description]]</f>
        <v>621+Assistive Technology Supplier</v>
      </c>
      <c r="R345" s="7" t="str">
        <f>Table1[[#This Row],[PDMS Specialty Type ID]] &amp; "+" &amp; Table1[[#This Row],[PDMS Provider Type ID]] &amp; "+" &amp;Table1[[#This Row],[TAXONOMY]]</f>
        <v>2314+22+231HA2500X</v>
      </c>
      <c r="S3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(9354, 2314, 22, N'231HA2500X', N'Audiologist - Assistive Technology Supplier')</v>
      </c>
    </row>
    <row r="346" spans="1:19" ht="47.25" hidden="1" customHeight="1" x14ac:dyDescent="0.25">
      <c r="A346" s="22" t="s">
        <v>227</v>
      </c>
      <c r="B346" s="3" t="s">
        <v>748</v>
      </c>
      <c r="C346" s="3" t="s">
        <v>824</v>
      </c>
      <c r="D346" s="3" t="s">
        <v>824</v>
      </c>
      <c r="E346" s="3" t="s">
        <v>825</v>
      </c>
      <c r="F346" s="3">
        <f>VLOOKUP(Table1[[#This Row],[Column2]], TAXONOMY_TYPE, 2, FALSE)</f>
        <v>9355</v>
      </c>
      <c r="G346" s="3">
        <v>20</v>
      </c>
      <c r="H346" s="3" t="s">
        <v>817</v>
      </c>
      <c r="I346" s="3">
        <f>VLOOKUP(Table1[[#This Row],[Provider Type]] &amp; Table1[[#This Row],[Provider Type Description]], PROVIDER_TYPE, 2, FALSE)</f>
        <v>22</v>
      </c>
      <c r="J346" s="3">
        <v>625</v>
      </c>
      <c r="K346" s="3" t="s">
        <v>824</v>
      </c>
      <c r="L346" s="3">
        <f>VLOOKUP(TRIM(Table1[[#This Row],[Provider Specialty]]) &amp; TRIM(Table1[[#This Row],[Provider Specialty Description]]), SPECIALTY_TYPE, 2, FALSE)</f>
        <v>2318</v>
      </c>
      <c r="M346" s="3" t="s">
        <v>18</v>
      </c>
      <c r="N346" s="27" t="s">
        <v>18</v>
      </c>
      <c r="O346" s="38">
        <f>VLOOKUP(TRIM(Table1[[#This Row],[Provider Specialty]]) &amp; TRIM(Table1[[#This Row],[Provider Specialty Description]]), SPECIALTY_TYPE, 2, FALSE)</f>
        <v>2318</v>
      </c>
      <c r="P346" s="3" t="str">
        <f>Table1[[#This Row],[Provider Type]] &amp; "+" &amp; Table1[[#This Row],[Provider Type Description]]</f>
        <v>20+Audiologist</v>
      </c>
      <c r="Q346" s="7" t="str">
        <f>Table1[[#This Row],[Provider Specialty]] &amp; "+" &amp; Table1[[#This Row],[Provider Specialty Description]]</f>
        <v xml:space="preserve">625+Audiologist-Hearing Aid Fitter </v>
      </c>
      <c r="R346" s="7" t="str">
        <f>Table1[[#This Row],[PDMS Specialty Type ID]] &amp; "+" &amp; Table1[[#This Row],[PDMS Provider Type ID]] &amp; "+" &amp;Table1[[#This Row],[TAXONOMY]]</f>
        <v>2318+22+237600000X</v>
      </c>
      <c r="S3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(9355, 2318, 22, N'237600000X', N'Audiologist-Hearing Aid Fitter - Audiologist-Hearing Aid Fitter')</v>
      </c>
    </row>
    <row r="347" spans="1:19" ht="47.25" hidden="1" customHeight="1" x14ac:dyDescent="0.25">
      <c r="A347" s="22" t="s">
        <v>227</v>
      </c>
      <c r="B347" s="3" t="s">
        <v>830</v>
      </c>
      <c r="C347" s="3" t="s">
        <v>834</v>
      </c>
      <c r="D347" s="3" t="s">
        <v>834</v>
      </c>
      <c r="E347" s="3" t="s">
        <v>835</v>
      </c>
      <c r="F347" s="3">
        <f>VLOOKUP(Table1[[#This Row],[Column2]], TAXONOMY_TYPE, 2, FALSE)</f>
        <v>9356</v>
      </c>
      <c r="G347" s="3">
        <v>23</v>
      </c>
      <c r="H347" s="3" t="s">
        <v>833</v>
      </c>
      <c r="I347" s="3">
        <f>VLOOKUP(Table1[[#This Row],[Provider Type]] &amp; Table1[[#This Row],[Provider Type Description]], PROVIDER_TYPE, 2, FALSE)</f>
        <v>38</v>
      </c>
      <c r="J347" s="3">
        <v>210</v>
      </c>
      <c r="K347" s="3" t="s">
        <v>180</v>
      </c>
      <c r="L347" s="3">
        <f>VLOOKUP(TRIM(Table1[[#This Row],[Provider Specialty]]) &amp; TRIM(Table1[[#This Row],[Provider Specialty Description]]), SPECIALTY_TYPE, 2, FALSE)</f>
        <v>2188</v>
      </c>
      <c r="M347" s="3" t="s">
        <v>18</v>
      </c>
      <c r="N347" s="27" t="s">
        <v>19</v>
      </c>
      <c r="O347" s="38">
        <f>VLOOKUP(TRIM(Table1[[#This Row],[Provider Specialty]]) &amp; TRIM(Table1[[#This Row],[Provider Specialty Description]]), SPECIALTY_TYPE, 2, FALSE)</f>
        <v>2188</v>
      </c>
      <c r="P347" s="3" t="str">
        <f>Table1[[#This Row],[Provider Type]] &amp; "+" &amp; Table1[[#This Row],[Provider Type Description]]</f>
        <v>23+Nutritionist</v>
      </c>
      <c r="Q347" s="7" t="str">
        <f>Table1[[#This Row],[Provider Specialty]] &amp; "+" &amp; Table1[[#This Row],[Provider Specialty Description]]</f>
        <v>210+Care Coordinator for Pregnant Women</v>
      </c>
      <c r="R347" s="7" t="str">
        <f>Table1[[#This Row],[PDMS Specialty Type ID]] &amp; "+" &amp; Table1[[#This Row],[PDMS Provider Type ID]] &amp; "+" &amp;Table1[[#This Row],[TAXONOMY]]</f>
        <v>2188+38+133N00000X</v>
      </c>
      <c r="S3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(9356, 2188, 38, N'133N00000X', N'Nutritionist - Nutritionist')</v>
      </c>
    </row>
    <row r="348" spans="1:19" ht="47.25" hidden="1" customHeight="1" x14ac:dyDescent="0.25">
      <c r="A348" s="22" t="s">
        <v>227</v>
      </c>
      <c r="B348" s="3" t="s">
        <v>830</v>
      </c>
      <c r="C348" s="3" t="s">
        <v>834</v>
      </c>
      <c r="D348" s="3" t="s">
        <v>834</v>
      </c>
      <c r="E348" s="3" t="s">
        <v>835</v>
      </c>
      <c r="F348" s="3">
        <f>VLOOKUP(Table1[[#This Row],[Column2]], TAXONOMY_TYPE, 2, FALSE)</f>
        <v>9357</v>
      </c>
      <c r="G348" s="3">
        <v>23</v>
      </c>
      <c r="H348" s="3" t="s">
        <v>833</v>
      </c>
      <c r="I348" s="3">
        <f>VLOOKUP(Table1[[#This Row],[Provider Type]] &amp; Table1[[#This Row],[Provider Type Description]], PROVIDER_TYPE, 2, FALSE)</f>
        <v>38</v>
      </c>
      <c r="J348" s="3">
        <v>211</v>
      </c>
      <c r="K348" s="3" t="s">
        <v>181</v>
      </c>
      <c r="L348" s="3">
        <f>VLOOKUP(TRIM(Table1[[#This Row],[Provider Specialty]]) &amp; TRIM(Table1[[#This Row],[Provider Specialty Description]]), SPECIALTY_TYPE, 2, FALSE)</f>
        <v>2189</v>
      </c>
      <c r="M348" s="3" t="s">
        <v>18</v>
      </c>
      <c r="N348" s="27" t="s">
        <v>19</v>
      </c>
      <c r="O348" s="38">
        <f>VLOOKUP(TRIM(Table1[[#This Row],[Provider Specialty]]) &amp; TRIM(Table1[[#This Row],[Provider Specialty Description]]), SPECIALTY_TYPE, 2, FALSE)</f>
        <v>2189</v>
      </c>
      <c r="P348" s="3" t="str">
        <f>Table1[[#This Row],[Provider Type]] &amp; "+" &amp; Table1[[#This Row],[Provider Type Description]]</f>
        <v>23+Nutritionist</v>
      </c>
      <c r="Q348" s="7" t="str">
        <f>Table1[[#This Row],[Provider Specialty]] &amp; "+" &amp; Table1[[#This Row],[Provider Specialty Description]]</f>
        <v>211+HIV Case Manager</v>
      </c>
      <c r="R348" s="7" t="str">
        <f>Table1[[#This Row],[PDMS Specialty Type ID]] &amp; "+" &amp; Table1[[#This Row],[PDMS Provider Type ID]] &amp; "+" &amp;Table1[[#This Row],[TAXONOMY]]</f>
        <v>2189+38+133N00000X</v>
      </c>
      <c r="S3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(9357, 2189, 38, N'133N00000X', N'Nutritionist - Nutritionist')</v>
      </c>
    </row>
    <row r="349" spans="1:19" ht="47.25" hidden="1" customHeight="1" x14ac:dyDescent="0.25">
      <c r="A349" s="22" t="s">
        <v>227</v>
      </c>
      <c r="B349" s="3" t="s">
        <v>830</v>
      </c>
      <c r="C349" s="3" t="s">
        <v>831</v>
      </c>
      <c r="D349" s="3" t="s">
        <v>831</v>
      </c>
      <c r="E349" s="3" t="s">
        <v>832</v>
      </c>
      <c r="F349" s="3">
        <f>VLOOKUP(Table1[[#This Row],[Column2]], TAXONOMY_TYPE, 2, FALSE)</f>
        <v>9358</v>
      </c>
      <c r="G349" s="3">
        <v>23</v>
      </c>
      <c r="H349" s="3" t="s">
        <v>833</v>
      </c>
      <c r="I349" s="3">
        <f>VLOOKUP(Table1[[#This Row],[Provider Type]] &amp; Table1[[#This Row],[Provider Type Description]], PROVIDER_TYPE, 2, FALSE)</f>
        <v>38</v>
      </c>
      <c r="J349" s="3">
        <v>230</v>
      </c>
      <c r="K349" s="3" t="s">
        <v>833</v>
      </c>
      <c r="L349" s="3">
        <f>VLOOKUP(TRIM(Table1[[#This Row],[Provider Specialty]]) &amp; TRIM(Table1[[#This Row],[Provider Specialty Description]]), SPECIALTY_TYPE, 2, FALSE)</f>
        <v>2227</v>
      </c>
      <c r="M349" s="3" t="s">
        <v>18</v>
      </c>
      <c r="N349" s="27" t="s">
        <v>19</v>
      </c>
      <c r="O349" s="38">
        <f>VLOOKUP(TRIM(Table1[[#This Row],[Provider Specialty]]) &amp; TRIM(Table1[[#This Row],[Provider Specialty Description]]), SPECIALTY_TYPE, 2, FALSE)</f>
        <v>2227</v>
      </c>
      <c r="P349" s="3" t="str">
        <f>Table1[[#This Row],[Provider Type]] &amp; "+" &amp; Table1[[#This Row],[Provider Type Description]]</f>
        <v>23+Nutritionist</v>
      </c>
      <c r="Q349" s="7" t="str">
        <f>Table1[[#This Row],[Provider Specialty]] &amp; "+" &amp; Table1[[#This Row],[Provider Specialty Description]]</f>
        <v>230+Nutritionist</v>
      </c>
      <c r="R349" s="7" t="str">
        <f>Table1[[#This Row],[PDMS Specialty Type ID]] &amp; "+" &amp; Table1[[#This Row],[PDMS Provider Type ID]] &amp; "+" &amp;Table1[[#This Row],[TAXONOMY]]</f>
        <v>2227+38+132700000X</v>
      </c>
      <c r="S3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(9358, 2227, 38, N'132700000X', N'Dietary Manager - Dietary Manager')</v>
      </c>
    </row>
    <row r="350" spans="1:19" ht="47.25" hidden="1" customHeight="1" x14ac:dyDescent="0.25">
      <c r="A350" s="22" t="s">
        <v>227</v>
      </c>
      <c r="B350" s="3" t="s">
        <v>830</v>
      </c>
      <c r="C350" s="3" t="s">
        <v>834</v>
      </c>
      <c r="D350" s="3" t="s">
        <v>834</v>
      </c>
      <c r="E350" s="3" t="s">
        <v>835</v>
      </c>
      <c r="F350" s="3">
        <f>VLOOKUP(Table1[[#This Row],[Column2]], TAXONOMY_TYPE, 2, FALSE)</f>
        <v>9359</v>
      </c>
      <c r="G350" s="3">
        <v>23</v>
      </c>
      <c r="H350" s="3" t="s">
        <v>833</v>
      </c>
      <c r="I350" s="3">
        <f>VLOOKUP(Table1[[#This Row],[Provider Type]] &amp; Table1[[#This Row],[Provider Type Description]], PROVIDER_TYPE, 2, FALSE)</f>
        <v>38</v>
      </c>
      <c r="J350" s="3">
        <v>230</v>
      </c>
      <c r="K350" s="3" t="s">
        <v>833</v>
      </c>
      <c r="L350" s="3">
        <f>VLOOKUP(TRIM(Table1[[#This Row],[Provider Specialty]]) &amp; TRIM(Table1[[#This Row],[Provider Specialty Description]]), SPECIALTY_TYPE, 2, FALSE)</f>
        <v>2227</v>
      </c>
      <c r="M350" s="3" t="s">
        <v>18</v>
      </c>
      <c r="N350" s="27" t="s">
        <v>19</v>
      </c>
      <c r="O350" s="38">
        <f>VLOOKUP(TRIM(Table1[[#This Row],[Provider Specialty]]) &amp; TRIM(Table1[[#This Row],[Provider Specialty Description]]), SPECIALTY_TYPE, 2, FALSE)</f>
        <v>2227</v>
      </c>
      <c r="P350" s="3" t="str">
        <f>Table1[[#This Row],[Provider Type]] &amp; "+" &amp; Table1[[#This Row],[Provider Type Description]]</f>
        <v>23+Nutritionist</v>
      </c>
      <c r="Q350" s="7" t="str">
        <f>Table1[[#This Row],[Provider Specialty]] &amp; "+" &amp; Table1[[#This Row],[Provider Specialty Description]]</f>
        <v>230+Nutritionist</v>
      </c>
      <c r="R350" s="7" t="str">
        <f>Table1[[#This Row],[PDMS Specialty Type ID]] &amp; "+" &amp; Table1[[#This Row],[PDMS Provider Type ID]] &amp; "+" &amp;Table1[[#This Row],[TAXONOMY]]</f>
        <v>2227+38+133N00000X</v>
      </c>
      <c r="S3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(9359, 2227, 38, N'133N00000X', N'Nutritionist - Nutritionist')</v>
      </c>
    </row>
    <row r="351" spans="1:19" ht="47.25" hidden="1" customHeight="1" x14ac:dyDescent="0.25">
      <c r="A351" s="22" t="s">
        <v>227</v>
      </c>
      <c r="B351" s="3" t="s">
        <v>830</v>
      </c>
      <c r="C351" s="3" t="s">
        <v>834</v>
      </c>
      <c r="D351" s="3" t="s">
        <v>836</v>
      </c>
      <c r="E351" s="3" t="s">
        <v>837</v>
      </c>
      <c r="F351" s="3">
        <f>VLOOKUP(Table1[[#This Row],[Column2]], TAXONOMY_TYPE, 2, FALSE)</f>
        <v>9360</v>
      </c>
      <c r="G351" s="3">
        <v>23</v>
      </c>
      <c r="H351" s="3" t="s">
        <v>833</v>
      </c>
      <c r="I351" s="3">
        <f>VLOOKUP(Table1[[#This Row],[Provider Type]] &amp; Table1[[#This Row],[Provider Type Description]], PROVIDER_TYPE, 2, FALSE)</f>
        <v>38</v>
      </c>
      <c r="J351" s="3">
        <v>230</v>
      </c>
      <c r="K351" s="3" t="s">
        <v>833</v>
      </c>
      <c r="L351" s="3">
        <f>VLOOKUP(TRIM(Table1[[#This Row],[Provider Specialty]]) &amp; TRIM(Table1[[#This Row],[Provider Specialty Description]]), SPECIALTY_TYPE, 2, FALSE)</f>
        <v>2227</v>
      </c>
      <c r="M351" s="3" t="s">
        <v>18</v>
      </c>
      <c r="N351" s="27" t="s">
        <v>19</v>
      </c>
      <c r="O351" s="38">
        <f>VLOOKUP(TRIM(Table1[[#This Row],[Provider Specialty]]) &amp; TRIM(Table1[[#This Row],[Provider Specialty Description]]), SPECIALTY_TYPE, 2, FALSE)</f>
        <v>2227</v>
      </c>
      <c r="P351" s="3" t="str">
        <f>Table1[[#This Row],[Provider Type]] &amp; "+" &amp; Table1[[#This Row],[Provider Type Description]]</f>
        <v>23+Nutritionist</v>
      </c>
      <c r="Q351" s="7" t="str">
        <f>Table1[[#This Row],[Provider Specialty]] &amp; "+" &amp; Table1[[#This Row],[Provider Specialty Description]]</f>
        <v>230+Nutritionist</v>
      </c>
      <c r="R351" s="7" t="str">
        <f>Table1[[#This Row],[PDMS Specialty Type ID]] &amp; "+" &amp; Table1[[#This Row],[PDMS Provider Type ID]] &amp; "+" &amp;Table1[[#This Row],[TAXONOMY]]</f>
        <v>2227+38+133NN1002X</v>
      </c>
      <c r="S3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(9360, 2227, 38, N'133NN1002X', N'Nutritionist - Nutrition, Education')</v>
      </c>
    </row>
    <row r="352" spans="1:19" ht="47.25" hidden="1" customHeight="1" x14ac:dyDescent="0.25">
      <c r="A352" s="22" t="s">
        <v>227</v>
      </c>
      <c r="B352" s="3" t="s">
        <v>830</v>
      </c>
      <c r="C352" s="3" t="s">
        <v>838</v>
      </c>
      <c r="D352" s="3" t="s">
        <v>838</v>
      </c>
      <c r="E352" s="3" t="s">
        <v>839</v>
      </c>
      <c r="F352" s="3">
        <f>VLOOKUP(Table1[[#This Row],[Column2]], TAXONOMY_TYPE, 2, FALSE)</f>
        <v>9361</v>
      </c>
      <c r="G352" s="3">
        <v>23</v>
      </c>
      <c r="H352" s="3" t="s">
        <v>833</v>
      </c>
      <c r="I352" s="3">
        <f>VLOOKUP(Table1[[#This Row],[Provider Type]] &amp; Table1[[#This Row],[Provider Type Description]], PROVIDER_TYPE, 2, FALSE)</f>
        <v>38</v>
      </c>
      <c r="J352" s="3">
        <v>230</v>
      </c>
      <c r="K352" s="3" t="s">
        <v>833</v>
      </c>
      <c r="L352" s="3">
        <f>VLOOKUP(TRIM(Table1[[#This Row],[Provider Specialty]]) &amp; TRIM(Table1[[#This Row],[Provider Specialty Description]]), SPECIALTY_TYPE, 2, FALSE)</f>
        <v>2227</v>
      </c>
      <c r="M352" s="3" t="s">
        <v>18</v>
      </c>
      <c r="N352" s="27" t="s">
        <v>19</v>
      </c>
      <c r="O352" s="38">
        <f>VLOOKUP(TRIM(Table1[[#This Row],[Provider Specialty]]) &amp; TRIM(Table1[[#This Row],[Provider Specialty Description]]), SPECIALTY_TYPE, 2, FALSE)</f>
        <v>2227</v>
      </c>
      <c r="P352" s="3" t="str">
        <f>Table1[[#This Row],[Provider Type]] &amp; "+" &amp; Table1[[#This Row],[Provider Type Description]]</f>
        <v>23+Nutritionist</v>
      </c>
      <c r="Q352" s="7" t="str">
        <f>Table1[[#This Row],[Provider Specialty]] &amp; "+" &amp; Table1[[#This Row],[Provider Specialty Description]]</f>
        <v>230+Nutritionist</v>
      </c>
      <c r="R352" s="7" t="str">
        <f>Table1[[#This Row],[PDMS Specialty Type ID]] &amp; "+" &amp; Table1[[#This Row],[PDMS Provider Type ID]] &amp; "+" &amp;Table1[[#This Row],[TAXONOMY]]</f>
        <v>2227+38+133V00000X</v>
      </c>
      <c r="S3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(9361, 2227, 38, N'133V00000X', N'Dietitian, Registered - Dietitian, Registered')</v>
      </c>
    </row>
    <row r="353" spans="1:19" ht="47.25" hidden="1" customHeight="1" x14ac:dyDescent="0.25">
      <c r="A353" s="22" t="s">
        <v>227</v>
      </c>
      <c r="B353" s="3" t="s">
        <v>830</v>
      </c>
      <c r="C353" s="3" t="s">
        <v>838</v>
      </c>
      <c r="D353" s="3" t="s">
        <v>840</v>
      </c>
      <c r="E353" s="3" t="s">
        <v>841</v>
      </c>
      <c r="F353" s="3">
        <f>VLOOKUP(Table1[[#This Row],[Column2]], TAXONOMY_TYPE, 2, FALSE)</f>
        <v>9362</v>
      </c>
      <c r="G353" s="3">
        <v>23</v>
      </c>
      <c r="H353" s="3" t="s">
        <v>833</v>
      </c>
      <c r="I353" s="3">
        <f>VLOOKUP(Table1[[#This Row],[Provider Type]] &amp; Table1[[#This Row],[Provider Type Description]], PROVIDER_TYPE, 2, FALSE)</f>
        <v>38</v>
      </c>
      <c r="J353" s="3">
        <v>230</v>
      </c>
      <c r="K353" s="3" t="s">
        <v>833</v>
      </c>
      <c r="L353" s="3">
        <f>VLOOKUP(TRIM(Table1[[#This Row],[Provider Specialty]]) &amp; TRIM(Table1[[#This Row],[Provider Specialty Description]]), SPECIALTY_TYPE, 2, FALSE)</f>
        <v>2227</v>
      </c>
      <c r="M353" s="3" t="s">
        <v>18</v>
      </c>
      <c r="N353" s="27" t="s">
        <v>19</v>
      </c>
      <c r="O353" s="38">
        <f>VLOOKUP(TRIM(Table1[[#This Row],[Provider Specialty]]) &amp; TRIM(Table1[[#This Row],[Provider Specialty Description]]), SPECIALTY_TYPE, 2, FALSE)</f>
        <v>2227</v>
      </c>
      <c r="P353" s="3" t="str">
        <f>Table1[[#This Row],[Provider Type]] &amp; "+" &amp; Table1[[#This Row],[Provider Type Description]]</f>
        <v>23+Nutritionist</v>
      </c>
      <c r="Q353" s="7" t="str">
        <f>Table1[[#This Row],[Provider Specialty]] &amp; "+" &amp; Table1[[#This Row],[Provider Specialty Description]]</f>
        <v>230+Nutritionist</v>
      </c>
      <c r="R353" s="7" t="str">
        <f>Table1[[#This Row],[PDMS Specialty Type ID]] &amp; "+" &amp; Table1[[#This Row],[PDMS Provider Type ID]] &amp; "+" &amp;Table1[[#This Row],[TAXONOMY]]</f>
        <v>2227+38+133VN1004X</v>
      </c>
      <c r="S3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(9362, 2227, 38, N'133VN1004X', N'Dietitian, Registered - Nutrition, Pediatric')</v>
      </c>
    </row>
    <row r="354" spans="1:19" ht="47.25" hidden="1" customHeight="1" x14ac:dyDescent="0.25">
      <c r="A354" s="22" t="s">
        <v>227</v>
      </c>
      <c r="B354" s="3" t="s">
        <v>830</v>
      </c>
      <c r="C354" s="3" t="s">
        <v>838</v>
      </c>
      <c r="D354" s="3" t="s">
        <v>842</v>
      </c>
      <c r="E354" s="3" t="s">
        <v>843</v>
      </c>
      <c r="F354" s="3">
        <f>VLOOKUP(Table1[[#This Row],[Column2]], TAXONOMY_TYPE, 2, FALSE)</f>
        <v>9363</v>
      </c>
      <c r="G354" s="3">
        <v>23</v>
      </c>
      <c r="H354" s="3" t="s">
        <v>833</v>
      </c>
      <c r="I354" s="3">
        <f>VLOOKUP(Table1[[#This Row],[Provider Type]] &amp; Table1[[#This Row],[Provider Type Description]], PROVIDER_TYPE, 2, FALSE)</f>
        <v>38</v>
      </c>
      <c r="J354" s="3">
        <v>230</v>
      </c>
      <c r="K354" s="3" t="s">
        <v>833</v>
      </c>
      <c r="L354" s="3">
        <f>VLOOKUP(TRIM(Table1[[#This Row],[Provider Specialty]]) &amp; TRIM(Table1[[#This Row],[Provider Specialty Description]]), SPECIALTY_TYPE, 2, FALSE)</f>
        <v>2227</v>
      </c>
      <c r="M354" s="3" t="s">
        <v>18</v>
      </c>
      <c r="N354" s="27" t="s">
        <v>19</v>
      </c>
      <c r="O354" s="38">
        <f>VLOOKUP(TRIM(Table1[[#This Row],[Provider Specialty]]) &amp; TRIM(Table1[[#This Row],[Provider Specialty Description]]), SPECIALTY_TYPE, 2, FALSE)</f>
        <v>2227</v>
      </c>
      <c r="P354" s="3" t="str">
        <f>Table1[[#This Row],[Provider Type]] &amp; "+" &amp; Table1[[#This Row],[Provider Type Description]]</f>
        <v>23+Nutritionist</v>
      </c>
      <c r="Q354" s="7" t="str">
        <f>Table1[[#This Row],[Provider Specialty]] &amp; "+" &amp; Table1[[#This Row],[Provider Specialty Description]]</f>
        <v>230+Nutritionist</v>
      </c>
      <c r="R354" s="7" t="str">
        <f>Table1[[#This Row],[PDMS Specialty Type ID]] &amp; "+" &amp; Table1[[#This Row],[PDMS Provider Type ID]] &amp; "+" &amp;Table1[[#This Row],[TAXONOMY]]</f>
        <v>2227+38+133VN1005X</v>
      </c>
      <c r="S3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(9363, 2227, 38, N'133VN1005X', N'Dietitian, Registered - Nutrition, Renal')</v>
      </c>
    </row>
    <row r="355" spans="1:19" ht="47.25" hidden="1" customHeight="1" x14ac:dyDescent="0.25">
      <c r="A355" s="22" t="s">
        <v>227</v>
      </c>
      <c r="B355" s="3" t="s">
        <v>830</v>
      </c>
      <c r="C355" s="3" t="s">
        <v>838</v>
      </c>
      <c r="D355" s="3" t="s">
        <v>844</v>
      </c>
      <c r="E355" s="3" t="s">
        <v>845</v>
      </c>
      <c r="F355" s="3">
        <f>VLOOKUP(Table1[[#This Row],[Column2]], TAXONOMY_TYPE, 2, FALSE)</f>
        <v>9364</v>
      </c>
      <c r="G355" s="3">
        <v>23</v>
      </c>
      <c r="H355" s="3" t="s">
        <v>833</v>
      </c>
      <c r="I355" s="3">
        <f>VLOOKUP(Table1[[#This Row],[Provider Type]] &amp; Table1[[#This Row],[Provider Type Description]], PROVIDER_TYPE, 2, FALSE)</f>
        <v>38</v>
      </c>
      <c r="J355" s="3">
        <v>230</v>
      </c>
      <c r="K355" s="3" t="s">
        <v>833</v>
      </c>
      <c r="L355" s="3">
        <f>VLOOKUP(TRIM(Table1[[#This Row],[Provider Specialty]]) &amp; TRIM(Table1[[#This Row],[Provider Specialty Description]]), SPECIALTY_TYPE, 2, FALSE)</f>
        <v>2227</v>
      </c>
      <c r="M355" s="3" t="s">
        <v>18</v>
      </c>
      <c r="N355" s="27" t="s">
        <v>19</v>
      </c>
      <c r="O355" s="38">
        <f>VLOOKUP(TRIM(Table1[[#This Row],[Provider Specialty]]) &amp; TRIM(Table1[[#This Row],[Provider Specialty Description]]), SPECIALTY_TYPE, 2, FALSE)</f>
        <v>2227</v>
      </c>
      <c r="P355" s="3" t="str">
        <f>Table1[[#This Row],[Provider Type]] &amp; "+" &amp; Table1[[#This Row],[Provider Type Description]]</f>
        <v>23+Nutritionist</v>
      </c>
      <c r="Q355" s="7" t="str">
        <f>Table1[[#This Row],[Provider Specialty]] &amp; "+" &amp; Table1[[#This Row],[Provider Specialty Description]]</f>
        <v>230+Nutritionist</v>
      </c>
      <c r="R355" s="7" t="str">
        <f>Table1[[#This Row],[PDMS Specialty Type ID]] &amp; "+" &amp; Table1[[#This Row],[PDMS Provider Type ID]] &amp; "+" &amp;Table1[[#This Row],[TAXONOMY]]</f>
        <v>2227+38+133VN1006X</v>
      </c>
      <c r="S3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(9364, 2227, 38, N'133VN1006X', N'Dietitian, Registered - Nutrition, Metabolic')</v>
      </c>
    </row>
    <row r="356" spans="1:19" ht="47.25" hidden="1" customHeight="1" x14ac:dyDescent="0.25">
      <c r="A356" s="22" t="s">
        <v>227</v>
      </c>
      <c r="B356" s="3" t="s">
        <v>830</v>
      </c>
      <c r="C356" s="3" t="s">
        <v>846</v>
      </c>
      <c r="D356" s="3" t="s">
        <v>846</v>
      </c>
      <c r="E356" s="3" t="s">
        <v>847</v>
      </c>
      <c r="F356" s="3">
        <f>VLOOKUP(Table1[[#This Row],[Column2]], TAXONOMY_TYPE, 2, FALSE)</f>
        <v>9365</v>
      </c>
      <c r="G356" s="3">
        <v>23</v>
      </c>
      <c r="H356" s="3" t="s">
        <v>833</v>
      </c>
      <c r="I356" s="3">
        <f>VLOOKUP(Table1[[#This Row],[Provider Type]] &amp; Table1[[#This Row],[Provider Type Description]], PROVIDER_TYPE, 2, FALSE)</f>
        <v>38</v>
      </c>
      <c r="J356" s="3">
        <v>230</v>
      </c>
      <c r="K356" s="3" t="s">
        <v>833</v>
      </c>
      <c r="L356" s="3">
        <f>VLOOKUP(TRIM(Table1[[#This Row],[Provider Specialty]]) &amp; TRIM(Table1[[#This Row],[Provider Specialty Description]]), SPECIALTY_TYPE, 2, FALSE)</f>
        <v>2227</v>
      </c>
      <c r="M356" s="3" t="s">
        <v>18</v>
      </c>
      <c r="N356" s="27" t="s">
        <v>19</v>
      </c>
      <c r="O356" s="38">
        <f>VLOOKUP(TRIM(Table1[[#This Row],[Provider Specialty]]) &amp; TRIM(Table1[[#This Row],[Provider Specialty Description]]), SPECIALTY_TYPE, 2, FALSE)</f>
        <v>2227</v>
      </c>
      <c r="P356" s="3" t="str">
        <f>Table1[[#This Row],[Provider Type]] &amp; "+" &amp; Table1[[#This Row],[Provider Type Description]]</f>
        <v>23+Nutritionist</v>
      </c>
      <c r="Q356" s="7" t="str">
        <f>Table1[[#This Row],[Provider Specialty]] &amp; "+" &amp; Table1[[#This Row],[Provider Specialty Description]]</f>
        <v>230+Nutritionist</v>
      </c>
      <c r="R356" s="7" t="str">
        <f>Table1[[#This Row],[PDMS Specialty Type ID]] &amp; "+" &amp; Table1[[#This Row],[PDMS Provider Type ID]] &amp; "+" &amp;Table1[[#This Row],[TAXONOMY]]</f>
        <v>2227+38+136A00000X</v>
      </c>
      <c r="S3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(9365, 2227, 38, N'136A00000X', N'Dietetic Technician, Registered - Dietetic Technician, Registered')</v>
      </c>
    </row>
    <row r="357" spans="1:19" ht="47.25" hidden="1" customHeight="1" x14ac:dyDescent="0.25">
      <c r="A357" s="22" t="s">
        <v>11</v>
      </c>
      <c r="B357" s="3" t="s">
        <v>828</v>
      </c>
      <c r="C357" s="3" t="s">
        <v>850</v>
      </c>
      <c r="D357" s="3" t="s">
        <v>850</v>
      </c>
      <c r="E357" s="3" t="s">
        <v>851</v>
      </c>
      <c r="F357" s="3">
        <f>VLOOKUP(Table1[[#This Row],[Column2]], TAXONOMY_TYPE, 2, FALSE)</f>
        <v>4662</v>
      </c>
      <c r="G357" s="3">
        <v>25</v>
      </c>
      <c r="H357" s="3" t="s">
        <v>849</v>
      </c>
      <c r="I357" s="3">
        <f>VLOOKUP(Table1[[#This Row],[Provider Type]] &amp; Table1[[#This Row],[Provider Type Description]], PROVIDER_TYPE, 2, FALSE)</f>
        <v>64</v>
      </c>
      <c r="J357" s="3">
        <v>250</v>
      </c>
      <c r="K357" s="3" t="s">
        <v>849</v>
      </c>
      <c r="L357" s="3">
        <f>VLOOKUP(TRIM(Table1[[#This Row],[Provider Specialty]]) &amp; TRIM(Table1[[#This Row],[Provider Specialty Description]]), SPECIALTY_TYPE, 2, FALSE)</f>
        <v>2137</v>
      </c>
      <c r="M357" s="3" t="s">
        <v>19</v>
      </c>
      <c r="N357" s="27" t="s">
        <v>19</v>
      </c>
      <c r="O357" s="38">
        <f>VLOOKUP(TRIM(Table1[[#This Row],[Provider Specialty]]) &amp; TRIM(Table1[[#This Row],[Provider Specialty Description]]), SPECIALTY_TYPE, 2, FALSE)</f>
        <v>2137</v>
      </c>
      <c r="P357" s="3" t="str">
        <f>Table1[[#This Row],[Provider Type]] &amp; "+" &amp; Table1[[#This Row],[Provider Type Description]]</f>
        <v>25+DME/Medical Supply Dealer</v>
      </c>
      <c r="Q357" s="7" t="str">
        <f>Table1[[#This Row],[Provider Specialty]] &amp; "+" &amp; Table1[[#This Row],[Provider Specialty Description]]</f>
        <v>250+DME/Medical Supply Dealer</v>
      </c>
      <c r="R357" s="7" t="str">
        <f>Table1[[#This Row],[PDMS Specialty Type ID]] &amp; "+" &amp; Table1[[#This Row],[PDMS Provider Type ID]] &amp; "+" &amp;Table1[[#This Row],[TAXONOMY]]</f>
        <v>2137+64+332B00000X</v>
      </c>
      <c r="S3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(4662, 2137, 64, N'332B00000X', N'Durable Medical Equipment &amp; Medical Supplies - Durable Medical Equipment &amp; Medical Supplies')</v>
      </c>
    </row>
    <row r="358" spans="1:19" ht="47.25" hidden="1" customHeight="1" x14ac:dyDescent="0.25">
      <c r="A358" s="22" t="s">
        <v>11</v>
      </c>
      <c r="B358" s="3" t="s">
        <v>828</v>
      </c>
      <c r="C358" s="3" t="s">
        <v>850</v>
      </c>
      <c r="D358" s="3" t="s">
        <v>852</v>
      </c>
      <c r="E358" s="3" t="s">
        <v>853</v>
      </c>
      <c r="F358" s="3">
        <f>VLOOKUP(Table1[[#This Row],[Column2]], TAXONOMY_TYPE, 2, FALSE)</f>
        <v>4663</v>
      </c>
      <c r="G358" s="3">
        <v>25</v>
      </c>
      <c r="H358" s="3" t="s">
        <v>849</v>
      </c>
      <c r="I358" s="3">
        <f>VLOOKUP(Table1[[#This Row],[Provider Type]] &amp; Table1[[#This Row],[Provider Type Description]], PROVIDER_TYPE, 2, FALSE)</f>
        <v>64</v>
      </c>
      <c r="J358" s="3">
        <v>250</v>
      </c>
      <c r="K358" s="3" t="s">
        <v>849</v>
      </c>
      <c r="L358" s="3">
        <f>VLOOKUP(TRIM(Table1[[#This Row],[Provider Specialty]]) &amp; TRIM(Table1[[#This Row],[Provider Specialty Description]]), SPECIALTY_TYPE, 2, FALSE)</f>
        <v>2137</v>
      </c>
      <c r="M358" s="3" t="s">
        <v>19</v>
      </c>
      <c r="N358" s="27" t="s">
        <v>19</v>
      </c>
      <c r="O358" s="38">
        <f>VLOOKUP(TRIM(Table1[[#This Row],[Provider Specialty]]) &amp; TRIM(Table1[[#This Row],[Provider Specialty Description]]), SPECIALTY_TYPE, 2, FALSE)</f>
        <v>2137</v>
      </c>
      <c r="P358" s="3" t="str">
        <f>Table1[[#This Row],[Provider Type]] &amp; "+" &amp; Table1[[#This Row],[Provider Type Description]]</f>
        <v>25+DME/Medical Supply Dealer</v>
      </c>
      <c r="Q358" s="7" t="str">
        <f>Table1[[#This Row],[Provider Specialty]] &amp; "+" &amp; Table1[[#This Row],[Provider Specialty Description]]</f>
        <v>250+DME/Medical Supply Dealer</v>
      </c>
      <c r="R358" s="7" t="str">
        <f>Table1[[#This Row],[PDMS Specialty Type ID]] &amp; "+" &amp; Table1[[#This Row],[PDMS Provider Type ID]] &amp; "+" &amp;Table1[[#This Row],[TAXONOMY]]</f>
        <v>2137+64+332BC3200X</v>
      </c>
      <c r="S3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(4663, 2137, 64, N'332BC3200X', N'Durable Medical Equipment &amp; Medical Supplies - Customized Equipment')</v>
      </c>
    </row>
    <row r="359" spans="1:19" ht="47.25" hidden="1" customHeight="1" x14ac:dyDescent="0.25">
      <c r="A359" s="22" t="s">
        <v>11</v>
      </c>
      <c r="B359" s="3" t="s">
        <v>828</v>
      </c>
      <c r="C359" s="3" t="s">
        <v>850</v>
      </c>
      <c r="D359" s="3" t="s">
        <v>854</v>
      </c>
      <c r="E359" s="3" t="s">
        <v>855</v>
      </c>
      <c r="F359" s="3">
        <f>VLOOKUP(Table1[[#This Row],[Column2]], TAXONOMY_TYPE, 2, FALSE)</f>
        <v>4664</v>
      </c>
      <c r="G359" s="3">
        <v>25</v>
      </c>
      <c r="H359" s="3" t="s">
        <v>849</v>
      </c>
      <c r="I359" s="3">
        <f>VLOOKUP(Table1[[#This Row],[Provider Type]] &amp; Table1[[#This Row],[Provider Type Description]], PROVIDER_TYPE, 2, FALSE)</f>
        <v>64</v>
      </c>
      <c r="J359" s="3">
        <v>250</v>
      </c>
      <c r="K359" s="3" t="s">
        <v>849</v>
      </c>
      <c r="L359" s="3">
        <f>VLOOKUP(TRIM(Table1[[#This Row],[Provider Specialty]]) &amp; TRIM(Table1[[#This Row],[Provider Specialty Description]]), SPECIALTY_TYPE, 2, FALSE)</f>
        <v>2137</v>
      </c>
      <c r="M359" s="3" t="s">
        <v>19</v>
      </c>
      <c r="N359" s="27" t="s">
        <v>19</v>
      </c>
      <c r="O359" s="38">
        <f>VLOOKUP(TRIM(Table1[[#This Row],[Provider Specialty]]) &amp; TRIM(Table1[[#This Row],[Provider Specialty Description]]), SPECIALTY_TYPE, 2, FALSE)</f>
        <v>2137</v>
      </c>
      <c r="P359" s="3" t="str">
        <f>Table1[[#This Row],[Provider Type]] &amp; "+" &amp; Table1[[#This Row],[Provider Type Description]]</f>
        <v>25+DME/Medical Supply Dealer</v>
      </c>
      <c r="Q359" s="7" t="str">
        <f>Table1[[#This Row],[Provider Specialty]] &amp; "+" &amp; Table1[[#This Row],[Provider Specialty Description]]</f>
        <v>250+DME/Medical Supply Dealer</v>
      </c>
      <c r="R359" s="7" t="str">
        <f>Table1[[#This Row],[PDMS Specialty Type ID]] &amp; "+" &amp; Table1[[#This Row],[PDMS Provider Type ID]] &amp; "+" &amp;Table1[[#This Row],[TAXONOMY]]</f>
        <v>2137+64+332BD1200X</v>
      </c>
      <c r="S3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(4664, 2137, 64, N'332BD1200X', N'Durable Medical Equipment &amp; Medical Supplies - Dialysis Equipment &amp; Supplies')</v>
      </c>
    </row>
    <row r="360" spans="1:19" ht="47.25" hidden="1" customHeight="1" x14ac:dyDescent="0.25">
      <c r="A360" s="22" t="s">
        <v>11</v>
      </c>
      <c r="B360" s="3" t="s">
        <v>828</v>
      </c>
      <c r="C360" s="3" t="s">
        <v>850</v>
      </c>
      <c r="D360" s="3" t="s">
        <v>856</v>
      </c>
      <c r="E360" s="3" t="s">
        <v>857</v>
      </c>
      <c r="F360" s="3">
        <f>VLOOKUP(Table1[[#This Row],[Column2]], TAXONOMY_TYPE, 2, FALSE)</f>
        <v>4665</v>
      </c>
      <c r="G360" s="3">
        <v>25</v>
      </c>
      <c r="H360" s="3" t="s">
        <v>849</v>
      </c>
      <c r="I360" s="3">
        <f>VLOOKUP(Table1[[#This Row],[Provider Type]] &amp; Table1[[#This Row],[Provider Type Description]], PROVIDER_TYPE, 2, FALSE)</f>
        <v>64</v>
      </c>
      <c r="J360" s="3">
        <v>250</v>
      </c>
      <c r="K360" s="3" t="s">
        <v>849</v>
      </c>
      <c r="L360" s="3">
        <f>VLOOKUP(TRIM(Table1[[#This Row],[Provider Specialty]]) &amp; TRIM(Table1[[#This Row],[Provider Specialty Description]]), SPECIALTY_TYPE, 2, FALSE)</f>
        <v>2137</v>
      </c>
      <c r="M360" s="3" t="s">
        <v>19</v>
      </c>
      <c r="N360" s="27" t="s">
        <v>19</v>
      </c>
      <c r="O360" s="38">
        <f>VLOOKUP(TRIM(Table1[[#This Row],[Provider Specialty]]) &amp; TRIM(Table1[[#This Row],[Provider Specialty Description]]), SPECIALTY_TYPE, 2, FALSE)</f>
        <v>2137</v>
      </c>
      <c r="P360" s="3" t="str">
        <f>Table1[[#This Row],[Provider Type]] &amp; "+" &amp; Table1[[#This Row],[Provider Type Description]]</f>
        <v>25+DME/Medical Supply Dealer</v>
      </c>
      <c r="Q360" s="7" t="str">
        <f>Table1[[#This Row],[Provider Specialty]] &amp; "+" &amp; Table1[[#This Row],[Provider Specialty Description]]</f>
        <v>250+DME/Medical Supply Dealer</v>
      </c>
      <c r="R360" s="7" t="str">
        <f>Table1[[#This Row],[PDMS Specialty Type ID]] &amp; "+" &amp; Table1[[#This Row],[PDMS Provider Type ID]] &amp; "+" &amp;Table1[[#This Row],[TAXONOMY]]</f>
        <v>2137+64+332BN1400X</v>
      </c>
      <c r="S3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(4665, 2137, 64, N'332BN1400X', N'Durable Medical Equipment &amp; Medical Supplies - Nursing Facility Supplies')</v>
      </c>
    </row>
    <row r="361" spans="1:19" ht="47.25" hidden="1" customHeight="1" x14ac:dyDescent="0.25">
      <c r="A361" s="22" t="s">
        <v>11</v>
      </c>
      <c r="B361" s="3" t="s">
        <v>828</v>
      </c>
      <c r="C361" s="3" t="s">
        <v>850</v>
      </c>
      <c r="D361" s="3" t="s">
        <v>858</v>
      </c>
      <c r="E361" s="3" t="s">
        <v>859</v>
      </c>
      <c r="F361" s="3">
        <f>VLOOKUP(Table1[[#This Row],[Column2]], TAXONOMY_TYPE, 2, FALSE)</f>
        <v>4667</v>
      </c>
      <c r="G361" s="3">
        <v>25</v>
      </c>
      <c r="H361" s="3" t="s">
        <v>849</v>
      </c>
      <c r="I361" s="3">
        <f>VLOOKUP(Table1[[#This Row],[Provider Type]] &amp; Table1[[#This Row],[Provider Type Description]], PROVIDER_TYPE, 2, FALSE)</f>
        <v>64</v>
      </c>
      <c r="J361" s="3">
        <v>250</v>
      </c>
      <c r="K361" s="3" t="s">
        <v>849</v>
      </c>
      <c r="L361" s="3">
        <f>VLOOKUP(TRIM(Table1[[#This Row],[Provider Specialty]]) &amp; TRIM(Table1[[#This Row],[Provider Specialty Description]]), SPECIALTY_TYPE, 2, FALSE)</f>
        <v>2137</v>
      </c>
      <c r="M361" s="3" t="s">
        <v>19</v>
      </c>
      <c r="N361" s="27" t="s">
        <v>19</v>
      </c>
      <c r="O361" s="38">
        <f>VLOOKUP(TRIM(Table1[[#This Row],[Provider Specialty]]) &amp; TRIM(Table1[[#This Row],[Provider Specialty Description]]), SPECIALTY_TYPE, 2, FALSE)</f>
        <v>2137</v>
      </c>
      <c r="P361" s="3" t="str">
        <f>Table1[[#This Row],[Provider Type]] &amp; "+" &amp; Table1[[#This Row],[Provider Type Description]]</f>
        <v>25+DME/Medical Supply Dealer</v>
      </c>
      <c r="Q361" s="7" t="str">
        <f>Table1[[#This Row],[Provider Specialty]] &amp; "+" &amp; Table1[[#This Row],[Provider Specialty Description]]</f>
        <v>250+DME/Medical Supply Dealer</v>
      </c>
      <c r="R361" s="7" t="str">
        <f>Table1[[#This Row],[PDMS Specialty Type ID]] &amp; "+" &amp; Table1[[#This Row],[PDMS Provider Type ID]] &amp; "+" &amp;Table1[[#This Row],[TAXONOMY]]</f>
        <v>2137+64+332BP3500X</v>
      </c>
      <c r="S3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(4667, 2137, 64, N'332BP3500X', N'Durable Medical Equipment &amp; Medical Supplies - Parenteral &amp; Enteral Nutrition')</v>
      </c>
    </row>
    <row r="362" spans="1:19" ht="47.25" hidden="1" customHeight="1" x14ac:dyDescent="0.25">
      <c r="A362" s="22" t="s">
        <v>11</v>
      </c>
      <c r="B362" s="3" t="s">
        <v>828</v>
      </c>
      <c r="C362" s="3" t="s">
        <v>850</v>
      </c>
      <c r="D362" s="3" t="s">
        <v>860</v>
      </c>
      <c r="E362" s="3" t="s">
        <v>861</v>
      </c>
      <c r="F362" s="3">
        <f>VLOOKUP(Table1[[#This Row],[Column2]], TAXONOMY_TYPE, 2, FALSE)</f>
        <v>4666</v>
      </c>
      <c r="G362" s="3">
        <v>25</v>
      </c>
      <c r="H362" s="3" t="s">
        <v>849</v>
      </c>
      <c r="I362" s="3">
        <f>VLOOKUP(Table1[[#This Row],[Provider Type]] &amp; Table1[[#This Row],[Provider Type Description]], PROVIDER_TYPE, 2, FALSE)</f>
        <v>64</v>
      </c>
      <c r="J362" s="3">
        <v>250</v>
      </c>
      <c r="K362" s="3" t="s">
        <v>849</v>
      </c>
      <c r="L362" s="3">
        <f>VLOOKUP(TRIM(Table1[[#This Row],[Provider Specialty]]) &amp; TRIM(Table1[[#This Row],[Provider Specialty Description]]), SPECIALTY_TYPE, 2, FALSE)</f>
        <v>2137</v>
      </c>
      <c r="M362" s="3" t="s">
        <v>19</v>
      </c>
      <c r="N362" s="27" t="s">
        <v>19</v>
      </c>
      <c r="O362" s="38">
        <f>VLOOKUP(TRIM(Table1[[#This Row],[Provider Specialty]]) &amp; TRIM(Table1[[#This Row],[Provider Specialty Description]]), SPECIALTY_TYPE, 2, FALSE)</f>
        <v>2137</v>
      </c>
      <c r="P362" s="3" t="str">
        <f>Table1[[#This Row],[Provider Type]] &amp; "+" &amp; Table1[[#This Row],[Provider Type Description]]</f>
        <v>25+DME/Medical Supply Dealer</v>
      </c>
      <c r="Q362" s="7" t="str">
        <f>Table1[[#This Row],[Provider Specialty]] &amp; "+" &amp; Table1[[#This Row],[Provider Specialty Description]]</f>
        <v>250+DME/Medical Supply Dealer</v>
      </c>
      <c r="R362" s="7" t="str">
        <f>Table1[[#This Row],[PDMS Specialty Type ID]] &amp; "+" &amp; Table1[[#This Row],[PDMS Provider Type ID]] &amp; "+" &amp;Table1[[#This Row],[TAXONOMY]]</f>
        <v>2137+64+332BX2000X</v>
      </c>
      <c r="S3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(4666, 2137, 64, N'332BX2000X', N'Durable Medical Equipment &amp; Medical Supplies - Oxygen Equipment &amp; Supplies')</v>
      </c>
    </row>
    <row r="363" spans="1:19" ht="47.25" hidden="1" customHeight="1" x14ac:dyDescent="0.25">
      <c r="A363" s="22" t="s">
        <v>11</v>
      </c>
      <c r="B363" s="3" t="s">
        <v>828</v>
      </c>
      <c r="C363" s="3" t="s">
        <v>862</v>
      </c>
      <c r="D363" s="3" t="s">
        <v>862</v>
      </c>
      <c r="E363" s="3" t="s">
        <v>863</v>
      </c>
      <c r="F363" s="3">
        <f>VLOOKUP(Table1[[#This Row],[Column2]], TAXONOMY_TYPE, 2, FALSE)</f>
        <v>4668</v>
      </c>
      <c r="G363" s="3">
        <v>25</v>
      </c>
      <c r="H363" s="3" t="s">
        <v>849</v>
      </c>
      <c r="I363" s="3">
        <f>VLOOKUP(Table1[[#This Row],[Provider Type]] &amp; Table1[[#This Row],[Provider Type Description]], PROVIDER_TYPE, 2, FALSE)</f>
        <v>64</v>
      </c>
      <c r="J363" s="3">
        <v>250</v>
      </c>
      <c r="K363" s="3" t="s">
        <v>849</v>
      </c>
      <c r="L363" s="3">
        <f>VLOOKUP(TRIM(Table1[[#This Row],[Provider Specialty]]) &amp; TRIM(Table1[[#This Row],[Provider Specialty Description]]), SPECIALTY_TYPE, 2, FALSE)</f>
        <v>2137</v>
      </c>
      <c r="M363" s="3" t="s">
        <v>19</v>
      </c>
      <c r="N363" s="27" t="s">
        <v>19</v>
      </c>
      <c r="O363" s="38">
        <f>VLOOKUP(TRIM(Table1[[#This Row],[Provider Specialty]]) &amp; TRIM(Table1[[#This Row],[Provider Specialty Description]]), SPECIALTY_TYPE, 2, FALSE)</f>
        <v>2137</v>
      </c>
      <c r="P363" s="3" t="str">
        <f>Table1[[#This Row],[Provider Type]] &amp; "+" &amp; Table1[[#This Row],[Provider Type Description]]</f>
        <v>25+DME/Medical Supply Dealer</v>
      </c>
      <c r="Q363" s="7" t="str">
        <f>Table1[[#This Row],[Provider Specialty]] &amp; "+" &amp; Table1[[#This Row],[Provider Specialty Description]]</f>
        <v>250+DME/Medical Supply Dealer</v>
      </c>
      <c r="R363" s="7" t="str">
        <f>Table1[[#This Row],[PDMS Specialty Type ID]] &amp; "+" &amp; Table1[[#This Row],[PDMS Provider Type ID]] &amp; "+" &amp;Table1[[#This Row],[TAXONOMY]]</f>
        <v>2137+64+332H00000X</v>
      </c>
      <c r="S3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(4668, 2137, 64, N'332H00000X', N'Eyewear Supplier (Equipment, not the service) - Eyewear Supplier (Equipment, not the service)')</v>
      </c>
    </row>
    <row r="364" spans="1:19" ht="47.25" hidden="1" customHeight="1" x14ac:dyDescent="0.25">
      <c r="A364" s="22" t="s">
        <v>11</v>
      </c>
      <c r="B364" s="3" t="s">
        <v>828</v>
      </c>
      <c r="C364" s="3" t="s">
        <v>867</v>
      </c>
      <c r="D364" s="3" t="s">
        <v>867</v>
      </c>
      <c r="E364" s="3" t="s">
        <v>868</v>
      </c>
      <c r="F364" s="3">
        <f>VLOOKUP(Table1[[#This Row],[Column2]], TAXONOMY_TYPE, 2, FALSE)</f>
        <v>9059</v>
      </c>
      <c r="G364" s="3">
        <v>25</v>
      </c>
      <c r="H364" s="8" t="s">
        <v>849</v>
      </c>
      <c r="I364" s="3">
        <f>VLOOKUP(Table1[[#This Row],[Provider Type]] &amp; Table1[[#This Row],[Provider Type Description]], PROVIDER_TYPE, 2, FALSE)</f>
        <v>64</v>
      </c>
      <c r="J364" s="3">
        <v>250</v>
      </c>
      <c r="K364" s="8" t="s">
        <v>849</v>
      </c>
      <c r="L364" s="8">
        <f>VLOOKUP(TRIM(Table1[[#This Row],[Provider Specialty]]) &amp; TRIM(Table1[[#This Row],[Provider Specialty Description]]), SPECIALTY_TYPE, 2, FALSE)</f>
        <v>2137</v>
      </c>
      <c r="M364" s="3" t="s">
        <v>19</v>
      </c>
      <c r="N364" s="27" t="s">
        <v>19</v>
      </c>
      <c r="O364" s="38">
        <f>VLOOKUP(TRIM(Table1[[#This Row],[Provider Specialty]]) &amp; TRIM(Table1[[#This Row],[Provider Specialty Description]]), SPECIALTY_TYPE, 2, FALSE)</f>
        <v>2137</v>
      </c>
      <c r="P364" s="3" t="str">
        <f>Table1[[#This Row],[Provider Type]] &amp; "+" &amp; Table1[[#This Row],[Provider Type Description]]</f>
        <v>25+DME/Medical Supply Dealer</v>
      </c>
      <c r="Q364" s="7" t="str">
        <f>Table1[[#This Row],[Provider Specialty]] &amp; "+" &amp; Table1[[#This Row],[Provider Specialty Description]]</f>
        <v>250+DME/Medical Supply Dealer</v>
      </c>
      <c r="R364" s="7" t="str">
        <f>Table1[[#This Row],[PDMS Specialty Type ID]] &amp; "+" &amp; Table1[[#This Row],[PDMS Provider Type ID]] &amp; "+" &amp;Table1[[#This Row],[TAXONOMY]]</f>
        <v>2137+64+335G00000X</v>
      </c>
      <c r="S3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(9059, 2137, 64, N'335G00000X', N'Medical Foods Supplier - Medical Foods Supplier')</v>
      </c>
    </row>
    <row r="365" spans="1:19" ht="47.25" hidden="1" customHeight="1" x14ac:dyDescent="0.25">
      <c r="A365" s="22" t="s">
        <v>11</v>
      </c>
      <c r="B365" s="3" t="s">
        <v>828</v>
      </c>
      <c r="C365" s="3" t="s">
        <v>869</v>
      </c>
      <c r="D365" s="3" t="s">
        <v>869</v>
      </c>
      <c r="E365" s="3" t="s">
        <v>870</v>
      </c>
      <c r="F365" s="3">
        <f>VLOOKUP(Table1[[#This Row],[Column2]], TAXONOMY_TYPE, 2, FALSE)</f>
        <v>4684</v>
      </c>
      <c r="G365" s="3">
        <v>25</v>
      </c>
      <c r="H365" s="3" t="s">
        <v>849</v>
      </c>
      <c r="I365" s="3">
        <f>VLOOKUP(Table1[[#This Row],[Provider Type]] &amp; Table1[[#This Row],[Provider Type Description]], PROVIDER_TYPE, 2, FALSE)</f>
        <v>64</v>
      </c>
      <c r="J365" s="3">
        <v>250</v>
      </c>
      <c r="K365" s="3" t="s">
        <v>849</v>
      </c>
      <c r="L365" s="3">
        <f>VLOOKUP(TRIM(Table1[[#This Row],[Provider Specialty]]) &amp; TRIM(Table1[[#This Row],[Provider Specialty Description]]), SPECIALTY_TYPE, 2, FALSE)</f>
        <v>2137</v>
      </c>
      <c r="M365" s="3" t="s">
        <v>19</v>
      </c>
      <c r="N365" s="27" t="s">
        <v>19</v>
      </c>
      <c r="O365" s="38">
        <f>VLOOKUP(TRIM(Table1[[#This Row],[Provider Specialty]]) &amp; TRIM(Table1[[#This Row],[Provider Specialty Description]]), SPECIALTY_TYPE, 2, FALSE)</f>
        <v>2137</v>
      </c>
      <c r="P365" s="3" t="str">
        <f>Table1[[#This Row],[Provider Type]] &amp; "+" &amp; Table1[[#This Row],[Provider Type Description]]</f>
        <v>25+DME/Medical Supply Dealer</v>
      </c>
      <c r="Q365" s="7" t="str">
        <f>Table1[[#This Row],[Provider Specialty]] &amp; "+" &amp; Table1[[#This Row],[Provider Specialty Description]]</f>
        <v>250+DME/Medical Supply Dealer</v>
      </c>
      <c r="R365" s="7" t="str">
        <f>Table1[[#This Row],[PDMS Specialty Type ID]] &amp; "+" &amp; Table1[[#This Row],[PDMS Provider Type ID]] &amp; "+" &amp;Table1[[#This Row],[TAXONOMY]]</f>
        <v>2137+64+335V00000X</v>
      </c>
      <c r="S3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(4684, 2137, 64, N'335V00000X', N'Portable X-Ray Supplier - Portable X-Ray Supplier')</v>
      </c>
    </row>
    <row r="366" spans="1:19" ht="47.25" hidden="1" customHeight="1" x14ac:dyDescent="0.25">
      <c r="A366" s="22" t="s">
        <v>11</v>
      </c>
      <c r="B366" s="3" t="s">
        <v>828</v>
      </c>
      <c r="C366" s="3" t="s">
        <v>850</v>
      </c>
      <c r="D366" s="3" t="s">
        <v>850</v>
      </c>
      <c r="E366" s="3" t="s">
        <v>851</v>
      </c>
      <c r="F366" s="3">
        <f>VLOOKUP(Table1[[#This Row],[Column2]], TAXONOMY_TYPE, 2, FALSE)</f>
        <v>9026</v>
      </c>
      <c r="G366" s="3">
        <v>25</v>
      </c>
      <c r="H366" s="3" t="s">
        <v>849</v>
      </c>
      <c r="I366" s="3">
        <f>VLOOKUP(Table1[[#This Row],[Provider Type]] &amp; Table1[[#This Row],[Provider Type Description]], PROVIDER_TYPE, 2, FALSE)</f>
        <v>64</v>
      </c>
      <c r="J366" s="3">
        <v>251</v>
      </c>
      <c r="K366" s="3" t="s">
        <v>820</v>
      </c>
      <c r="L366" s="3">
        <f>VLOOKUP(TRIM(Table1[[#This Row],[Provider Specialty]]) &amp; TRIM(Table1[[#This Row],[Provider Specialty Description]]), SPECIALTY_TYPE, 2, FALSE)</f>
        <v>2178</v>
      </c>
      <c r="M366" s="3" t="s">
        <v>18</v>
      </c>
      <c r="N366" s="27" t="s">
        <v>19</v>
      </c>
      <c r="O366" s="38">
        <f>VLOOKUP(TRIM(Table1[[#This Row],[Provider Specialty]]) &amp; TRIM(Table1[[#This Row],[Provider Specialty Description]]), SPECIALTY_TYPE, 2, FALSE)</f>
        <v>2178</v>
      </c>
      <c r="P366" s="3" t="str">
        <f>Table1[[#This Row],[Provider Type]] &amp; "+" &amp; Table1[[#This Row],[Provider Type Description]]</f>
        <v>25+DME/Medical Supply Dealer</v>
      </c>
      <c r="Q366" s="7" t="str">
        <f>Table1[[#This Row],[Provider Specialty]] &amp; "+" &amp; Table1[[#This Row],[Provider Specialty Description]]</f>
        <v>251+Assistive Technology</v>
      </c>
      <c r="R366" s="7" t="str">
        <f>Table1[[#This Row],[PDMS Specialty Type ID]] &amp; "+" &amp; Table1[[#This Row],[PDMS Provider Type ID]] &amp; "+" &amp;Table1[[#This Row],[TAXONOMY]]</f>
        <v>2178+64+332B00000X</v>
      </c>
      <c r="S3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(9026, 2178, 64, N'332B00000X', N'Durable Medical Equipment &amp; Medical Supplies - Durable Medical Equipment &amp; Medical Supplies')</v>
      </c>
    </row>
    <row r="367" spans="1:19" ht="47.25" hidden="1" customHeight="1" x14ac:dyDescent="0.25">
      <c r="A367" s="22" t="s">
        <v>11</v>
      </c>
      <c r="B367" s="3" t="s">
        <v>828</v>
      </c>
      <c r="C367" s="3" t="s">
        <v>864</v>
      </c>
      <c r="D367" s="3" t="s">
        <v>864</v>
      </c>
      <c r="E367" s="3" t="s">
        <v>865</v>
      </c>
      <c r="F367" s="3">
        <f>VLOOKUP(Table1[[#This Row],[Column2]], TAXONOMY_TYPE, 2, FALSE)</f>
        <v>4796</v>
      </c>
      <c r="G367" s="3">
        <v>25</v>
      </c>
      <c r="H367" s="3" t="s">
        <v>849</v>
      </c>
      <c r="I367" s="3">
        <f>VLOOKUP(Table1[[#This Row],[Provider Type]] &amp; Table1[[#This Row],[Provider Type Description]], PROVIDER_TYPE, 2, FALSE)</f>
        <v>64</v>
      </c>
      <c r="J367" s="3">
        <v>277</v>
      </c>
      <c r="K367" s="3" t="s">
        <v>866</v>
      </c>
      <c r="L367" s="3">
        <f>VLOOKUP(TRIM(Table1[[#This Row],[Provider Specialty]]) &amp; TRIM(Table1[[#This Row],[Provider Specialty Description]]), SPECIALTY_TYPE, 2, FALSE)</f>
        <v>2157</v>
      </c>
      <c r="M367" s="3" t="s">
        <v>19</v>
      </c>
      <c r="N367" s="27" t="s">
        <v>19</v>
      </c>
      <c r="O367" s="38">
        <f>VLOOKUP(TRIM(Table1[[#This Row],[Provider Specialty]]) &amp; TRIM(Table1[[#This Row],[Provider Specialty Description]]), SPECIALTY_TYPE, 2, FALSE)</f>
        <v>2157</v>
      </c>
      <c r="P367" s="3" t="str">
        <f>Table1[[#This Row],[Provider Type]] &amp; "+" &amp; Table1[[#This Row],[Provider Type Description]]</f>
        <v>25+DME/Medical Supply Dealer</v>
      </c>
      <c r="Q367" s="7" t="str">
        <f>Table1[[#This Row],[Provider Specialty]] &amp; "+" &amp; Table1[[#This Row],[Provider Specialty Description]]</f>
        <v>277+Prosthesis</v>
      </c>
      <c r="R367" s="7" t="str">
        <f>Table1[[#This Row],[PDMS Specialty Type ID]] &amp; "+" &amp; Table1[[#This Row],[PDMS Provider Type ID]] &amp; "+" &amp;Table1[[#This Row],[TAXONOMY]]</f>
        <v>2157+64+335E00000X</v>
      </c>
      <c r="S3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(4796, 2157, 64, N'335E00000X', N'Prosthetic/Orthotic Supplier - Prosthetic/Orthotic Supplier')</v>
      </c>
    </row>
    <row r="368" spans="1:19" ht="47.25" hidden="1" customHeight="1" x14ac:dyDescent="0.25">
      <c r="A368" s="22" t="s">
        <v>11</v>
      </c>
      <c r="B368" s="3" t="s">
        <v>878</v>
      </c>
      <c r="C368" s="3" t="s">
        <v>879</v>
      </c>
      <c r="D368" s="3" t="s">
        <v>879</v>
      </c>
      <c r="E368" s="3" t="s">
        <v>901</v>
      </c>
      <c r="F368" s="3">
        <f>VLOOKUP(Table1[[#This Row],[Column2]], TAXONOMY_TYPE, 2, FALSE)</f>
        <v>4621</v>
      </c>
      <c r="G368" s="3">
        <v>26</v>
      </c>
      <c r="H368" s="3" t="s">
        <v>873</v>
      </c>
      <c r="I368" s="3">
        <f>VLOOKUP(Table1[[#This Row],[Provider Type]] &amp; Table1[[#This Row],[Provider Type Description]], PROVIDER_TYPE, 2, FALSE)</f>
        <v>65</v>
      </c>
      <c r="J368" s="3">
        <v>260</v>
      </c>
      <c r="K368" s="3" t="s">
        <v>902</v>
      </c>
      <c r="L368" s="3">
        <f>VLOOKUP(TRIM(Table1[[#This Row],[Provider Specialty]]) &amp; TRIM(Table1[[#This Row],[Provider Specialty Description]]), SPECIALTY_TYPE, 2, FALSE)</f>
        <v>2128</v>
      </c>
      <c r="M368" s="3" t="s">
        <v>19</v>
      </c>
      <c r="N368" s="27" t="s">
        <v>18</v>
      </c>
      <c r="O368" s="38">
        <f>VLOOKUP(TRIM(Table1[[#This Row],[Provider Specialty]]) &amp; TRIM(Table1[[#This Row],[Provider Specialty Description]]), SPECIALTY_TYPE, 2, FALSE)</f>
        <v>2128</v>
      </c>
      <c r="P368" s="3" t="str">
        <f>Table1[[#This Row],[Provider Type]] &amp; "+" &amp; Table1[[#This Row],[Provider Type Description]]</f>
        <v>26+Transportation Provider</v>
      </c>
      <c r="Q368" s="7" t="str">
        <f>Table1[[#This Row],[Provider Specialty]] &amp; "+" &amp; Table1[[#This Row],[Provider Specialty Description]]</f>
        <v>260+Ambulance</v>
      </c>
      <c r="R368" s="7" t="str">
        <f>Table1[[#This Row],[PDMS Specialty Type ID]] &amp; "+" &amp; Table1[[#This Row],[PDMS Provider Type ID]] &amp; "+" &amp;Table1[[#This Row],[TAXONOMY]]</f>
        <v>2128+65+341600000X</v>
      </c>
      <c r="S3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(4621, 2128, 65, N'341600000X', N'Ambulance - Ambulance')</v>
      </c>
    </row>
    <row r="369" spans="1:19" ht="47.25" hidden="1" customHeight="1" x14ac:dyDescent="0.25">
      <c r="A369" s="22" t="s">
        <v>11</v>
      </c>
      <c r="B369" s="3" t="s">
        <v>878</v>
      </c>
      <c r="C369" s="3" t="s">
        <v>879</v>
      </c>
      <c r="D369" s="3" t="s">
        <v>903</v>
      </c>
      <c r="E369" s="3" t="s">
        <v>904</v>
      </c>
      <c r="F369" s="3">
        <f>VLOOKUP(Table1[[#This Row],[Column2]], TAXONOMY_TYPE, 2, FALSE)</f>
        <v>4623</v>
      </c>
      <c r="G369" s="3">
        <v>26</v>
      </c>
      <c r="H369" s="3" t="s">
        <v>873</v>
      </c>
      <c r="I369" s="3">
        <f>VLOOKUP(Table1[[#This Row],[Provider Type]] &amp; Table1[[#This Row],[Provider Type Description]], PROVIDER_TYPE, 2, FALSE)</f>
        <v>65</v>
      </c>
      <c r="J369" s="3">
        <v>260</v>
      </c>
      <c r="K369" s="3" t="s">
        <v>902</v>
      </c>
      <c r="L369" s="3">
        <f>VLOOKUP(TRIM(Table1[[#This Row],[Provider Specialty]]) &amp; TRIM(Table1[[#This Row],[Provider Specialty Description]]), SPECIALTY_TYPE, 2, FALSE)</f>
        <v>2128</v>
      </c>
      <c r="M369" s="3" t="s">
        <v>19</v>
      </c>
      <c r="N369" s="27" t="s">
        <v>18</v>
      </c>
      <c r="O369" s="38">
        <f>VLOOKUP(TRIM(Table1[[#This Row],[Provider Specialty]]) &amp; TRIM(Table1[[#This Row],[Provider Specialty Description]]), SPECIALTY_TYPE, 2, FALSE)</f>
        <v>2128</v>
      </c>
      <c r="P369" s="3" t="str">
        <f>Table1[[#This Row],[Provider Type]] &amp; "+" &amp; Table1[[#This Row],[Provider Type Description]]</f>
        <v>26+Transportation Provider</v>
      </c>
      <c r="Q369" s="7" t="str">
        <f>Table1[[#This Row],[Provider Specialty]] &amp; "+" &amp; Table1[[#This Row],[Provider Specialty Description]]</f>
        <v>260+Ambulance</v>
      </c>
      <c r="R369" s="7" t="str">
        <f>Table1[[#This Row],[PDMS Specialty Type ID]] &amp; "+" &amp; Table1[[#This Row],[PDMS Provider Type ID]] &amp; "+" &amp;Table1[[#This Row],[TAXONOMY]]</f>
        <v>2128+65+3416L0300X</v>
      </c>
      <c r="S3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(4623, 2128, 65, N'3416L0300X', N'Ambulance - Land Transport')</v>
      </c>
    </row>
    <row r="370" spans="1:19" ht="47.25" hidden="1" customHeight="1" x14ac:dyDescent="0.25">
      <c r="A370" s="22" t="s">
        <v>11</v>
      </c>
      <c r="B370" s="3" t="s">
        <v>878</v>
      </c>
      <c r="C370" s="3" t="s">
        <v>879</v>
      </c>
      <c r="D370" s="3" t="s">
        <v>905</v>
      </c>
      <c r="E370" s="3" t="s">
        <v>906</v>
      </c>
      <c r="F370" s="3">
        <f>VLOOKUP(Table1[[#This Row],[Column2]], TAXONOMY_TYPE, 2, FALSE)</f>
        <v>9064</v>
      </c>
      <c r="G370" s="3">
        <v>26</v>
      </c>
      <c r="H370" s="3" t="s">
        <v>873</v>
      </c>
      <c r="I370" s="3">
        <f>VLOOKUP(Table1[[#This Row],[Provider Type]] &amp; Table1[[#This Row],[Provider Type Description]], PROVIDER_TYPE, 2, FALSE)</f>
        <v>65</v>
      </c>
      <c r="J370" s="3">
        <v>260</v>
      </c>
      <c r="K370" s="3" t="s">
        <v>902</v>
      </c>
      <c r="L370" s="3">
        <f>VLOOKUP(TRIM(Table1[[#This Row],[Provider Specialty]]) &amp; TRIM(Table1[[#This Row],[Provider Specialty Description]]), SPECIALTY_TYPE, 2, FALSE)</f>
        <v>2128</v>
      </c>
      <c r="M370" s="3" t="s">
        <v>19</v>
      </c>
      <c r="N370" s="27" t="s">
        <v>18</v>
      </c>
      <c r="O370" s="38">
        <f>VLOOKUP(TRIM(Table1[[#This Row],[Provider Specialty]]) &amp; TRIM(Table1[[#This Row],[Provider Specialty Description]]), SPECIALTY_TYPE, 2, FALSE)</f>
        <v>2128</v>
      </c>
      <c r="P370" s="3" t="str">
        <f>Table1[[#This Row],[Provider Type]] &amp; "+" &amp; Table1[[#This Row],[Provider Type Description]]</f>
        <v>26+Transportation Provider</v>
      </c>
      <c r="Q370" s="7" t="str">
        <f>Table1[[#This Row],[Provider Specialty]] &amp; "+" &amp; Table1[[#This Row],[Provider Specialty Description]]</f>
        <v>260+Ambulance</v>
      </c>
      <c r="R370" s="7" t="str">
        <f>Table1[[#This Row],[PDMS Specialty Type ID]] &amp; "+" &amp; Table1[[#This Row],[PDMS Provider Type ID]] &amp; "+" &amp;Table1[[#This Row],[TAXONOMY]]</f>
        <v>2128+65+3416S0300X</v>
      </c>
      <c r="S3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(9064, 2128, 65, N'3416S0300X', N'Ambulance - Water Transport')</v>
      </c>
    </row>
    <row r="371" spans="1:19" ht="47.25" hidden="1" customHeight="1" x14ac:dyDescent="0.25">
      <c r="A371" s="22" t="s">
        <v>11</v>
      </c>
      <c r="B371" s="3" t="s">
        <v>878</v>
      </c>
      <c r="C371" s="3" t="s">
        <v>883</v>
      </c>
      <c r="D371" s="3" t="s">
        <v>883</v>
      </c>
      <c r="E371" s="3" t="s">
        <v>907</v>
      </c>
      <c r="F371" s="3">
        <f>VLOOKUP(Table1[[#This Row],[Column2]], TAXONOMY_TYPE, 2, FALSE)</f>
        <v>9065</v>
      </c>
      <c r="G371" s="3">
        <v>26</v>
      </c>
      <c r="H371" s="3" t="s">
        <v>873</v>
      </c>
      <c r="I371" s="3">
        <f>VLOOKUP(Table1[[#This Row],[Provider Type]] &amp; Table1[[#This Row],[Provider Type Description]], PROVIDER_TYPE, 2, FALSE)</f>
        <v>65</v>
      </c>
      <c r="J371" s="3">
        <v>260</v>
      </c>
      <c r="K371" s="3" t="s">
        <v>902</v>
      </c>
      <c r="L371" s="3">
        <f>VLOOKUP(TRIM(Table1[[#This Row],[Provider Specialty]]) &amp; TRIM(Table1[[#This Row],[Provider Specialty Description]]), SPECIALTY_TYPE, 2, FALSE)</f>
        <v>2128</v>
      </c>
      <c r="M371" s="3" t="s">
        <v>19</v>
      </c>
      <c r="N371" s="27" t="s">
        <v>18</v>
      </c>
      <c r="O371" s="38">
        <f>VLOOKUP(TRIM(Table1[[#This Row],[Provider Specialty]]) &amp; TRIM(Table1[[#This Row],[Provider Specialty Description]]), SPECIALTY_TYPE, 2, FALSE)</f>
        <v>2128</v>
      </c>
      <c r="P371" s="3" t="str">
        <f>Table1[[#This Row],[Provider Type]] &amp; "+" &amp; Table1[[#This Row],[Provider Type Description]]</f>
        <v>26+Transportation Provider</v>
      </c>
      <c r="Q371" s="7" t="str">
        <f>Table1[[#This Row],[Provider Specialty]] &amp; "+" &amp; Table1[[#This Row],[Provider Specialty Description]]</f>
        <v>260+Ambulance</v>
      </c>
      <c r="R371" s="7" t="str">
        <f>Table1[[#This Row],[PDMS Specialty Type ID]] &amp; "+" &amp; Table1[[#This Row],[PDMS Provider Type ID]] &amp; "+" &amp;Table1[[#This Row],[TAXONOMY]]</f>
        <v>2128+65+341800000X</v>
      </c>
      <c r="S3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(9065, 2128, 65, N'341800000X', N'Military/U.S. Coast Guard Transport - Military/U.S. Coast Guard Transport')</v>
      </c>
    </row>
    <row r="372" spans="1:19" ht="47.25" hidden="1" customHeight="1" x14ac:dyDescent="0.25">
      <c r="A372" s="22" t="s">
        <v>11</v>
      </c>
      <c r="B372" s="3" t="s">
        <v>878</v>
      </c>
      <c r="C372" s="3" t="s">
        <v>883</v>
      </c>
      <c r="D372" s="3" t="s">
        <v>908</v>
      </c>
      <c r="E372" s="3" t="s">
        <v>909</v>
      </c>
      <c r="F372" s="3">
        <f>VLOOKUP(Table1[[#This Row],[Column2]], TAXONOMY_TYPE, 2, FALSE)</f>
        <v>9066</v>
      </c>
      <c r="G372" s="3">
        <v>26</v>
      </c>
      <c r="H372" s="3" t="s">
        <v>873</v>
      </c>
      <c r="I372" s="3">
        <f>VLOOKUP(Table1[[#This Row],[Provider Type]] &amp; Table1[[#This Row],[Provider Type Description]], PROVIDER_TYPE, 2, FALSE)</f>
        <v>65</v>
      </c>
      <c r="J372" s="3">
        <v>260</v>
      </c>
      <c r="K372" s="3" t="s">
        <v>902</v>
      </c>
      <c r="L372" s="3">
        <f>VLOOKUP(TRIM(Table1[[#This Row],[Provider Specialty]]) &amp; TRIM(Table1[[#This Row],[Provider Specialty Description]]), SPECIALTY_TYPE, 2, FALSE)</f>
        <v>2128</v>
      </c>
      <c r="M372" s="3" t="s">
        <v>19</v>
      </c>
      <c r="N372" s="27" t="s">
        <v>18</v>
      </c>
      <c r="O372" s="38">
        <f>VLOOKUP(TRIM(Table1[[#This Row],[Provider Specialty]]) &amp; TRIM(Table1[[#This Row],[Provider Specialty Description]]), SPECIALTY_TYPE, 2, FALSE)</f>
        <v>2128</v>
      </c>
      <c r="P372" s="3" t="str">
        <f>Table1[[#This Row],[Provider Type]] &amp; "+" &amp; Table1[[#This Row],[Provider Type Description]]</f>
        <v>26+Transportation Provider</v>
      </c>
      <c r="Q372" s="7" t="str">
        <f>Table1[[#This Row],[Provider Specialty]] &amp; "+" &amp; Table1[[#This Row],[Provider Specialty Description]]</f>
        <v>260+Ambulance</v>
      </c>
      <c r="R372" s="7" t="str">
        <f>Table1[[#This Row],[PDMS Specialty Type ID]] &amp; "+" &amp; Table1[[#This Row],[PDMS Provider Type ID]] &amp; "+" &amp;Table1[[#This Row],[TAXONOMY]]</f>
        <v>2128+65+3418M1110X</v>
      </c>
      <c r="S3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(9066, 2128, 65, N'3418M1110X', N'Military/U.S. Coast Guard Transport - Military or U.S. Coast Guard Ambulance, Ground Transport')</v>
      </c>
    </row>
    <row r="373" spans="1:19" ht="47.25" hidden="1" customHeight="1" x14ac:dyDescent="0.25">
      <c r="A373" s="22" t="s">
        <v>11</v>
      </c>
      <c r="B373" s="3" t="s">
        <v>878</v>
      </c>
      <c r="C373" s="3" t="s">
        <v>883</v>
      </c>
      <c r="D373" s="3" t="s">
        <v>910</v>
      </c>
      <c r="E373" s="3" t="s">
        <v>911</v>
      </c>
      <c r="F373" s="3">
        <f>VLOOKUP(Table1[[#This Row],[Column2]], TAXONOMY_TYPE, 2, FALSE)</f>
        <v>9068</v>
      </c>
      <c r="G373" s="3">
        <v>26</v>
      </c>
      <c r="H373" s="3" t="s">
        <v>873</v>
      </c>
      <c r="I373" s="3">
        <f>VLOOKUP(Table1[[#This Row],[Provider Type]] &amp; Table1[[#This Row],[Provider Type Description]], PROVIDER_TYPE, 2, FALSE)</f>
        <v>65</v>
      </c>
      <c r="J373" s="3">
        <v>260</v>
      </c>
      <c r="K373" s="3" t="s">
        <v>902</v>
      </c>
      <c r="L373" s="3">
        <f>VLOOKUP(TRIM(Table1[[#This Row],[Provider Specialty]]) &amp; TRIM(Table1[[#This Row],[Provider Specialty Description]]), SPECIALTY_TYPE, 2, FALSE)</f>
        <v>2128</v>
      </c>
      <c r="M373" s="3" t="s">
        <v>19</v>
      </c>
      <c r="N373" s="27" t="s">
        <v>18</v>
      </c>
      <c r="O373" s="38">
        <f>VLOOKUP(TRIM(Table1[[#This Row],[Provider Specialty]]) &amp; TRIM(Table1[[#This Row],[Provider Specialty Description]]), SPECIALTY_TYPE, 2, FALSE)</f>
        <v>2128</v>
      </c>
      <c r="P373" s="3" t="str">
        <f>Table1[[#This Row],[Provider Type]] &amp; "+" &amp; Table1[[#This Row],[Provider Type Description]]</f>
        <v>26+Transportation Provider</v>
      </c>
      <c r="Q373" s="7" t="str">
        <f>Table1[[#This Row],[Provider Specialty]] &amp; "+" &amp; Table1[[#This Row],[Provider Specialty Description]]</f>
        <v>260+Ambulance</v>
      </c>
      <c r="R373" s="7" t="str">
        <f>Table1[[#This Row],[PDMS Specialty Type ID]] &amp; "+" &amp; Table1[[#This Row],[PDMS Provider Type ID]] &amp; "+" &amp;Table1[[#This Row],[TAXONOMY]]</f>
        <v>2128+65+3418M1130X</v>
      </c>
      <c r="S3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(9068, 2128, 65, N'3418M1130X', N'Military/U.S. Coast Guard Transport - Military or U.S. Coast Guard Ambulance, Water Transport')</v>
      </c>
    </row>
    <row r="374" spans="1:19" ht="47.25" hidden="1" customHeight="1" x14ac:dyDescent="0.25">
      <c r="A374" s="22" t="s">
        <v>11</v>
      </c>
      <c r="B374" s="3" t="s">
        <v>878</v>
      </c>
      <c r="C374" s="3" t="s">
        <v>879</v>
      </c>
      <c r="D374" s="3" t="s">
        <v>880</v>
      </c>
      <c r="E374" s="3" t="s">
        <v>881</v>
      </c>
      <c r="F374" s="3">
        <f>VLOOKUP(Table1[[#This Row],[Column2]], TAXONOMY_TYPE, 2, FALSE)</f>
        <v>4619</v>
      </c>
      <c r="G374" s="3">
        <v>26</v>
      </c>
      <c r="H374" s="3" t="s">
        <v>873</v>
      </c>
      <c r="I374" s="3">
        <f>VLOOKUP(Table1[[#This Row],[Provider Type]] &amp; Table1[[#This Row],[Provider Type Description]], PROVIDER_TYPE, 2, FALSE)</f>
        <v>65</v>
      </c>
      <c r="J374" s="3">
        <v>261</v>
      </c>
      <c r="K374" s="3" t="s">
        <v>882</v>
      </c>
      <c r="L374" s="3">
        <f>VLOOKUP(TRIM(Table1[[#This Row],[Provider Specialty]]) &amp; TRIM(Table1[[#This Row],[Provider Specialty Description]]), SPECIALTY_TYPE, 2, FALSE)</f>
        <v>2127</v>
      </c>
      <c r="M374" s="3" t="s">
        <v>19</v>
      </c>
      <c r="N374" s="27" t="s">
        <v>18</v>
      </c>
      <c r="O374" s="38">
        <f>VLOOKUP(TRIM(Table1[[#This Row],[Provider Specialty]]) &amp; TRIM(Table1[[#This Row],[Provider Specialty Description]]), SPECIALTY_TYPE, 2, FALSE)</f>
        <v>2127</v>
      </c>
      <c r="P374" s="3" t="str">
        <f>Table1[[#This Row],[Provider Type]] &amp; "+" &amp; Table1[[#This Row],[Provider Type Description]]</f>
        <v>26+Transportation Provider</v>
      </c>
      <c r="Q374" s="7" t="str">
        <f>Table1[[#This Row],[Provider Specialty]] &amp; "+" &amp; Table1[[#This Row],[Provider Specialty Description]]</f>
        <v>261+Air Ambulance</v>
      </c>
      <c r="R374" s="7" t="str">
        <f>Table1[[#This Row],[PDMS Specialty Type ID]] &amp; "+" &amp; Table1[[#This Row],[PDMS Provider Type ID]] &amp; "+" &amp;Table1[[#This Row],[TAXONOMY]]</f>
        <v>2127+65+3416A0800X</v>
      </c>
      <c r="S3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(4619, 2127, 65, N'3416A0800X', N'Ambulance - Air Transport')</v>
      </c>
    </row>
    <row r="375" spans="1:19" ht="47.25" hidden="1" customHeight="1" x14ac:dyDescent="0.25">
      <c r="A375" s="22" t="s">
        <v>11</v>
      </c>
      <c r="B375" s="3" t="s">
        <v>878</v>
      </c>
      <c r="C375" s="3" t="s">
        <v>883</v>
      </c>
      <c r="D375" s="3" t="s">
        <v>884</v>
      </c>
      <c r="E375" s="3" t="s">
        <v>885</v>
      </c>
      <c r="F375" s="3">
        <f>VLOOKUP(Table1[[#This Row],[Column2]], TAXONOMY_TYPE, 2, FALSE)</f>
        <v>9067</v>
      </c>
      <c r="G375" s="3">
        <v>26</v>
      </c>
      <c r="H375" s="3" t="s">
        <v>873</v>
      </c>
      <c r="I375" s="3">
        <f>VLOOKUP(Table1[[#This Row],[Provider Type]] &amp; Table1[[#This Row],[Provider Type Description]], PROVIDER_TYPE, 2, FALSE)</f>
        <v>65</v>
      </c>
      <c r="J375" s="3">
        <v>261</v>
      </c>
      <c r="K375" s="3" t="s">
        <v>882</v>
      </c>
      <c r="L375" s="3">
        <f>VLOOKUP(TRIM(Table1[[#This Row],[Provider Specialty]]) &amp; TRIM(Table1[[#This Row],[Provider Specialty Description]]), SPECIALTY_TYPE, 2, FALSE)</f>
        <v>2127</v>
      </c>
      <c r="M375" s="3" t="s">
        <v>19</v>
      </c>
      <c r="N375" s="27" t="s">
        <v>18</v>
      </c>
      <c r="O375" s="38">
        <f>VLOOKUP(TRIM(Table1[[#This Row],[Provider Specialty]]) &amp; TRIM(Table1[[#This Row],[Provider Specialty Description]]), SPECIALTY_TYPE, 2, FALSE)</f>
        <v>2127</v>
      </c>
      <c r="P375" s="3" t="str">
        <f>Table1[[#This Row],[Provider Type]] &amp; "+" &amp; Table1[[#This Row],[Provider Type Description]]</f>
        <v>26+Transportation Provider</v>
      </c>
      <c r="Q375" s="7" t="str">
        <f>Table1[[#This Row],[Provider Specialty]] &amp; "+" &amp; Table1[[#This Row],[Provider Specialty Description]]</f>
        <v>261+Air Ambulance</v>
      </c>
      <c r="R375" s="7" t="str">
        <f>Table1[[#This Row],[PDMS Specialty Type ID]] &amp; "+" &amp; Table1[[#This Row],[PDMS Provider Type ID]] &amp; "+" &amp;Table1[[#This Row],[TAXONOMY]]</f>
        <v>2127+65+3418M1120X</v>
      </c>
      <c r="S3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(9067, 2127, 65, N'3418M1120X', N'Military/U.S. Coast Guard Transport - Military or U.S. Coast Guard Ambulance, Air Transport')</v>
      </c>
    </row>
    <row r="376" spans="1:19" ht="47.25" hidden="1" customHeight="1" x14ac:dyDescent="0.25">
      <c r="A376" s="35" t="s">
        <v>11</v>
      </c>
      <c r="B376" s="36" t="s">
        <v>878</v>
      </c>
      <c r="C376" s="36" t="s">
        <v>891</v>
      </c>
      <c r="D376" s="36" t="s">
        <v>891</v>
      </c>
      <c r="E376" s="36" t="s">
        <v>892</v>
      </c>
      <c r="F376" s="3">
        <f>VLOOKUP(Table1[[#This Row],[Column2]], TAXONOMY_TYPE, 2, FALSE)</f>
        <v>9366</v>
      </c>
      <c r="G376" s="36">
        <v>26</v>
      </c>
      <c r="H376" s="36" t="s">
        <v>1958</v>
      </c>
      <c r="I376" s="3">
        <f>VLOOKUP(Table1[[#This Row],[Provider Type]] &amp; Table1[[#This Row],[Provider Type Description]], PROVIDER_TYPE, 2, FALSE)</f>
        <v>95</v>
      </c>
      <c r="J376" s="36">
        <v>262</v>
      </c>
      <c r="K376" s="36" t="s">
        <v>893</v>
      </c>
      <c r="L376" s="36">
        <f>VLOOKUP(TRIM(Table1[[#This Row],[Provider Specialty]]) &amp; TRIM(Table1[[#This Row],[Provider Specialty Description]]), SPECIALTY_TYPE, 2, FALSE)</f>
        <v>2197</v>
      </c>
      <c r="M376" s="36" t="s">
        <v>19</v>
      </c>
      <c r="N376" s="37" t="s">
        <v>18</v>
      </c>
      <c r="O376" s="38">
        <f>VLOOKUP(TRIM(Table1[[#This Row],[Provider Specialty]]) &amp; TRIM(Table1[[#This Row],[Provider Specialty Description]]), SPECIALTY_TYPE, 2, FALSE)</f>
        <v>2197</v>
      </c>
      <c r="P376" s="3" t="str">
        <f>Table1[[#This Row],[Provider Type]] &amp; "+" &amp; Table1[[#This Row],[Provider Type Description]]</f>
        <v>26+Transportation Provider (non-medical)</v>
      </c>
      <c r="Q376" s="7" t="str">
        <f>Table1[[#This Row],[Provider Specialty]] &amp; "+" &amp; Table1[[#This Row],[Provider Specialty Description]]</f>
        <v>262+Bus</v>
      </c>
      <c r="R376" s="7" t="str">
        <f>Table1[[#This Row],[PDMS Specialty Type ID]] &amp; "+" &amp; Table1[[#This Row],[PDMS Provider Type ID]] &amp; "+" &amp;Table1[[#This Row],[TAXONOMY]]</f>
        <v>2197+95+347B00000X</v>
      </c>
      <c r="S3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(9366, 2197, 95, N'347B00000X', N'Bus - Bus')</v>
      </c>
    </row>
    <row r="377" spans="1:19" ht="47.25" hidden="1" customHeight="1" x14ac:dyDescent="0.25">
      <c r="A377" s="35" t="s">
        <v>227</v>
      </c>
      <c r="B377" s="36" t="s">
        <v>337</v>
      </c>
      <c r="C377" s="36" t="s">
        <v>871</v>
      </c>
      <c r="D377" s="36" t="s">
        <v>871</v>
      </c>
      <c r="E377" s="36" t="s">
        <v>872</v>
      </c>
      <c r="F377" s="3">
        <f>VLOOKUP(Table1[[#This Row],[Column2]], TAXONOMY_TYPE, 2, FALSE)</f>
        <v>9368</v>
      </c>
      <c r="G377" s="36">
        <v>26</v>
      </c>
      <c r="H377" s="36" t="s">
        <v>1958</v>
      </c>
      <c r="I377" s="3">
        <f>VLOOKUP(Table1[[#This Row],[Provider Type]] &amp; Table1[[#This Row],[Provider Type Description]], PROVIDER_TYPE, 2, FALSE)</f>
        <v>95</v>
      </c>
      <c r="J377" s="36">
        <v>264</v>
      </c>
      <c r="K377" s="36" t="s">
        <v>874</v>
      </c>
      <c r="L377" s="36">
        <f>VLOOKUP(TRIM(Table1[[#This Row],[Provider Specialty]]) &amp; TRIM(Table1[[#This Row],[Provider Specialty Description]]), SPECIALTY_TYPE, 2, FALSE)</f>
        <v>2131</v>
      </c>
      <c r="M377" s="36" t="s">
        <v>19</v>
      </c>
      <c r="N377" s="37" t="s">
        <v>18</v>
      </c>
      <c r="O377" s="38">
        <f>VLOOKUP(TRIM(Table1[[#This Row],[Provider Specialty]]) &amp; TRIM(Table1[[#This Row],[Provider Specialty Description]]), SPECIALTY_TYPE, 2, FALSE)</f>
        <v>2131</v>
      </c>
      <c r="P377" s="3" t="str">
        <f>Table1[[#This Row],[Provider Type]] &amp; "+" &amp; Table1[[#This Row],[Provider Type Description]]</f>
        <v>26+Transportation Provider (non-medical)</v>
      </c>
      <c r="Q377" s="7" t="str">
        <f>Table1[[#This Row],[Provider Specialty]] &amp; "+" &amp; Table1[[#This Row],[Provider Specialty Description]]</f>
        <v>264+Common Carrier (Ambulatory)</v>
      </c>
      <c r="R377" s="7" t="str">
        <f>Table1[[#This Row],[PDMS Specialty Type ID]] &amp; "+" &amp; Table1[[#This Row],[PDMS Provider Type ID]] &amp; "+" &amp;Table1[[#This Row],[TAXONOMY]]</f>
        <v>2131+95+172A00000X</v>
      </c>
      <c r="S3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(9368, 2131, 95, N'172A00000X', N'Driver - Driver')</v>
      </c>
    </row>
    <row r="378" spans="1:19" ht="47.25" hidden="1" customHeight="1" x14ac:dyDescent="0.25">
      <c r="A378" s="35" t="s">
        <v>11</v>
      </c>
      <c r="B378" s="36" t="s">
        <v>878</v>
      </c>
      <c r="C378" s="36" t="s">
        <v>886</v>
      </c>
      <c r="D378" s="36" t="s">
        <v>886</v>
      </c>
      <c r="E378" s="36" t="s">
        <v>887</v>
      </c>
      <c r="F378" s="3">
        <f>VLOOKUP(Table1[[#This Row],[Column2]], TAXONOMY_TYPE, 2, FALSE)</f>
        <v>4630</v>
      </c>
      <c r="G378" s="36">
        <v>26</v>
      </c>
      <c r="H378" s="36" t="s">
        <v>1958</v>
      </c>
      <c r="I378" s="3">
        <f>VLOOKUP(Table1[[#This Row],[Provider Type]] &amp; Table1[[#This Row],[Provider Type Description]], PROVIDER_TYPE, 2, FALSE)</f>
        <v>95</v>
      </c>
      <c r="J378" s="36">
        <v>264</v>
      </c>
      <c r="K378" s="36" t="s">
        <v>874</v>
      </c>
      <c r="L378" s="36">
        <f>VLOOKUP(TRIM(Table1[[#This Row],[Provider Specialty]]) &amp; TRIM(Table1[[#This Row],[Provider Specialty Description]]), SPECIALTY_TYPE, 2, FALSE)</f>
        <v>2131</v>
      </c>
      <c r="M378" s="36" t="s">
        <v>19</v>
      </c>
      <c r="N378" s="37" t="s">
        <v>18</v>
      </c>
      <c r="O378" s="38">
        <f>VLOOKUP(TRIM(Table1[[#This Row],[Provider Specialty]]) &amp; TRIM(Table1[[#This Row],[Provider Specialty Description]]), SPECIALTY_TYPE, 2, FALSE)</f>
        <v>2131</v>
      </c>
      <c r="P378" s="3" t="str">
        <f>Table1[[#This Row],[Provider Type]] &amp; "+" &amp; Table1[[#This Row],[Provider Type Description]]</f>
        <v>26+Transportation Provider (non-medical)</v>
      </c>
      <c r="Q378" s="7" t="str">
        <f>Table1[[#This Row],[Provider Specialty]] &amp; "+" &amp; Table1[[#This Row],[Provider Specialty Description]]</f>
        <v>264+Common Carrier (Ambulatory)</v>
      </c>
      <c r="R378" s="7" t="str">
        <f>Table1[[#This Row],[PDMS Specialty Type ID]] &amp; "+" &amp; Table1[[#This Row],[PDMS Provider Type ID]] &amp; "+" &amp;Table1[[#This Row],[TAXONOMY]]</f>
        <v>2131+95+343900000X</v>
      </c>
      <c r="S3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(4630, 2131, 95, N'343900000X', N'Non-emergency Medical Transport (VAN) - Non-emergency Medical Transport (VAN)')</v>
      </c>
    </row>
    <row r="379" spans="1:19" ht="47.25" hidden="1" customHeight="1" x14ac:dyDescent="0.25">
      <c r="A379" s="35" t="s">
        <v>227</v>
      </c>
      <c r="B379" s="36" t="s">
        <v>337</v>
      </c>
      <c r="C379" s="36" t="s">
        <v>875</v>
      </c>
      <c r="D379" s="36" t="s">
        <v>875</v>
      </c>
      <c r="E379" s="36" t="s">
        <v>876</v>
      </c>
      <c r="F379" s="3">
        <f>VLOOKUP(Table1[[#This Row],[Column2]], TAXONOMY_TYPE, 2, FALSE)</f>
        <v>9370</v>
      </c>
      <c r="G379" s="36">
        <v>26</v>
      </c>
      <c r="H379" s="36" t="s">
        <v>1958</v>
      </c>
      <c r="I379" s="3">
        <f>VLOOKUP(Table1[[#This Row],[Provider Type]] &amp; Table1[[#This Row],[Provider Type Description]], PROVIDER_TYPE, 2, FALSE)</f>
        <v>95</v>
      </c>
      <c r="J379" s="36">
        <v>265</v>
      </c>
      <c r="K379" s="36" t="s">
        <v>877</v>
      </c>
      <c r="L379" s="36">
        <f>VLOOKUP(TRIM(Table1[[#This Row],[Provider Specialty]]) &amp; TRIM(Table1[[#This Row],[Provider Specialty Description]]), SPECIALTY_TYPE, 2, FALSE)</f>
        <v>2132</v>
      </c>
      <c r="M379" s="36" t="s">
        <v>18</v>
      </c>
      <c r="N379" s="37" t="s">
        <v>18</v>
      </c>
      <c r="O379" s="38">
        <f>VLOOKUP(TRIM(Table1[[#This Row],[Provider Specialty]]) &amp; TRIM(Table1[[#This Row],[Provider Specialty Description]]), SPECIALTY_TYPE, 2, FALSE)</f>
        <v>2132</v>
      </c>
      <c r="P379" s="3" t="str">
        <f>Table1[[#This Row],[Provider Type]] &amp; "+" &amp; Table1[[#This Row],[Provider Type Description]]</f>
        <v>26+Transportation Provider (non-medical)</v>
      </c>
      <c r="Q379" s="7" t="str">
        <f>Table1[[#This Row],[Provider Specialty]] &amp; "+" &amp; Table1[[#This Row],[Provider Specialty Description]]</f>
        <v>265+Common Carrier (Non-ambulatory)</v>
      </c>
      <c r="R379" s="7" t="str">
        <f>Table1[[#This Row],[PDMS Specialty Type ID]] &amp; "+" &amp; Table1[[#This Row],[PDMS Provider Type ID]] &amp; "+" &amp;Table1[[#This Row],[TAXONOMY]]</f>
        <v>2132+95+176P00000X</v>
      </c>
      <c r="S3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(9370, 2132, 95, N'176P00000X', N'Funeral Director - Funeral Director')</v>
      </c>
    </row>
    <row r="380" spans="1:19" ht="47.25" hidden="1" customHeight="1" x14ac:dyDescent="0.25">
      <c r="A380" s="35" t="s">
        <v>11</v>
      </c>
      <c r="B380" s="36" t="s">
        <v>878</v>
      </c>
      <c r="C380" s="36" t="s">
        <v>886</v>
      </c>
      <c r="D380" s="36" t="s">
        <v>886</v>
      </c>
      <c r="E380" s="36" t="s">
        <v>887</v>
      </c>
      <c r="F380" s="3">
        <f>VLOOKUP(Table1[[#This Row],[Column2]], TAXONOMY_TYPE, 2, FALSE)</f>
        <v>4631</v>
      </c>
      <c r="G380" s="36">
        <v>26</v>
      </c>
      <c r="H380" s="36" t="s">
        <v>1958</v>
      </c>
      <c r="I380" s="3">
        <f>VLOOKUP(Table1[[#This Row],[Provider Type]] &amp; Table1[[#This Row],[Provider Type Description]], PROVIDER_TYPE, 2, FALSE)</f>
        <v>95</v>
      </c>
      <c r="J380" s="36">
        <v>265</v>
      </c>
      <c r="K380" s="36" t="s">
        <v>888</v>
      </c>
      <c r="L380" s="36">
        <f>VLOOKUP(TRIM(Table1[[#This Row],[Provider Specialty]]) &amp; TRIM(Table1[[#This Row],[Provider Specialty Description]]), SPECIALTY_TYPE, 2, FALSE)</f>
        <v>2132</v>
      </c>
      <c r="M380" s="36" t="s">
        <v>19</v>
      </c>
      <c r="N380" s="37" t="s">
        <v>18</v>
      </c>
      <c r="O380" s="38">
        <f>VLOOKUP(TRIM(Table1[[#This Row],[Provider Specialty]]) &amp; TRIM(Table1[[#This Row],[Provider Specialty Description]]), SPECIALTY_TYPE, 2, FALSE)</f>
        <v>2132</v>
      </c>
      <c r="P380" s="3" t="str">
        <f>Table1[[#This Row],[Provider Type]] &amp; "+" &amp; Table1[[#This Row],[Provider Type Description]]</f>
        <v>26+Transportation Provider (non-medical)</v>
      </c>
      <c r="Q380" s="7" t="str">
        <f>Table1[[#This Row],[Provider Specialty]] &amp; "+" &amp; Table1[[#This Row],[Provider Specialty Description]]</f>
        <v>265+Common Carrier (Non-Ambulatory)</v>
      </c>
      <c r="R380" s="7" t="str">
        <f>Table1[[#This Row],[PDMS Specialty Type ID]] &amp; "+" &amp; Table1[[#This Row],[PDMS Provider Type ID]] &amp; "+" &amp;Table1[[#This Row],[TAXONOMY]]</f>
        <v>2132+95+343900000X</v>
      </c>
      <c r="S3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(4631, 2132, 95, N'343900000X', N'Non-emergency Medical Transport (VAN) - Non-emergency Medical Transport (VAN)')</v>
      </c>
    </row>
    <row r="381" spans="1:19" ht="47.25" hidden="1" customHeight="1" x14ac:dyDescent="0.25">
      <c r="A381" s="35" t="s">
        <v>11</v>
      </c>
      <c r="B381" s="36" t="s">
        <v>878</v>
      </c>
      <c r="C381" s="36" t="s">
        <v>897</v>
      </c>
      <c r="D381" s="36" t="s">
        <v>897</v>
      </c>
      <c r="E381" s="36" t="s">
        <v>898</v>
      </c>
      <c r="F381" s="3">
        <f>VLOOKUP(Table1[[#This Row],[Column2]], TAXONOMY_TYPE, 2, FALSE)</f>
        <v>9372</v>
      </c>
      <c r="G381" s="36">
        <v>26</v>
      </c>
      <c r="H381" s="36" t="s">
        <v>1958</v>
      </c>
      <c r="I381" s="3">
        <f>VLOOKUP(Table1[[#This Row],[Provider Type]] &amp; Table1[[#This Row],[Provider Type Description]], PROVIDER_TYPE, 2, FALSE)</f>
        <v>95</v>
      </c>
      <c r="J381" s="36">
        <v>265</v>
      </c>
      <c r="K381" s="36" t="s">
        <v>888</v>
      </c>
      <c r="L381" s="36">
        <f>VLOOKUP(TRIM(Table1[[#This Row],[Provider Specialty]]) &amp; TRIM(Table1[[#This Row],[Provider Specialty Description]]), SPECIALTY_TYPE, 2, FALSE)</f>
        <v>2132</v>
      </c>
      <c r="M381" s="36" t="s">
        <v>19</v>
      </c>
      <c r="N381" s="37" t="s">
        <v>18</v>
      </c>
      <c r="O381" s="38">
        <f>VLOOKUP(TRIM(Table1[[#This Row],[Provider Specialty]]) &amp; TRIM(Table1[[#This Row],[Provider Specialty Description]]), SPECIALTY_TYPE, 2, FALSE)</f>
        <v>2132</v>
      </c>
      <c r="P381" s="3" t="str">
        <f>Table1[[#This Row],[Provider Type]] &amp; "+" &amp; Table1[[#This Row],[Provider Type Description]]</f>
        <v>26+Transportation Provider (non-medical)</v>
      </c>
      <c r="Q381" s="7" t="str">
        <f>Table1[[#This Row],[Provider Specialty]] &amp; "+" &amp; Table1[[#This Row],[Provider Specialty Description]]</f>
        <v>265+Common Carrier (Non-Ambulatory)</v>
      </c>
      <c r="R381" s="7" t="str">
        <f>Table1[[#This Row],[PDMS Specialty Type ID]] &amp; "+" &amp; Table1[[#This Row],[PDMS Provider Type ID]] &amp; "+" &amp;Table1[[#This Row],[TAXONOMY]]</f>
        <v>2132+95+347D00000X</v>
      </c>
      <c r="S3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(9372, 2132, 95, N'347D00000X', N'Train - Train')</v>
      </c>
    </row>
    <row r="382" spans="1:19" ht="47.25" hidden="1" customHeight="1" x14ac:dyDescent="0.25">
      <c r="A382" s="35" t="s">
        <v>11</v>
      </c>
      <c r="B382" s="36" t="s">
        <v>878</v>
      </c>
      <c r="C382" s="36" t="s">
        <v>899</v>
      </c>
      <c r="D382" s="36" t="s">
        <v>899</v>
      </c>
      <c r="E382" s="36" t="s">
        <v>900</v>
      </c>
      <c r="F382" s="3">
        <f>VLOOKUP(Table1[[#This Row],[Column2]], TAXONOMY_TYPE, 2, FALSE)</f>
        <v>4632</v>
      </c>
      <c r="G382" s="36">
        <v>26</v>
      </c>
      <c r="H382" s="36" t="s">
        <v>1958</v>
      </c>
      <c r="I382" s="3">
        <f>VLOOKUP(Table1[[#This Row],[Provider Type]] &amp; Table1[[#This Row],[Provider Type Description]], PROVIDER_TYPE, 2, FALSE)</f>
        <v>95</v>
      </c>
      <c r="J382" s="36">
        <v>265</v>
      </c>
      <c r="K382" s="36" t="s">
        <v>888</v>
      </c>
      <c r="L382" s="36">
        <f>VLOOKUP(TRIM(Table1[[#This Row],[Provider Specialty]]) &amp; TRIM(Table1[[#This Row],[Provider Specialty Description]]), SPECIALTY_TYPE, 2, FALSE)</f>
        <v>2132</v>
      </c>
      <c r="M382" s="36" t="s">
        <v>19</v>
      </c>
      <c r="N382" s="37" t="s">
        <v>18</v>
      </c>
      <c r="O382" s="38">
        <f>VLOOKUP(TRIM(Table1[[#This Row],[Provider Specialty]]) &amp; TRIM(Table1[[#This Row],[Provider Specialty Description]]), SPECIALTY_TYPE, 2, FALSE)</f>
        <v>2132</v>
      </c>
      <c r="P382" s="3" t="str">
        <f>Table1[[#This Row],[Provider Type]] &amp; "+" &amp; Table1[[#This Row],[Provider Type Description]]</f>
        <v>26+Transportation Provider (non-medical)</v>
      </c>
      <c r="Q382" s="7" t="str">
        <f>Table1[[#This Row],[Provider Specialty]] &amp; "+" &amp; Table1[[#This Row],[Provider Specialty Description]]</f>
        <v>265+Common Carrier (Non-Ambulatory)</v>
      </c>
      <c r="R382" s="7" t="str">
        <f>Table1[[#This Row],[PDMS Specialty Type ID]] &amp; "+" &amp; Table1[[#This Row],[PDMS Provider Type ID]] &amp; "+" &amp;Table1[[#This Row],[TAXONOMY]]</f>
        <v>2132+95+347E00000X</v>
      </c>
      <c r="S3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(4632, 2132, 95, N'347E00000X', N'Transportation Broker - Transportation Broker')</v>
      </c>
    </row>
    <row r="383" spans="1:19" ht="47.25" hidden="1" customHeight="1" x14ac:dyDescent="0.25">
      <c r="A383" s="35" t="s">
        <v>11</v>
      </c>
      <c r="B383" s="36" t="s">
        <v>878</v>
      </c>
      <c r="C383" s="36" t="s">
        <v>917</v>
      </c>
      <c r="D383" s="36" t="s">
        <v>917</v>
      </c>
      <c r="E383" s="36" t="s">
        <v>918</v>
      </c>
      <c r="F383" s="3">
        <f>VLOOKUP(Table1[[#This Row],[Column2]], TAXONOMY_TYPE, 2, FALSE)</f>
        <v>9373</v>
      </c>
      <c r="G383" s="36">
        <v>26</v>
      </c>
      <c r="H383" s="36" t="s">
        <v>1958</v>
      </c>
      <c r="I383" s="3">
        <f>VLOOKUP(Table1[[#This Row],[Provider Type]] &amp; Table1[[#This Row],[Provider Type Description]], PROVIDER_TYPE, 2, FALSE)</f>
        <v>95</v>
      </c>
      <c r="J383" s="36">
        <v>265</v>
      </c>
      <c r="K383" s="36" t="s">
        <v>888</v>
      </c>
      <c r="L383" s="36">
        <f>VLOOKUP(TRIM(Table1[[#This Row],[Provider Specialty]]) &amp; TRIM(Table1[[#This Row],[Provider Specialty Description]]), SPECIALTY_TYPE, 2, FALSE)</f>
        <v>2132</v>
      </c>
      <c r="M383" s="36" t="s">
        <v>916</v>
      </c>
      <c r="N383" s="37" t="s">
        <v>18</v>
      </c>
      <c r="O383" s="38">
        <f>VLOOKUP(TRIM(Table1[[#This Row],[Provider Specialty]]) &amp; TRIM(Table1[[#This Row],[Provider Specialty Description]]), SPECIALTY_TYPE, 2, FALSE)</f>
        <v>2132</v>
      </c>
      <c r="P383" s="3" t="str">
        <f>Table1[[#This Row],[Provider Type]] &amp; "+" &amp; Table1[[#This Row],[Provider Type Description]]</f>
        <v>26+Transportation Provider (non-medical)</v>
      </c>
      <c r="Q383" s="7" t="str">
        <f>Table1[[#This Row],[Provider Specialty]] &amp; "+" &amp; Table1[[#This Row],[Provider Specialty Description]]</f>
        <v>265+Common Carrier (Non-Ambulatory)</v>
      </c>
      <c r="R383" s="7" t="str">
        <f>Table1[[#This Row],[PDMS Specialty Type ID]] &amp; "+" &amp; Table1[[#This Row],[PDMS Provider Type ID]] &amp; "+" &amp;Table1[[#This Row],[TAXONOMY]]</f>
        <v>2132+95+344800000X</v>
      </c>
      <c r="S3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(9373, 2132, 95, N'344800000X', N'Air Carrier - Air Carrier')</v>
      </c>
    </row>
    <row r="384" spans="1:19" ht="47.25" hidden="1" customHeight="1" x14ac:dyDescent="0.25">
      <c r="A384" s="35" t="s">
        <v>11</v>
      </c>
      <c r="B384" s="36" t="s">
        <v>878</v>
      </c>
      <c r="C384" s="36" t="s">
        <v>894</v>
      </c>
      <c r="D384" s="36" t="s">
        <v>894</v>
      </c>
      <c r="E384" s="36" t="s">
        <v>895</v>
      </c>
      <c r="F384" s="3">
        <f>VLOOKUP(Table1[[#This Row],[Column2]], TAXONOMY_TYPE, 2, FALSE)</f>
        <v>4691</v>
      </c>
      <c r="G384" s="36">
        <v>26</v>
      </c>
      <c r="H384" s="36" t="s">
        <v>1958</v>
      </c>
      <c r="I384" s="3">
        <f>VLOOKUP(Table1[[#This Row],[Provider Type]] &amp; Table1[[#This Row],[Provider Type Description]], PROVIDER_TYPE, 2, FALSE)</f>
        <v>95</v>
      </c>
      <c r="J384" s="36">
        <v>266</v>
      </c>
      <c r="K384" s="36" t="s">
        <v>896</v>
      </c>
      <c r="L384" s="36">
        <f>VLOOKUP(TRIM(Table1[[#This Row],[Provider Specialty]]) &amp; TRIM(Table1[[#This Row],[Provider Specialty Description]]), SPECIALTY_TYPE, 2, FALSE)</f>
        <v>2139</v>
      </c>
      <c r="M384" s="36" t="s">
        <v>19</v>
      </c>
      <c r="N384" s="37" t="s">
        <v>18</v>
      </c>
      <c r="O384" s="38">
        <f>VLOOKUP(TRIM(Table1[[#This Row],[Provider Specialty]]) &amp; TRIM(Table1[[#This Row],[Provider Specialty Description]]), SPECIALTY_TYPE, 2, FALSE)</f>
        <v>2139</v>
      </c>
      <c r="P384" s="3" t="str">
        <f>Table1[[#This Row],[Provider Type]] &amp; "+" &amp; Table1[[#This Row],[Provider Type Description]]</f>
        <v>26+Transportation Provider (non-medical)</v>
      </c>
      <c r="Q384" s="7" t="str">
        <f>Table1[[#This Row],[Provider Specialty]] &amp; "+" &amp; Table1[[#This Row],[Provider Specialty Description]]</f>
        <v>266+Family Member</v>
      </c>
      <c r="R384" s="7" t="str">
        <f>Table1[[#This Row],[PDMS Specialty Type ID]] &amp; "+" &amp; Table1[[#This Row],[PDMS Provider Type ID]] &amp; "+" &amp;Table1[[#This Row],[TAXONOMY]]</f>
        <v>2139+95+347C00000X</v>
      </c>
      <c r="S3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(4691, 2139, 95, N'347C00000X', N'Private Vehicle - Private Vehicle')</v>
      </c>
    </row>
    <row r="385" spans="1:19" ht="47.25" hidden="1" customHeight="1" x14ac:dyDescent="0.25">
      <c r="A385" s="35" t="s">
        <v>11</v>
      </c>
      <c r="B385" s="36" t="s">
        <v>878</v>
      </c>
      <c r="C385" s="36" t="s">
        <v>886</v>
      </c>
      <c r="D385" s="36" t="s">
        <v>886</v>
      </c>
      <c r="E385" s="36" t="s">
        <v>887</v>
      </c>
      <c r="F385" s="3">
        <f>VLOOKUP(Table1[[#This Row],[Column2]], TAXONOMY_TYPE, 2, FALSE)</f>
        <v>9374</v>
      </c>
      <c r="G385" s="36">
        <v>26</v>
      </c>
      <c r="H385" s="36" t="s">
        <v>1958</v>
      </c>
      <c r="I385" s="3">
        <f>VLOOKUP(Table1[[#This Row],[Provider Type]] &amp; Table1[[#This Row],[Provider Type Description]], PROVIDER_TYPE, 2, FALSE)</f>
        <v>95</v>
      </c>
      <c r="J385" s="36">
        <v>267</v>
      </c>
      <c r="K385" s="36" t="s">
        <v>912</v>
      </c>
      <c r="L385" s="36">
        <f>VLOOKUP(TRIM(Table1[[#This Row],[Provider Specialty]]) &amp; TRIM(Table1[[#This Row],[Provider Specialty Description]]), SPECIALTY_TYPE, 2, FALSE)</f>
        <v>2171</v>
      </c>
      <c r="M385" s="36" t="s">
        <v>19</v>
      </c>
      <c r="N385" s="37" t="s">
        <v>18</v>
      </c>
      <c r="O385" s="38">
        <f>VLOOKUP(TRIM(Table1[[#This Row],[Provider Specialty]]) &amp; TRIM(Table1[[#This Row],[Provider Specialty Description]]), SPECIALTY_TYPE, 2, FALSE)</f>
        <v>2171</v>
      </c>
      <c r="P385" s="3" t="str">
        <f>Table1[[#This Row],[Provider Type]] &amp; "+" &amp; Table1[[#This Row],[Provider Type Description]]</f>
        <v>26+Transportation Provider (non-medical)</v>
      </c>
      <c r="Q385" s="7" t="str">
        <f>Table1[[#This Row],[Provider Specialty]] &amp; "+" &amp; Table1[[#This Row],[Provider Specialty Description]]</f>
        <v>267+Volunteer</v>
      </c>
      <c r="R385" s="7" t="str">
        <f>Table1[[#This Row],[PDMS Specialty Type ID]] &amp; "+" &amp; Table1[[#This Row],[PDMS Provider Type ID]] &amp; "+" &amp;Table1[[#This Row],[TAXONOMY]]</f>
        <v>2171+95+343900000X</v>
      </c>
      <c r="S3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(9374, 2171, 95, N'343900000X', N'Non-emergency Medical Transport (VAN) - Non-emergency Medical Transport (VAN)')</v>
      </c>
    </row>
    <row r="386" spans="1:19" ht="47.25" hidden="1" customHeight="1" x14ac:dyDescent="0.25">
      <c r="A386" s="35" t="s">
        <v>11</v>
      </c>
      <c r="B386" s="36" t="s">
        <v>878</v>
      </c>
      <c r="C386" s="36" t="s">
        <v>913</v>
      </c>
      <c r="D386" s="36" t="s">
        <v>913</v>
      </c>
      <c r="E386" s="36" t="s">
        <v>914</v>
      </c>
      <c r="F386" s="3">
        <f>VLOOKUP(Table1[[#This Row],[Column2]], TAXONOMY_TYPE, 2, FALSE)</f>
        <v>4839</v>
      </c>
      <c r="G386" s="36">
        <v>26</v>
      </c>
      <c r="H386" s="36" t="s">
        <v>1958</v>
      </c>
      <c r="I386" s="3">
        <f>VLOOKUP(Table1[[#This Row],[Provider Type]] &amp; Table1[[#This Row],[Provider Type Description]], PROVIDER_TYPE, 2, FALSE)</f>
        <v>95</v>
      </c>
      <c r="J386" s="36">
        <v>268</v>
      </c>
      <c r="K386" s="36" t="s">
        <v>915</v>
      </c>
      <c r="L386" s="36">
        <f>VLOOKUP(TRIM(Table1[[#This Row],[Provider Specialty]]) &amp; TRIM(Table1[[#This Row],[Provider Specialty Description]]), SPECIALTY_TYPE, 2, FALSE)</f>
        <v>2164</v>
      </c>
      <c r="M386" s="36" t="s">
        <v>916</v>
      </c>
      <c r="N386" s="37" t="s">
        <v>18</v>
      </c>
      <c r="O386" s="38">
        <f>VLOOKUP(TRIM(Table1[[#This Row],[Provider Specialty]]) &amp; TRIM(Table1[[#This Row],[Provider Specialty Description]]), SPECIALTY_TYPE, 2, FALSE)</f>
        <v>2164</v>
      </c>
      <c r="P386" s="3" t="str">
        <f>Table1[[#This Row],[Provider Type]] &amp; "+" &amp; Table1[[#This Row],[Provider Type Description]]</f>
        <v>26+Transportation Provider (non-medical)</v>
      </c>
      <c r="Q386" s="7" t="str">
        <f>Table1[[#This Row],[Provider Specialty]] &amp; "+" &amp; Table1[[#This Row],[Provider Specialty Description]]</f>
        <v>268+Secured Medical Transport (VAN)</v>
      </c>
      <c r="R386" s="7" t="str">
        <f>Table1[[#This Row],[PDMS Specialty Type ID]] &amp; "+" &amp; Table1[[#This Row],[PDMS Provider Type ID]] &amp; "+" &amp;Table1[[#This Row],[TAXONOMY]]</f>
        <v>2164+95+343800000X</v>
      </c>
      <c r="S3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(4839, 2164, 95, N'343800000X', N'Secured Medical Transport (VAN) - Secured Medical Transport (VAN)')</v>
      </c>
    </row>
    <row r="387" spans="1:19" ht="47.25" customHeight="1" x14ac:dyDescent="0.25">
      <c r="A387" s="22" t="s">
        <v>227</v>
      </c>
      <c r="B387" s="3" t="s">
        <v>919</v>
      </c>
      <c r="C387" s="3" t="s">
        <v>920</v>
      </c>
      <c r="D387" s="3" t="s">
        <v>938</v>
      </c>
      <c r="E387" s="3" t="s">
        <v>939</v>
      </c>
      <c r="F387" s="3">
        <f>VLOOKUP(Table1[[#This Row],[Column2]], TAXONOMY_TYPE, 2, FALSE)</f>
        <v>9375</v>
      </c>
      <c r="G387" s="3">
        <v>27</v>
      </c>
      <c r="H387" s="3" t="s">
        <v>923</v>
      </c>
      <c r="I387" s="3">
        <f>VLOOKUP(Table1[[#This Row],[Provider Type]] &amp; Table1[[#This Row],[Provider Type Description]], PROVIDER_TYPE, 2, FALSE)</f>
        <v>111</v>
      </c>
      <c r="J387" s="3">
        <v>270</v>
      </c>
      <c r="K387" s="3" t="s">
        <v>940</v>
      </c>
      <c r="L387" s="3">
        <f>VLOOKUP(TRIM(Table1[[#This Row],[Provider Specialty]]) &amp; TRIM(Table1[[#This Row],[Provider Specialty Description]]), SPECIALTY_TYPE, 2, FALSE)</f>
        <v>2236</v>
      </c>
      <c r="M387" s="3" t="s">
        <v>19</v>
      </c>
      <c r="N387" s="27" t="s">
        <v>19</v>
      </c>
      <c r="O387" s="38">
        <f>VLOOKUP(TRIM(Table1[[#This Row],[Provider Specialty]]) &amp; TRIM(Table1[[#This Row],[Provider Specialty Description]]), SPECIALTY_TYPE, 2, FALSE)</f>
        <v>2236</v>
      </c>
      <c r="P387" s="3" t="str">
        <f>Table1[[#This Row],[Provider Type]] &amp; "+" &amp; Table1[[#This Row],[Provider Type Description]]</f>
        <v>27+Dentist</v>
      </c>
      <c r="Q387" s="7" t="str">
        <f>Table1[[#This Row],[Provider Specialty]] &amp; "+" &amp; Table1[[#This Row],[Provider Specialty Description]]</f>
        <v>270+Endodontist</v>
      </c>
      <c r="R387" s="7" t="str">
        <f>Table1[[#This Row],[PDMS Specialty Type ID]] &amp; "+" &amp; Table1[[#This Row],[PDMS Provider Type ID]] &amp; "+" &amp;Table1[[#This Row],[TAXONOMY]]</f>
        <v>2236+111+1223E0200X</v>
      </c>
      <c r="S3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(9375, 2236, 111, N'1223E0200X', N'Dentist - Endodontics')</v>
      </c>
    </row>
    <row r="388" spans="1:19" ht="47.25" customHeight="1" x14ac:dyDescent="0.25">
      <c r="A388" s="22" t="s">
        <v>227</v>
      </c>
      <c r="B388" s="3" t="s">
        <v>919</v>
      </c>
      <c r="C388" s="3" t="s">
        <v>920</v>
      </c>
      <c r="D388" s="3" t="s">
        <v>920</v>
      </c>
      <c r="E388" s="3" t="s">
        <v>925</v>
      </c>
      <c r="F388" s="3">
        <f>VLOOKUP(Table1[[#This Row],[Column2]], TAXONOMY_TYPE, 2, FALSE)</f>
        <v>9376</v>
      </c>
      <c r="G388" s="3">
        <v>27</v>
      </c>
      <c r="H388" s="3" t="s">
        <v>923</v>
      </c>
      <c r="I388" s="3">
        <f>VLOOKUP(Table1[[#This Row],[Provider Type]] &amp; Table1[[#This Row],[Provider Type Description]], PROVIDER_TYPE, 2, FALSE)</f>
        <v>111</v>
      </c>
      <c r="J388" s="3">
        <v>271</v>
      </c>
      <c r="K388" s="3" t="s">
        <v>926</v>
      </c>
      <c r="L388" s="3">
        <f>VLOOKUP(TRIM(Table1[[#This Row],[Provider Specialty]]) &amp; TRIM(Table1[[#This Row],[Provider Specialty Description]]), SPECIALTY_TYPE, 2, FALSE)</f>
        <v>2237</v>
      </c>
      <c r="M388" s="3" t="s">
        <v>19</v>
      </c>
      <c r="N388" s="27" t="s">
        <v>19</v>
      </c>
      <c r="O388" s="38">
        <f>VLOOKUP(TRIM(Table1[[#This Row],[Provider Specialty]]) &amp; TRIM(Table1[[#This Row],[Provider Specialty Description]]), SPECIALTY_TYPE, 2, FALSE)</f>
        <v>2237</v>
      </c>
      <c r="P388" s="3" t="str">
        <f>Table1[[#This Row],[Provider Type]] &amp; "+" &amp; Table1[[#This Row],[Provider Type Description]]</f>
        <v>27+Dentist</v>
      </c>
      <c r="Q388" s="7" t="str">
        <f>Table1[[#This Row],[Provider Specialty]] &amp; "+" &amp; Table1[[#This Row],[Provider Specialty Description]]</f>
        <v>271+General Dentistry Practitioner</v>
      </c>
      <c r="R388" s="7" t="str">
        <f>Table1[[#This Row],[PDMS Specialty Type ID]] &amp; "+" &amp; Table1[[#This Row],[PDMS Provider Type ID]] &amp; "+" &amp;Table1[[#This Row],[TAXONOMY]]</f>
        <v>2237+111+122300000X</v>
      </c>
      <c r="S3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(9376, 2237, 111, N'122300000X', N'Dentist - Dentist')</v>
      </c>
    </row>
    <row r="389" spans="1:19" ht="47.25" customHeight="1" x14ac:dyDescent="0.25">
      <c r="A389" s="22" t="s">
        <v>227</v>
      </c>
      <c r="B389" s="3" t="s">
        <v>919</v>
      </c>
      <c r="C389" s="3" t="s">
        <v>920</v>
      </c>
      <c r="D389" s="3" t="s">
        <v>927</v>
      </c>
      <c r="E389" s="3" t="s">
        <v>928</v>
      </c>
      <c r="F389" s="3">
        <f>VLOOKUP(Table1[[#This Row],[Column2]], TAXONOMY_TYPE, 2, FALSE)</f>
        <v>9377</v>
      </c>
      <c r="G389" s="3">
        <v>27</v>
      </c>
      <c r="H389" s="3" t="s">
        <v>923</v>
      </c>
      <c r="I389" s="3">
        <f>VLOOKUP(Table1[[#This Row],[Provider Type]] &amp; Table1[[#This Row],[Provider Type Description]], PROVIDER_TYPE, 2, FALSE)</f>
        <v>111</v>
      </c>
      <c r="J389" s="3">
        <v>271</v>
      </c>
      <c r="K389" s="3" t="s">
        <v>926</v>
      </c>
      <c r="L389" s="3">
        <f>VLOOKUP(TRIM(Table1[[#This Row],[Provider Specialty]]) &amp; TRIM(Table1[[#This Row],[Provider Specialty Description]]), SPECIALTY_TYPE, 2, FALSE)</f>
        <v>2237</v>
      </c>
      <c r="M389" s="3" t="s">
        <v>19</v>
      </c>
      <c r="N389" s="27" t="s">
        <v>19</v>
      </c>
      <c r="O389" s="38">
        <f>VLOOKUP(TRIM(Table1[[#This Row],[Provider Specialty]]) &amp; TRIM(Table1[[#This Row],[Provider Specialty Description]]), SPECIALTY_TYPE, 2, FALSE)</f>
        <v>2237</v>
      </c>
      <c r="P389" s="3" t="str">
        <f>Table1[[#This Row],[Provider Type]] &amp; "+" &amp; Table1[[#This Row],[Provider Type Description]]</f>
        <v>27+Dentist</v>
      </c>
      <c r="Q389" s="7" t="str">
        <f>Table1[[#This Row],[Provider Specialty]] &amp; "+" &amp; Table1[[#This Row],[Provider Specialty Description]]</f>
        <v>271+General Dentistry Practitioner</v>
      </c>
      <c r="R389" s="7" t="str">
        <f>Table1[[#This Row],[PDMS Specialty Type ID]] &amp; "+" &amp; Table1[[#This Row],[PDMS Provider Type ID]] &amp; "+" &amp;Table1[[#This Row],[TAXONOMY]]</f>
        <v>2237+111+1223D0001X</v>
      </c>
      <c r="S3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(9377, 2237, 111, N'1223D0001X', N'Dentist - Dental Public Health')</v>
      </c>
    </row>
    <row r="390" spans="1:19" ht="47.25" customHeight="1" x14ac:dyDescent="0.25">
      <c r="A390" s="22" t="s">
        <v>227</v>
      </c>
      <c r="B390" s="3" t="s">
        <v>919</v>
      </c>
      <c r="C390" s="3" t="s">
        <v>920</v>
      </c>
      <c r="D390" s="3" t="s">
        <v>617</v>
      </c>
      <c r="E390" s="3" t="s">
        <v>941</v>
      </c>
      <c r="F390" s="3">
        <f>VLOOKUP(Table1[[#This Row],[Column2]], TAXONOMY_TYPE, 2, FALSE)</f>
        <v>9378</v>
      </c>
      <c r="G390" s="3">
        <v>27</v>
      </c>
      <c r="H390" s="3" t="s">
        <v>923</v>
      </c>
      <c r="I390" s="3">
        <f>VLOOKUP(Table1[[#This Row],[Provider Type]] &amp; Table1[[#This Row],[Provider Type Description]], PROVIDER_TYPE, 2, FALSE)</f>
        <v>111</v>
      </c>
      <c r="J390" s="3">
        <v>271</v>
      </c>
      <c r="K390" s="3" t="s">
        <v>926</v>
      </c>
      <c r="L390" s="3">
        <f>VLOOKUP(TRIM(Table1[[#This Row],[Provider Specialty]]) &amp; TRIM(Table1[[#This Row],[Provider Specialty Description]]), SPECIALTY_TYPE, 2, FALSE)</f>
        <v>2237</v>
      </c>
      <c r="M390" s="3" t="s">
        <v>19</v>
      </c>
      <c r="N390" s="27" t="s">
        <v>19</v>
      </c>
      <c r="O390" s="38">
        <f>VLOOKUP(TRIM(Table1[[#This Row],[Provider Specialty]]) &amp; TRIM(Table1[[#This Row],[Provider Specialty Description]]), SPECIALTY_TYPE, 2, FALSE)</f>
        <v>2237</v>
      </c>
      <c r="P390" s="3" t="str">
        <f>Table1[[#This Row],[Provider Type]] &amp; "+" &amp; Table1[[#This Row],[Provider Type Description]]</f>
        <v>27+Dentist</v>
      </c>
      <c r="Q390" s="7" t="str">
        <f>Table1[[#This Row],[Provider Specialty]] &amp; "+" &amp; Table1[[#This Row],[Provider Specialty Description]]</f>
        <v>271+General Dentistry Practitioner</v>
      </c>
      <c r="R390" s="7" t="str">
        <f>Table1[[#This Row],[PDMS Specialty Type ID]] &amp; "+" &amp; Table1[[#This Row],[PDMS Provider Type ID]] &amp; "+" &amp;Table1[[#This Row],[TAXONOMY]]</f>
        <v>2237+111+1223G0001X</v>
      </c>
      <c r="S3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(9378, 2237, 111, N'1223G0001X', N'Dentist - General Practice')</v>
      </c>
    </row>
    <row r="391" spans="1:19" ht="47.25" customHeight="1" x14ac:dyDescent="0.25">
      <c r="A391" s="22" t="s">
        <v>227</v>
      </c>
      <c r="B391" s="3" t="s">
        <v>919</v>
      </c>
      <c r="C391" s="3" t="s">
        <v>956</v>
      </c>
      <c r="D391" s="3" t="s">
        <v>956</v>
      </c>
      <c r="E391" s="3" t="s">
        <v>957</v>
      </c>
      <c r="F391" s="3">
        <f>VLOOKUP(Table1[[#This Row],[Column2]], TAXONOMY_TYPE, 2, FALSE)</f>
        <v>9379</v>
      </c>
      <c r="G391" s="3">
        <v>27</v>
      </c>
      <c r="H391" s="3" t="s">
        <v>923</v>
      </c>
      <c r="I391" s="3">
        <f>VLOOKUP(Table1[[#This Row],[Provider Type]] &amp; Table1[[#This Row],[Provider Type Description]], PROVIDER_TYPE, 2, FALSE)</f>
        <v>111</v>
      </c>
      <c r="J391" s="3">
        <v>271</v>
      </c>
      <c r="K391" s="3" t="s">
        <v>926</v>
      </c>
      <c r="L391" s="3">
        <f>VLOOKUP(TRIM(Table1[[#This Row],[Provider Specialty]]) &amp; TRIM(Table1[[#This Row],[Provider Specialty Description]]), SPECIALTY_TYPE, 2, FALSE)</f>
        <v>2237</v>
      </c>
      <c r="M391" s="3" t="s">
        <v>19</v>
      </c>
      <c r="N391" s="27" t="s">
        <v>19</v>
      </c>
      <c r="O391" s="38">
        <f>VLOOKUP(TRIM(Table1[[#This Row],[Provider Specialty]]) &amp; TRIM(Table1[[#This Row],[Provider Specialty Description]]), SPECIALTY_TYPE, 2, FALSE)</f>
        <v>2237</v>
      </c>
      <c r="P391" s="3" t="str">
        <f>Table1[[#This Row],[Provider Type]] &amp; "+" &amp; Table1[[#This Row],[Provider Type Description]]</f>
        <v>27+Dentist</v>
      </c>
      <c r="Q391" s="7" t="str">
        <f>Table1[[#This Row],[Provider Specialty]] &amp; "+" &amp; Table1[[#This Row],[Provider Specialty Description]]</f>
        <v>271+General Dentistry Practitioner</v>
      </c>
      <c r="R391" s="7" t="str">
        <f>Table1[[#This Row],[PDMS Specialty Type ID]] &amp; "+" &amp; Table1[[#This Row],[PDMS Provider Type ID]] &amp; "+" &amp;Table1[[#This Row],[TAXONOMY]]</f>
        <v>2237+111+122400000X</v>
      </c>
      <c r="S3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(9379, 2237, 111, N'122400000X', N'Denturist - Denturist')</v>
      </c>
    </row>
    <row r="392" spans="1:19" ht="47.25" customHeight="1" x14ac:dyDescent="0.25">
      <c r="A392" s="22" t="s">
        <v>227</v>
      </c>
      <c r="B392" s="3" t="s">
        <v>919</v>
      </c>
      <c r="C392" s="3" t="s">
        <v>920</v>
      </c>
      <c r="D392" s="3" t="s">
        <v>91</v>
      </c>
      <c r="E392" s="3" t="s">
        <v>951</v>
      </c>
      <c r="F392" s="3">
        <f>VLOOKUP(Table1[[#This Row],[Column2]], TAXONOMY_TYPE, 2, FALSE)</f>
        <v>9380</v>
      </c>
      <c r="G392" s="3">
        <v>27</v>
      </c>
      <c r="H392" s="3" t="s">
        <v>923</v>
      </c>
      <c r="I392" s="3">
        <f>VLOOKUP(Table1[[#This Row],[Provider Type]] &amp; Table1[[#This Row],[Provider Type Description]], PROVIDER_TYPE, 2, FALSE)</f>
        <v>111</v>
      </c>
      <c r="J392" s="3">
        <v>272</v>
      </c>
      <c r="K392" s="3" t="s">
        <v>952</v>
      </c>
      <c r="L392" s="3">
        <f>VLOOKUP(TRIM(Table1[[#This Row],[Provider Specialty]]) &amp; TRIM(Table1[[#This Row],[Provider Specialty Description]]), SPECIALTY_TYPE, 2, FALSE)</f>
        <v>2070</v>
      </c>
      <c r="M392" s="3" t="s">
        <v>19</v>
      </c>
      <c r="N392" s="27" t="s">
        <v>19</v>
      </c>
      <c r="O392" s="38">
        <f>VLOOKUP(TRIM(Table1[[#This Row],[Provider Specialty]]) &amp; TRIM(Table1[[#This Row],[Provider Specialty Description]]), SPECIALTY_TYPE, 2, FALSE)</f>
        <v>2070</v>
      </c>
      <c r="P392" s="3" t="str">
        <f>Table1[[#This Row],[Provider Type]] &amp; "+" &amp; Table1[[#This Row],[Provider Type Description]]</f>
        <v>27+Dentist</v>
      </c>
      <c r="Q392" s="7" t="str">
        <f>Table1[[#This Row],[Provider Specialty]] &amp; "+" &amp; Table1[[#This Row],[Provider Specialty Description]]</f>
        <v>272+Oral Surgeon</v>
      </c>
      <c r="R392" s="7" t="str">
        <f>Table1[[#This Row],[PDMS Specialty Type ID]] &amp; "+" &amp; Table1[[#This Row],[PDMS Provider Type ID]] &amp; "+" &amp;Table1[[#This Row],[TAXONOMY]]</f>
        <v>2070+111+1223S0112X</v>
      </c>
      <c r="S3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(9380, 2070, 111, N'1223S0112X', N'Dentist - Oral and Maxillofacial Surgery')</v>
      </c>
    </row>
    <row r="393" spans="1:19" ht="47.25" customHeight="1" x14ac:dyDescent="0.25">
      <c r="A393" s="22" t="s">
        <v>227</v>
      </c>
      <c r="B393" s="3" t="s">
        <v>919</v>
      </c>
      <c r="C393" s="3" t="s">
        <v>920</v>
      </c>
      <c r="D393" s="3" t="s">
        <v>953</v>
      </c>
      <c r="E393" s="3" t="s">
        <v>954</v>
      </c>
      <c r="F393" s="3">
        <f>VLOOKUP(Table1[[#This Row],[Column2]], TAXONOMY_TYPE, 2, FALSE)</f>
        <v>9381</v>
      </c>
      <c r="G393" s="3">
        <v>27</v>
      </c>
      <c r="H393" s="3" t="s">
        <v>923</v>
      </c>
      <c r="I393" s="3">
        <f>VLOOKUP(Table1[[#This Row],[Provider Type]] &amp; Table1[[#This Row],[Provider Type Description]], PROVIDER_TYPE, 2, FALSE)</f>
        <v>111</v>
      </c>
      <c r="J393" s="3">
        <v>273</v>
      </c>
      <c r="K393" s="3" t="s">
        <v>955</v>
      </c>
      <c r="L393" s="3">
        <f>VLOOKUP(TRIM(Table1[[#This Row],[Provider Specialty]]) &amp; TRIM(Table1[[#This Row],[Provider Specialty Description]]), SPECIALTY_TYPE, 2, FALSE)</f>
        <v>2238</v>
      </c>
      <c r="M393" s="3" t="s">
        <v>19</v>
      </c>
      <c r="N393" s="27" t="s">
        <v>19</v>
      </c>
      <c r="O393" s="38">
        <f>VLOOKUP(TRIM(Table1[[#This Row],[Provider Specialty]]) &amp; TRIM(Table1[[#This Row],[Provider Specialty Description]]), SPECIALTY_TYPE, 2, FALSE)</f>
        <v>2238</v>
      </c>
      <c r="P393" s="3" t="str">
        <f>Table1[[#This Row],[Provider Type]] &amp; "+" &amp; Table1[[#This Row],[Provider Type Description]]</f>
        <v>27+Dentist</v>
      </c>
      <c r="Q393" s="7" t="str">
        <f>Table1[[#This Row],[Provider Specialty]] &amp; "+" &amp; Table1[[#This Row],[Provider Specialty Description]]</f>
        <v>273+Orthodontist</v>
      </c>
      <c r="R393" s="7" t="str">
        <f>Table1[[#This Row],[PDMS Specialty Type ID]] &amp; "+" &amp; Table1[[#This Row],[PDMS Provider Type ID]] &amp; "+" &amp;Table1[[#This Row],[TAXONOMY]]</f>
        <v>2238+111+1223X0400X</v>
      </c>
      <c r="S3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(9381, 2238, 111, N'1223X0400X', N'Dentist - Orthodontics and Dentofacial Orthopedics')</v>
      </c>
    </row>
    <row r="394" spans="1:19" ht="47.25" customHeight="1" x14ac:dyDescent="0.25">
      <c r="A394" s="22" t="s">
        <v>227</v>
      </c>
      <c r="B394" s="3" t="s">
        <v>919</v>
      </c>
      <c r="C394" s="3" t="s">
        <v>920</v>
      </c>
      <c r="D394" s="3" t="s">
        <v>942</v>
      </c>
      <c r="E394" s="3" t="s">
        <v>943</v>
      </c>
      <c r="F394" s="3">
        <f>VLOOKUP(Table1[[#This Row],[Column2]], TAXONOMY_TYPE, 2, FALSE)</f>
        <v>9382</v>
      </c>
      <c r="G394" s="3">
        <v>27</v>
      </c>
      <c r="H394" s="3" t="s">
        <v>923</v>
      </c>
      <c r="I394" s="3">
        <f>VLOOKUP(Table1[[#This Row],[Provider Type]] &amp; Table1[[#This Row],[Provider Type Description]], PROVIDER_TYPE, 2, FALSE)</f>
        <v>111</v>
      </c>
      <c r="J394" s="3">
        <v>274</v>
      </c>
      <c r="K394" s="3" t="s">
        <v>944</v>
      </c>
      <c r="L394" s="3">
        <f>VLOOKUP(TRIM(Table1[[#This Row],[Provider Specialty]]) &amp; TRIM(Table1[[#This Row],[Provider Specialty Description]]), SPECIALTY_TYPE, 2, FALSE)</f>
        <v>2239</v>
      </c>
      <c r="M394" s="3" t="s">
        <v>19</v>
      </c>
      <c r="N394" s="27" t="s">
        <v>19</v>
      </c>
      <c r="O394" s="38">
        <f>VLOOKUP(TRIM(Table1[[#This Row],[Provider Specialty]]) &amp; TRIM(Table1[[#This Row],[Provider Specialty Description]]), SPECIALTY_TYPE, 2, FALSE)</f>
        <v>2239</v>
      </c>
      <c r="P394" s="3" t="str">
        <f>Table1[[#This Row],[Provider Type]] &amp; "+" &amp; Table1[[#This Row],[Provider Type Description]]</f>
        <v>27+Dentist</v>
      </c>
      <c r="Q394" s="7" t="str">
        <f>Table1[[#This Row],[Provider Specialty]] &amp; "+" &amp; Table1[[#This Row],[Provider Specialty Description]]</f>
        <v>274+Pediatric Dentist</v>
      </c>
      <c r="R394" s="7" t="str">
        <f>Table1[[#This Row],[PDMS Specialty Type ID]] &amp; "+" &amp; Table1[[#This Row],[PDMS Provider Type ID]] &amp; "+" &amp;Table1[[#This Row],[TAXONOMY]]</f>
        <v>2239+111+1223P0221X</v>
      </c>
      <c r="S3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(9382, 2239, 111, N'1223P0221X', N'Dentist - Pediatric Dentistry')</v>
      </c>
    </row>
    <row r="395" spans="1:19" ht="47.25" customHeight="1" x14ac:dyDescent="0.25">
      <c r="A395" s="22" t="s">
        <v>227</v>
      </c>
      <c r="B395" s="3" t="s">
        <v>919</v>
      </c>
      <c r="C395" s="3" t="s">
        <v>920</v>
      </c>
      <c r="D395" s="3" t="s">
        <v>945</v>
      </c>
      <c r="E395" s="3" t="s">
        <v>946</v>
      </c>
      <c r="F395" s="3">
        <f>VLOOKUP(Table1[[#This Row],[Column2]], TAXONOMY_TYPE, 2, FALSE)</f>
        <v>9383</v>
      </c>
      <c r="G395" s="3">
        <v>27</v>
      </c>
      <c r="H395" s="3" t="s">
        <v>923</v>
      </c>
      <c r="I395" s="3">
        <f>VLOOKUP(Table1[[#This Row],[Provider Type]] &amp; Table1[[#This Row],[Provider Type Description]], PROVIDER_TYPE, 2, FALSE)</f>
        <v>111</v>
      </c>
      <c r="J395" s="3">
        <v>275</v>
      </c>
      <c r="K395" s="3" t="s">
        <v>947</v>
      </c>
      <c r="L395" s="3">
        <f>VLOOKUP(TRIM(Table1[[#This Row],[Provider Specialty]]) &amp; TRIM(Table1[[#This Row],[Provider Specialty Description]]), SPECIALTY_TYPE, 2, FALSE)</f>
        <v>2240</v>
      </c>
      <c r="M395" s="3" t="s">
        <v>19</v>
      </c>
      <c r="N395" s="27" t="s">
        <v>19</v>
      </c>
      <c r="O395" s="38">
        <f>VLOOKUP(TRIM(Table1[[#This Row],[Provider Specialty]]) &amp; TRIM(Table1[[#This Row],[Provider Specialty Description]]), SPECIALTY_TYPE, 2, FALSE)</f>
        <v>2240</v>
      </c>
      <c r="P395" s="3" t="str">
        <f>Table1[[#This Row],[Provider Type]] &amp; "+" &amp; Table1[[#This Row],[Provider Type Description]]</f>
        <v>27+Dentist</v>
      </c>
      <c r="Q395" s="7" t="str">
        <f>Table1[[#This Row],[Provider Specialty]] &amp; "+" &amp; Table1[[#This Row],[Provider Specialty Description]]</f>
        <v>275+Periodontist</v>
      </c>
      <c r="R395" s="7" t="str">
        <f>Table1[[#This Row],[PDMS Specialty Type ID]] &amp; "+" &amp; Table1[[#This Row],[PDMS Provider Type ID]] &amp; "+" &amp;Table1[[#This Row],[TAXONOMY]]</f>
        <v>2240+111+1223P0300X</v>
      </c>
      <c r="S3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(9383, 2240, 111, N'1223P0300X', N'Dentist - Periodontics')</v>
      </c>
    </row>
    <row r="396" spans="1:19" ht="47.25" customHeight="1" x14ac:dyDescent="0.25">
      <c r="A396" s="22" t="s">
        <v>227</v>
      </c>
      <c r="B396" s="3" t="s">
        <v>919</v>
      </c>
      <c r="C396" s="3" t="s">
        <v>920</v>
      </c>
      <c r="D396" s="3" t="s">
        <v>921</v>
      </c>
      <c r="E396" s="3" t="s">
        <v>922</v>
      </c>
      <c r="F396" s="3">
        <f>VLOOKUP(Table1[[#This Row],[Column2]], TAXONOMY_TYPE, 2, FALSE)</f>
        <v>9384</v>
      </c>
      <c r="G396" s="3">
        <v>27</v>
      </c>
      <c r="H396" s="3" t="s">
        <v>923</v>
      </c>
      <c r="I396" s="3">
        <f>VLOOKUP(Table1[[#This Row],[Provider Type]] &amp; Table1[[#This Row],[Provider Type Description]], PROVIDER_TYPE, 2, FALSE)</f>
        <v>111</v>
      </c>
      <c r="J396" s="3">
        <v>276</v>
      </c>
      <c r="K396" s="3" t="s">
        <v>924</v>
      </c>
      <c r="L396" s="3">
        <f>VLOOKUP(TRIM(Table1[[#This Row],[Provider Specialty]]) &amp; TRIM(Table1[[#This Row],[Provider Specialty Description]]), SPECIALTY_TYPE, 2, FALSE)</f>
        <v>2241</v>
      </c>
      <c r="M396" s="3" t="s">
        <v>18</v>
      </c>
      <c r="N396" s="27" t="s">
        <v>19</v>
      </c>
      <c r="O396" s="38">
        <f>VLOOKUP(TRIM(Table1[[#This Row],[Provider Specialty]]) &amp; TRIM(Table1[[#This Row],[Provider Specialty Description]]), SPECIALTY_TYPE, 2, FALSE)</f>
        <v>2241</v>
      </c>
      <c r="P396" s="3" t="str">
        <f>Table1[[#This Row],[Provider Type]] &amp; "+" &amp; Table1[[#This Row],[Provider Type Description]]</f>
        <v>27+Dentist</v>
      </c>
      <c r="Q396" s="7" t="str">
        <f>Table1[[#This Row],[Provider Specialty]] &amp; "+" &amp; Table1[[#This Row],[Provider Specialty Description]]</f>
        <v>276+Oral Pathologist</v>
      </c>
      <c r="R396" s="7" t="str">
        <f>Table1[[#This Row],[PDMS Specialty Type ID]] &amp; "+" &amp; Table1[[#This Row],[PDMS Provider Type ID]] &amp; "+" &amp;Table1[[#This Row],[TAXONOMY]]</f>
        <v>2241+111+1223P0106X</v>
      </c>
      <c r="S3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(9384, 2241, 111, N'1223P0106X', N'Dentist - Oral and Maxillofacial Pathology')</v>
      </c>
    </row>
    <row r="397" spans="1:19" ht="47.25" customHeight="1" x14ac:dyDescent="0.25">
      <c r="A397" s="22" t="s">
        <v>227</v>
      </c>
      <c r="B397" s="3" t="s">
        <v>919</v>
      </c>
      <c r="C397" s="3" t="s">
        <v>920</v>
      </c>
      <c r="D397" s="3" t="s">
        <v>948</v>
      </c>
      <c r="E397" s="3" t="s">
        <v>949</v>
      </c>
      <c r="F397" s="3">
        <f>VLOOKUP(Table1[[#This Row],[Column2]], TAXONOMY_TYPE, 2, FALSE)</f>
        <v>9385</v>
      </c>
      <c r="G397" s="3">
        <v>27</v>
      </c>
      <c r="H397" s="3" t="s">
        <v>923</v>
      </c>
      <c r="I397" s="3">
        <f>VLOOKUP(Table1[[#This Row],[Provider Type]] &amp; Table1[[#This Row],[Provider Type Description]], PROVIDER_TYPE, 2, FALSE)</f>
        <v>111</v>
      </c>
      <c r="J397" s="3">
        <v>278</v>
      </c>
      <c r="K397" s="3" t="s">
        <v>950</v>
      </c>
      <c r="L397" s="3">
        <f>VLOOKUP(TRIM(Table1[[#This Row],[Provider Specialty]]) &amp; TRIM(Table1[[#This Row],[Provider Specialty Description]]), SPECIALTY_TYPE, 2, FALSE)</f>
        <v>2244</v>
      </c>
      <c r="M397" s="3" t="s">
        <v>19</v>
      </c>
      <c r="N397" s="27" t="s">
        <v>19</v>
      </c>
      <c r="O397" s="38">
        <f>VLOOKUP(TRIM(Table1[[#This Row],[Provider Specialty]]) &amp; TRIM(Table1[[#This Row],[Provider Specialty Description]]), SPECIALTY_TYPE, 2, FALSE)</f>
        <v>2244</v>
      </c>
      <c r="P397" s="3" t="str">
        <f>Table1[[#This Row],[Provider Type]] &amp; "+" &amp; Table1[[#This Row],[Provider Type Description]]</f>
        <v>27+Dentist</v>
      </c>
      <c r="Q397" s="7" t="str">
        <f>Table1[[#This Row],[Provider Specialty]] &amp; "+" &amp; Table1[[#This Row],[Provider Specialty Description]]</f>
        <v>278+Prosthodontist</v>
      </c>
      <c r="R397" s="7" t="str">
        <f>Table1[[#This Row],[PDMS Specialty Type ID]] &amp; "+" &amp; Table1[[#This Row],[PDMS Provider Type ID]] &amp; "+" &amp;Table1[[#This Row],[TAXONOMY]]</f>
        <v>2244+111+1223P0700X</v>
      </c>
      <c r="S3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(9385, 2244, 111, N'1223P0700X', N'Dentist - Prosthodontics')</v>
      </c>
    </row>
    <row r="398" spans="1:19" ht="47.25" customHeight="1" x14ac:dyDescent="0.25">
      <c r="A398" s="22" t="s">
        <v>227</v>
      </c>
      <c r="B398" s="3" t="s">
        <v>919</v>
      </c>
      <c r="C398" s="3" t="s">
        <v>920</v>
      </c>
      <c r="D398" s="3" t="s">
        <v>958</v>
      </c>
      <c r="E398" s="3" t="s">
        <v>959</v>
      </c>
      <c r="F398" s="3">
        <f>VLOOKUP(Table1[[#This Row],[Column2]], TAXONOMY_TYPE, 2, FALSE)</f>
        <v>9386</v>
      </c>
      <c r="G398" s="3">
        <v>27</v>
      </c>
      <c r="H398" s="3" t="s">
        <v>923</v>
      </c>
      <c r="I398" s="3">
        <f>VLOOKUP(Table1[[#This Row],[Provider Type]] &amp; Table1[[#This Row],[Provider Type Description]], PROVIDER_TYPE, 2, FALSE)</f>
        <v>111</v>
      </c>
      <c r="J398" s="3">
        <v>341</v>
      </c>
      <c r="K398" s="3" t="s">
        <v>960</v>
      </c>
      <c r="L398" s="3">
        <f>VLOOKUP(TRIM(Table1[[#This Row],[Provider Specialty]]) &amp; TRIM(Table1[[#This Row],[Provider Specialty Description]]), SPECIALTY_TYPE, 2, FALSE)</f>
        <v>2101</v>
      </c>
      <c r="M398" s="3" t="s">
        <v>18</v>
      </c>
      <c r="N398" s="27" t="s">
        <v>18</v>
      </c>
      <c r="O398" s="38">
        <f>VLOOKUP(TRIM(Table1[[#This Row],[Provider Specialty]]) &amp; TRIM(Table1[[#This Row],[Provider Specialty Description]]), SPECIALTY_TYPE, 2, FALSE)</f>
        <v>2101</v>
      </c>
      <c r="P398" s="3" t="str">
        <f>Table1[[#This Row],[Provider Type]] &amp; "+" &amp; Table1[[#This Row],[Provider Type Description]]</f>
        <v>27+Dentist</v>
      </c>
      <c r="Q398" s="7" t="str">
        <f>Table1[[#This Row],[Provider Specialty]] &amp; "+" &amp; Table1[[#This Row],[Provider Specialty Description]]</f>
        <v>341+Radiologist</v>
      </c>
      <c r="R398" s="7" t="str">
        <f>Table1[[#This Row],[PDMS Specialty Type ID]] &amp; "+" &amp; Table1[[#This Row],[PDMS Provider Type ID]] &amp; "+" &amp;Table1[[#This Row],[TAXONOMY]]</f>
        <v>2101+111+1223X0008X</v>
      </c>
      <c r="S3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(9386, 2101, 111, N'1223X0008X', N'Dentist - Oral and Maxillofacial Radiology')</v>
      </c>
    </row>
    <row r="399" spans="1:19" ht="47.25" customHeight="1" x14ac:dyDescent="0.25">
      <c r="A399" s="22" t="s">
        <v>227</v>
      </c>
      <c r="B399" s="3" t="s">
        <v>919</v>
      </c>
      <c r="C399" s="3" t="s">
        <v>920</v>
      </c>
      <c r="D399" s="3" t="s">
        <v>929</v>
      </c>
      <c r="E399" s="3" t="s">
        <v>930</v>
      </c>
      <c r="F399" s="3">
        <f>VLOOKUP(Table1[[#This Row],[Column2]], TAXONOMY_TYPE, 2, FALSE)</f>
        <v>9387</v>
      </c>
      <c r="G399" s="3">
        <v>27</v>
      </c>
      <c r="H399" s="3" t="s">
        <v>923</v>
      </c>
      <c r="I399" s="3">
        <f>VLOOKUP(Table1[[#This Row],[Provider Type]] &amp; Table1[[#This Row],[Provider Type Description]], PROVIDER_TYPE, 2, FALSE)</f>
        <v>111</v>
      </c>
      <c r="J399" s="3">
        <v>669</v>
      </c>
      <c r="K399" s="3" t="s">
        <v>931</v>
      </c>
      <c r="L399" s="3">
        <f>VLOOKUP(TRIM(Table1[[#This Row],[Provider Specialty]]) &amp; TRIM(Table1[[#This Row],[Provider Specialty Description]]), SPECIALTY_TYPE, 2, FALSE)</f>
        <v>2345</v>
      </c>
      <c r="M399" s="3" t="s">
        <v>18</v>
      </c>
      <c r="N399" s="27" t="s">
        <v>19</v>
      </c>
      <c r="O399" s="38">
        <f>VLOOKUP(TRIM(Table1[[#This Row],[Provider Specialty]]) &amp; TRIM(Table1[[#This Row],[Provider Specialty Description]]), SPECIALTY_TYPE, 2, FALSE)</f>
        <v>2345</v>
      </c>
      <c r="P399" s="3" t="str">
        <f>Table1[[#This Row],[Provider Type]] &amp; "+" &amp; Table1[[#This Row],[Provider Type Description]]</f>
        <v>27+Dentist</v>
      </c>
      <c r="Q399" s="7" t="str">
        <f>Table1[[#This Row],[Provider Specialty]] &amp; "+" &amp; Table1[[#This Row],[Provider Specialty Description]]</f>
        <v>669+Anesthesiologist - Other</v>
      </c>
      <c r="R399" s="7" t="str">
        <f>Table1[[#This Row],[PDMS Specialty Type ID]] &amp; "+" &amp; Table1[[#This Row],[PDMS Provider Type ID]] &amp; "+" &amp;Table1[[#This Row],[TAXONOMY]]</f>
        <v>2345+111+1223D004X</v>
      </c>
      <c r="S3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(9387, 2345, 111, N'1223D004X', N'Dentist - Dentist Anesthesiologist')</v>
      </c>
    </row>
    <row r="400" spans="1:19" ht="47.25" customHeight="1" x14ac:dyDescent="0.25">
      <c r="A400" s="22" t="s">
        <v>227</v>
      </c>
      <c r="B400" s="3" t="s">
        <v>919</v>
      </c>
      <c r="C400" s="3" t="s">
        <v>920</v>
      </c>
      <c r="D400" s="3" t="s">
        <v>932</v>
      </c>
      <c r="E400" s="3" t="s">
        <v>933</v>
      </c>
      <c r="F400" s="3">
        <f>VLOOKUP(Table1[[#This Row],[Column2]], TAXONOMY_TYPE, 2, FALSE)</f>
        <v>9388</v>
      </c>
      <c r="G400" s="3">
        <v>27</v>
      </c>
      <c r="H400" s="3" t="s">
        <v>934</v>
      </c>
      <c r="I400" s="3">
        <f>VLOOKUP(Table1[[#This Row],[Provider Type]] &amp; Table1[[#This Row],[Provider Type Description]], PROVIDER_TYPE, 2, FALSE)</f>
        <v>110</v>
      </c>
      <c r="J400" s="3">
        <v>999</v>
      </c>
      <c r="K400" s="3" t="s">
        <v>935</v>
      </c>
      <c r="L400" s="3">
        <f>VLOOKUP(TRIM(Table1[[#This Row],[Provider Specialty]]) &amp; TRIM(Table1[[#This Row],[Provider Specialty Description]]), SPECIALTY_TYPE, 2, FALSE)</f>
        <v>2346</v>
      </c>
      <c r="M400" s="3" t="s">
        <v>18</v>
      </c>
      <c r="N400" s="27" t="s">
        <v>18</v>
      </c>
      <c r="O400" s="38">
        <f>VLOOKUP(TRIM(Table1[[#This Row],[Provider Specialty]]) &amp; TRIM(Table1[[#This Row],[Provider Specialty Description]]), SPECIALTY_TYPE, 2, FALSE)</f>
        <v>2346</v>
      </c>
      <c r="P400" s="3" t="str">
        <f>Table1[[#This Row],[Provider Type]] &amp; "+" &amp; Table1[[#This Row],[Provider Type Description]]</f>
        <v>27+Dental Therapist</v>
      </c>
      <c r="Q400" s="7" t="str">
        <f>Table1[[#This Row],[Provider Specialty]] &amp; "+" &amp; Table1[[#This Row],[Provider Specialty Description]]</f>
        <v>999+Miscellaneous</v>
      </c>
      <c r="R400" s="7" t="str">
        <f>Table1[[#This Row],[PDMS Specialty Type ID]] &amp; "+" &amp; Table1[[#This Row],[PDMS Provider Type ID]] &amp; "+" &amp;Table1[[#This Row],[TAXONOMY]]</f>
        <v>2346+110+125J00000X</v>
      </c>
      <c r="S4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(9388, 2346, 110, N'125J00000X', N'Dentist - Dentist Therapist')</v>
      </c>
    </row>
    <row r="401" spans="1:19" ht="47.25" customHeight="1" x14ac:dyDescent="0.25">
      <c r="A401" s="22" t="s">
        <v>227</v>
      </c>
      <c r="B401" s="3" t="s">
        <v>919</v>
      </c>
      <c r="C401" s="3" t="s">
        <v>920</v>
      </c>
      <c r="D401" s="3" t="s">
        <v>936</v>
      </c>
      <c r="E401" s="3" t="s">
        <v>1848</v>
      </c>
      <c r="F401" s="3">
        <f>VLOOKUP(Table1[[#This Row],[Column2]], TAXONOMY_TYPE, 2, FALSE)</f>
        <v>9389</v>
      </c>
      <c r="G401" s="3">
        <v>27</v>
      </c>
      <c r="H401" s="3" t="s">
        <v>937</v>
      </c>
      <c r="I401" s="3">
        <f>VLOOKUP(Table1[[#This Row],[Provider Type]] &amp; Table1[[#This Row],[Provider Type Description]], PROVIDER_TYPE, 2, FALSE)</f>
        <v>109</v>
      </c>
      <c r="J401" s="3">
        <v>999</v>
      </c>
      <c r="K401" s="3" t="s">
        <v>935</v>
      </c>
      <c r="L401" s="3">
        <f>VLOOKUP(TRIM(Table1[[#This Row],[Provider Specialty]]) &amp; TRIM(Table1[[#This Row],[Provider Specialty Description]]), SPECIALTY_TYPE, 2, FALSE)</f>
        <v>2346</v>
      </c>
      <c r="M401" s="3" t="s">
        <v>18</v>
      </c>
      <c r="N401" s="27" t="s">
        <v>18</v>
      </c>
      <c r="O401" s="38">
        <f>VLOOKUP(TRIM(Table1[[#This Row],[Provider Specialty]]) &amp; TRIM(Table1[[#This Row],[Provider Specialty Description]]), SPECIALTY_TYPE, 2, FALSE)</f>
        <v>2346</v>
      </c>
      <c r="P401" s="3" t="str">
        <f>Table1[[#This Row],[Provider Type]] &amp; "+" &amp; Table1[[#This Row],[Provider Type Description]]</f>
        <v>27+Advanced Dental Therapist</v>
      </c>
      <c r="Q401" s="7" t="str">
        <f>Table1[[#This Row],[Provider Specialty]] &amp; "+" &amp; Table1[[#This Row],[Provider Specialty Description]]</f>
        <v>999+Miscellaneous</v>
      </c>
      <c r="R401" s="7" t="str">
        <f>Table1[[#This Row],[PDMS Specialty Type ID]] &amp; "+" &amp; Table1[[#This Row],[PDMS Provider Type ID]] &amp; "+" &amp;Table1[[#This Row],[TAXONOMY]]</f>
        <v>2346+109+125K00000X</v>
      </c>
      <c r="S4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(9389, 2346, 109, N'125K00000X', N'Dentist - Advanced Practice Dental Therapist')</v>
      </c>
    </row>
    <row r="402" spans="1:19" ht="47.25" hidden="1" customHeight="1" x14ac:dyDescent="0.25">
      <c r="A402" s="22" t="s">
        <v>11</v>
      </c>
      <c r="B402" s="3" t="s">
        <v>965</v>
      </c>
      <c r="C402" s="3" t="s">
        <v>966</v>
      </c>
      <c r="D402" s="3" t="s">
        <v>966</v>
      </c>
      <c r="E402" s="3" t="s">
        <v>967</v>
      </c>
      <c r="F402" s="3">
        <f>VLOOKUP(Table1[[#This Row],[Column2]], TAXONOMY_TYPE, 2, FALSE)</f>
        <v>4777</v>
      </c>
      <c r="G402" s="3">
        <v>28</v>
      </c>
      <c r="H402" s="3" t="s">
        <v>963</v>
      </c>
      <c r="I402" s="3">
        <f>VLOOKUP(Table1[[#This Row],[Provider Type]] &amp; Table1[[#This Row],[Provider Type Description]], PROVIDER_TYPE, 2, FALSE)</f>
        <v>66</v>
      </c>
      <c r="J402" s="3">
        <v>280</v>
      </c>
      <c r="K402" s="3" t="s">
        <v>968</v>
      </c>
      <c r="L402" s="3">
        <f>VLOOKUP(TRIM(Table1[[#This Row],[Provider Specialty]]) &amp; TRIM(Table1[[#This Row],[Provider Specialty Description]]), SPECIALTY_TYPE, 2, FALSE)</f>
        <v>2149</v>
      </c>
      <c r="M402" s="3" t="s">
        <v>19</v>
      </c>
      <c r="N402" s="27" t="s">
        <v>19</v>
      </c>
      <c r="O402" s="38">
        <f>VLOOKUP(TRIM(Table1[[#This Row],[Provider Specialty]]) &amp; TRIM(Table1[[#This Row],[Provider Specialty Description]]), SPECIALTY_TYPE, 2, FALSE)</f>
        <v>2149</v>
      </c>
      <c r="P402" s="3" t="str">
        <f>Table1[[#This Row],[Provider Type]] &amp; "+" &amp; Table1[[#This Row],[Provider Type Description]]</f>
        <v>28+Laboratory</v>
      </c>
      <c r="Q402" s="7" t="str">
        <f>Table1[[#This Row],[Provider Specialty]] &amp; "+" &amp; Table1[[#This Row],[Provider Specialty Description]]</f>
        <v>280+Independent Lab</v>
      </c>
      <c r="R402" s="7" t="str">
        <f>Table1[[#This Row],[PDMS Specialty Type ID]] &amp; "+" &amp; Table1[[#This Row],[PDMS Provider Type ID]] &amp; "+" &amp;Table1[[#This Row],[TAXONOMY]]</f>
        <v>2149+66+291900000X</v>
      </c>
      <c r="S4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(4777, 2149, 66, N'291900000X', N'Military Clinical Medical Laboratory - Military Clinical Medical Laboratory')</v>
      </c>
    </row>
    <row r="403" spans="1:19" ht="47.25" hidden="1" customHeight="1" x14ac:dyDescent="0.25">
      <c r="A403" s="22" t="s">
        <v>11</v>
      </c>
      <c r="B403" s="3" t="s">
        <v>965</v>
      </c>
      <c r="C403" s="3" t="s">
        <v>969</v>
      </c>
      <c r="D403" s="3" t="s">
        <v>969</v>
      </c>
      <c r="E403" s="3" t="s">
        <v>970</v>
      </c>
      <c r="F403" s="3">
        <f>VLOOKUP(Table1[[#This Row],[Column2]], TAXONOMY_TYPE, 2, FALSE)</f>
        <v>4776</v>
      </c>
      <c r="G403" s="3">
        <v>28</v>
      </c>
      <c r="H403" s="3" t="s">
        <v>963</v>
      </c>
      <c r="I403" s="3">
        <f>VLOOKUP(Table1[[#This Row],[Provider Type]] &amp; Table1[[#This Row],[Provider Type Description]], PROVIDER_TYPE, 2, FALSE)</f>
        <v>66</v>
      </c>
      <c r="J403" s="3">
        <v>280</v>
      </c>
      <c r="K403" s="3" t="s">
        <v>968</v>
      </c>
      <c r="L403" s="3">
        <f>VLOOKUP(TRIM(Table1[[#This Row],[Provider Specialty]]) &amp; TRIM(Table1[[#This Row],[Provider Specialty Description]]), SPECIALTY_TYPE, 2, FALSE)</f>
        <v>2149</v>
      </c>
      <c r="M403" s="3" t="s">
        <v>19</v>
      </c>
      <c r="N403" s="27" t="s">
        <v>19</v>
      </c>
      <c r="O403" s="38">
        <f>VLOOKUP(TRIM(Table1[[#This Row],[Provider Specialty]]) &amp; TRIM(Table1[[#This Row],[Provider Specialty Description]]), SPECIALTY_TYPE, 2, FALSE)</f>
        <v>2149</v>
      </c>
      <c r="P403" s="3" t="str">
        <f>Table1[[#This Row],[Provider Type]] &amp; "+" &amp; Table1[[#This Row],[Provider Type Description]]</f>
        <v>28+Laboratory</v>
      </c>
      <c r="Q403" s="7" t="str">
        <f>Table1[[#This Row],[Provider Specialty]] &amp; "+" &amp; Table1[[#This Row],[Provider Specialty Description]]</f>
        <v>280+Independent Lab</v>
      </c>
      <c r="R403" s="7" t="str">
        <f>Table1[[#This Row],[PDMS Specialty Type ID]] &amp; "+" &amp; Table1[[#This Row],[PDMS Provider Type ID]] &amp; "+" &amp;Table1[[#This Row],[TAXONOMY]]</f>
        <v>2149+66+291U00000X</v>
      </c>
      <c r="S4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(4776, 2149, 66, N'291U00000X', N'Clinical Medical Laboratory - Clinical Medical Laboratory')</v>
      </c>
    </row>
    <row r="404" spans="1:19" ht="47.25" hidden="1" customHeight="1" x14ac:dyDescent="0.25">
      <c r="A404" s="22" t="s">
        <v>11</v>
      </c>
      <c r="B404" s="3" t="s">
        <v>965</v>
      </c>
      <c r="C404" s="3" t="s">
        <v>971</v>
      </c>
      <c r="D404" s="3" t="s">
        <v>971</v>
      </c>
      <c r="E404" s="3" t="s">
        <v>972</v>
      </c>
      <c r="F404" s="3">
        <f>VLOOKUP(Table1[[#This Row],[Column2]], TAXONOMY_TYPE, 2, FALSE)</f>
        <v>9058</v>
      </c>
      <c r="G404" s="3">
        <v>28</v>
      </c>
      <c r="H404" s="3" t="s">
        <v>963</v>
      </c>
      <c r="I404" s="3">
        <f>VLOOKUP(Table1[[#This Row],[Provider Type]] &amp; Table1[[#This Row],[Provider Type Description]], PROVIDER_TYPE, 2, FALSE)</f>
        <v>66</v>
      </c>
      <c r="J404" s="3">
        <v>280</v>
      </c>
      <c r="K404" s="3" t="s">
        <v>968</v>
      </c>
      <c r="L404" s="3">
        <f>VLOOKUP(TRIM(Table1[[#This Row],[Provider Specialty]]) &amp; TRIM(Table1[[#This Row],[Provider Specialty Description]]), SPECIALTY_TYPE, 2, FALSE)</f>
        <v>2149</v>
      </c>
      <c r="M404" s="3" t="s">
        <v>19</v>
      </c>
      <c r="N404" s="27" t="s">
        <v>19</v>
      </c>
      <c r="O404" s="38">
        <f>VLOOKUP(TRIM(Table1[[#This Row],[Provider Specialty]]) &amp; TRIM(Table1[[#This Row],[Provider Specialty Description]]), SPECIALTY_TYPE, 2, FALSE)</f>
        <v>2149</v>
      </c>
      <c r="P404" s="3" t="str">
        <f>Table1[[#This Row],[Provider Type]] &amp; "+" &amp; Table1[[#This Row],[Provider Type Description]]</f>
        <v>28+Laboratory</v>
      </c>
      <c r="Q404" s="7" t="str">
        <f>Table1[[#This Row],[Provider Specialty]] &amp; "+" &amp; Table1[[#This Row],[Provider Specialty Description]]</f>
        <v>280+Independent Lab</v>
      </c>
      <c r="R404" s="7" t="str">
        <f>Table1[[#This Row],[PDMS Specialty Type ID]] &amp; "+" &amp; Table1[[#This Row],[PDMS Provider Type ID]] &amp; "+" &amp;Table1[[#This Row],[TAXONOMY]]</f>
        <v>2149+66+292200000X</v>
      </c>
      <c r="S4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(9058, 2149, 66, N'292200000X', N'Dental Laboratory - Dental Laboratory')</v>
      </c>
    </row>
    <row r="405" spans="1:19" ht="47.25" hidden="1" customHeight="1" x14ac:dyDescent="0.25">
      <c r="A405" s="22" t="s">
        <v>11</v>
      </c>
      <c r="B405" s="3" t="s">
        <v>965</v>
      </c>
      <c r="C405" s="3" t="s">
        <v>973</v>
      </c>
      <c r="D405" s="3" t="s">
        <v>973</v>
      </c>
      <c r="E405" s="3" t="s">
        <v>974</v>
      </c>
      <c r="F405" s="3">
        <f>VLOOKUP(Table1[[#This Row],[Column2]], TAXONOMY_TYPE, 2, FALSE)</f>
        <v>4780</v>
      </c>
      <c r="G405" s="3">
        <v>28</v>
      </c>
      <c r="H405" s="3" t="s">
        <v>963</v>
      </c>
      <c r="I405" s="3">
        <f>VLOOKUP(Table1[[#This Row],[Provider Type]] &amp; Table1[[#This Row],[Provider Type Description]], PROVIDER_TYPE, 2, FALSE)</f>
        <v>66</v>
      </c>
      <c r="J405" s="3">
        <v>280</v>
      </c>
      <c r="K405" s="3" t="s">
        <v>968</v>
      </c>
      <c r="L405" s="3">
        <f>VLOOKUP(TRIM(Table1[[#This Row],[Provider Specialty]]) &amp; TRIM(Table1[[#This Row],[Provider Specialty Description]]), SPECIALTY_TYPE, 2, FALSE)</f>
        <v>2149</v>
      </c>
      <c r="M405" s="3" t="s">
        <v>19</v>
      </c>
      <c r="N405" s="27" t="s">
        <v>19</v>
      </c>
      <c r="O405" s="38">
        <f>VLOOKUP(TRIM(Table1[[#This Row],[Provider Specialty]]) &amp; TRIM(Table1[[#This Row],[Provider Specialty Description]]), SPECIALTY_TYPE, 2, FALSE)</f>
        <v>2149</v>
      </c>
      <c r="P405" s="3" t="str">
        <f>Table1[[#This Row],[Provider Type]] &amp; "+" &amp; Table1[[#This Row],[Provider Type Description]]</f>
        <v>28+Laboratory</v>
      </c>
      <c r="Q405" s="7" t="str">
        <f>Table1[[#This Row],[Provider Specialty]] &amp; "+" &amp; Table1[[#This Row],[Provider Specialty Description]]</f>
        <v>280+Independent Lab</v>
      </c>
      <c r="R405" s="7" t="str">
        <f>Table1[[#This Row],[PDMS Specialty Type ID]] &amp; "+" &amp; Table1[[#This Row],[PDMS Provider Type ID]] &amp; "+" &amp;Table1[[#This Row],[TAXONOMY]]</f>
        <v>2149+66+293D00000X</v>
      </c>
      <c r="S4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(4780, 2149, 66, N'293D00000X', N'Physiological Laboratory - Physiological Laboratory')</v>
      </c>
    </row>
    <row r="406" spans="1:19" ht="47.25" hidden="1" customHeight="1" x14ac:dyDescent="0.25">
      <c r="A406" s="22" t="s">
        <v>11</v>
      </c>
      <c r="B406" s="3" t="s">
        <v>84</v>
      </c>
      <c r="C406" s="3" t="s">
        <v>85</v>
      </c>
      <c r="D406" s="3" t="s">
        <v>961</v>
      </c>
      <c r="E406" s="3" t="s">
        <v>962</v>
      </c>
      <c r="F406" s="3">
        <f>VLOOKUP(Table1[[#This Row],[Column2]], TAXONOMY_TYPE, 2, FALSE)</f>
        <v>9057</v>
      </c>
      <c r="G406" s="3">
        <v>28</v>
      </c>
      <c r="H406" s="3" t="s">
        <v>963</v>
      </c>
      <c r="I406" s="3">
        <f>VLOOKUP(Table1[[#This Row],[Provider Type]] &amp; Table1[[#This Row],[Provider Type Description]], PROVIDER_TYPE, 2, FALSE)</f>
        <v>66</v>
      </c>
      <c r="J406" s="3">
        <v>281</v>
      </c>
      <c r="K406" s="3" t="s">
        <v>964</v>
      </c>
      <c r="L406" s="3">
        <f>VLOOKUP(TRIM(Table1[[#This Row],[Provider Specialty]]) &amp; TRIM(Table1[[#This Row],[Provider Specialty Description]]), SPECIALTY_TYPE, 2, FALSE)</f>
        <v>2194</v>
      </c>
      <c r="M406" s="3" t="s">
        <v>18</v>
      </c>
      <c r="N406" s="27" t="s">
        <v>19</v>
      </c>
      <c r="O406" s="38">
        <f>VLOOKUP(TRIM(Table1[[#This Row],[Provider Specialty]]) &amp; TRIM(Table1[[#This Row],[Provider Specialty Description]]), SPECIALTY_TYPE, 2, FALSE)</f>
        <v>2194</v>
      </c>
      <c r="P406" s="3" t="str">
        <f>Table1[[#This Row],[Provider Type]] &amp; "+" &amp; Table1[[#This Row],[Provider Type Description]]</f>
        <v>28+Laboratory</v>
      </c>
      <c r="Q406" s="7" t="str">
        <f>Table1[[#This Row],[Provider Specialty]] &amp; "+" &amp; Table1[[#This Row],[Provider Specialty Description]]</f>
        <v>281+Mobile Lab</v>
      </c>
      <c r="R406" s="7" t="str">
        <f>Table1[[#This Row],[PDMS Specialty Type ID]] &amp; "+" &amp; Table1[[#This Row],[PDMS Provider Type ID]] &amp; "+" &amp;Table1[[#This Row],[TAXONOMY]]</f>
        <v>2194+66+261QR0208X</v>
      </c>
      <c r="S4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(9057, 2194, 66, N'261QR0208X', N'Clinic/Center - Radiology, Mobile')</v>
      </c>
    </row>
    <row r="407" spans="1:19" ht="47.25" hidden="1" customHeight="1" x14ac:dyDescent="0.25">
      <c r="A407" s="22" t="s">
        <v>11</v>
      </c>
      <c r="B407" s="3" t="s">
        <v>84</v>
      </c>
      <c r="C407" s="3" t="s">
        <v>85</v>
      </c>
      <c r="D407" s="3" t="s">
        <v>564</v>
      </c>
      <c r="E407" s="3" t="s">
        <v>979</v>
      </c>
      <c r="F407" s="3">
        <f>VLOOKUP(Table1[[#This Row],[Column2]], TAXONOMY_TYPE, 2, FALSE)</f>
        <v>4699</v>
      </c>
      <c r="G407" s="3">
        <v>29</v>
      </c>
      <c r="H407" s="3" t="s">
        <v>977</v>
      </c>
      <c r="I407" s="3">
        <f>VLOOKUP(Table1[[#This Row],[Provider Type]] &amp; Table1[[#This Row],[Provider Type Description]], PROVIDER_TYPE, 2, FALSE)</f>
        <v>67</v>
      </c>
      <c r="J407" s="3">
        <v>290</v>
      </c>
      <c r="K407" s="3" t="s">
        <v>980</v>
      </c>
      <c r="L407" s="3">
        <f>VLOOKUP(TRIM(Table1[[#This Row],[Provider Specialty]]) &amp; TRIM(Table1[[#This Row],[Provider Specialty Description]]), SPECIALTY_TYPE, 2, FALSE)</f>
        <v>2143</v>
      </c>
      <c r="M407" s="3" t="s">
        <v>19</v>
      </c>
      <c r="N407" s="27" t="s">
        <v>19</v>
      </c>
      <c r="O407" s="38">
        <f>VLOOKUP(TRIM(Table1[[#This Row],[Provider Specialty]]) &amp; TRIM(Table1[[#This Row],[Provider Specialty Description]]), SPECIALTY_TYPE, 2, FALSE)</f>
        <v>2143</v>
      </c>
      <c r="P407" s="3" t="str">
        <f>Table1[[#This Row],[Provider Type]] &amp; "+" &amp; Table1[[#This Row],[Provider Type Description]]</f>
        <v>29+X-Ray Clinic</v>
      </c>
      <c r="Q407" s="7" t="str">
        <f>Table1[[#This Row],[Provider Specialty]] &amp; "+" &amp; Table1[[#This Row],[Provider Specialty Description]]</f>
        <v>290+Freestanding X-Ray Clinic</v>
      </c>
      <c r="R407" s="7" t="str">
        <f>Table1[[#This Row],[PDMS Specialty Type ID]] &amp; "+" &amp; Table1[[#This Row],[PDMS Provider Type ID]] &amp; "+" &amp;Table1[[#This Row],[TAXONOMY]]</f>
        <v>2143+67+261QR0200X</v>
      </c>
      <c r="S4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(4699, 2143, 67, N'261QR0200X', N'Clinic/Center - Radiology')</v>
      </c>
    </row>
    <row r="408" spans="1:19" ht="47.25" hidden="1" customHeight="1" x14ac:dyDescent="0.25">
      <c r="A408" s="22" t="s">
        <v>11</v>
      </c>
      <c r="B408" s="3" t="s">
        <v>84</v>
      </c>
      <c r="C408" s="3" t="s">
        <v>85</v>
      </c>
      <c r="D408" s="3" t="s">
        <v>981</v>
      </c>
      <c r="E408" s="3" t="s">
        <v>982</v>
      </c>
      <c r="F408" s="3">
        <f>VLOOKUP(Table1[[#This Row],[Column2]], TAXONOMY_TYPE, 2, FALSE)</f>
        <v>4787</v>
      </c>
      <c r="G408" s="3">
        <v>29</v>
      </c>
      <c r="H408" s="3" t="s">
        <v>977</v>
      </c>
      <c r="I408" s="3">
        <f>VLOOKUP(Table1[[#This Row],[Provider Type]] &amp; Table1[[#This Row],[Provider Type Description]], PROVIDER_TYPE, 2, FALSE)</f>
        <v>67</v>
      </c>
      <c r="J408" s="3">
        <v>291</v>
      </c>
      <c r="K408" s="3" t="s">
        <v>983</v>
      </c>
      <c r="L408" s="3">
        <f>VLOOKUP(TRIM(Table1[[#This Row],[Provider Specialty]]) &amp; TRIM(Table1[[#This Row],[Provider Specialty Description]]), SPECIALTY_TYPE, 2, FALSE)</f>
        <v>2153</v>
      </c>
      <c r="M408" s="3" t="s">
        <v>19</v>
      </c>
      <c r="N408" s="27" t="s">
        <v>19</v>
      </c>
      <c r="O408" s="38">
        <f>VLOOKUP(TRIM(Table1[[#This Row],[Provider Specialty]]) &amp; TRIM(Table1[[#This Row],[Provider Specialty Description]]), SPECIALTY_TYPE, 2, FALSE)</f>
        <v>2153</v>
      </c>
      <c r="P408" s="3" t="str">
        <f>Table1[[#This Row],[Provider Type]] &amp; "+" &amp; Table1[[#This Row],[Provider Type Description]]</f>
        <v>29+X-Ray Clinic</v>
      </c>
      <c r="Q408" s="7" t="str">
        <f>Table1[[#This Row],[Provider Specialty]] &amp; "+" &amp; Table1[[#This Row],[Provider Specialty Description]]</f>
        <v>291+Mobile X-Ray Clinic</v>
      </c>
      <c r="R408" s="7" t="str">
        <f>Table1[[#This Row],[PDMS Specialty Type ID]] &amp; "+" &amp; Table1[[#This Row],[PDMS Provider Type ID]] &amp; "+" &amp;Table1[[#This Row],[TAXONOMY]]</f>
        <v>2153+67+261QR0207X</v>
      </c>
      <c r="S4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(4787, 2153, 67, N'261QR0207X', N'Clinic/Center - Radiology, Mobile Mammography')</v>
      </c>
    </row>
    <row r="409" spans="1:19" ht="47.25" hidden="1" customHeight="1" x14ac:dyDescent="0.25">
      <c r="A409" s="22" t="s">
        <v>11</v>
      </c>
      <c r="B409" s="3" t="s">
        <v>84</v>
      </c>
      <c r="C409" s="3" t="s">
        <v>85</v>
      </c>
      <c r="D409" s="3" t="s">
        <v>961</v>
      </c>
      <c r="E409" s="3" t="s">
        <v>962</v>
      </c>
      <c r="F409" s="3">
        <f>VLOOKUP(Table1[[#This Row],[Column2]], TAXONOMY_TYPE, 2, FALSE)</f>
        <v>4786</v>
      </c>
      <c r="G409" s="3">
        <v>29</v>
      </c>
      <c r="H409" s="3" t="s">
        <v>977</v>
      </c>
      <c r="I409" s="3">
        <f>VLOOKUP(Table1[[#This Row],[Provider Type]] &amp; Table1[[#This Row],[Provider Type Description]], PROVIDER_TYPE, 2, FALSE)</f>
        <v>67</v>
      </c>
      <c r="J409" s="3">
        <v>291</v>
      </c>
      <c r="K409" s="3" t="s">
        <v>983</v>
      </c>
      <c r="L409" s="3">
        <f>VLOOKUP(TRIM(Table1[[#This Row],[Provider Specialty]]) &amp; TRIM(Table1[[#This Row],[Provider Specialty Description]]), SPECIALTY_TYPE, 2, FALSE)</f>
        <v>2153</v>
      </c>
      <c r="M409" s="3" t="s">
        <v>19</v>
      </c>
      <c r="N409" s="27" t="s">
        <v>19</v>
      </c>
      <c r="O409" s="38">
        <f>VLOOKUP(TRIM(Table1[[#This Row],[Provider Specialty]]) &amp; TRIM(Table1[[#This Row],[Provider Specialty Description]]), SPECIALTY_TYPE, 2, FALSE)</f>
        <v>2153</v>
      </c>
      <c r="P409" s="3" t="str">
        <f>Table1[[#This Row],[Provider Type]] &amp; "+" &amp; Table1[[#This Row],[Provider Type Description]]</f>
        <v>29+X-Ray Clinic</v>
      </c>
      <c r="Q409" s="7" t="str">
        <f>Table1[[#This Row],[Provider Specialty]] &amp; "+" &amp; Table1[[#This Row],[Provider Specialty Description]]</f>
        <v>291+Mobile X-Ray Clinic</v>
      </c>
      <c r="R409" s="7" t="str">
        <f>Table1[[#This Row],[PDMS Specialty Type ID]] &amp; "+" &amp; Table1[[#This Row],[PDMS Provider Type ID]] &amp; "+" &amp;Table1[[#This Row],[TAXONOMY]]</f>
        <v>2153+67+261QR0208X</v>
      </c>
      <c r="S4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(4786, 2153, 67, N'261QR0208X', N'Clinic/Center - Radiology, Mobile')</v>
      </c>
    </row>
    <row r="410" spans="1:19" ht="47.25" hidden="1" customHeight="1" x14ac:dyDescent="0.25">
      <c r="A410" s="22" t="s">
        <v>11</v>
      </c>
      <c r="B410" s="3" t="s">
        <v>84</v>
      </c>
      <c r="C410" s="3" t="s">
        <v>85</v>
      </c>
      <c r="D410" s="3" t="s">
        <v>975</v>
      </c>
      <c r="E410" s="3" t="s">
        <v>976</v>
      </c>
      <c r="F410" s="3">
        <f>VLOOKUP(Table1[[#This Row],[Column2]], TAXONOMY_TYPE, 2, FALSE)</f>
        <v>9073</v>
      </c>
      <c r="G410" s="3">
        <v>29</v>
      </c>
      <c r="H410" s="3" t="s">
        <v>977</v>
      </c>
      <c r="I410" s="3">
        <f>VLOOKUP(Table1[[#This Row],[Provider Type]] &amp; Table1[[#This Row],[Provider Type Description]], PROVIDER_TYPE, 2, FALSE)</f>
        <v>67</v>
      </c>
      <c r="J410" s="3">
        <v>292</v>
      </c>
      <c r="K410" s="3" t="s">
        <v>978</v>
      </c>
      <c r="L410" s="3">
        <f>VLOOKUP(TRIM(Table1[[#This Row],[Provider Specialty]]) &amp; TRIM(Table1[[#This Row],[Provider Specialty Description]]), SPECIALTY_TYPE, 2, FALSE)</f>
        <v>2199</v>
      </c>
      <c r="M410" s="3" t="s">
        <v>18</v>
      </c>
      <c r="N410" s="27" t="s">
        <v>19</v>
      </c>
      <c r="O410" s="38">
        <f>VLOOKUP(TRIM(Table1[[#This Row],[Provider Specialty]]) &amp; TRIM(Table1[[#This Row],[Provider Specialty Description]]), SPECIALTY_TYPE, 2, FALSE)</f>
        <v>2199</v>
      </c>
      <c r="P410" s="3" t="str">
        <f>Table1[[#This Row],[Provider Type]] &amp; "+" &amp; Table1[[#This Row],[Provider Type Description]]</f>
        <v>29+X-Ray Clinic</v>
      </c>
      <c r="Q410" s="7" t="str">
        <f>Table1[[#This Row],[Provider Specialty]] &amp; "+" &amp; Table1[[#This Row],[Provider Specialty Description]]</f>
        <v>292+Mammography</v>
      </c>
      <c r="R410" s="7" t="str">
        <f>Table1[[#This Row],[PDMS Specialty Type ID]] &amp; "+" &amp; Table1[[#This Row],[PDMS Provider Type ID]] &amp; "+" &amp;Table1[[#This Row],[TAXONOMY]]</f>
        <v>2199+67+261QR0206X</v>
      </c>
      <c r="S4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(9073, 2199, 67, N'261QR0206X', N'Clinic/Center - Radiology, Mammography')</v>
      </c>
    </row>
    <row r="411" spans="1:19" ht="47.25" hidden="1" customHeight="1" x14ac:dyDescent="0.25">
      <c r="A411" s="22" t="s">
        <v>11</v>
      </c>
      <c r="B411" s="3" t="s">
        <v>84</v>
      </c>
      <c r="C411" s="3" t="s">
        <v>85</v>
      </c>
      <c r="D411" s="3" t="s">
        <v>984</v>
      </c>
      <c r="E411" s="3" t="s">
        <v>985</v>
      </c>
      <c r="F411" s="3">
        <f>VLOOKUP(Table1[[#This Row],[Column2]], TAXONOMY_TYPE, 2, FALSE)</f>
        <v>4696</v>
      </c>
      <c r="G411" s="3">
        <v>30</v>
      </c>
      <c r="H411" s="3" t="s">
        <v>986</v>
      </c>
      <c r="I411" s="3">
        <f>VLOOKUP(Table1[[#This Row],[Provider Type]] &amp; Table1[[#This Row],[Provider Type Description]], PROVIDER_TYPE, 2, FALSE)</f>
        <v>68</v>
      </c>
      <c r="J411" s="3">
        <v>300</v>
      </c>
      <c r="K411" s="3" t="s">
        <v>987</v>
      </c>
      <c r="L411" s="3">
        <f>VLOOKUP(TRIM(Table1[[#This Row],[Provider Specialty]]) &amp; TRIM(Table1[[#This Row],[Provider Specialty Description]]), SPECIALTY_TYPE, 2, FALSE)</f>
        <v>2142</v>
      </c>
      <c r="M411" s="3" t="s">
        <v>19</v>
      </c>
      <c r="N411" s="27" t="s">
        <v>19</v>
      </c>
      <c r="O411" s="38">
        <f>VLOOKUP(TRIM(Table1[[#This Row],[Provider Specialty]]) &amp; TRIM(Table1[[#This Row],[Provider Specialty Description]]), SPECIALTY_TYPE, 2, FALSE)</f>
        <v>2142</v>
      </c>
      <c r="P411" s="3" t="str">
        <f>Table1[[#This Row],[Provider Type]] &amp; "+" &amp; Table1[[#This Row],[Provider Type Description]]</f>
        <v>30+End-Stage Renal Disease (RSD) Clinic</v>
      </c>
      <c r="Q411" s="7" t="str">
        <f>Table1[[#This Row],[Provider Specialty]] &amp; "+" &amp; Table1[[#This Row],[Provider Specialty Description]]</f>
        <v>300+Free-standing Renal Dialysis Clinic</v>
      </c>
      <c r="R411" s="7" t="str">
        <f>Table1[[#This Row],[PDMS Specialty Type ID]] &amp; "+" &amp; Table1[[#This Row],[PDMS Provider Type ID]] &amp; "+" &amp;Table1[[#This Row],[TAXONOMY]]</f>
        <v>2142+68+261QE0700X</v>
      </c>
      <c r="S4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(4696, 2142, 68, N'261QE0700X', N'Clinic/Center - End-Stage Renal Disease (ESRD) Treatment')</v>
      </c>
    </row>
    <row r="412" spans="1:19" ht="47.25" hidden="1" customHeight="1" x14ac:dyDescent="0.25">
      <c r="A412" s="22" t="s">
        <v>1855</v>
      </c>
      <c r="B412" s="3" t="s">
        <v>572</v>
      </c>
      <c r="C412" s="3" t="s">
        <v>573</v>
      </c>
      <c r="D412" s="3" t="s">
        <v>573</v>
      </c>
      <c r="E412" s="3" t="s">
        <v>574</v>
      </c>
      <c r="F412" s="3">
        <f>VLOOKUP(Table1[[#This Row],[Column2]], TAXONOMY_TYPE, 2, FALSE)</f>
        <v>9390</v>
      </c>
      <c r="G412" s="3">
        <v>31</v>
      </c>
      <c r="H412" s="3" t="s">
        <v>991</v>
      </c>
      <c r="I412" s="3">
        <f>VLOOKUP(Table1[[#This Row],[Provider Type]] &amp; Table1[[#This Row],[Provider Type Description]], PROVIDER_TYPE, 2, FALSE)</f>
        <v>114</v>
      </c>
      <c r="J412" s="3">
        <v>150</v>
      </c>
      <c r="K412" s="3" t="s">
        <v>575</v>
      </c>
      <c r="L412" s="3">
        <f>VLOOKUP(TRIM(Table1[[#This Row],[Provider Specialty]]) &amp; TRIM(Table1[[#This Row],[Provider Specialty Description]]), SPECIALTY_TYPE, 2, FALSE)</f>
        <v>1</v>
      </c>
      <c r="M412" s="3" t="s">
        <v>19</v>
      </c>
      <c r="N412" s="27" t="s">
        <v>19</v>
      </c>
      <c r="O412" s="38">
        <f>VLOOKUP(TRIM(Table1[[#This Row],[Provider Specialty]]) &amp; TRIM(Table1[[#This Row],[Provider Specialty Description]]), SPECIALTY_TYPE, 2, FALSE)</f>
        <v>1</v>
      </c>
      <c r="P412" s="3" t="str">
        <f>Table1[[#This Row],[Provider Type]] &amp; "+" &amp; Table1[[#This Row],[Provider Type Description]]</f>
        <v>31+Physician</v>
      </c>
      <c r="Q412" s="7" t="str">
        <f>Table1[[#This Row],[Provider Specialty]] &amp; "+" &amp; Table1[[#This Row],[Provider Specialty Description]]</f>
        <v>150+Chiropractor</v>
      </c>
      <c r="R412" s="7" t="str">
        <f>Table1[[#This Row],[PDMS Specialty Type ID]] &amp; "+" &amp; Table1[[#This Row],[PDMS Provider Type ID]] &amp; "+" &amp;Table1[[#This Row],[TAXONOMY]]</f>
        <v>1+114+111N00000X</v>
      </c>
      <c r="S4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(9390, 1, 114, N'111N00000X', N'Chiropractor - Chiropractor')</v>
      </c>
    </row>
    <row r="413" spans="1:19" ht="47.25" hidden="1" customHeight="1" x14ac:dyDescent="0.25">
      <c r="A413" s="22" t="s">
        <v>1854</v>
      </c>
      <c r="B413" s="3" t="s">
        <v>572</v>
      </c>
      <c r="C413" s="3" t="s">
        <v>573</v>
      </c>
      <c r="D413" s="3" t="s">
        <v>573</v>
      </c>
      <c r="E413" s="3" t="s">
        <v>574</v>
      </c>
      <c r="F413" s="3">
        <f>VLOOKUP(Table1[[#This Row],[Column2]], TAXONOMY_TYPE, 2, FALSE)</f>
        <v>9391</v>
      </c>
      <c r="G413" s="3">
        <v>32</v>
      </c>
      <c r="H413" s="3" t="s">
        <v>1444</v>
      </c>
      <c r="I413" s="3">
        <f>VLOOKUP(Table1[[#This Row],[Provider Type]] &amp; Table1[[#This Row],[Provider Type Description]], PROVIDER_TYPE, 2, FALSE)</f>
        <v>50</v>
      </c>
      <c r="J413" s="3">
        <v>150</v>
      </c>
      <c r="K413" s="3" t="s">
        <v>575</v>
      </c>
      <c r="L413" s="3">
        <f>VLOOKUP(TRIM(Table1[[#This Row],[Provider Specialty]]) &amp; TRIM(Table1[[#This Row],[Provider Specialty Description]]), SPECIALTY_TYPE, 2, FALSE)</f>
        <v>1</v>
      </c>
      <c r="M413" s="3" t="s">
        <v>18</v>
      </c>
      <c r="N413" s="27" t="s">
        <v>19</v>
      </c>
      <c r="O413" s="38">
        <f>VLOOKUP(TRIM(Table1[[#This Row],[Provider Specialty]]) &amp; TRIM(Table1[[#This Row],[Provider Specialty Description]]), SPECIALTY_TYPE, 2, FALSE)</f>
        <v>1</v>
      </c>
      <c r="P413" s="3" t="str">
        <f>Table1[[#This Row],[Provider Type]] &amp; "+" &amp; Table1[[#This Row],[Provider Type Description]]</f>
        <v>32+Multi-Specialty</v>
      </c>
      <c r="Q413" s="7" t="str">
        <f>Table1[[#This Row],[Provider Specialty]] &amp; "+" &amp; Table1[[#This Row],[Provider Specialty Description]]</f>
        <v>150+Chiropractor</v>
      </c>
      <c r="R413" s="7" t="str">
        <f>Table1[[#This Row],[PDMS Specialty Type ID]] &amp; "+" &amp; Table1[[#This Row],[PDMS Provider Type ID]] &amp; "+" &amp;Table1[[#This Row],[TAXONOMY]]</f>
        <v>1+50+111N00000X</v>
      </c>
      <c r="S4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(9391, 1, 50, N'111N00000X', N'Chiropractor - Chiropractor')</v>
      </c>
    </row>
    <row r="414" spans="1:19" ht="47.25" hidden="1" customHeight="1" x14ac:dyDescent="0.25">
      <c r="A414" s="22" t="s">
        <v>1854</v>
      </c>
      <c r="B414" s="3" t="s">
        <v>572</v>
      </c>
      <c r="C414" s="3" t="s">
        <v>573</v>
      </c>
      <c r="D414" s="3" t="s">
        <v>573</v>
      </c>
      <c r="E414" s="3" t="s">
        <v>574</v>
      </c>
      <c r="F414" s="3">
        <f>VLOOKUP(Table1[[#This Row],[Column2]], TAXONOMY_TYPE, 2, FALSE)</f>
        <v>9392</v>
      </c>
      <c r="G414" s="3">
        <v>33</v>
      </c>
      <c r="H414" s="3" t="s">
        <v>1953</v>
      </c>
      <c r="I414" s="3">
        <f>VLOOKUP(Table1[[#This Row],[Provider Type]] &amp; Table1[[#This Row],[Provider Type Description]], PROVIDER_TYPE, 2, FALSE)</f>
        <v>51</v>
      </c>
      <c r="J414" s="3">
        <v>150</v>
      </c>
      <c r="K414" s="3" t="s">
        <v>575</v>
      </c>
      <c r="L414" s="3">
        <f>VLOOKUP(TRIM(Table1[[#This Row],[Provider Specialty]]) &amp; TRIM(Table1[[#This Row],[Provider Specialty Description]]), SPECIALTY_TYPE, 2, FALSE)</f>
        <v>1</v>
      </c>
      <c r="M414" s="3" t="s">
        <v>18</v>
      </c>
      <c r="N414" s="27" t="s">
        <v>19</v>
      </c>
      <c r="O414" s="38">
        <f>VLOOKUP(TRIM(Table1[[#This Row],[Provider Specialty]]) &amp; TRIM(Table1[[#This Row],[Provider Specialty Description]]), SPECIALTY_TYPE, 2, FALSE)</f>
        <v>1</v>
      </c>
      <c r="P414" s="3" t="str">
        <f>Table1[[#This Row],[Provider Type]] &amp; "+" &amp; Table1[[#This Row],[Provider Type Description]]</f>
        <v>33+Single-Specialty</v>
      </c>
      <c r="Q414" s="7" t="str">
        <f>Table1[[#This Row],[Provider Specialty]] &amp; "+" &amp; Table1[[#This Row],[Provider Specialty Description]]</f>
        <v>150+Chiropractor</v>
      </c>
      <c r="R414" s="7" t="str">
        <f>Table1[[#This Row],[PDMS Specialty Type ID]] &amp; "+" &amp; Table1[[#This Row],[PDMS Provider Type ID]] &amp; "+" &amp;Table1[[#This Row],[TAXONOMY]]</f>
        <v>1+51+111N00000X</v>
      </c>
      <c r="S4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(9392, 1, 51, N'111N00000X', N'Chiropractor - Chiropractor')</v>
      </c>
    </row>
    <row r="415" spans="1:19" ht="47.25" hidden="1" customHeight="1" x14ac:dyDescent="0.25">
      <c r="A415" s="22" t="s">
        <v>1855</v>
      </c>
      <c r="B415" s="3" t="s">
        <v>780</v>
      </c>
      <c r="C415" s="3" t="s">
        <v>795</v>
      </c>
      <c r="D415" s="3" t="s">
        <v>811</v>
      </c>
      <c r="E415" s="3" t="s">
        <v>812</v>
      </c>
      <c r="F415" s="3">
        <f>VLOOKUP(Table1[[#This Row],[Column2]], TAXONOMY_TYPE, 2, FALSE)</f>
        <v>9393</v>
      </c>
      <c r="G415" s="3">
        <v>31</v>
      </c>
      <c r="H415" s="3" t="s">
        <v>991</v>
      </c>
      <c r="I415" s="3">
        <f>VLOOKUP(Table1[[#This Row],[Provider Type]] &amp; Table1[[#This Row],[Provider Type Description]], PROVIDER_TYPE, 2, FALSE)</f>
        <v>114</v>
      </c>
      <c r="J415" s="3">
        <v>190</v>
      </c>
      <c r="K415" s="3" t="s">
        <v>797</v>
      </c>
      <c r="L415" s="3">
        <f>VLOOKUP(TRIM(Table1[[#This Row],[Provider Specialty]]) &amp; TRIM(Table1[[#This Row],[Provider Specialty Description]]), SPECIALTY_TYPE, 2, FALSE)</f>
        <v>1063</v>
      </c>
      <c r="M415" s="3" t="s">
        <v>19</v>
      </c>
      <c r="N415" s="27" t="s">
        <v>19</v>
      </c>
      <c r="O415" s="38">
        <f>VLOOKUP(TRIM(Table1[[#This Row],[Provider Specialty]]) &amp; TRIM(Table1[[#This Row],[Provider Specialty Description]]), SPECIALTY_TYPE, 2, FALSE)</f>
        <v>1063</v>
      </c>
      <c r="P415" s="3" t="str">
        <f>Table1[[#This Row],[Provider Type]] &amp; "+" &amp; Table1[[#This Row],[Provider Type Description]]</f>
        <v>31+Physician</v>
      </c>
      <c r="Q415" s="7" t="str">
        <f>Table1[[#This Row],[Provider Specialty]] &amp; "+" &amp; Table1[[#This Row],[Provider Specialty Description]]</f>
        <v>190+Optician</v>
      </c>
      <c r="R415" s="7" t="str">
        <f>Table1[[#This Row],[PDMS Specialty Type ID]] &amp; "+" &amp; Table1[[#This Row],[PDMS Provider Type ID]] &amp; "+" &amp;Table1[[#This Row],[TAXONOMY]]</f>
        <v>1063+114+156FX1800X</v>
      </c>
      <c r="S4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(9393, 1063, 114, N'156FX1800X', N'Technician/Technologist - Optician')</v>
      </c>
    </row>
    <row r="416" spans="1:19" ht="47.25" hidden="1" customHeight="1" x14ac:dyDescent="0.25">
      <c r="A416" s="22" t="s">
        <v>1854</v>
      </c>
      <c r="B416" s="3" t="s">
        <v>780</v>
      </c>
      <c r="C416" s="3" t="s">
        <v>795</v>
      </c>
      <c r="D416" s="3" t="s">
        <v>811</v>
      </c>
      <c r="E416" s="3" t="s">
        <v>812</v>
      </c>
      <c r="F416" s="3">
        <f>VLOOKUP(Table1[[#This Row],[Column2]], TAXONOMY_TYPE, 2, FALSE)</f>
        <v>9394</v>
      </c>
      <c r="G416" s="3">
        <v>32</v>
      </c>
      <c r="H416" s="3" t="s">
        <v>1444</v>
      </c>
      <c r="I416" s="3">
        <f>VLOOKUP(Table1[[#This Row],[Provider Type]] &amp; Table1[[#This Row],[Provider Type Description]], PROVIDER_TYPE, 2, FALSE)</f>
        <v>50</v>
      </c>
      <c r="J416" s="3">
        <v>190</v>
      </c>
      <c r="K416" s="3" t="s">
        <v>797</v>
      </c>
      <c r="L416" s="3">
        <f>VLOOKUP(TRIM(Table1[[#This Row],[Provider Specialty]]) &amp; TRIM(Table1[[#This Row],[Provider Specialty Description]]), SPECIALTY_TYPE, 2, FALSE)</f>
        <v>1063</v>
      </c>
      <c r="M416" s="3" t="s">
        <v>18</v>
      </c>
      <c r="N416" s="27" t="s">
        <v>19</v>
      </c>
      <c r="O416" s="38">
        <f>VLOOKUP(TRIM(Table1[[#This Row],[Provider Specialty]]) &amp; TRIM(Table1[[#This Row],[Provider Specialty Description]]), SPECIALTY_TYPE, 2, FALSE)</f>
        <v>1063</v>
      </c>
      <c r="P416" s="3" t="str">
        <f>Table1[[#This Row],[Provider Type]] &amp; "+" &amp; Table1[[#This Row],[Provider Type Description]]</f>
        <v>32+Multi-Specialty</v>
      </c>
      <c r="Q416" s="7" t="str">
        <f>Table1[[#This Row],[Provider Specialty]] &amp; "+" &amp; Table1[[#This Row],[Provider Specialty Description]]</f>
        <v>190+Optician</v>
      </c>
      <c r="R416" s="7" t="str">
        <f>Table1[[#This Row],[PDMS Specialty Type ID]] &amp; "+" &amp; Table1[[#This Row],[PDMS Provider Type ID]] &amp; "+" &amp;Table1[[#This Row],[TAXONOMY]]</f>
        <v>1063+50+156FX1800X</v>
      </c>
      <c r="S4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(9394, 1063, 50, N'156FX1800X', N'Technician/Technologist - Optician')</v>
      </c>
    </row>
    <row r="417" spans="1:19" ht="47.25" hidden="1" customHeight="1" x14ac:dyDescent="0.25">
      <c r="A417" s="22" t="s">
        <v>1854</v>
      </c>
      <c r="B417" s="3" t="s">
        <v>780</v>
      </c>
      <c r="C417" s="3" t="s">
        <v>795</v>
      </c>
      <c r="D417" s="3" t="s">
        <v>811</v>
      </c>
      <c r="E417" s="3" t="s">
        <v>812</v>
      </c>
      <c r="F417" s="3">
        <f>VLOOKUP(Table1[[#This Row],[Column2]], TAXONOMY_TYPE, 2, FALSE)</f>
        <v>9395</v>
      </c>
      <c r="G417" s="3">
        <v>33</v>
      </c>
      <c r="H417" s="3" t="s">
        <v>1953</v>
      </c>
      <c r="I417" s="3">
        <f>VLOOKUP(Table1[[#This Row],[Provider Type]] &amp; Table1[[#This Row],[Provider Type Description]], PROVIDER_TYPE, 2, FALSE)</f>
        <v>51</v>
      </c>
      <c r="J417" s="3">
        <v>190</v>
      </c>
      <c r="K417" s="3" t="s">
        <v>797</v>
      </c>
      <c r="L417" s="3">
        <f>VLOOKUP(TRIM(Table1[[#This Row],[Provider Specialty]]) &amp; TRIM(Table1[[#This Row],[Provider Specialty Description]]), SPECIALTY_TYPE, 2, FALSE)</f>
        <v>1063</v>
      </c>
      <c r="M417" s="3" t="s">
        <v>18</v>
      </c>
      <c r="N417" s="27" t="s">
        <v>19</v>
      </c>
      <c r="O417" s="38">
        <f>VLOOKUP(TRIM(Table1[[#This Row],[Provider Specialty]]) &amp; TRIM(Table1[[#This Row],[Provider Specialty Description]]), SPECIALTY_TYPE, 2, FALSE)</f>
        <v>1063</v>
      </c>
      <c r="P417" s="3" t="str">
        <f>Table1[[#This Row],[Provider Type]] &amp; "+" &amp; Table1[[#This Row],[Provider Type Description]]</f>
        <v>33+Single-Specialty</v>
      </c>
      <c r="Q417" s="7" t="str">
        <f>Table1[[#This Row],[Provider Specialty]] &amp; "+" &amp; Table1[[#This Row],[Provider Specialty Description]]</f>
        <v>190+Optician</v>
      </c>
      <c r="R417" s="7" t="str">
        <f>Table1[[#This Row],[PDMS Specialty Type ID]] &amp; "+" &amp; Table1[[#This Row],[PDMS Provider Type ID]] &amp; "+" &amp;Table1[[#This Row],[TAXONOMY]]</f>
        <v>1063+51+156FX1800X</v>
      </c>
      <c r="S4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(9395, 1063, 51, N'156FX1800X', N'Technician/Technologist - Optician')</v>
      </c>
    </row>
    <row r="418" spans="1:19" ht="47.25" hidden="1" customHeight="1" x14ac:dyDescent="0.25">
      <c r="A418" s="22" t="s">
        <v>1855</v>
      </c>
      <c r="B418" s="3" t="s">
        <v>1262</v>
      </c>
      <c r="C418" s="3" t="s">
        <v>1263</v>
      </c>
      <c r="D418" s="3" t="s">
        <v>1264</v>
      </c>
      <c r="E418" s="3" t="s">
        <v>1265</v>
      </c>
      <c r="F418" s="3">
        <f>VLOOKUP(Table1[[#This Row],[Column2]], TAXONOMY_TYPE, 2, FALSE)</f>
        <v>9396</v>
      </c>
      <c r="G418" s="3">
        <v>31</v>
      </c>
      <c r="H418" s="3" t="s">
        <v>826</v>
      </c>
      <c r="I418" s="3">
        <f>VLOOKUP(Table1[[#This Row],[Provider Type]] &amp; Table1[[#This Row],[Provider Type Description]], PROVIDER_TYPE, 2, FALSE)</f>
        <v>112</v>
      </c>
      <c r="J418" s="3">
        <v>217</v>
      </c>
      <c r="K418" s="3" t="s">
        <v>827</v>
      </c>
      <c r="L418" s="3">
        <f>VLOOKUP(TRIM(Table1[[#This Row],[Provider Specialty]]) &amp; TRIM(Table1[[#This Row],[Provider Specialty Description]]), SPECIALTY_TYPE, 2, FALSE)</f>
        <v>2226</v>
      </c>
      <c r="M418" s="3" t="s">
        <v>19</v>
      </c>
      <c r="N418" s="27" t="s">
        <v>19</v>
      </c>
      <c r="O418" s="38">
        <f>VLOOKUP(TRIM(Table1[[#This Row],[Provider Specialty]]) &amp; TRIM(Table1[[#This Row],[Provider Specialty Description]]), SPECIALTY_TYPE, 2, FALSE)</f>
        <v>2226</v>
      </c>
      <c r="P418" s="3" t="str">
        <f>Table1[[#This Row],[Provider Type]] &amp; "+" &amp; Table1[[#This Row],[Provider Type Description]]</f>
        <v>31+Case Manager (Targeted)</v>
      </c>
      <c r="Q418" s="7" t="str">
        <f>Table1[[#This Row],[Provider Specialty]] &amp; "+" &amp; Table1[[#This Row],[Provider Specialty Description]]</f>
        <v>217+Child Welfare Targeted Case Management</v>
      </c>
      <c r="R418" s="7" t="str">
        <f>Table1[[#This Row],[PDMS Specialty Type ID]] &amp; "+" &amp; Table1[[#This Row],[PDMS Provider Type ID]] &amp; "+" &amp;Table1[[#This Row],[TAXONOMY]]</f>
        <v>2226+112+2080C0008X</v>
      </c>
      <c r="S4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(9396, 2226, 112, N'2080C0008X', N'Pediatrics - Child Abuse Pediatrics Specialization')</v>
      </c>
    </row>
    <row r="419" spans="1:19" ht="47.25" hidden="1" customHeight="1" x14ac:dyDescent="0.25">
      <c r="A419" s="22" t="s">
        <v>1854</v>
      </c>
      <c r="B419" s="3" t="s">
        <v>1262</v>
      </c>
      <c r="C419" s="3" t="s">
        <v>1263</v>
      </c>
      <c r="D419" s="3" t="s">
        <v>1264</v>
      </c>
      <c r="E419" s="3" t="s">
        <v>1265</v>
      </c>
      <c r="F419" s="3">
        <f>VLOOKUP(Table1[[#This Row],[Column2]], TAXONOMY_TYPE, 2, FALSE)</f>
        <v>9397</v>
      </c>
      <c r="G419" s="3">
        <v>32</v>
      </c>
      <c r="H419" s="3" t="s">
        <v>1444</v>
      </c>
      <c r="I419" s="3">
        <f>VLOOKUP(Table1[[#This Row],[Provider Type]] &amp; Table1[[#This Row],[Provider Type Description]], PROVIDER_TYPE, 2, FALSE)</f>
        <v>50</v>
      </c>
      <c r="J419" s="3">
        <v>217</v>
      </c>
      <c r="K419" s="3" t="s">
        <v>827</v>
      </c>
      <c r="L419" s="3">
        <f>VLOOKUP(TRIM(Table1[[#This Row],[Provider Specialty]]) &amp; TRIM(Table1[[#This Row],[Provider Specialty Description]]), SPECIALTY_TYPE, 2, FALSE)</f>
        <v>2226</v>
      </c>
      <c r="M419" s="3" t="s">
        <v>18</v>
      </c>
      <c r="N419" s="27" t="s">
        <v>916</v>
      </c>
      <c r="O419" s="38">
        <f>VLOOKUP(TRIM(Table1[[#This Row],[Provider Specialty]]) &amp; TRIM(Table1[[#This Row],[Provider Specialty Description]]), SPECIALTY_TYPE, 2, FALSE)</f>
        <v>2226</v>
      </c>
      <c r="P419" s="3" t="str">
        <f>Table1[[#This Row],[Provider Type]] &amp; "+" &amp; Table1[[#This Row],[Provider Type Description]]</f>
        <v>32+Multi-Specialty</v>
      </c>
      <c r="Q419" s="7" t="str">
        <f>Table1[[#This Row],[Provider Specialty]] &amp; "+" &amp; Table1[[#This Row],[Provider Specialty Description]]</f>
        <v>217+Child Welfare Targeted Case Management</v>
      </c>
      <c r="R419" s="7" t="str">
        <f>Table1[[#This Row],[PDMS Specialty Type ID]] &amp; "+" &amp; Table1[[#This Row],[PDMS Provider Type ID]] &amp; "+" &amp;Table1[[#This Row],[TAXONOMY]]</f>
        <v>2226+50+2080C0008X</v>
      </c>
      <c r="S4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(9397, 2226, 50, N'2080C0008X', N'Pediatrics - Child Abuse Pediatrics Specialization')</v>
      </c>
    </row>
    <row r="420" spans="1:19" ht="47.25" hidden="1" customHeight="1" x14ac:dyDescent="0.25">
      <c r="A420" s="22" t="s">
        <v>1854</v>
      </c>
      <c r="B420" s="3" t="s">
        <v>1262</v>
      </c>
      <c r="C420" s="3" t="s">
        <v>1263</v>
      </c>
      <c r="D420" s="3" t="s">
        <v>1264</v>
      </c>
      <c r="E420" s="3" t="s">
        <v>1265</v>
      </c>
      <c r="F420" s="3">
        <f>VLOOKUP(Table1[[#This Row],[Column2]], TAXONOMY_TYPE, 2, FALSE)</f>
        <v>9398</v>
      </c>
      <c r="G420" s="3">
        <v>33</v>
      </c>
      <c r="H420" s="3" t="s">
        <v>1953</v>
      </c>
      <c r="I420" s="3">
        <f>VLOOKUP(Table1[[#This Row],[Provider Type]] &amp; Table1[[#This Row],[Provider Type Description]], PROVIDER_TYPE, 2, FALSE)</f>
        <v>51</v>
      </c>
      <c r="J420" s="3">
        <v>217</v>
      </c>
      <c r="K420" s="3" t="s">
        <v>827</v>
      </c>
      <c r="L420" s="3">
        <f>VLOOKUP(TRIM(Table1[[#This Row],[Provider Specialty]]) &amp; TRIM(Table1[[#This Row],[Provider Specialty Description]]), SPECIALTY_TYPE, 2, FALSE)</f>
        <v>2226</v>
      </c>
      <c r="M420" s="3" t="s">
        <v>18</v>
      </c>
      <c r="N420" s="27" t="s">
        <v>19</v>
      </c>
      <c r="O420" s="38">
        <f>VLOOKUP(TRIM(Table1[[#This Row],[Provider Specialty]]) &amp; TRIM(Table1[[#This Row],[Provider Specialty Description]]), SPECIALTY_TYPE, 2, FALSE)</f>
        <v>2226</v>
      </c>
      <c r="P420" s="3" t="str">
        <f>Table1[[#This Row],[Provider Type]] &amp; "+" &amp; Table1[[#This Row],[Provider Type Description]]</f>
        <v>33+Single-Specialty</v>
      </c>
      <c r="Q420" s="7" t="str">
        <f>Table1[[#This Row],[Provider Specialty]] &amp; "+" &amp; Table1[[#This Row],[Provider Specialty Description]]</f>
        <v>217+Child Welfare Targeted Case Management</v>
      </c>
      <c r="R420" s="7" t="str">
        <f>Table1[[#This Row],[PDMS Specialty Type ID]] &amp; "+" &amp; Table1[[#This Row],[PDMS Provider Type ID]] &amp; "+" &amp;Table1[[#This Row],[TAXONOMY]]</f>
        <v>2226+51+2080C0008X</v>
      </c>
      <c r="S4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(9398, 2226, 51, N'2080C0008X', N'Pediatrics - Child Abuse Pediatrics Specialization')</v>
      </c>
    </row>
    <row r="421" spans="1:19" ht="47.25" hidden="1" customHeight="1" x14ac:dyDescent="0.25">
      <c r="A421" s="22" t="s">
        <v>1855</v>
      </c>
      <c r="B421" s="3" t="s">
        <v>919</v>
      </c>
      <c r="C421" s="3" t="s">
        <v>920</v>
      </c>
      <c r="D421" s="3" t="s">
        <v>91</v>
      </c>
      <c r="E421" s="3" t="s">
        <v>951</v>
      </c>
      <c r="F421" s="3">
        <f>VLOOKUP(Table1[[#This Row],[Column2]], TAXONOMY_TYPE, 2, FALSE)</f>
        <v>9399</v>
      </c>
      <c r="G421" s="3">
        <v>31</v>
      </c>
      <c r="H421" s="3" t="s">
        <v>991</v>
      </c>
      <c r="I421" s="3">
        <f>VLOOKUP(Table1[[#This Row],[Provider Type]] &amp; Table1[[#This Row],[Provider Type Description]], PROVIDER_TYPE, 2, FALSE)</f>
        <v>114</v>
      </c>
      <c r="J421" s="3">
        <v>272</v>
      </c>
      <c r="K421" s="3" t="s">
        <v>952</v>
      </c>
      <c r="L421" s="3">
        <f>VLOOKUP(TRIM(Table1[[#This Row],[Provider Specialty]]) &amp; TRIM(Table1[[#This Row],[Provider Specialty Description]]), SPECIALTY_TYPE, 2, FALSE)</f>
        <v>2070</v>
      </c>
      <c r="M421" s="3" t="s">
        <v>19</v>
      </c>
      <c r="N421" s="27" t="s">
        <v>19</v>
      </c>
      <c r="O421" s="38">
        <f>VLOOKUP(TRIM(Table1[[#This Row],[Provider Specialty]]) &amp; TRIM(Table1[[#This Row],[Provider Specialty Description]]), SPECIALTY_TYPE, 2, FALSE)</f>
        <v>2070</v>
      </c>
      <c r="P421" s="3" t="str">
        <f>Table1[[#This Row],[Provider Type]] &amp; "+" &amp; Table1[[#This Row],[Provider Type Description]]</f>
        <v>31+Physician</v>
      </c>
      <c r="Q421" s="7" t="str">
        <f>Table1[[#This Row],[Provider Specialty]] &amp; "+" &amp; Table1[[#This Row],[Provider Specialty Description]]</f>
        <v>272+Oral Surgeon</v>
      </c>
      <c r="R421" s="7" t="str">
        <f>Table1[[#This Row],[PDMS Specialty Type ID]] &amp; "+" &amp; Table1[[#This Row],[PDMS Provider Type ID]] &amp; "+" &amp;Table1[[#This Row],[TAXONOMY]]</f>
        <v>2070+114+1223S0112X</v>
      </c>
      <c r="S4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(9399, 2070, 114, N'1223S0112X', N'Dentist - Oral and Maxillofacial Surgery')</v>
      </c>
    </row>
    <row r="422" spans="1:19" ht="47.25" hidden="1" customHeight="1" x14ac:dyDescent="0.25">
      <c r="A422" s="22" t="s">
        <v>1854</v>
      </c>
      <c r="B422" s="3" t="s">
        <v>919</v>
      </c>
      <c r="C422" s="3" t="s">
        <v>920</v>
      </c>
      <c r="D422" s="3" t="s">
        <v>91</v>
      </c>
      <c r="E422" s="3" t="s">
        <v>951</v>
      </c>
      <c r="F422" s="3">
        <f>VLOOKUP(Table1[[#This Row],[Column2]], TAXONOMY_TYPE, 2, FALSE)</f>
        <v>9400</v>
      </c>
      <c r="G422" s="3">
        <v>32</v>
      </c>
      <c r="H422" s="3" t="s">
        <v>1444</v>
      </c>
      <c r="I422" s="3">
        <f>VLOOKUP(Table1[[#This Row],[Provider Type]] &amp; Table1[[#This Row],[Provider Type Description]], PROVIDER_TYPE, 2, FALSE)</f>
        <v>50</v>
      </c>
      <c r="J422" s="3">
        <v>272</v>
      </c>
      <c r="K422" s="3" t="s">
        <v>952</v>
      </c>
      <c r="L422" s="3">
        <f>VLOOKUP(TRIM(Table1[[#This Row],[Provider Specialty]]) &amp; TRIM(Table1[[#This Row],[Provider Specialty Description]]), SPECIALTY_TYPE, 2, FALSE)</f>
        <v>2070</v>
      </c>
      <c r="M422" s="3" t="s">
        <v>18</v>
      </c>
      <c r="N422" s="27" t="s">
        <v>19</v>
      </c>
      <c r="O422" s="38">
        <f>VLOOKUP(TRIM(Table1[[#This Row],[Provider Specialty]]) &amp; TRIM(Table1[[#This Row],[Provider Specialty Description]]), SPECIALTY_TYPE, 2, FALSE)</f>
        <v>2070</v>
      </c>
      <c r="P422" s="3" t="str">
        <f>Table1[[#This Row],[Provider Type]] &amp; "+" &amp; Table1[[#This Row],[Provider Type Description]]</f>
        <v>32+Multi-Specialty</v>
      </c>
      <c r="Q422" s="7" t="str">
        <f>Table1[[#This Row],[Provider Specialty]] &amp; "+" &amp; Table1[[#This Row],[Provider Specialty Description]]</f>
        <v>272+Oral Surgeon</v>
      </c>
      <c r="R422" s="7" t="str">
        <f>Table1[[#This Row],[PDMS Specialty Type ID]] &amp; "+" &amp; Table1[[#This Row],[PDMS Provider Type ID]] &amp; "+" &amp;Table1[[#This Row],[TAXONOMY]]</f>
        <v>2070+50+1223S0112X</v>
      </c>
      <c r="S4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(9400, 2070, 50, N'1223S0112X', N'Dentist - Oral and Maxillofacial Surgery')</v>
      </c>
    </row>
    <row r="423" spans="1:19" ht="47.25" hidden="1" customHeight="1" x14ac:dyDescent="0.25">
      <c r="A423" s="22" t="s">
        <v>1854</v>
      </c>
      <c r="B423" s="3" t="s">
        <v>919</v>
      </c>
      <c r="C423" s="3" t="s">
        <v>920</v>
      </c>
      <c r="D423" s="3" t="s">
        <v>91</v>
      </c>
      <c r="E423" s="3" t="s">
        <v>951</v>
      </c>
      <c r="F423" s="3">
        <f>VLOOKUP(Table1[[#This Row],[Column2]], TAXONOMY_TYPE, 2, FALSE)</f>
        <v>9401</v>
      </c>
      <c r="G423" s="3">
        <v>33</v>
      </c>
      <c r="H423" s="3" t="s">
        <v>1953</v>
      </c>
      <c r="I423" s="3">
        <f>VLOOKUP(Table1[[#This Row],[Provider Type]] &amp; Table1[[#This Row],[Provider Type Description]], PROVIDER_TYPE, 2, FALSE)</f>
        <v>51</v>
      </c>
      <c r="J423" s="3">
        <v>272</v>
      </c>
      <c r="K423" s="3" t="s">
        <v>952</v>
      </c>
      <c r="L423" s="3">
        <f>VLOOKUP(TRIM(Table1[[#This Row],[Provider Specialty]]) &amp; TRIM(Table1[[#This Row],[Provider Specialty Description]]), SPECIALTY_TYPE, 2, FALSE)</f>
        <v>2070</v>
      </c>
      <c r="M423" s="3" t="s">
        <v>18</v>
      </c>
      <c r="N423" s="27" t="s">
        <v>19</v>
      </c>
      <c r="O423" s="38">
        <f>VLOOKUP(TRIM(Table1[[#This Row],[Provider Specialty]]) &amp; TRIM(Table1[[#This Row],[Provider Specialty Description]]), SPECIALTY_TYPE, 2, FALSE)</f>
        <v>2070</v>
      </c>
      <c r="P423" s="3" t="str">
        <f>Table1[[#This Row],[Provider Type]] &amp; "+" &amp; Table1[[#This Row],[Provider Type Description]]</f>
        <v>33+Single-Specialty</v>
      </c>
      <c r="Q423" s="7" t="str">
        <f>Table1[[#This Row],[Provider Specialty]] &amp; "+" &amp; Table1[[#This Row],[Provider Specialty Description]]</f>
        <v>272+Oral Surgeon</v>
      </c>
      <c r="R423" s="7" t="str">
        <f>Table1[[#This Row],[PDMS Specialty Type ID]] &amp; "+" &amp; Table1[[#This Row],[PDMS Provider Type ID]] &amp; "+" &amp;Table1[[#This Row],[TAXONOMY]]</f>
        <v>2070+51+1223S0112X</v>
      </c>
      <c r="S4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(9401, 2070, 51, N'1223S0112X', N'Dentist - Oral and Maxillofacial Surgery')</v>
      </c>
    </row>
    <row r="424" spans="1:19" ht="47.25" hidden="1" customHeight="1" x14ac:dyDescent="0.25">
      <c r="A424" s="22" t="s">
        <v>1855</v>
      </c>
      <c r="B424" s="3" t="s">
        <v>988</v>
      </c>
      <c r="C424" s="3" t="s">
        <v>1069</v>
      </c>
      <c r="D424" s="3" t="s">
        <v>1069</v>
      </c>
      <c r="E424" s="3" t="s">
        <v>1070</v>
      </c>
      <c r="F424" s="3">
        <f>VLOOKUP(Table1[[#This Row],[Column2]], TAXONOMY_TYPE, 2, FALSE)</f>
        <v>9402</v>
      </c>
      <c r="G424" s="3">
        <v>31</v>
      </c>
      <c r="H424" s="3" t="s">
        <v>991</v>
      </c>
      <c r="I424" s="3">
        <f>VLOOKUP(Table1[[#This Row],[Provider Type]] &amp; Table1[[#This Row],[Provider Type Description]], PROVIDER_TYPE, 2, FALSE)</f>
        <v>114</v>
      </c>
      <c r="J424" s="3">
        <v>310</v>
      </c>
      <c r="K424" s="3" t="s">
        <v>1071</v>
      </c>
      <c r="L424" s="3">
        <f>VLOOKUP(TRIM(Table1[[#This Row],[Provider Specialty]]) &amp; TRIM(Table1[[#This Row],[Provider Specialty Description]]), SPECIALTY_TYPE, 2, FALSE)</f>
        <v>2071</v>
      </c>
      <c r="M424" s="3" t="s">
        <v>19</v>
      </c>
      <c r="N424" s="27" t="s">
        <v>19</v>
      </c>
      <c r="O424" s="38">
        <f>VLOOKUP(TRIM(Table1[[#This Row],[Provider Specialty]]) &amp; TRIM(Table1[[#This Row],[Provider Specialty Description]]), SPECIALTY_TYPE, 2, FALSE)</f>
        <v>2071</v>
      </c>
      <c r="P424" s="3" t="str">
        <f>Table1[[#This Row],[Provider Type]] &amp; "+" &amp; Table1[[#This Row],[Provider Type Description]]</f>
        <v>31+Physician</v>
      </c>
      <c r="Q424" s="7" t="str">
        <f>Table1[[#This Row],[Provider Specialty]] &amp; "+" &amp; Table1[[#This Row],[Provider Specialty Description]]</f>
        <v>310+Allergist</v>
      </c>
      <c r="R424" s="7" t="str">
        <f>Table1[[#This Row],[PDMS Specialty Type ID]] &amp; "+" &amp; Table1[[#This Row],[PDMS Provider Type ID]] &amp; "+" &amp;Table1[[#This Row],[TAXONOMY]]</f>
        <v>2071+114+207K00000X</v>
      </c>
      <c r="S4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(9402, 2071, 114, N'207K00000X', N'Allergy &amp; Immunology - Allergy &amp; Immunology')</v>
      </c>
    </row>
    <row r="425" spans="1:19" ht="47.25" hidden="1" customHeight="1" x14ac:dyDescent="0.25">
      <c r="A425" s="22" t="s">
        <v>1854</v>
      </c>
      <c r="B425" s="3" t="s">
        <v>988</v>
      </c>
      <c r="C425" s="3" t="s">
        <v>1069</v>
      </c>
      <c r="D425" s="3" t="s">
        <v>1069</v>
      </c>
      <c r="E425" s="3" t="s">
        <v>1070</v>
      </c>
      <c r="F425" s="3">
        <f>VLOOKUP(Table1[[#This Row],[Column2]], TAXONOMY_TYPE, 2, FALSE)</f>
        <v>9403</v>
      </c>
      <c r="G425" s="3">
        <v>32</v>
      </c>
      <c r="H425" s="3" t="s">
        <v>1444</v>
      </c>
      <c r="I425" s="3">
        <f>VLOOKUP(Table1[[#This Row],[Provider Type]] &amp; Table1[[#This Row],[Provider Type Description]], PROVIDER_TYPE, 2, FALSE)</f>
        <v>50</v>
      </c>
      <c r="J425" s="3">
        <v>310</v>
      </c>
      <c r="K425" s="3" t="s">
        <v>1071</v>
      </c>
      <c r="L425" s="3">
        <f>VLOOKUP(TRIM(Table1[[#This Row],[Provider Specialty]]) &amp; TRIM(Table1[[#This Row],[Provider Specialty Description]]), SPECIALTY_TYPE, 2, FALSE)</f>
        <v>2071</v>
      </c>
      <c r="M425" s="3" t="s">
        <v>18</v>
      </c>
      <c r="N425" s="27" t="s">
        <v>19</v>
      </c>
      <c r="O425" s="38">
        <f>VLOOKUP(TRIM(Table1[[#This Row],[Provider Specialty]]) &amp; TRIM(Table1[[#This Row],[Provider Specialty Description]]), SPECIALTY_TYPE, 2, FALSE)</f>
        <v>2071</v>
      </c>
      <c r="P425" s="3" t="str">
        <f>Table1[[#This Row],[Provider Type]] &amp; "+" &amp; Table1[[#This Row],[Provider Type Description]]</f>
        <v>32+Multi-Specialty</v>
      </c>
      <c r="Q425" s="7" t="str">
        <f>Table1[[#This Row],[Provider Specialty]] &amp; "+" &amp; Table1[[#This Row],[Provider Specialty Description]]</f>
        <v>310+Allergist</v>
      </c>
      <c r="R425" s="7" t="str">
        <f>Table1[[#This Row],[PDMS Specialty Type ID]] &amp; "+" &amp; Table1[[#This Row],[PDMS Provider Type ID]] &amp; "+" &amp;Table1[[#This Row],[TAXONOMY]]</f>
        <v>2071+50+207K00000X</v>
      </c>
      <c r="S4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(9403, 2071, 50, N'207K00000X', N'Allergy &amp; Immunology - Allergy &amp; Immunology')</v>
      </c>
    </row>
    <row r="426" spans="1:19" ht="47.25" hidden="1" customHeight="1" x14ac:dyDescent="0.25">
      <c r="A426" s="22" t="s">
        <v>1854</v>
      </c>
      <c r="B426" s="3" t="s">
        <v>988</v>
      </c>
      <c r="C426" s="3" t="s">
        <v>1069</v>
      </c>
      <c r="D426" s="3" t="s">
        <v>1069</v>
      </c>
      <c r="E426" s="3" t="s">
        <v>1070</v>
      </c>
      <c r="F426" s="3">
        <f>VLOOKUP(Table1[[#This Row],[Column2]], TAXONOMY_TYPE, 2, FALSE)</f>
        <v>9404</v>
      </c>
      <c r="G426" s="3">
        <v>33</v>
      </c>
      <c r="H426" s="3" t="s">
        <v>1953</v>
      </c>
      <c r="I426" s="3">
        <f>VLOOKUP(Table1[[#This Row],[Provider Type]] &amp; Table1[[#This Row],[Provider Type Description]], PROVIDER_TYPE, 2, FALSE)</f>
        <v>51</v>
      </c>
      <c r="J426" s="3">
        <v>310</v>
      </c>
      <c r="K426" s="3" t="s">
        <v>1071</v>
      </c>
      <c r="L426" s="3">
        <f>VLOOKUP(TRIM(Table1[[#This Row],[Provider Specialty]]) &amp; TRIM(Table1[[#This Row],[Provider Specialty Description]]), SPECIALTY_TYPE, 2, FALSE)</f>
        <v>2071</v>
      </c>
      <c r="M426" s="3" t="s">
        <v>18</v>
      </c>
      <c r="N426" s="27" t="s">
        <v>19</v>
      </c>
      <c r="O426" s="38">
        <f>VLOOKUP(TRIM(Table1[[#This Row],[Provider Specialty]]) &amp; TRIM(Table1[[#This Row],[Provider Specialty Description]]), SPECIALTY_TYPE, 2, FALSE)</f>
        <v>2071</v>
      </c>
      <c r="P426" s="3" t="str">
        <f>Table1[[#This Row],[Provider Type]] &amp; "+" &amp; Table1[[#This Row],[Provider Type Description]]</f>
        <v>33+Single-Specialty</v>
      </c>
      <c r="Q426" s="7" t="str">
        <f>Table1[[#This Row],[Provider Specialty]] &amp; "+" &amp; Table1[[#This Row],[Provider Specialty Description]]</f>
        <v>310+Allergist</v>
      </c>
      <c r="R426" s="7" t="str">
        <f>Table1[[#This Row],[PDMS Specialty Type ID]] &amp; "+" &amp; Table1[[#This Row],[PDMS Provider Type ID]] &amp; "+" &amp;Table1[[#This Row],[TAXONOMY]]</f>
        <v>2071+51+207K00000X</v>
      </c>
      <c r="S4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(9404, 2071, 51, N'207K00000X', N'Allergy &amp; Immunology - Allergy &amp; Immunology')</v>
      </c>
    </row>
    <row r="427" spans="1:19" ht="47.25" hidden="1" customHeight="1" x14ac:dyDescent="0.25">
      <c r="A427" s="22" t="s">
        <v>1855</v>
      </c>
      <c r="B427" s="3" t="s">
        <v>988</v>
      </c>
      <c r="C427" s="3" t="s">
        <v>1069</v>
      </c>
      <c r="D427" s="3" t="s">
        <v>1072</v>
      </c>
      <c r="E427" s="3" t="s">
        <v>1073</v>
      </c>
      <c r="F427" s="3">
        <f>VLOOKUP(Table1[[#This Row],[Column2]], TAXONOMY_TYPE, 2, FALSE)</f>
        <v>9405</v>
      </c>
      <c r="G427" s="3">
        <v>31</v>
      </c>
      <c r="H427" s="3" t="s">
        <v>991</v>
      </c>
      <c r="I427" s="3">
        <f>VLOOKUP(Table1[[#This Row],[Provider Type]] &amp; Table1[[#This Row],[Provider Type Description]], PROVIDER_TYPE, 2, FALSE)</f>
        <v>114</v>
      </c>
      <c r="J427" s="3">
        <v>310</v>
      </c>
      <c r="K427" s="3" t="s">
        <v>1071</v>
      </c>
      <c r="L427" s="3">
        <f>VLOOKUP(TRIM(Table1[[#This Row],[Provider Specialty]]) &amp; TRIM(Table1[[#This Row],[Provider Specialty Description]]), SPECIALTY_TYPE, 2, FALSE)</f>
        <v>2071</v>
      </c>
      <c r="M427" s="3" t="s">
        <v>19</v>
      </c>
      <c r="N427" s="27" t="s">
        <v>19</v>
      </c>
      <c r="O427" s="38">
        <f>VLOOKUP(TRIM(Table1[[#This Row],[Provider Specialty]]) &amp; TRIM(Table1[[#This Row],[Provider Specialty Description]]), SPECIALTY_TYPE, 2, FALSE)</f>
        <v>2071</v>
      </c>
      <c r="P427" s="3" t="str">
        <f>Table1[[#This Row],[Provider Type]] &amp; "+" &amp; Table1[[#This Row],[Provider Type Description]]</f>
        <v>31+Physician</v>
      </c>
      <c r="Q427" s="7" t="str">
        <f>Table1[[#This Row],[Provider Specialty]] &amp; "+" &amp; Table1[[#This Row],[Provider Specialty Description]]</f>
        <v>310+Allergist</v>
      </c>
      <c r="R427" s="7" t="str">
        <f>Table1[[#This Row],[PDMS Specialty Type ID]] &amp; "+" &amp; Table1[[#This Row],[PDMS Provider Type ID]] &amp; "+" &amp;Table1[[#This Row],[TAXONOMY]]</f>
        <v>2071+114+207KA0200X</v>
      </c>
      <c r="S4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(9405, 2071, 114, N'207KA0200X', N'Allergy &amp; Immunology - Allergy')</v>
      </c>
    </row>
    <row r="428" spans="1:19" ht="47.25" hidden="1" customHeight="1" x14ac:dyDescent="0.25">
      <c r="A428" s="22" t="s">
        <v>1854</v>
      </c>
      <c r="B428" s="3" t="s">
        <v>988</v>
      </c>
      <c r="C428" s="3" t="s">
        <v>1069</v>
      </c>
      <c r="D428" s="3" t="s">
        <v>1072</v>
      </c>
      <c r="E428" s="3" t="s">
        <v>1073</v>
      </c>
      <c r="F428" s="3">
        <f>VLOOKUP(Table1[[#This Row],[Column2]], TAXONOMY_TYPE, 2, FALSE)</f>
        <v>9406</v>
      </c>
      <c r="G428" s="3">
        <v>32</v>
      </c>
      <c r="H428" s="3" t="s">
        <v>1444</v>
      </c>
      <c r="I428" s="3">
        <f>VLOOKUP(Table1[[#This Row],[Provider Type]] &amp; Table1[[#This Row],[Provider Type Description]], PROVIDER_TYPE, 2, FALSE)</f>
        <v>50</v>
      </c>
      <c r="J428" s="3">
        <v>310</v>
      </c>
      <c r="K428" s="3" t="s">
        <v>1071</v>
      </c>
      <c r="L428" s="3">
        <f>VLOOKUP(TRIM(Table1[[#This Row],[Provider Specialty]]) &amp; TRIM(Table1[[#This Row],[Provider Specialty Description]]), SPECIALTY_TYPE, 2, FALSE)</f>
        <v>2071</v>
      </c>
      <c r="M428" s="3" t="s">
        <v>18</v>
      </c>
      <c r="N428" s="27" t="s">
        <v>19</v>
      </c>
      <c r="O428" s="38">
        <f>VLOOKUP(TRIM(Table1[[#This Row],[Provider Specialty]]) &amp; TRIM(Table1[[#This Row],[Provider Specialty Description]]), SPECIALTY_TYPE, 2, FALSE)</f>
        <v>2071</v>
      </c>
      <c r="P428" s="3" t="str">
        <f>Table1[[#This Row],[Provider Type]] &amp; "+" &amp; Table1[[#This Row],[Provider Type Description]]</f>
        <v>32+Multi-Specialty</v>
      </c>
      <c r="Q428" s="7" t="str">
        <f>Table1[[#This Row],[Provider Specialty]] &amp; "+" &amp; Table1[[#This Row],[Provider Specialty Description]]</f>
        <v>310+Allergist</v>
      </c>
      <c r="R428" s="7" t="str">
        <f>Table1[[#This Row],[PDMS Specialty Type ID]] &amp; "+" &amp; Table1[[#This Row],[PDMS Provider Type ID]] &amp; "+" &amp;Table1[[#This Row],[TAXONOMY]]</f>
        <v>2071+50+207KA0200X</v>
      </c>
      <c r="S4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(9406, 2071, 50, N'207KA0200X', N'Allergy &amp; Immunology - Allergy')</v>
      </c>
    </row>
    <row r="429" spans="1:19" ht="47.25" hidden="1" customHeight="1" x14ac:dyDescent="0.25">
      <c r="A429" s="22" t="s">
        <v>1854</v>
      </c>
      <c r="B429" s="3" t="s">
        <v>988</v>
      </c>
      <c r="C429" s="3" t="s">
        <v>1069</v>
      </c>
      <c r="D429" s="3" t="s">
        <v>1072</v>
      </c>
      <c r="E429" s="3" t="s">
        <v>1073</v>
      </c>
      <c r="F429" s="3">
        <f>VLOOKUP(Table1[[#This Row],[Column2]], TAXONOMY_TYPE, 2, FALSE)</f>
        <v>9407</v>
      </c>
      <c r="G429" s="3">
        <v>33</v>
      </c>
      <c r="H429" s="3" t="s">
        <v>1953</v>
      </c>
      <c r="I429" s="3">
        <f>VLOOKUP(Table1[[#This Row],[Provider Type]] &amp; Table1[[#This Row],[Provider Type Description]], PROVIDER_TYPE, 2, FALSE)</f>
        <v>51</v>
      </c>
      <c r="J429" s="3">
        <v>310</v>
      </c>
      <c r="K429" s="3" t="s">
        <v>1071</v>
      </c>
      <c r="L429" s="3">
        <f>VLOOKUP(TRIM(Table1[[#This Row],[Provider Specialty]]) &amp; TRIM(Table1[[#This Row],[Provider Specialty Description]]), SPECIALTY_TYPE, 2, FALSE)</f>
        <v>2071</v>
      </c>
      <c r="M429" s="3" t="s">
        <v>18</v>
      </c>
      <c r="N429" s="27" t="s">
        <v>19</v>
      </c>
      <c r="O429" s="38">
        <f>VLOOKUP(TRIM(Table1[[#This Row],[Provider Specialty]]) &amp; TRIM(Table1[[#This Row],[Provider Specialty Description]]), SPECIALTY_TYPE, 2, FALSE)</f>
        <v>2071</v>
      </c>
      <c r="P429" s="3" t="str">
        <f>Table1[[#This Row],[Provider Type]] &amp; "+" &amp; Table1[[#This Row],[Provider Type Description]]</f>
        <v>33+Single-Specialty</v>
      </c>
      <c r="Q429" s="7" t="str">
        <f>Table1[[#This Row],[Provider Specialty]] &amp; "+" &amp; Table1[[#This Row],[Provider Specialty Description]]</f>
        <v>310+Allergist</v>
      </c>
      <c r="R429" s="7" t="str">
        <f>Table1[[#This Row],[PDMS Specialty Type ID]] &amp; "+" &amp; Table1[[#This Row],[PDMS Provider Type ID]] &amp; "+" &amp;Table1[[#This Row],[TAXONOMY]]</f>
        <v>2071+51+207KA0200X</v>
      </c>
      <c r="S4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(9407, 2071, 51, N'207KA0200X', N'Allergy &amp; Immunology - Allergy')</v>
      </c>
    </row>
    <row r="430" spans="1:19" ht="47.25" hidden="1" customHeight="1" x14ac:dyDescent="0.25">
      <c r="A430" s="22" t="s">
        <v>1855</v>
      </c>
      <c r="B430" s="3" t="s">
        <v>988</v>
      </c>
      <c r="C430" s="3" t="s">
        <v>1069</v>
      </c>
      <c r="D430" s="3" t="s">
        <v>1075</v>
      </c>
      <c r="E430" s="3" t="s">
        <v>1076</v>
      </c>
      <c r="F430" s="3">
        <f>VLOOKUP(Table1[[#This Row],[Column2]], TAXONOMY_TYPE, 2, FALSE)</f>
        <v>9408</v>
      </c>
      <c r="G430" s="3">
        <v>31</v>
      </c>
      <c r="H430" s="3" t="s">
        <v>991</v>
      </c>
      <c r="I430" s="3">
        <f>VLOOKUP(Table1[[#This Row],[Provider Type]] &amp; Table1[[#This Row],[Provider Type Description]], PROVIDER_TYPE, 2, FALSE)</f>
        <v>114</v>
      </c>
      <c r="J430" s="3">
        <v>310</v>
      </c>
      <c r="K430" s="3" t="s">
        <v>1071</v>
      </c>
      <c r="L430" s="3">
        <f>VLOOKUP(TRIM(Table1[[#This Row],[Provider Specialty]]) &amp; TRIM(Table1[[#This Row],[Provider Specialty Description]]), SPECIALTY_TYPE, 2, FALSE)</f>
        <v>2071</v>
      </c>
      <c r="M430" s="3" t="s">
        <v>19</v>
      </c>
      <c r="N430" s="27" t="s">
        <v>19</v>
      </c>
      <c r="O430" s="38">
        <f>VLOOKUP(TRIM(Table1[[#This Row],[Provider Specialty]]) &amp; TRIM(Table1[[#This Row],[Provider Specialty Description]]), SPECIALTY_TYPE, 2, FALSE)</f>
        <v>2071</v>
      </c>
      <c r="P430" s="3" t="str">
        <f>Table1[[#This Row],[Provider Type]] &amp; "+" &amp; Table1[[#This Row],[Provider Type Description]]</f>
        <v>31+Physician</v>
      </c>
      <c r="Q430" s="7" t="str">
        <f>Table1[[#This Row],[Provider Specialty]] &amp; "+" &amp; Table1[[#This Row],[Provider Specialty Description]]</f>
        <v>310+Allergist</v>
      </c>
      <c r="R430" s="7" t="str">
        <f>Table1[[#This Row],[PDMS Specialty Type ID]] &amp; "+" &amp; Table1[[#This Row],[PDMS Provider Type ID]] &amp; "+" &amp;Table1[[#This Row],[TAXONOMY]]</f>
        <v>2071+114+207KI0005X</v>
      </c>
      <c r="S4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(9408, 2071, 114, N'207KI0005X', N'Allergy &amp; Immunology - Clinical &amp; Laboratory Immunology')</v>
      </c>
    </row>
    <row r="431" spans="1:19" ht="47.25" hidden="1" customHeight="1" x14ac:dyDescent="0.25">
      <c r="A431" s="22" t="s">
        <v>1854</v>
      </c>
      <c r="B431" s="3" t="s">
        <v>988</v>
      </c>
      <c r="C431" s="3" t="s">
        <v>1069</v>
      </c>
      <c r="D431" s="3" t="s">
        <v>1075</v>
      </c>
      <c r="E431" s="3" t="s">
        <v>1076</v>
      </c>
      <c r="F431" s="3">
        <f>VLOOKUP(Table1[[#This Row],[Column2]], TAXONOMY_TYPE, 2, FALSE)</f>
        <v>9409</v>
      </c>
      <c r="G431" s="3">
        <v>32</v>
      </c>
      <c r="H431" s="3" t="s">
        <v>1444</v>
      </c>
      <c r="I431" s="3">
        <f>VLOOKUP(Table1[[#This Row],[Provider Type]] &amp; Table1[[#This Row],[Provider Type Description]], PROVIDER_TYPE, 2, FALSE)</f>
        <v>50</v>
      </c>
      <c r="J431" s="3">
        <v>310</v>
      </c>
      <c r="K431" s="3" t="s">
        <v>1071</v>
      </c>
      <c r="L431" s="3">
        <f>VLOOKUP(TRIM(Table1[[#This Row],[Provider Specialty]]) &amp; TRIM(Table1[[#This Row],[Provider Specialty Description]]), SPECIALTY_TYPE, 2, FALSE)</f>
        <v>2071</v>
      </c>
      <c r="M431" s="3" t="s">
        <v>18</v>
      </c>
      <c r="N431" s="27" t="s">
        <v>19</v>
      </c>
      <c r="O431" s="38">
        <f>VLOOKUP(TRIM(Table1[[#This Row],[Provider Specialty]]) &amp; TRIM(Table1[[#This Row],[Provider Specialty Description]]), SPECIALTY_TYPE, 2, FALSE)</f>
        <v>2071</v>
      </c>
      <c r="P431" s="3" t="str">
        <f>Table1[[#This Row],[Provider Type]] &amp; "+" &amp; Table1[[#This Row],[Provider Type Description]]</f>
        <v>32+Multi-Specialty</v>
      </c>
      <c r="Q431" s="7" t="str">
        <f>Table1[[#This Row],[Provider Specialty]] &amp; "+" &amp; Table1[[#This Row],[Provider Specialty Description]]</f>
        <v>310+Allergist</v>
      </c>
      <c r="R431" s="7" t="str">
        <f>Table1[[#This Row],[PDMS Specialty Type ID]] &amp; "+" &amp; Table1[[#This Row],[PDMS Provider Type ID]] &amp; "+" &amp;Table1[[#This Row],[TAXONOMY]]</f>
        <v>2071+50+207KI0005X</v>
      </c>
      <c r="S4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(9409, 2071, 50, N'207KI0005X', N'Allergy &amp; Immunology - Clinical &amp; Laboratory Immunology')</v>
      </c>
    </row>
    <row r="432" spans="1:19" ht="47.25" hidden="1" customHeight="1" x14ac:dyDescent="0.25">
      <c r="A432" s="22" t="s">
        <v>1854</v>
      </c>
      <c r="B432" s="3" t="s">
        <v>988</v>
      </c>
      <c r="C432" s="3" t="s">
        <v>1069</v>
      </c>
      <c r="D432" s="3" t="s">
        <v>1075</v>
      </c>
      <c r="E432" s="3" t="s">
        <v>1076</v>
      </c>
      <c r="F432" s="3">
        <f>VLOOKUP(Table1[[#This Row],[Column2]], TAXONOMY_TYPE, 2, FALSE)</f>
        <v>9410</v>
      </c>
      <c r="G432" s="3">
        <v>33</v>
      </c>
      <c r="H432" s="3" t="s">
        <v>1953</v>
      </c>
      <c r="I432" s="3">
        <f>VLOOKUP(Table1[[#This Row],[Provider Type]] &amp; Table1[[#This Row],[Provider Type Description]], PROVIDER_TYPE, 2, FALSE)</f>
        <v>51</v>
      </c>
      <c r="J432" s="3">
        <v>310</v>
      </c>
      <c r="K432" s="3" t="s">
        <v>1071</v>
      </c>
      <c r="L432" s="3">
        <f>VLOOKUP(TRIM(Table1[[#This Row],[Provider Specialty]]) &amp; TRIM(Table1[[#This Row],[Provider Specialty Description]]), SPECIALTY_TYPE, 2, FALSE)</f>
        <v>2071</v>
      </c>
      <c r="M432" s="3" t="s">
        <v>18</v>
      </c>
      <c r="N432" s="27" t="s">
        <v>19</v>
      </c>
      <c r="O432" s="38">
        <f>VLOOKUP(TRIM(Table1[[#This Row],[Provider Specialty]]) &amp; TRIM(Table1[[#This Row],[Provider Specialty Description]]), SPECIALTY_TYPE, 2, FALSE)</f>
        <v>2071</v>
      </c>
      <c r="P432" s="3" t="str">
        <f>Table1[[#This Row],[Provider Type]] &amp; "+" &amp; Table1[[#This Row],[Provider Type Description]]</f>
        <v>33+Single-Specialty</v>
      </c>
      <c r="Q432" s="7" t="str">
        <f>Table1[[#This Row],[Provider Specialty]] &amp; "+" &amp; Table1[[#This Row],[Provider Specialty Description]]</f>
        <v>310+Allergist</v>
      </c>
      <c r="R432" s="7" t="str">
        <f>Table1[[#This Row],[PDMS Specialty Type ID]] &amp; "+" &amp; Table1[[#This Row],[PDMS Provider Type ID]] &amp; "+" &amp;Table1[[#This Row],[TAXONOMY]]</f>
        <v>2071+51+207KI0005X</v>
      </c>
      <c r="S4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(9410, 2071, 51, N'207KI0005X', N'Allergy &amp; Immunology - Clinical &amp; Laboratory Immunology')</v>
      </c>
    </row>
    <row r="433" spans="1:19" ht="47.25" hidden="1" customHeight="1" x14ac:dyDescent="0.25">
      <c r="A433" s="22" t="s">
        <v>1855</v>
      </c>
      <c r="B433" s="3" t="s">
        <v>988</v>
      </c>
      <c r="C433" s="3" t="s">
        <v>1069</v>
      </c>
      <c r="D433" s="3" t="s">
        <v>1129</v>
      </c>
      <c r="E433" s="3" t="s">
        <v>1130</v>
      </c>
      <c r="F433" s="3">
        <f>VLOOKUP(Table1[[#This Row],[Column2]], TAXONOMY_TYPE, 2, FALSE)</f>
        <v>9411</v>
      </c>
      <c r="G433" s="3">
        <v>31</v>
      </c>
      <c r="H433" s="3" t="s">
        <v>991</v>
      </c>
      <c r="I433" s="3">
        <f>VLOOKUP(Table1[[#This Row],[Provider Type]] &amp; Table1[[#This Row],[Provider Type Description]], PROVIDER_TYPE, 2, FALSE)</f>
        <v>114</v>
      </c>
      <c r="J433" s="3">
        <v>310</v>
      </c>
      <c r="K433" s="3" t="s">
        <v>1071</v>
      </c>
      <c r="L433" s="3">
        <f>VLOOKUP(TRIM(Table1[[#This Row],[Provider Specialty]]) &amp; TRIM(Table1[[#This Row],[Provider Specialty Description]]), SPECIALTY_TYPE, 2, FALSE)</f>
        <v>2071</v>
      </c>
      <c r="M433" s="3" t="s">
        <v>19</v>
      </c>
      <c r="N433" s="27" t="s">
        <v>19</v>
      </c>
      <c r="O433" s="38">
        <f>VLOOKUP(TRIM(Table1[[#This Row],[Provider Specialty]]) &amp; TRIM(Table1[[#This Row],[Provider Specialty Description]]), SPECIALTY_TYPE, 2, FALSE)</f>
        <v>2071</v>
      </c>
      <c r="P433" s="3" t="str">
        <f>Table1[[#This Row],[Provider Type]] &amp; "+" &amp; Table1[[#This Row],[Provider Type Description]]</f>
        <v>31+Physician</v>
      </c>
      <c r="Q433" s="7" t="str">
        <f>Table1[[#This Row],[Provider Specialty]] &amp; "+" &amp; Table1[[#This Row],[Provider Specialty Description]]</f>
        <v>310+Allergist</v>
      </c>
      <c r="R433" s="7" t="str">
        <f>Table1[[#This Row],[PDMS Specialty Type ID]] &amp; "+" &amp; Table1[[#This Row],[PDMS Provider Type ID]] &amp; "+" &amp;Table1[[#This Row],[TAXONOMY]]</f>
        <v>2071+114+207RA0201X</v>
      </c>
      <c r="S4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(9411, 2071, 114, N'207RA0201X', N'Allergy &amp; Immunology - Allergy &amp; Immunology ')</v>
      </c>
    </row>
    <row r="434" spans="1:19" ht="47.25" hidden="1" customHeight="1" x14ac:dyDescent="0.25">
      <c r="A434" s="22" t="s">
        <v>1854</v>
      </c>
      <c r="B434" s="3" t="s">
        <v>988</v>
      </c>
      <c r="C434" s="3" t="s">
        <v>1069</v>
      </c>
      <c r="D434" s="3" t="s">
        <v>1129</v>
      </c>
      <c r="E434" s="3" t="s">
        <v>1130</v>
      </c>
      <c r="F434" s="3">
        <f>VLOOKUP(Table1[[#This Row],[Column2]], TAXONOMY_TYPE, 2, FALSE)</f>
        <v>9412</v>
      </c>
      <c r="G434" s="3">
        <v>32</v>
      </c>
      <c r="H434" s="3" t="s">
        <v>1444</v>
      </c>
      <c r="I434" s="3">
        <f>VLOOKUP(Table1[[#This Row],[Provider Type]] &amp; Table1[[#This Row],[Provider Type Description]], PROVIDER_TYPE, 2, FALSE)</f>
        <v>50</v>
      </c>
      <c r="J434" s="3">
        <v>310</v>
      </c>
      <c r="K434" s="3" t="s">
        <v>1071</v>
      </c>
      <c r="L434" s="3">
        <f>VLOOKUP(TRIM(Table1[[#This Row],[Provider Specialty]]) &amp; TRIM(Table1[[#This Row],[Provider Specialty Description]]), SPECIALTY_TYPE, 2, FALSE)</f>
        <v>2071</v>
      </c>
      <c r="M434" s="3" t="s">
        <v>18</v>
      </c>
      <c r="N434" s="27" t="s">
        <v>19</v>
      </c>
      <c r="O434" s="38">
        <f>VLOOKUP(TRIM(Table1[[#This Row],[Provider Specialty]]) &amp; TRIM(Table1[[#This Row],[Provider Specialty Description]]), SPECIALTY_TYPE, 2, FALSE)</f>
        <v>2071</v>
      </c>
      <c r="P434" s="3" t="str">
        <f>Table1[[#This Row],[Provider Type]] &amp; "+" &amp; Table1[[#This Row],[Provider Type Description]]</f>
        <v>32+Multi-Specialty</v>
      </c>
      <c r="Q434" s="7" t="str">
        <f>Table1[[#This Row],[Provider Specialty]] &amp; "+" &amp; Table1[[#This Row],[Provider Specialty Description]]</f>
        <v>310+Allergist</v>
      </c>
      <c r="R434" s="7" t="str">
        <f>Table1[[#This Row],[PDMS Specialty Type ID]] &amp; "+" &amp; Table1[[#This Row],[PDMS Provider Type ID]] &amp; "+" &amp;Table1[[#This Row],[TAXONOMY]]</f>
        <v>2071+50+207RA0201X</v>
      </c>
      <c r="S4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(9412, 2071, 50, N'207RA0201X', N'Allergy &amp; Immunology - Allergy &amp; Immunology ')</v>
      </c>
    </row>
    <row r="435" spans="1:19" ht="47.25" hidden="1" customHeight="1" x14ac:dyDescent="0.25">
      <c r="A435" s="22" t="s">
        <v>1854</v>
      </c>
      <c r="B435" s="3" t="s">
        <v>988</v>
      </c>
      <c r="C435" s="3" t="s">
        <v>1069</v>
      </c>
      <c r="D435" s="3" t="s">
        <v>1129</v>
      </c>
      <c r="E435" s="3" t="s">
        <v>1130</v>
      </c>
      <c r="F435" s="3">
        <f>VLOOKUP(Table1[[#This Row],[Column2]], TAXONOMY_TYPE, 2, FALSE)</f>
        <v>9413</v>
      </c>
      <c r="G435" s="3">
        <v>33</v>
      </c>
      <c r="H435" s="3" t="s">
        <v>1953</v>
      </c>
      <c r="I435" s="3">
        <f>VLOOKUP(Table1[[#This Row],[Provider Type]] &amp; Table1[[#This Row],[Provider Type Description]], PROVIDER_TYPE, 2, FALSE)</f>
        <v>51</v>
      </c>
      <c r="J435" s="3">
        <v>310</v>
      </c>
      <c r="K435" s="3" t="s">
        <v>1071</v>
      </c>
      <c r="L435" s="3">
        <f>VLOOKUP(TRIM(Table1[[#This Row],[Provider Specialty]]) &amp; TRIM(Table1[[#This Row],[Provider Specialty Description]]), SPECIALTY_TYPE, 2, FALSE)</f>
        <v>2071</v>
      </c>
      <c r="M435" s="3" t="s">
        <v>18</v>
      </c>
      <c r="N435" s="27" t="s">
        <v>19</v>
      </c>
      <c r="O435" s="38">
        <f>VLOOKUP(TRIM(Table1[[#This Row],[Provider Specialty]]) &amp; TRIM(Table1[[#This Row],[Provider Specialty Description]]), SPECIALTY_TYPE, 2, FALSE)</f>
        <v>2071</v>
      </c>
      <c r="P435" s="3" t="str">
        <f>Table1[[#This Row],[Provider Type]] &amp; "+" &amp; Table1[[#This Row],[Provider Type Description]]</f>
        <v>33+Single-Specialty</v>
      </c>
      <c r="Q435" s="7" t="str">
        <f>Table1[[#This Row],[Provider Specialty]] &amp; "+" &amp; Table1[[#This Row],[Provider Specialty Description]]</f>
        <v>310+Allergist</v>
      </c>
      <c r="R435" s="7" t="str">
        <f>Table1[[#This Row],[PDMS Specialty Type ID]] &amp; "+" &amp; Table1[[#This Row],[PDMS Provider Type ID]] &amp; "+" &amp;Table1[[#This Row],[TAXONOMY]]</f>
        <v>2071+51+207RA0201X</v>
      </c>
      <c r="S4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(9413, 2071, 51, N'207RA0201X', N'Allergy &amp; Immunology - Allergy &amp; Immunology ')</v>
      </c>
    </row>
    <row r="436" spans="1:19" ht="47.25" hidden="1" customHeight="1" x14ac:dyDescent="0.25">
      <c r="A436" s="22" t="s">
        <v>1855</v>
      </c>
      <c r="B436" s="3" t="s">
        <v>988</v>
      </c>
      <c r="C436" s="3" t="s">
        <v>989</v>
      </c>
      <c r="D436" s="3" t="s">
        <v>989</v>
      </c>
      <c r="E436" s="3" t="s">
        <v>990</v>
      </c>
      <c r="F436" s="3">
        <f>VLOOKUP(Table1[[#This Row],[Column2]], TAXONOMY_TYPE, 2, FALSE)</f>
        <v>9414</v>
      </c>
      <c r="G436" s="3">
        <v>31</v>
      </c>
      <c r="H436" s="3" t="s">
        <v>991</v>
      </c>
      <c r="I436" s="3">
        <f>VLOOKUP(Table1[[#This Row],[Provider Type]] &amp; Table1[[#This Row],[Provider Type Description]], PROVIDER_TYPE, 2, FALSE)</f>
        <v>114</v>
      </c>
      <c r="J436" s="3">
        <v>311</v>
      </c>
      <c r="K436" s="3" t="s">
        <v>1077</v>
      </c>
      <c r="L436" s="3">
        <f>VLOOKUP(TRIM(Table1[[#This Row],[Provider Specialty]]) &amp; TRIM(Table1[[#This Row],[Provider Specialty Description]]), SPECIALTY_TYPE, 2, FALSE)</f>
        <v>2072</v>
      </c>
      <c r="M436" s="3" t="s">
        <v>19</v>
      </c>
      <c r="N436" s="27" t="s">
        <v>19</v>
      </c>
      <c r="O436" s="38">
        <f>VLOOKUP(TRIM(Table1[[#This Row],[Provider Specialty]]) &amp; TRIM(Table1[[#This Row],[Provider Specialty Description]]), SPECIALTY_TYPE, 2, FALSE)</f>
        <v>2072</v>
      </c>
      <c r="P436" s="3" t="str">
        <f>Table1[[#This Row],[Provider Type]] &amp; "+" &amp; Table1[[#This Row],[Provider Type Description]]</f>
        <v>31+Physician</v>
      </c>
      <c r="Q436" s="7" t="str">
        <f>Table1[[#This Row],[Provider Specialty]] &amp; "+" &amp; Table1[[#This Row],[Provider Specialty Description]]</f>
        <v>311+Anesthesiologist</v>
      </c>
      <c r="R436" s="7" t="str">
        <f>Table1[[#This Row],[PDMS Specialty Type ID]] &amp; "+" &amp; Table1[[#This Row],[PDMS Provider Type ID]] &amp; "+" &amp;Table1[[#This Row],[TAXONOMY]]</f>
        <v>2072+114+207L00000X</v>
      </c>
      <c r="S4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(9414, 2072, 114, N'207L00000X', N'Anesthesiology - Anesthesiology')</v>
      </c>
    </row>
    <row r="437" spans="1:19" ht="47.25" hidden="1" customHeight="1" x14ac:dyDescent="0.25">
      <c r="A437" s="22" t="s">
        <v>1854</v>
      </c>
      <c r="B437" s="3" t="s">
        <v>988</v>
      </c>
      <c r="C437" s="3" t="s">
        <v>989</v>
      </c>
      <c r="D437" s="3" t="s">
        <v>989</v>
      </c>
      <c r="E437" s="3" t="s">
        <v>990</v>
      </c>
      <c r="F437" s="3">
        <f>VLOOKUP(Table1[[#This Row],[Column2]], TAXONOMY_TYPE, 2, FALSE)</f>
        <v>9415</v>
      </c>
      <c r="G437" s="3">
        <v>32</v>
      </c>
      <c r="H437" s="3" t="s">
        <v>1444</v>
      </c>
      <c r="I437" s="3">
        <f>VLOOKUP(Table1[[#This Row],[Provider Type]] &amp; Table1[[#This Row],[Provider Type Description]], PROVIDER_TYPE, 2, FALSE)</f>
        <v>50</v>
      </c>
      <c r="J437" s="3">
        <v>311</v>
      </c>
      <c r="K437" s="3" t="s">
        <v>1077</v>
      </c>
      <c r="L437" s="3">
        <f>VLOOKUP(TRIM(Table1[[#This Row],[Provider Specialty]]) &amp; TRIM(Table1[[#This Row],[Provider Specialty Description]]), SPECIALTY_TYPE, 2, FALSE)</f>
        <v>2072</v>
      </c>
      <c r="M437" s="3" t="s">
        <v>18</v>
      </c>
      <c r="N437" s="27" t="s">
        <v>19</v>
      </c>
      <c r="O437" s="38">
        <f>VLOOKUP(TRIM(Table1[[#This Row],[Provider Specialty]]) &amp; TRIM(Table1[[#This Row],[Provider Specialty Description]]), SPECIALTY_TYPE, 2, FALSE)</f>
        <v>2072</v>
      </c>
      <c r="P437" s="3" t="str">
        <f>Table1[[#This Row],[Provider Type]] &amp; "+" &amp; Table1[[#This Row],[Provider Type Description]]</f>
        <v>32+Multi-Specialty</v>
      </c>
      <c r="Q437" s="7" t="str">
        <f>Table1[[#This Row],[Provider Specialty]] &amp; "+" &amp; Table1[[#This Row],[Provider Specialty Description]]</f>
        <v>311+Anesthesiologist</v>
      </c>
      <c r="R437" s="7" t="str">
        <f>Table1[[#This Row],[PDMS Specialty Type ID]] &amp; "+" &amp; Table1[[#This Row],[PDMS Provider Type ID]] &amp; "+" &amp;Table1[[#This Row],[TAXONOMY]]</f>
        <v>2072+50+207L00000X</v>
      </c>
      <c r="S4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(9415, 2072, 50, N'207L00000X', N'Anesthesiology - Anesthesiology')</v>
      </c>
    </row>
    <row r="438" spans="1:19" ht="47.25" hidden="1" customHeight="1" x14ac:dyDescent="0.25">
      <c r="A438" s="22" t="s">
        <v>1854</v>
      </c>
      <c r="B438" s="3" t="s">
        <v>988</v>
      </c>
      <c r="C438" s="3" t="s">
        <v>989</v>
      </c>
      <c r="D438" s="3" t="s">
        <v>989</v>
      </c>
      <c r="E438" s="3" t="s">
        <v>990</v>
      </c>
      <c r="F438" s="3">
        <f>VLOOKUP(Table1[[#This Row],[Column2]], TAXONOMY_TYPE, 2, FALSE)</f>
        <v>9416</v>
      </c>
      <c r="G438" s="3">
        <v>33</v>
      </c>
      <c r="H438" s="3" t="s">
        <v>1953</v>
      </c>
      <c r="I438" s="3">
        <f>VLOOKUP(Table1[[#This Row],[Provider Type]] &amp; Table1[[#This Row],[Provider Type Description]], PROVIDER_TYPE, 2, FALSE)</f>
        <v>51</v>
      </c>
      <c r="J438" s="3">
        <v>311</v>
      </c>
      <c r="K438" s="3" t="s">
        <v>1077</v>
      </c>
      <c r="L438" s="3">
        <f>VLOOKUP(TRIM(Table1[[#This Row],[Provider Specialty]]) &amp; TRIM(Table1[[#This Row],[Provider Specialty Description]]), SPECIALTY_TYPE, 2, FALSE)</f>
        <v>2072</v>
      </c>
      <c r="M438" s="3" t="s">
        <v>18</v>
      </c>
      <c r="N438" s="27" t="s">
        <v>19</v>
      </c>
      <c r="O438" s="38">
        <f>VLOOKUP(TRIM(Table1[[#This Row],[Provider Specialty]]) &amp; TRIM(Table1[[#This Row],[Provider Specialty Description]]), SPECIALTY_TYPE, 2, FALSE)</f>
        <v>2072</v>
      </c>
      <c r="P438" s="3" t="str">
        <f>Table1[[#This Row],[Provider Type]] &amp; "+" &amp; Table1[[#This Row],[Provider Type Description]]</f>
        <v>33+Single-Specialty</v>
      </c>
      <c r="Q438" s="7" t="str">
        <f>Table1[[#This Row],[Provider Specialty]] &amp; "+" &amp; Table1[[#This Row],[Provider Specialty Description]]</f>
        <v>311+Anesthesiologist</v>
      </c>
      <c r="R438" s="7" t="str">
        <f>Table1[[#This Row],[PDMS Specialty Type ID]] &amp; "+" &amp; Table1[[#This Row],[PDMS Provider Type ID]] &amp; "+" &amp;Table1[[#This Row],[TAXONOMY]]</f>
        <v>2072+51+207L00000X</v>
      </c>
      <c r="S4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(9416, 2072, 51, N'207L00000X', N'Anesthesiology - Anesthesiology')</v>
      </c>
    </row>
    <row r="439" spans="1:19" ht="47.25" hidden="1" customHeight="1" x14ac:dyDescent="0.25">
      <c r="A439" s="22" t="s">
        <v>1855</v>
      </c>
      <c r="B439" s="3" t="s">
        <v>988</v>
      </c>
      <c r="C439" s="3" t="s">
        <v>989</v>
      </c>
      <c r="D439" s="3" t="s">
        <v>1078</v>
      </c>
      <c r="E439" s="3" t="s">
        <v>1079</v>
      </c>
      <c r="F439" s="3">
        <f>VLOOKUP(Table1[[#This Row],[Column2]], TAXONOMY_TYPE, 2, FALSE)</f>
        <v>9417</v>
      </c>
      <c r="G439" s="3">
        <v>31</v>
      </c>
      <c r="H439" s="3" t="s">
        <v>991</v>
      </c>
      <c r="I439" s="3">
        <f>VLOOKUP(Table1[[#This Row],[Provider Type]] &amp; Table1[[#This Row],[Provider Type Description]], PROVIDER_TYPE, 2, FALSE)</f>
        <v>114</v>
      </c>
      <c r="J439" s="3">
        <v>311</v>
      </c>
      <c r="K439" s="3" t="s">
        <v>1077</v>
      </c>
      <c r="L439" s="3">
        <f>VLOOKUP(TRIM(Table1[[#This Row],[Provider Specialty]]) &amp; TRIM(Table1[[#This Row],[Provider Specialty Description]]), SPECIALTY_TYPE, 2, FALSE)</f>
        <v>2072</v>
      </c>
      <c r="M439" s="3" t="s">
        <v>19</v>
      </c>
      <c r="N439" s="27" t="s">
        <v>19</v>
      </c>
      <c r="O439" s="38">
        <f>VLOOKUP(TRIM(Table1[[#This Row],[Provider Specialty]]) &amp; TRIM(Table1[[#This Row],[Provider Specialty Description]]), SPECIALTY_TYPE, 2, FALSE)</f>
        <v>2072</v>
      </c>
      <c r="P439" s="3" t="str">
        <f>Table1[[#This Row],[Provider Type]] &amp; "+" &amp; Table1[[#This Row],[Provider Type Description]]</f>
        <v>31+Physician</v>
      </c>
      <c r="Q439" s="7" t="str">
        <f>Table1[[#This Row],[Provider Specialty]] &amp; "+" &amp; Table1[[#This Row],[Provider Specialty Description]]</f>
        <v>311+Anesthesiologist</v>
      </c>
      <c r="R439" s="7" t="str">
        <f>Table1[[#This Row],[PDMS Specialty Type ID]] &amp; "+" &amp; Table1[[#This Row],[PDMS Provider Type ID]] &amp; "+" &amp;Table1[[#This Row],[TAXONOMY]]</f>
        <v>2072+114+207LC0200X</v>
      </c>
      <c r="S4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(9417, 2072, 114, N'207LC0200X', N'Anesthesiology - Critical Care Medicine')</v>
      </c>
    </row>
    <row r="440" spans="1:19" ht="47.25" hidden="1" customHeight="1" x14ac:dyDescent="0.25">
      <c r="A440" s="22" t="s">
        <v>1854</v>
      </c>
      <c r="B440" s="3" t="s">
        <v>988</v>
      </c>
      <c r="C440" s="3" t="s">
        <v>989</v>
      </c>
      <c r="D440" s="3" t="s">
        <v>1078</v>
      </c>
      <c r="E440" s="3" t="s">
        <v>1079</v>
      </c>
      <c r="F440" s="3">
        <f>VLOOKUP(Table1[[#This Row],[Column2]], TAXONOMY_TYPE, 2, FALSE)</f>
        <v>9418</v>
      </c>
      <c r="G440" s="3">
        <v>32</v>
      </c>
      <c r="H440" s="3" t="s">
        <v>1444</v>
      </c>
      <c r="I440" s="3">
        <f>VLOOKUP(Table1[[#This Row],[Provider Type]] &amp; Table1[[#This Row],[Provider Type Description]], PROVIDER_TYPE, 2, FALSE)</f>
        <v>50</v>
      </c>
      <c r="J440" s="3">
        <v>311</v>
      </c>
      <c r="K440" s="3" t="s">
        <v>1077</v>
      </c>
      <c r="L440" s="3">
        <f>VLOOKUP(TRIM(Table1[[#This Row],[Provider Specialty]]) &amp; TRIM(Table1[[#This Row],[Provider Specialty Description]]), SPECIALTY_TYPE, 2, FALSE)</f>
        <v>2072</v>
      </c>
      <c r="M440" s="3" t="s">
        <v>18</v>
      </c>
      <c r="N440" s="27" t="s">
        <v>19</v>
      </c>
      <c r="O440" s="38">
        <f>VLOOKUP(TRIM(Table1[[#This Row],[Provider Specialty]]) &amp; TRIM(Table1[[#This Row],[Provider Specialty Description]]), SPECIALTY_TYPE, 2, FALSE)</f>
        <v>2072</v>
      </c>
      <c r="P440" s="3" t="str">
        <f>Table1[[#This Row],[Provider Type]] &amp; "+" &amp; Table1[[#This Row],[Provider Type Description]]</f>
        <v>32+Multi-Specialty</v>
      </c>
      <c r="Q440" s="7" t="str">
        <f>Table1[[#This Row],[Provider Specialty]] &amp; "+" &amp; Table1[[#This Row],[Provider Specialty Description]]</f>
        <v>311+Anesthesiologist</v>
      </c>
      <c r="R440" s="7" t="str">
        <f>Table1[[#This Row],[PDMS Specialty Type ID]] &amp; "+" &amp; Table1[[#This Row],[PDMS Provider Type ID]] &amp; "+" &amp;Table1[[#This Row],[TAXONOMY]]</f>
        <v>2072+50+207LC0200X</v>
      </c>
      <c r="S4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(9418, 2072, 50, N'207LC0200X', N'Anesthesiology - Critical Care Medicine')</v>
      </c>
    </row>
    <row r="441" spans="1:19" ht="47.25" hidden="1" customHeight="1" x14ac:dyDescent="0.25">
      <c r="A441" s="22" t="s">
        <v>1854</v>
      </c>
      <c r="B441" s="3" t="s">
        <v>988</v>
      </c>
      <c r="C441" s="3" t="s">
        <v>989</v>
      </c>
      <c r="D441" s="3" t="s">
        <v>1078</v>
      </c>
      <c r="E441" s="3" t="s">
        <v>1079</v>
      </c>
      <c r="F441" s="3">
        <f>VLOOKUP(Table1[[#This Row],[Column2]], TAXONOMY_TYPE, 2, FALSE)</f>
        <v>9419</v>
      </c>
      <c r="G441" s="3">
        <v>33</v>
      </c>
      <c r="H441" s="3" t="s">
        <v>1953</v>
      </c>
      <c r="I441" s="3">
        <f>VLOOKUP(Table1[[#This Row],[Provider Type]] &amp; Table1[[#This Row],[Provider Type Description]], PROVIDER_TYPE, 2, FALSE)</f>
        <v>51</v>
      </c>
      <c r="J441" s="3">
        <v>311</v>
      </c>
      <c r="K441" s="3" t="s">
        <v>1077</v>
      </c>
      <c r="L441" s="3">
        <f>VLOOKUP(TRIM(Table1[[#This Row],[Provider Specialty]]) &amp; TRIM(Table1[[#This Row],[Provider Specialty Description]]), SPECIALTY_TYPE, 2, FALSE)</f>
        <v>2072</v>
      </c>
      <c r="M441" s="3" t="s">
        <v>18</v>
      </c>
      <c r="N441" s="27" t="s">
        <v>19</v>
      </c>
      <c r="O441" s="38">
        <f>VLOOKUP(TRIM(Table1[[#This Row],[Provider Specialty]]) &amp; TRIM(Table1[[#This Row],[Provider Specialty Description]]), SPECIALTY_TYPE, 2, FALSE)</f>
        <v>2072</v>
      </c>
      <c r="P441" s="3" t="str">
        <f>Table1[[#This Row],[Provider Type]] &amp; "+" &amp; Table1[[#This Row],[Provider Type Description]]</f>
        <v>33+Single-Specialty</v>
      </c>
      <c r="Q441" s="7" t="str">
        <f>Table1[[#This Row],[Provider Specialty]] &amp; "+" &amp; Table1[[#This Row],[Provider Specialty Description]]</f>
        <v>311+Anesthesiologist</v>
      </c>
      <c r="R441" s="7" t="str">
        <f>Table1[[#This Row],[PDMS Specialty Type ID]] &amp; "+" &amp; Table1[[#This Row],[PDMS Provider Type ID]] &amp; "+" &amp;Table1[[#This Row],[TAXONOMY]]</f>
        <v>2072+51+207LC0200X</v>
      </c>
      <c r="S4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(9419, 2072, 51, N'207LC0200X', N'Anesthesiology - Critical Care Medicine')</v>
      </c>
    </row>
    <row r="442" spans="1:19" ht="47.25" hidden="1" customHeight="1" x14ac:dyDescent="0.25">
      <c r="A442" s="22" t="s">
        <v>1855</v>
      </c>
      <c r="B442" s="3" t="s">
        <v>988</v>
      </c>
      <c r="C442" s="3" t="s">
        <v>989</v>
      </c>
      <c r="D442" s="3" t="s">
        <v>1080</v>
      </c>
      <c r="E442" s="3" t="s">
        <v>1081</v>
      </c>
      <c r="F442" s="3">
        <f>VLOOKUP(Table1[[#This Row],[Column2]], TAXONOMY_TYPE, 2, FALSE)</f>
        <v>9420</v>
      </c>
      <c r="G442" s="3">
        <v>31</v>
      </c>
      <c r="H442" s="3" t="s">
        <v>991</v>
      </c>
      <c r="I442" s="3">
        <f>VLOOKUP(Table1[[#This Row],[Provider Type]] &amp; Table1[[#This Row],[Provider Type Description]], PROVIDER_TYPE, 2, FALSE)</f>
        <v>114</v>
      </c>
      <c r="J442" s="3">
        <v>311</v>
      </c>
      <c r="K442" s="3" t="s">
        <v>1077</v>
      </c>
      <c r="L442" s="3">
        <f>VLOOKUP(TRIM(Table1[[#This Row],[Provider Specialty]]) &amp; TRIM(Table1[[#This Row],[Provider Specialty Description]]), SPECIALTY_TYPE, 2, FALSE)</f>
        <v>2072</v>
      </c>
      <c r="M442" s="3" t="s">
        <v>19</v>
      </c>
      <c r="N442" s="27" t="s">
        <v>19</v>
      </c>
      <c r="O442" s="38">
        <f>VLOOKUP(TRIM(Table1[[#This Row],[Provider Specialty]]) &amp; TRIM(Table1[[#This Row],[Provider Specialty Description]]), SPECIALTY_TYPE, 2, FALSE)</f>
        <v>2072</v>
      </c>
      <c r="P442" s="3" t="str">
        <f>Table1[[#This Row],[Provider Type]] &amp; "+" &amp; Table1[[#This Row],[Provider Type Description]]</f>
        <v>31+Physician</v>
      </c>
      <c r="Q442" s="7" t="str">
        <f>Table1[[#This Row],[Provider Specialty]] &amp; "+" &amp; Table1[[#This Row],[Provider Specialty Description]]</f>
        <v>311+Anesthesiologist</v>
      </c>
      <c r="R442" s="7" t="str">
        <f>Table1[[#This Row],[PDMS Specialty Type ID]] &amp; "+" &amp; Table1[[#This Row],[PDMS Provider Type ID]] &amp; "+" &amp;Table1[[#This Row],[TAXONOMY]]</f>
        <v>2072+114+207LH0002X</v>
      </c>
      <c r="S4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(9420, 2072, 114, N'207LH0002X', N'Anesthesiology - Hospice and Palliative Medicine**')</v>
      </c>
    </row>
    <row r="443" spans="1:19" ht="47.25" hidden="1" customHeight="1" x14ac:dyDescent="0.25">
      <c r="A443" s="22" t="s">
        <v>1854</v>
      </c>
      <c r="B443" s="3" t="s">
        <v>988</v>
      </c>
      <c r="C443" s="3" t="s">
        <v>989</v>
      </c>
      <c r="D443" s="3" t="s">
        <v>1080</v>
      </c>
      <c r="E443" s="3" t="s">
        <v>1081</v>
      </c>
      <c r="F443" s="3">
        <f>VLOOKUP(Table1[[#This Row],[Column2]], TAXONOMY_TYPE, 2, FALSE)</f>
        <v>9421</v>
      </c>
      <c r="G443" s="3">
        <v>32</v>
      </c>
      <c r="H443" s="3" t="s">
        <v>1444</v>
      </c>
      <c r="I443" s="3">
        <f>VLOOKUP(Table1[[#This Row],[Provider Type]] &amp; Table1[[#This Row],[Provider Type Description]], PROVIDER_TYPE, 2, FALSE)</f>
        <v>50</v>
      </c>
      <c r="J443" s="3">
        <v>311</v>
      </c>
      <c r="K443" s="3" t="s">
        <v>1077</v>
      </c>
      <c r="L443" s="3">
        <f>VLOOKUP(TRIM(Table1[[#This Row],[Provider Specialty]]) &amp; TRIM(Table1[[#This Row],[Provider Specialty Description]]), SPECIALTY_TYPE, 2, FALSE)</f>
        <v>2072</v>
      </c>
      <c r="M443" s="3" t="s">
        <v>18</v>
      </c>
      <c r="N443" s="27" t="s">
        <v>19</v>
      </c>
      <c r="O443" s="38">
        <f>VLOOKUP(TRIM(Table1[[#This Row],[Provider Specialty]]) &amp; TRIM(Table1[[#This Row],[Provider Specialty Description]]), SPECIALTY_TYPE, 2, FALSE)</f>
        <v>2072</v>
      </c>
      <c r="P443" s="3" t="str">
        <f>Table1[[#This Row],[Provider Type]] &amp; "+" &amp; Table1[[#This Row],[Provider Type Description]]</f>
        <v>32+Multi-Specialty</v>
      </c>
      <c r="Q443" s="7" t="str">
        <f>Table1[[#This Row],[Provider Specialty]] &amp; "+" &amp; Table1[[#This Row],[Provider Specialty Description]]</f>
        <v>311+Anesthesiologist</v>
      </c>
      <c r="R443" s="7" t="str">
        <f>Table1[[#This Row],[PDMS Specialty Type ID]] &amp; "+" &amp; Table1[[#This Row],[PDMS Provider Type ID]] &amp; "+" &amp;Table1[[#This Row],[TAXONOMY]]</f>
        <v>2072+50+207LH0002X</v>
      </c>
      <c r="S4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(9421, 2072, 50, N'207LH0002X', N'Anesthesiology - Hospice and Palliative Medicine**')</v>
      </c>
    </row>
    <row r="444" spans="1:19" ht="47.25" hidden="1" customHeight="1" x14ac:dyDescent="0.25">
      <c r="A444" s="22" t="s">
        <v>1854</v>
      </c>
      <c r="B444" s="3" t="s">
        <v>988</v>
      </c>
      <c r="C444" s="3" t="s">
        <v>989</v>
      </c>
      <c r="D444" s="3" t="s">
        <v>1080</v>
      </c>
      <c r="E444" s="3" t="s">
        <v>1081</v>
      </c>
      <c r="F444" s="3">
        <f>VLOOKUP(Table1[[#This Row],[Column2]], TAXONOMY_TYPE, 2, FALSE)</f>
        <v>9422</v>
      </c>
      <c r="G444" s="3">
        <v>33</v>
      </c>
      <c r="H444" s="3" t="s">
        <v>1953</v>
      </c>
      <c r="I444" s="3">
        <f>VLOOKUP(Table1[[#This Row],[Provider Type]] &amp; Table1[[#This Row],[Provider Type Description]], PROVIDER_TYPE, 2, FALSE)</f>
        <v>51</v>
      </c>
      <c r="J444" s="3">
        <v>311</v>
      </c>
      <c r="K444" s="3" t="s">
        <v>1077</v>
      </c>
      <c r="L444" s="3">
        <f>VLOOKUP(TRIM(Table1[[#This Row],[Provider Specialty]]) &amp; TRIM(Table1[[#This Row],[Provider Specialty Description]]), SPECIALTY_TYPE, 2, FALSE)</f>
        <v>2072</v>
      </c>
      <c r="M444" s="3" t="s">
        <v>18</v>
      </c>
      <c r="N444" s="27" t="s">
        <v>19</v>
      </c>
      <c r="O444" s="38">
        <f>VLOOKUP(TRIM(Table1[[#This Row],[Provider Specialty]]) &amp; TRIM(Table1[[#This Row],[Provider Specialty Description]]), SPECIALTY_TYPE, 2, FALSE)</f>
        <v>2072</v>
      </c>
      <c r="P444" s="3" t="str">
        <f>Table1[[#This Row],[Provider Type]] &amp; "+" &amp; Table1[[#This Row],[Provider Type Description]]</f>
        <v>33+Single-Specialty</v>
      </c>
      <c r="Q444" s="7" t="str">
        <f>Table1[[#This Row],[Provider Specialty]] &amp; "+" &amp; Table1[[#This Row],[Provider Specialty Description]]</f>
        <v>311+Anesthesiologist</v>
      </c>
      <c r="R444" s="7" t="str">
        <f>Table1[[#This Row],[PDMS Specialty Type ID]] &amp; "+" &amp; Table1[[#This Row],[PDMS Provider Type ID]] &amp; "+" &amp;Table1[[#This Row],[TAXONOMY]]</f>
        <v>2072+51+207LH0002X</v>
      </c>
      <c r="S4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(9422, 2072, 51, N'207LH0002X', N'Anesthesiology - Hospice and Palliative Medicine**')</v>
      </c>
    </row>
    <row r="445" spans="1:19" ht="47.25" hidden="1" customHeight="1" x14ac:dyDescent="0.25">
      <c r="A445" s="22" t="s">
        <v>1855</v>
      </c>
      <c r="B445" s="3" t="s">
        <v>988</v>
      </c>
      <c r="C445" s="3" t="s">
        <v>989</v>
      </c>
      <c r="D445" s="3" t="s">
        <v>1082</v>
      </c>
      <c r="E445" s="3" t="s">
        <v>1083</v>
      </c>
      <c r="F445" s="3">
        <f>VLOOKUP(Table1[[#This Row],[Column2]], TAXONOMY_TYPE, 2, FALSE)</f>
        <v>9423</v>
      </c>
      <c r="G445" s="3">
        <v>31</v>
      </c>
      <c r="H445" s="3" t="s">
        <v>991</v>
      </c>
      <c r="I445" s="3">
        <f>VLOOKUP(Table1[[#This Row],[Provider Type]] &amp; Table1[[#This Row],[Provider Type Description]], PROVIDER_TYPE, 2, FALSE)</f>
        <v>114</v>
      </c>
      <c r="J445" s="3">
        <v>311</v>
      </c>
      <c r="K445" s="3" t="s">
        <v>1077</v>
      </c>
      <c r="L445" s="3">
        <f>VLOOKUP(TRIM(Table1[[#This Row],[Provider Specialty]]) &amp; TRIM(Table1[[#This Row],[Provider Specialty Description]]), SPECIALTY_TYPE, 2, FALSE)</f>
        <v>2072</v>
      </c>
      <c r="M445" s="3" t="s">
        <v>19</v>
      </c>
      <c r="N445" s="27" t="s">
        <v>19</v>
      </c>
      <c r="O445" s="38">
        <f>VLOOKUP(TRIM(Table1[[#This Row],[Provider Specialty]]) &amp; TRIM(Table1[[#This Row],[Provider Specialty Description]]), SPECIALTY_TYPE, 2, FALSE)</f>
        <v>2072</v>
      </c>
      <c r="P445" s="3" t="str">
        <f>Table1[[#This Row],[Provider Type]] &amp; "+" &amp; Table1[[#This Row],[Provider Type Description]]</f>
        <v>31+Physician</v>
      </c>
      <c r="Q445" s="7" t="str">
        <f>Table1[[#This Row],[Provider Specialty]] &amp; "+" &amp; Table1[[#This Row],[Provider Specialty Description]]</f>
        <v>311+Anesthesiologist</v>
      </c>
      <c r="R445" s="7" t="str">
        <f>Table1[[#This Row],[PDMS Specialty Type ID]] &amp; "+" &amp; Table1[[#This Row],[PDMS Provider Type ID]] &amp; "+" &amp;Table1[[#This Row],[TAXONOMY]]</f>
        <v>2072+114+207LP2900X</v>
      </c>
      <c r="S4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(9423, 2072, 114, N'207LP2900X', N'Anesthesiology - Pain Medicine')</v>
      </c>
    </row>
    <row r="446" spans="1:19" ht="47.25" hidden="1" customHeight="1" x14ac:dyDescent="0.25">
      <c r="A446" s="22" t="s">
        <v>1854</v>
      </c>
      <c r="B446" s="3" t="s">
        <v>988</v>
      </c>
      <c r="C446" s="3" t="s">
        <v>989</v>
      </c>
      <c r="D446" s="3" t="s">
        <v>1082</v>
      </c>
      <c r="E446" s="3" t="s">
        <v>1083</v>
      </c>
      <c r="F446" s="3">
        <f>VLOOKUP(Table1[[#This Row],[Column2]], TAXONOMY_TYPE, 2, FALSE)</f>
        <v>9424</v>
      </c>
      <c r="G446" s="3">
        <v>32</v>
      </c>
      <c r="H446" s="3" t="s">
        <v>1444</v>
      </c>
      <c r="I446" s="3">
        <f>VLOOKUP(Table1[[#This Row],[Provider Type]] &amp; Table1[[#This Row],[Provider Type Description]], PROVIDER_TYPE, 2, FALSE)</f>
        <v>50</v>
      </c>
      <c r="J446" s="3">
        <v>311</v>
      </c>
      <c r="K446" s="3" t="s">
        <v>1077</v>
      </c>
      <c r="L446" s="3">
        <f>VLOOKUP(TRIM(Table1[[#This Row],[Provider Specialty]]) &amp; TRIM(Table1[[#This Row],[Provider Specialty Description]]), SPECIALTY_TYPE, 2, FALSE)</f>
        <v>2072</v>
      </c>
      <c r="M446" s="3" t="s">
        <v>18</v>
      </c>
      <c r="N446" s="27" t="s">
        <v>19</v>
      </c>
      <c r="O446" s="38">
        <f>VLOOKUP(TRIM(Table1[[#This Row],[Provider Specialty]]) &amp; TRIM(Table1[[#This Row],[Provider Specialty Description]]), SPECIALTY_TYPE, 2, FALSE)</f>
        <v>2072</v>
      </c>
      <c r="P446" s="3" t="str">
        <f>Table1[[#This Row],[Provider Type]] &amp; "+" &amp; Table1[[#This Row],[Provider Type Description]]</f>
        <v>32+Multi-Specialty</v>
      </c>
      <c r="Q446" s="7" t="str">
        <f>Table1[[#This Row],[Provider Specialty]] &amp; "+" &amp; Table1[[#This Row],[Provider Specialty Description]]</f>
        <v>311+Anesthesiologist</v>
      </c>
      <c r="R446" s="7" t="str">
        <f>Table1[[#This Row],[PDMS Specialty Type ID]] &amp; "+" &amp; Table1[[#This Row],[PDMS Provider Type ID]] &amp; "+" &amp;Table1[[#This Row],[TAXONOMY]]</f>
        <v>2072+50+207LP2900X</v>
      </c>
      <c r="S4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(9424, 2072, 50, N'207LP2900X', N'Anesthesiology - Pain Medicine')</v>
      </c>
    </row>
    <row r="447" spans="1:19" ht="47.25" hidden="1" customHeight="1" x14ac:dyDescent="0.25">
      <c r="A447" s="22" t="s">
        <v>1854</v>
      </c>
      <c r="B447" s="3" t="s">
        <v>988</v>
      </c>
      <c r="C447" s="3" t="s">
        <v>989</v>
      </c>
      <c r="D447" s="3" t="s">
        <v>1082</v>
      </c>
      <c r="E447" s="3" t="s">
        <v>1083</v>
      </c>
      <c r="F447" s="3">
        <f>VLOOKUP(Table1[[#This Row],[Column2]], TAXONOMY_TYPE, 2, FALSE)</f>
        <v>9425</v>
      </c>
      <c r="G447" s="3">
        <v>33</v>
      </c>
      <c r="H447" s="3" t="s">
        <v>1953</v>
      </c>
      <c r="I447" s="3">
        <f>VLOOKUP(Table1[[#This Row],[Provider Type]] &amp; Table1[[#This Row],[Provider Type Description]], PROVIDER_TYPE, 2, FALSE)</f>
        <v>51</v>
      </c>
      <c r="J447" s="3">
        <v>311</v>
      </c>
      <c r="K447" s="3" t="s">
        <v>1077</v>
      </c>
      <c r="L447" s="3">
        <f>VLOOKUP(TRIM(Table1[[#This Row],[Provider Specialty]]) &amp; TRIM(Table1[[#This Row],[Provider Specialty Description]]), SPECIALTY_TYPE, 2, FALSE)</f>
        <v>2072</v>
      </c>
      <c r="M447" s="3" t="s">
        <v>18</v>
      </c>
      <c r="N447" s="27" t="s">
        <v>19</v>
      </c>
      <c r="O447" s="38">
        <f>VLOOKUP(TRIM(Table1[[#This Row],[Provider Specialty]]) &amp; TRIM(Table1[[#This Row],[Provider Specialty Description]]), SPECIALTY_TYPE, 2, FALSE)</f>
        <v>2072</v>
      </c>
      <c r="P447" s="3" t="str">
        <f>Table1[[#This Row],[Provider Type]] &amp; "+" &amp; Table1[[#This Row],[Provider Type Description]]</f>
        <v>33+Single-Specialty</v>
      </c>
      <c r="Q447" s="7" t="str">
        <f>Table1[[#This Row],[Provider Specialty]] &amp; "+" &amp; Table1[[#This Row],[Provider Specialty Description]]</f>
        <v>311+Anesthesiologist</v>
      </c>
      <c r="R447" s="7" t="str">
        <f>Table1[[#This Row],[PDMS Specialty Type ID]] &amp; "+" &amp; Table1[[#This Row],[PDMS Provider Type ID]] &amp; "+" &amp;Table1[[#This Row],[TAXONOMY]]</f>
        <v>2072+51+207LP2900X</v>
      </c>
      <c r="S4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(9425, 2072, 51, N'207LP2900X', N'Anesthesiology - Pain Medicine')</v>
      </c>
    </row>
    <row r="448" spans="1:19" ht="47.25" hidden="1" customHeight="1" x14ac:dyDescent="0.25">
      <c r="A448" s="22" t="s">
        <v>1855</v>
      </c>
      <c r="B448" s="3" t="s">
        <v>988</v>
      </c>
      <c r="C448" s="3" t="s">
        <v>989</v>
      </c>
      <c r="D448" s="3" t="s">
        <v>1084</v>
      </c>
      <c r="E448" s="3" t="s">
        <v>1085</v>
      </c>
      <c r="F448" s="3">
        <f>VLOOKUP(Table1[[#This Row],[Column2]], TAXONOMY_TYPE, 2, FALSE)</f>
        <v>9426</v>
      </c>
      <c r="G448" s="3">
        <v>31</v>
      </c>
      <c r="H448" s="3" t="s">
        <v>991</v>
      </c>
      <c r="I448" s="3">
        <f>VLOOKUP(Table1[[#This Row],[Provider Type]] &amp; Table1[[#This Row],[Provider Type Description]], PROVIDER_TYPE, 2, FALSE)</f>
        <v>114</v>
      </c>
      <c r="J448" s="3">
        <v>311</v>
      </c>
      <c r="K448" s="3" t="s">
        <v>1077</v>
      </c>
      <c r="L448" s="3">
        <f>VLOOKUP(TRIM(Table1[[#This Row],[Provider Specialty]]) &amp; TRIM(Table1[[#This Row],[Provider Specialty Description]]), SPECIALTY_TYPE, 2, FALSE)</f>
        <v>2072</v>
      </c>
      <c r="M448" s="3" t="s">
        <v>19</v>
      </c>
      <c r="N448" s="27" t="s">
        <v>19</v>
      </c>
      <c r="O448" s="38">
        <f>VLOOKUP(TRIM(Table1[[#This Row],[Provider Specialty]]) &amp; TRIM(Table1[[#This Row],[Provider Specialty Description]]), SPECIALTY_TYPE, 2, FALSE)</f>
        <v>2072</v>
      </c>
      <c r="P448" s="3" t="str">
        <f>Table1[[#This Row],[Provider Type]] &amp; "+" &amp; Table1[[#This Row],[Provider Type Description]]</f>
        <v>31+Physician</v>
      </c>
      <c r="Q448" s="7" t="str">
        <f>Table1[[#This Row],[Provider Specialty]] &amp; "+" &amp; Table1[[#This Row],[Provider Specialty Description]]</f>
        <v>311+Anesthesiologist</v>
      </c>
      <c r="R448" s="7" t="str">
        <f>Table1[[#This Row],[PDMS Specialty Type ID]] &amp; "+" &amp; Table1[[#This Row],[PDMS Provider Type ID]] &amp; "+" &amp;Table1[[#This Row],[TAXONOMY]]</f>
        <v>2072+114+207LP3000X</v>
      </c>
      <c r="S4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(9426, 2072, 114, N'207LP3000X', N'Anesthesiology - Pediatric Anesthesiology')</v>
      </c>
    </row>
    <row r="449" spans="1:19" ht="47.25" hidden="1" customHeight="1" x14ac:dyDescent="0.25">
      <c r="A449" s="22" t="s">
        <v>1854</v>
      </c>
      <c r="B449" s="3" t="s">
        <v>988</v>
      </c>
      <c r="C449" s="3" t="s">
        <v>989</v>
      </c>
      <c r="D449" s="3" t="s">
        <v>1084</v>
      </c>
      <c r="E449" s="3" t="s">
        <v>1085</v>
      </c>
      <c r="F449" s="3">
        <f>VLOOKUP(Table1[[#This Row],[Column2]], TAXONOMY_TYPE, 2, FALSE)</f>
        <v>9427</v>
      </c>
      <c r="G449" s="3">
        <v>32</v>
      </c>
      <c r="H449" s="3" t="s">
        <v>1444</v>
      </c>
      <c r="I449" s="3">
        <f>VLOOKUP(Table1[[#This Row],[Provider Type]] &amp; Table1[[#This Row],[Provider Type Description]], PROVIDER_TYPE, 2, FALSE)</f>
        <v>50</v>
      </c>
      <c r="J449" s="3">
        <v>311</v>
      </c>
      <c r="K449" s="3" t="s">
        <v>1077</v>
      </c>
      <c r="L449" s="3">
        <f>VLOOKUP(TRIM(Table1[[#This Row],[Provider Specialty]]) &amp; TRIM(Table1[[#This Row],[Provider Specialty Description]]), SPECIALTY_TYPE, 2, FALSE)</f>
        <v>2072</v>
      </c>
      <c r="M449" s="3" t="s">
        <v>18</v>
      </c>
      <c r="N449" s="27" t="s">
        <v>19</v>
      </c>
      <c r="O449" s="38">
        <f>VLOOKUP(TRIM(Table1[[#This Row],[Provider Specialty]]) &amp; TRIM(Table1[[#This Row],[Provider Specialty Description]]), SPECIALTY_TYPE, 2, FALSE)</f>
        <v>2072</v>
      </c>
      <c r="P449" s="3" t="str">
        <f>Table1[[#This Row],[Provider Type]] &amp; "+" &amp; Table1[[#This Row],[Provider Type Description]]</f>
        <v>32+Multi-Specialty</v>
      </c>
      <c r="Q449" s="7" t="str">
        <f>Table1[[#This Row],[Provider Specialty]] &amp; "+" &amp; Table1[[#This Row],[Provider Specialty Description]]</f>
        <v>311+Anesthesiologist</v>
      </c>
      <c r="R449" s="7" t="str">
        <f>Table1[[#This Row],[PDMS Specialty Type ID]] &amp; "+" &amp; Table1[[#This Row],[PDMS Provider Type ID]] &amp; "+" &amp;Table1[[#This Row],[TAXONOMY]]</f>
        <v>2072+50+207LP3000X</v>
      </c>
      <c r="S4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(9427, 2072, 50, N'207LP3000X', N'Anesthesiology - Pediatric Anesthesiology')</v>
      </c>
    </row>
    <row r="450" spans="1:19" ht="47.25" hidden="1" customHeight="1" x14ac:dyDescent="0.25">
      <c r="A450" s="22" t="s">
        <v>1854</v>
      </c>
      <c r="B450" s="3" t="s">
        <v>988</v>
      </c>
      <c r="C450" s="3" t="s">
        <v>989</v>
      </c>
      <c r="D450" s="3" t="s">
        <v>1084</v>
      </c>
      <c r="E450" s="3" t="s">
        <v>1085</v>
      </c>
      <c r="F450" s="3">
        <f>VLOOKUP(Table1[[#This Row],[Column2]], TAXONOMY_TYPE, 2, FALSE)</f>
        <v>9428</v>
      </c>
      <c r="G450" s="3">
        <v>33</v>
      </c>
      <c r="H450" s="3" t="s">
        <v>1953</v>
      </c>
      <c r="I450" s="3">
        <f>VLOOKUP(Table1[[#This Row],[Provider Type]] &amp; Table1[[#This Row],[Provider Type Description]], PROVIDER_TYPE, 2, FALSE)</f>
        <v>51</v>
      </c>
      <c r="J450" s="3">
        <v>311</v>
      </c>
      <c r="K450" s="3" t="s">
        <v>1077</v>
      </c>
      <c r="L450" s="3">
        <f>VLOOKUP(TRIM(Table1[[#This Row],[Provider Specialty]]) &amp; TRIM(Table1[[#This Row],[Provider Specialty Description]]), SPECIALTY_TYPE, 2, FALSE)</f>
        <v>2072</v>
      </c>
      <c r="M450" s="3" t="s">
        <v>18</v>
      </c>
      <c r="N450" s="27" t="s">
        <v>19</v>
      </c>
      <c r="O450" s="38">
        <f>VLOOKUP(TRIM(Table1[[#This Row],[Provider Specialty]]) &amp; TRIM(Table1[[#This Row],[Provider Specialty Description]]), SPECIALTY_TYPE, 2, FALSE)</f>
        <v>2072</v>
      </c>
      <c r="P450" s="3" t="str">
        <f>Table1[[#This Row],[Provider Type]] &amp; "+" &amp; Table1[[#This Row],[Provider Type Description]]</f>
        <v>33+Single-Specialty</v>
      </c>
      <c r="Q450" s="7" t="str">
        <f>Table1[[#This Row],[Provider Specialty]] &amp; "+" &amp; Table1[[#This Row],[Provider Specialty Description]]</f>
        <v>311+Anesthesiologist</v>
      </c>
      <c r="R450" s="7" t="str">
        <f>Table1[[#This Row],[PDMS Specialty Type ID]] &amp; "+" &amp; Table1[[#This Row],[PDMS Provider Type ID]] &amp; "+" &amp;Table1[[#This Row],[TAXONOMY]]</f>
        <v>2072+51+207LP3000X</v>
      </c>
      <c r="S4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(9428, 2072, 51, N'207LP3000X', N'Anesthesiology - Pediatric Anesthesiology')</v>
      </c>
    </row>
    <row r="451" spans="1:19" ht="47.25" hidden="1" customHeight="1" x14ac:dyDescent="0.25">
      <c r="A451" s="22" t="s">
        <v>1855</v>
      </c>
      <c r="B451" s="3" t="s">
        <v>988</v>
      </c>
      <c r="C451" s="3" t="s">
        <v>999</v>
      </c>
      <c r="D451" s="3" t="s">
        <v>1133</v>
      </c>
      <c r="E451" s="3" t="s">
        <v>1134</v>
      </c>
      <c r="F451" s="3">
        <f>VLOOKUP(Table1[[#This Row],[Column2]], TAXONOMY_TYPE, 2, FALSE)</f>
        <v>9429</v>
      </c>
      <c r="G451" s="3">
        <v>31</v>
      </c>
      <c r="H451" s="3" t="s">
        <v>991</v>
      </c>
      <c r="I451" s="3">
        <f>VLOOKUP(Table1[[#This Row],[Provider Type]] &amp; Table1[[#This Row],[Provider Type Description]], PROVIDER_TYPE, 2, FALSE)</f>
        <v>114</v>
      </c>
      <c r="J451" s="3">
        <v>312</v>
      </c>
      <c r="K451" s="3" t="s">
        <v>1135</v>
      </c>
      <c r="L451" s="3">
        <f>VLOOKUP(TRIM(Table1[[#This Row],[Provider Specialty]]) &amp; TRIM(Table1[[#This Row],[Provider Specialty Description]]), SPECIALTY_TYPE, 2, FALSE)</f>
        <v>2073</v>
      </c>
      <c r="M451" s="3" t="s">
        <v>19</v>
      </c>
      <c r="N451" s="27" t="s">
        <v>19</v>
      </c>
      <c r="O451" s="38">
        <f>VLOOKUP(TRIM(Table1[[#This Row],[Provider Specialty]]) &amp; TRIM(Table1[[#This Row],[Provider Specialty Description]]), SPECIALTY_TYPE, 2, FALSE)</f>
        <v>2073</v>
      </c>
      <c r="P451" s="3" t="str">
        <f>Table1[[#This Row],[Provider Type]] &amp; "+" &amp; Table1[[#This Row],[Provider Type Description]]</f>
        <v>31+Physician</v>
      </c>
      <c r="Q451" s="7" t="str">
        <f>Table1[[#This Row],[Provider Specialty]] &amp; "+" &amp; Table1[[#This Row],[Provider Specialty Description]]</f>
        <v>312+Cardiologist</v>
      </c>
      <c r="R451" s="7" t="str">
        <f>Table1[[#This Row],[PDMS Specialty Type ID]] &amp; "+" &amp; Table1[[#This Row],[PDMS Provider Type ID]] &amp; "+" &amp;Table1[[#This Row],[TAXONOMY]]</f>
        <v>2073+114+207RC0000X</v>
      </c>
      <c r="S4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(9429, 2073, 114, N'207RC0000X', N'Internal Medicine - Cardiovascular Disease ')</v>
      </c>
    </row>
    <row r="452" spans="1:19" ht="47.25" hidden="1" customHeight="1" x14ac:dyDescent="0.25">
      <c r="A452" s="22" t="s">
        <v>1854</v>
      </c>
      <c r="B452" s="3" t="s">
        <v>988</v>
      </c>
      <c r="C452" s="3" t="s">
        <v>999</v>
      </c>
      <c r="D452" s="3" t="s">
        <v>1133</v>
      </c>
      <c r="E452" s="3" t="s">
        <v>1134</v>
      </c>
      <c r="F452" s="3">
        <f>VLOOKUP(Table1[[#This Row],[Column2]], TAXONOMY_TYPE, 2, FALSE)</f>
        <v>9430</v>
      </c>
      <c r="G452" s="3">
        <v>32</v>
      </c>
      <c r="H452" s="3" t="s">
        <v>1444</v>
      </c>
      <c r="I452" s="3">
        <f>VLOOKUP(Table1[[#This Row],[Provider Type]] &amp; Table1[[#This Row],[Provider Type Description]], PROVIDER_TYPE, 2, FALSE)</f>
        <v>50</v>
      </c>
      <c r="J452" s="3">
        <v>312</v>
      </c>
      <c r="K452" s="3" t="s">
        <v>1135</v>
      </c>
      <c r="L452" s="3">
        <f>VLOOKUP(TRIM(Table1[[#This Row],[Provider Specialty]]) &amp; TRIM(Table1[[#This Row],[Provider Specialty Description]]), SPECIALTY_TYPE, 2, FALSE)</f>
        <v>2073</v>
      </c>
      <c r="M452" s="3" t="s">
        <v>18</v>
      </c>
      <c r="N452" s="27" t="s">
        <v>19</v>
      </c>
      <c r="O452" s="38">
        <f>VLOOKUP(TRIM(Table1[[#This Row],[Provider Specialty]]) &amp; TRIM(Table1[[#This Row],[Provider Specialty Description]]), SPECIALTY_TYPE, 2, FALSE)</f>
        <v>2073</v>
      </c>
      <c r="P452" s="3" t="str">
        <f>Table1[[#This Row],[Provider Type]] &amp; "+" &amp; Table1[[#This Row],[Provider Type Description]]</f>
        <v>32+Multi-Specialty</v>
      </c>
      <c r="Q452" s="7" t="str">
        <f>Table1[[#This Row],[Provider Specialty]] &amp; "+" &amp; Table1[[#This Row],[Provider Specialty Description]]</f>
        <v>312+Cardiologist</v>
      </c>
      <c r="R452" s="7" t="str">
        <f>Table1[[#This Row],[PDMS Specialty Type ID]] &amp; "+" &amp; Table1[[#This Row],[PDMS Provider Type ID]] &amp; "+" &amp;Table1[[#This Row],[TAXONOMY]]</f>
        <v>2073+50+207RC0000X</v>
      </c>
      <c r="S4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(9430, 2073, 50, N'207RC0000X', N'Internal Medicine - Cardiovascular Disease ')</v>
      </c>
    </row>
    <row r="453" spans="1:19" ht="47.25" hidden="1" customHeight="1" x14ac:dyDescent="0.25">
      <c r="A453" s="22" t="s">
        <v>1854</v>
      </c>
      <c r="B453" s="3" t="s">
        <v>988</v>
      </c>
      <c r="C453" s="3" t="s">
        <v>999</v>
      </c>
      <c r="D453" s="3" t="s">
        <v>1133</v>
      </c>
      <c r="E453" s="3" t="s">
        <v>1134</v>
      </c>
      <c r="F453" s="3">
        <f>VLOOKUP(Table1[[#This Row],[Column2]], TAXONOMY_TYPE, 2, FALSE)</f>
        <v>9431</v>
      </c>
      <c r="G453" s="3">
        <v>33</v>
      </c>
      <c r="H453" s="3" t="s">
        <v>1953</v>
      </c>
      <c r="I453" s="3">
        <f>VLOOKUP(Table1[[#This Row],[Provider Type]] &amp; Table1[[#This Row],[Provider Type Description]], PROVIDER_TYPE, 2, FALSE)</f>
        <v>51</v>
      </c>
      <c r="J453" s="3">
        <v>312</v>
      </c>
      <c r="K453" s="3" t="s">
        <v>1135</v>
      </c>
      <c r="L453" s="3">
        <f>VLOOKUP(TRIM(Table1[[#This Row],[Provider Specialty]]) &amp; TRIM(Table1[[#This Row],[Provider Specialty Description]]), SPECIALTY_TYPE, 2, FALSE)</f>
        <v>2073</v>
      </c>
      <c r="M453" s="3" t="s">
        <v>18</v>
      </c>
      <c r="N453" s="27" t="s">
        <v>19</v>
      </c>
      <c r="O453" s="38">
        <f>VLOOKUP(TRIM(Table1[[#This Row],[Provider Specialty]]) &amp; TRIM(Table1[[#This Row],[Provider Specialty Description]]), SPECIALTY_TYPE, 2, FALSE)</f>
        <v>2073</v>
      </c>
      <c r="P453" s="3" t="str">
        <f>Table1[[#This Row],[Provider Type]] &amp; "+" &amp; Table1[[#This Row],[Provider Type Description]]</f>
        <v>33+Single-Specialty</v>
      </c>
      <c r="Q453" s="7" t="str">
        <f>Table1[[#This Row],[Provider Specialty]] &amp; "+" &amp; Table1[[#This Row],[Provider Specialty Description]]</f>
        <v>312+Cardiologist</v>
      </c>
      <c r="R453" s="7" t="str">
        <f>Table1[[#This Row],[PDMS Specialty Type ID]] &amp; "+" &amp; Table1[[#This Row],[PDMS Provider Type ID]] &amp; "+" &amp;Table1[[#This Row],[TAXONOMY]]</f>
        <v>2073+51+207RC0000X</v>
      </c>
      <c r="S4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(9431, 2073, 51, N'207RC0000X', N'Internal Medicine - Cardiovascular Disease ')</v>
      </c>
    </row>
    <row r="454" spans="1:19" ht="47.25" hidden="1" customHeight="1" x14ac:dyDescent="0.25">
      <c r="A454" s="22" t="s">
        <v>1855</v>
      </c>
      <c r="B454" s="3" t="s">
        <v>988</v>
      </c>
      <c r="C454" s="3" t="s">
        <v>999</v>
      </c>
      <c r="D454" s="3" t="s">
        <v>1149</v>
      </c>
      <c r="E454" s="3" t="s">
        <v>1150</v>
      </c>
      <c r="F454" s="3">
        <f>VLOOKUP(Table1[[#This Row],[Column2]], TAXONOMY_TYPE, 2, FALSE)</f>
        <v>9432</v>
      </c>
      <c r="G454" s="3">
        <v>31</v>
      </c>
      <c r="H454" s="3" t="s">
        <v>991</v>
      </c>
      <c r="I454" s="3">
        <f>VLOOKUP(Table1[[#This Row],[Provider Type]] &amp; Table1[[#This Row],[Provider Type Description]], PROVIDER_TYPE, 2, FALSE)</f>
        <v>114</v>
      </c>
      <c r="J454" s="3">
        <v>312</v>
      </c>
      <c r="K454" s="3" t="s">
        <v>1135</v>
      </c>
      <c r="L454" s="3">
        <f>VLOOKUP(TRIM(Table1[[#This Row],[Provider Specialty]]) &amp; TRIM(Table1[[#This Row],[Provider Specialty Description]]), SPECIALTY_TYPE, 2, FALSE)</f>
        <v>2073</v>
      </c>
      <c r="M454" s="3" t="s">
        <v>19</v>
      </c>
      <c r="N454" s="27" t="s">
        <v>19</v>
      </c>
      <c r="O454" s="38">
        <f>VLOOKUP(TRIM(Table1[[#This Row],[Provider Specialty]]) &amp; TRIM(Table1[[#This Row],[Provider Specialty Description]]), SPECIALTY_TYPE, 2, FALSE)</f>
        <v>2073</v>
      </c>
      <c r="P454" s="3" t="str">
        <f>Table1[[#This Row],[Provider Type]] &amp; "+" &amp; Table1[[#This Row],[Provider Type Description]]</f>
        <v>31+Physician</v>
      </c>
      <c r="Q454" s="7" t="str">
        <f>Table1[[#This Row],[Provider Specialty]] &amp; "+" &amp; Table1[[#This Row],[Provider Specialty Description]]</f>
        <v>312+Cardiologist</v>
      </c>
      <c r="R454" s="7" t="str">
        <f>Table1[[#This Row],[PDMS Specialty Type ID]] &amp; "+" &amp; Table1[[#This Row],[PDMS Provider Type ID]] &amp; "+" &amp;Table1[[#This Row],[TAXONOMY]]</f>
        <v>2073+114+207RI0011X</v>
      </c>
      <c r="S4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(9432, 2073, 114, N'207RI0011X', N'Internal Medicine - Interventional Cardiology')</v>
      </c>
    </row>
    <row r="455" spans="1:19" ht="47.25" hidden="1" customHeight="1" x14ac:dyDescent="0.25">
      <c r="A455" s="22" t="s">
        <v>1854</v>
      </c>
      <c r="B455" s="3" t="s">
        <v>988</v>
      </c>
      <c r="C455" s="3" t="s">
        <v>999</v>
      </c>
      <c r="D455" s="3" t="s">
        <v>1149</v>
      </c>
      <c r="E455" s="3" t="s">
        <v>1150</v>
      </c>
      <c r="F455" s="3">
        <f>VLOOKUP(Table1[[#This Row],[Column2]], TAXONOMY_TYPE, 2, FALSE)</f>
        <v>9433</v>
      </c>
      <c r="G455" s="3">
        <v>32</v>
      </c>
      <c r="H455" s="3" t="s">
        <v>1444</v>
      </c>
      <c r="I455" s="3">
        <f>VLOOKUP(Table1[[#This Row],[Provider Type]] &amp; Table1[[#This Row],[Provider Type Description]], PROVIDER_TYPE, 2, FALSE)</f>
        <v>50</v>
      </c>
      <c r="J455" s="3">
        <v>312</v>
      </c>
      <c r="K455" s="3" t="s">
        <v>1135</v>
      </c>
      <c r="L455" s="3">
        <f>VLOOKUP(TRIM(Table1[[#This Row],[Provider Specialty]]) &amp; TRIM(Table1[[#This Row],[Provider Specialty Description]]), SPECIALTY_TYPE, 2, FALSE)</f>
        <v>2073</v>
      </c>
      <c r="M455" s="3" t="s">
        <v>18</v>
      </c>
      <c r="N455" s="27" t="s">
        <v>19</v>
      </c>
      <c r="O455" s="38">
        <f>VLOOKUP(TRIM(Table1[[#This Row],[Provider Specialty]]) &amp; TRIM(Table1[[#This Row],[Provider Specialty Description]]), SPECIALTY_TYPE, 2, FALSE)</f>
        <v>2073</v>
      </c>
      <c r="P455" s="3" t="str">
        <f>Table1[[#This Row],[Provider Type]] &amp; "+" &amp; Table1[[#This Row],[Provider Type Description]]</f>
        <v>32+Multi-Specialty</v>
      </c>
      <c r="Q455" s="7" t="str">
        <f>Table1[[#This Row],[Provider Specialty]] &amp; "+" &amp; Table1[[#This Row],[Provider Specialty Description]]</f>
        <v>312+Cardiologist</v>
      </c>
      <c r="R455" s="7" t="str">
        <f>Table1[[#This Row],[PDMS Specialty Type ID]] &amp; "+" &amp; Table1[[#This Row],[PDMS Provider Type ID]] &amp; "+" &amp;Table1[[#This Row],[TAXONOMY]]</f>
        <v>2073+50+207RI0011X</v>
      </c>
      <c r="S4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(9433, 2073, 50, N'207RI0011X', N'Internal Medicine - Interventional Cardiology')</v>
      </c>
    </row>
    <row r="456" spans="1:19" ht="47.25" hidden="1" customHeight="1" x14ac:dyDescent="0.25">
      <c r="A456" s="22" t="s">
        <v>1854</v>
      </c>
      <c r="B456" s="3" t="s">
        <v>988</v>
      </c>
      <c r="C456" s="3" t="s">
        <v>999</v>
      </c>
      <c r="D456" s="3" t="s">
        <v>1149</v>
      </c>
      <c r="E456" s="3" t="s">
        <v>1150</v>
      </c>
      <c r="F456" s="3">
        <f>VLOOKUP(Table1[[#This Row],[Column2]], TAXONOMY_TYPE, 2, FALSE)</f>
        <v>9434</v>
      </c>
      <c r="G456" s="3">
        <v>33</v>
      </c>
      <c r="H456" s="3" t="s">
        <v>1953</v>
      </c>
      <c r="I456" s="3">
        <f>VLOOKUP(Table1[[#This Row],[Provider Type]] &amp; Table1[[#This Row],[Provider Type Description]], PROVIDER_TYPE, 2, FALSE)</f>
        <v>51</v>
      </c>
      <c r="J456" s="3">
        <v>312</v>
      </c>
      <c r="K456" s="3" t="s">
        <v>1135</v>
      </c>
      <c r="L456" s="3">
        <f>VLOOKUP(TRIM(Table1[[#This Row],[Provider Specialty]]) &amp; TRIM(Table1[[#This Row],[Provider Specialty Description]]), SPECIALTY_TYPE, 2, FALSE)</f>
        <v>2073</v>
      </c>
      <c r="M456" s="3" t="s">
        <v>18</v>
      </c>
      <c r="N456" s="27" t="s">
        <v>19</v>
      </c>
      <c r="O456" s="38">
        <f>VLOOKUP(TRIM(Table1[[#This Row],[Provider Specialty]]) &amp; TRIM(Table1[[#This Row],[Provider Specialty Description]]), SPECIALTY_TYPE, 2, FALSE)</f>
        <v>2073</v>
      </c>
      <c r="P456" s="3" t="str">
        <f>Table1[[#This Row],[Provider Type]] &amp; "+" &amp; Table1[[#This Row],[Provider Type Description]]</f>
        <v>33+Single-Specialty</v>
      </c>
      <c r="Q456" s="7" t="str">
        <f>Table1[[#This Row],[Provider Specialty]] &amp; "+" &amp; Table1[[#This Row],[Provider Specialty Description]]</f>
        <v>312+Cardiologist</v>
      </c>
      <c r="R456" s="7" t="str">
        <f>Table1[[#This Row],[PDMS Specialty Type ID]] &amp; "+" &amp; Table1[[#This Row],[PDMS Provider Type ID]] &amp; "+" &amp;Table1[[#This Row],[TAXONOMY]]</f>
        <v>2073+51+207RI0011X</v>
      </c>
      <c r="S4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(9434, 2073, 51, N'207RI0011X', N'Internal Medicine - Interventional Cardiology')</v>
      </c>
    </row>
    <row r="457" spans="1:19" ht="47.25" hidden="1" customHeight="1" x14ac:dyDescent="0.25">
      <c r="A457" s="22" t="s">
        <v>1855</v>
      </c>
      <c r="B457" s="3" t="s">
        <v>988</v>
      </c>
      <c r="C457" s="3" t="s">
        <v>325</v>
      </c>
      <c r="D457" s="3" t="s">
        <v>1276</v>
      </c>
      <c r="E457" s="3" t="s">
        <v>1277</v>
      </c>
      <c r="F457" s="3">
        <f>VLOOKUP(Table1[[#This Row],[Column2]], TAXONOMY_TYPE, 2, FALSE)</f>
        <v>9435</v>
      </c>
      <c r="G457" s="3">
        <v>31</v>
      </c>
      <c r="H457" s="3" t="s">
        <v>991</v>
      </c>
      <c r="I457" s="3">
        <f>VLOOKUP(Table1[[#This Row],[Provider Type]] &amp; Table1[[#This Row],[Provider Type Description]], PROVIDER_TYPE, 2, FALSE)</f>
        <v>114</v>
      </c>
      <c r="J457" s="3">
        <v>312</v>
      </c>
      <c r="K457" s="3" t="s">
        <v>1135</v>
      </c>
      <c r="L457" s="3">
        <f>VLOOKUP(TRIM(Table1[[#This Row],[Provider Specialty]]) &amp; TRIM(Table1[[#This Row],[Provider Specialty Description]]), SPECIALTY_TYPE, 2, FALSE)</f>
        <v>2073</v>
      </c>
      <c r="M457" s="3" t="s">
        <v>19</v>
      </c>
      <c r="N457" s="27" t="s">
        <v>19</v>
      </c>
      <c r="O457" s="38">
        <f>VLOOKUP(TRIM(Table1[[#This Row],[Provider Specialty]]) &amp; TRIM(Table1[[#This Row],[Provider Specialty Description]]), SPECIALTY_TYPE, 2, FALSE)</f>
        <v>2073</v>
      </c>
      <c r="P457" s="3" t="str">
        <f>Table1[[#This Row],[Provider Type]] &amp; "+" &amp; Table1[[#This Row],[Provider Type Description]]</f>
        <v>31+Physician</v>
      </c>
      <c r="Q457" s="7" t="str">
        <f>Table1[[#This Row],[Provider Specialty]] &amp; "+" &amp; Table1[[#This Row],[Provider Specialty Description]]</f>
        <v>312+Cardiologist</v>
      </c>
      <c r="R457" s="7" t="str">
        <f>Table1[[#This Row],[PDMS Specialty Type ID]] &amp; "+" &amp; Table1[[#This Row],[PDMS Provider Type ID]] &amp; "+" &amp;Table1[[#This Row],[TAXONOMY]]</f>
        <v>2073+114+2080P0202X</v>
      </c>
      <c r="S4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(9435, 2073, 114, N'2080P0202X', N'Pediatrics - Pediatric Cardiology')</v>
      </c>
    </row>
    <row r="458" spans="1:19" ht="47.25" hidden="1" customHeight="1" x14ac:dyDescent="0.25">
      <c r="A458" s="22" t="s">
        <v>1854</v>
      </c>
      <c r="B458" s="3" t="s">
        <v>988</v>
      </c>
      <c r="C458" s="3" t="s">
        <v>325</v>
      </c>
      <c r="D458" s="3" t="s">
        <v>1276</v>
      </c>
      <c r="E458" s="3" t="s">
        <v>1277</v>
      </c>
      <c r="F458" s="3">
        <f>VLOOKUP(Table1[[#This Row],[Column2]], TAXONOMY_TYPE, 2, FALSE)</f>
        <v>9436</v>
      </c>
      <c r="G458" s="3">
        <v>32</v>
      </c>
      <c r="H458" s="3" t="s">
        <v>1444</v>
      </c>
      <c r="I458" s="3">
        <f>VLOOKUP(Table1[[#This Row],[Provider Type]] &amp; Table1[[#This Row],[Provider Type Description]], PROVIDER_TYPE, 2, FALSE)</f>
        <v>50</v>
      </c>
      <c r="J458" s="3">
        <v>312</v>
      </c>
      <c r="K458" s="3" t="s">
        <v>1135</v>
      </c>
      <c r="L458" s="3">
        <f>VLOOKUP(TRIM(Table1[[#This Row],[Provider Specialty]]) &amp; TRIM(Table1[[#This Row],[Provider Specialty Description]]), SPECIALTY_TYPE, 2, FALSE)</f>
        <v>2073</v>
      </c>
      <c r="M458" s="3" t="s">
        <v>18</v>
      </c>
      <c r="N458" s="27" t="s">
        <v>19</v>
      </c>
      <c r="O458" s="38">
        <f>VLOOKUP(TRIM(Table1[[#This Row],[Provider Specialty]]) &amp; TRIM(Table1[[#This Row],[Provider Specialty Description]]), SPECIALTY_TYPE, 2, FALSE)</f>
        <v>2073</v>
      </c>
      <c r="P458" s="3" t="str">
        <f>Table1[[#This Row],[Provider Type]] &amp; "+" &amp; Table1[[#This Row],[Provider Type Description]]</f>
        <v>32+Multi-Specialty</v>
      </c>
      <c r="Q458" s="7" t="str">
        <f>Table1[[#This Row],[Provider Specialty]] &amp; "+" &amp; Table1[[#This Row],[Provider Specialty Description]]</f>
        <v>312+Cardiologist</v>
      </c>
      <c r="R458" s="7" t="str">
        <f>Table1[[#This Row],[PDMS Specialty Type ID]] &amp; "+" &amp; Table1[[#This Row],[PDMS Provider Type ID]] &amp; "+" &amp;Table1[[#This Row],[TAXONOMY]]</f>
        <v>2073+50+2080P0202X</v>
      </c>
      <c r="S4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(9436, 2073, 50, N'2080P0202X', N'Pediatrics - Pediatric Cardiology')</v>
      </c>
    </row>
    <row r="459" spans="1:19" ht="47.25" hidden="1" customHeight="1" x14ac:dyDescent="0.25">
      <c r="A459" s="22" t="s">
        <v>1854</v>
      </c>
      <c r="B459" s="3" t="s">
        <v>988</v>
      </c>
      <c r="C459" s="3" t="s">
        <v>325</v>
      </c>
      <c r="D459" s="3" t="s">
        <v>1276</v>
      </c>
      <c r="E459" s="3" t="s">
        <v>1277</v>
      </c>
      <c r="F459" s="3">
        <f>VLOOKUP(Table1[[#This Row],[Column2]], TAXONOMY_TYPE, 2, FALSE)</f>
        <v>9437</v>
      </c>
      <c r="G459" s="3">
        <v>33</v>
      </c>
      <c r="H459" s="3" t="s">
        <v>1953</v>
      </c>
      <c r="I459" s="3">
        <f>VLOOKUP(Table1[[#This Row],[Provider Type]] &amp; Table1[[#This Row],[Provider Type Description]], PROVIDER_TYPE, 2, FALSE)</f>
        <v>51</v>
      </c>
      <c r="J459" s="3">
        <v>312</v>
      </c>
      <c r="K459" s="3" t="s">
        <v>1135</v>
      </c>
      <c r="L459" s="3">
        <f>VLOOKUP(TRIM(Table1[[#This Row],[Provider Specialty]]) &amp; TRIM(Table1[[#This Row],[Provider Specialty Description]]), SPECIALTY_TYPE, 2, FALSE)</f>
        <v>2073</v>
      </c>
      <c r="M459" s="3" t="s">
        <v>18</v>
      </c>
      <c r="N459" s="27" t="s">
        <v>19</v>
      </c>
      <c r="O459" s="38">
        <f>VLOOKUP(TRIM(Table1[[#This Row],[Provider Specialty]]) &amp; TRIM(Table1[[#This Row],[Provider Specialty Description]]), SPECIALTY_TYPE, 2, FALSE)</f>
        <v>2073</v>
      </c>
      <c r="P459" s="3" t="str">
        <f>Table1[[#This Row],[Provider Type]] &amp; "+" &amp; Table1[[#This Row],[Provider Type Description]]</f>
        <v>33+Single-Specialty</v>
      </c>
      <c r="Q459" s="7" t="str">
        <f>Table1[[#This Row],[Provider Specialty]] &amp; "+" &amp; Table1[[#This Row],[Provider Specialty Description]]</f>
        <v>312+Cardiologist</v>
      </c>
      <c r="R459" s="7" t="str">
        <f>Table1[[#This Row],[PDMS Specialty Type ID]] &amp; "+" &amp; Table1[[#This Row],[PDMS Provider Type ID]] &amp; "+" &amp;Table1[[#This Row],[TAXONOMY]]</f>
        <v>2073+51+2080P0202X</v>
      </c>
      <c r="S4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(9437, 2073, 51, N'2080P0202X', N'Pediatrics - Pediatric Cardiology')</v>
      </c>
    </row>
    <row r="460" spans="1:19" ht="47.25" hidden="1" customHeight="1" x14ac:dyDescent="0.25">
      <c r="A460" s="22" t="s">
        <v>1855</v>
      </c>
      <c r="B460" s="3" t="s">
        <v>988</v>
      </c>
      <c r="C460" s="3" t="s">
        <v>1048</v>
      </c>
      <c r="D460" s="3" t="s">
        <v>1398</v>
      </c>
      <c r="E460" s="3" t="s">
        <v>1399</v>
      </c>
      <c r="F460" s="3">
        <f>VLOOKUP(Table1[[#This Row],[Column2]], TAXONOMY_TYPE, 2, FALSE)</f>
        <v>9438</v>
      </c>
      <c r="G460" s="3">
        <v>31</v>
      </c>
      <c r="H460" s="3" t="s">
        <v>991</v>
      </c>
      <c r="I460" s="3">
        <f>VLOOKUP(Table1[[#This Row],[Provider Type]] &amp; Table1[[#This Row],[Provider Type Description]], PROVIDER_TYPE, 2, FALSE)</f>
        <v>114</v>
      </c>
      <c r="J460" s="3">
        <v>313</v>
      </c>
      <c r="K460" s="3" t="s">
        <v>1400</v>
      </c>
      <c r="L460" s="3">
        <f>VLOOKUP(TRIM(Table1[[#This Row],[Provider Specialty]]) &amp; TRIM(Table1[[#This Row],[Provider Specialty Description]]), SPECIALTY_TYPE, 2, FALSE)</f>
        <v>2074</v>
      </c>
      <c r="M460" s="3" t="s">
        <v>19</v>
      </c>
      <c r="N460" s="27" t="s">
        <v>19</v>
      </c>
      <c r="O460" s="38">
        <f>VLOOKUP(TRIM(Table1[[#This Row],[Provider Specialty]]) &amp; TRIM(Table1[[#This Row],[Provider Specialty Description]]), SPECIALTY_TYPE, 2, FALSE)</f>
        <v>2074</v>
      </c>
      <c r="P460" s="3" t="str">
        <f>Table1[[#This Row],[Provider Type]] &amp; "+" &amp; Table1[[#This Row],[Provider Type Description]]</f>
        <v>31+Physician</v>
      </c>
      <c r="Q460" s="7" t="str">
        <f>Table1[[#This Row],[Provider Specialty]] &amp; "+" &amp; Table1[[#This Row],[Provider Specialty Description]]</f>
        <v>313+Cardiovascular Surgeon</v>
      </c>
      <c r="R460" s="7" t="str">
        <f>Table1[[#This Row],[PDMS Specialty Type ID]] &amp; "+" &amp; Table1[[#This Row],[PDMS Provider Type ID]] &amp; "+" &amp;Table1[[#This Row],[TAXONOMY]]</f>
        <v>2074+114+2086S0129X</v>
      </c>
      <c r="S4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(9438, 2074, 114, N'2086S0129X', N'Surgery - Vascular Surgery')</v>
      </c>
    </row>
    <row r="461" spans="1:19" ht="47.25" hidden="1" customHeight="1" x14ac:dyDescent="0.25">
      <c r="A461" s="22" t="s">
        <v>1854</v>
      </c>
      <c r="B461" s="3" t="s">
        <v>988</v>
      </c>
      <c r="C461" s="3" t="s">
        <v>1048</v>
      </c>
      <c r="D461" s="3" t="s">
        <v>1398</v>
      </c>
      <c r="E461" s="3" t="s">
        <v>1399</v>
      </c>
      <c r="F461" s="3">
        <f>VLOOKUP(Table1[[#This Row],[Column2]], TAXONOMY_TYPE, 2, FALSE)</f>
        <v>9439</v>
      </c>
      <c r="G461" s="3">
        <v>32</v>
      </c>
      <c r="H461" s="3" t="s">
        <v>1444</v>
      </c>
      <c r="I461" s="3">
        <f>VLOOKUP(Table1[[#This Row],[Provider Type]] &amp; Table1[[#This Row],[Provider Type Description]], PROVIDER_TYPE, 2, FALSE)</f>
        <v>50</v>
      </c>
      <c r="J461" s="3">
        <v>313</v>
      </c>
      <c r="K461" s="3" t="s">
        <v>1400</v>
      </c>
      <c r="L461" s="3">
        <f>VLOOKUP(TRIM(Table1[[#This Row],[Provider Specialty]]) &amp; TRIM(Table1[[#This Row],[Provider Specialty Description]]), SPECIALTY_TYPE, 2, FALSE)</f>
        <v>2074</v>
      </c>
      <c r="M461" s="3" t="s">
        <v>18</v>
      </c>
      <c r="N461" s="27" t="s">
        <v>19</v>
      </c>
      <c r="O461" s="38">
        <f>VLOOKUP(TRIM(Table1[[#This Row],[Provider Specialty]]) &amp; TRIM(Table1[[#This Row],[Provider Specialty Description]]), SPECIALTY_TYPE, 2, FALSE)</f>
        <v>2074</v>
      </c>
      <c r="P461" s="3" t="str">
        <f>Table1[[#This Row],[Provider Type]] &amp; "+" &amp; Table1[[#This Row],[Provider Type Description]]</f>
        <v>32+Multi-Specialty</v>
      </c>
      <c r="Q461" s="7" t="str">
        <f>Table1[[#This Row],[Provider Specialty]] &amp; "+" &amp; Table1[[#This Row],[Provider Specialty Description]]</f>
        <v>313+Cardiovascular Surgeon</v>
      </c>
      <c r="R461" s="7" t="str">
        <f>Table1[[#This Row],[PDMS Specialty Type ID]] &amp; "+" &amp; Table1[[#This Row],[PDMS Provider Type ID]] &amp; "+" &amp;Table1[[#This Row],[TAXONOMY]]</f>
        <v>2074+50+2086S0129X</v>
      </c>
      <c r="S4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(9439, 2074, 50, N'2086S0129X', N'Surgery - Vascular Surgery')</v>
      </c>
    </row>
    <row r="462" spans="1:19" ht="47.25" hidden="1" customHeight="1" x14ac:dyDescent="0.25">
      <c r="A462" s="22" t="s">
        <v>1854</v>
      </c>
      <c r="B462" s="3" t="s">
        <v>988</v>
      </c>
      <c r="C462" s="3" t="s">
        <v>1048</v>
      </c>
      <c r="D462" s="3" t="s">
        <v>1398</v>
      </c>
      <c r="E462" s="3" t="s">
        <v>1399</v>
      </c>
      <c r="F462" s="3">
        <f>VLOOKUP(Table1[[#This Row],[Column2]], TAXONOMY_TYPE, 2, FALSE)</f>
        <v>9440</v>
      </c>
      <c r="G462" s="3">
        <v>33</v>
      </c>
      <c r="H462" s="3" t="s">
        <v>1953</v>
      </c>
      <c r="I462" s="3">
        <f>VLOOKUP(Table1[[#This Row],[Provider Type]] &amp; Table1[[#This Row],[Provider Type Description]], PROVIDER_TYPE, 2, FALSE)</f>
        <v>51</v>
      </c>
      <c r="J462" s="3">
        <v>313</v>
      </c>
      <c r="K462" s="3" t="s">
        <v>1400</v>
      </c>
      <c r="L462" s="3">
        <f>VLOOKUP(TRIM(Table1[[#This Row],[Provider Specialty]]) &amp; TRIM(Table1[[#This Row],[Provider Specialty Description]]), SPECIALTY_TYPE, 2, FALSE)</f>
        <v>2074</v>
      </c>
      <c r="M462" s="3" t="s">
        <v>18</v>
      </c>
      <c r="N462" s="27" t="s">
        <v>19</v>
      </c>
      <c r="O462" s="38">
        <f>VLOOKUP(TRIM(Table1[[#This Row],[Provider Specialty]]) &amp; TRIM(Table1[[#This Row],[Provider Specialty Description]]), SPECIALTY_TYPE, 2, FALSE)</f>
        <v>2074</v>
      </c>
      <c r="P462" s="3" t="str">
        <f>Table1[[#This Row],[Provider Type]] &amp; "+" &amp; Table1[[#This Row],[Provider Type Description]]</f>
        <v>33+Single-Specialty</v>
      </c>
      <c r="Q462" s="7" t="str">
        <f>Table1[[#This Row],[Provider Specialty]] &amp; "+" &amp; Table1[[#This Row],[Provider Specialty Description]]</f>
        <v>313+Cardiovascular Surgeon</v>
      </c>
      <c r="R462" s="7" t="str">
        <f>Table1[[#This Row],[PDMS Specialty Type ID]] &amp; "+" &amp; Table1[[#This Row],[PDMS Provider Type ID]] &amp; "+" &amp;Table1[[#This Row],[TAXONOMY]]</f>
        <v>2074+51+2086S0129X</v>
      </c>
      <c r="S4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(9440, 2074, 51, N'2086S0129X', N'Surgery - Vascular Surgery')</v>
      </c>
    </row>
    <row r="463" spans="1:19" ht="47.25" hidden="1" customHeight="1" x14ac:dyDescent="0.25">
      <c r="A463" s="22" t="s">
        <v>1855</v>
      </c>
      <c r="B463" s="3" t="s">
        <v>988</v>
      </c>
      <c r="C463" s="3" t="s">
        <v>1086</v>
      </c>
      <c r="D463" s="3" t="s">
        <v>1086</v>
      </c>
      <c r="E463" s="3" t="s">
        <v>1087</v>
      </c>
      <c r="F463" s="3">
        <f>VLOOKUP(Table1[[#This Row],[Column2]], TAXONOMY_TYPE, 2, FALSE)</f>
        <v>9441</v>
      </c>
      <c r="G463" s="3">
        <v>31</v>
      </c>
      <c r="H463" s="3" t="s">
        <v>991</v>
      </c>
      <c r="I463" s="3">
        <f>VLOOKUP(Table1[[#This Row],[Provider Type]] &amp; Table1[[#This Row],[Provider Type Description]], PROVIDER_TYPE, 2, FALSE)</f>
        <v>114</v>
      </c>
      <c r="J463" s="3">
        <v>314</v>
      </c>
      <c r="K463" s="3" t="s">
        <v>1088</v>
      </c>
      <c r="L463" s="3">
        <f>VLOOKUP(TRIM(Table1[[#This Row],[Provider Specialty]]) &amp; TRIM(Table1[[#This Row],[Provider Specialty Description]]), SPECIALTY_TYPE, 2, FALSE)</f>
        <v>2075</v>
      </c>
      <c r="M463" s="3" t="s">
        <v>19</v>
      </c>
      <c r="N463" s="27" t="s">
        <v>19</v>
      </c>
      <c r="O463" s="38">
        <f>VLOOKUP(TRIM(Table1[[#This Row],[Provider Specialty]]) &amp; TRIM(Table1[[#This Row],[Provider Specialty Description]]), SPECIALTY_TYPE, 2, FALSE)</f>
        <v>2075</v>
      </c>
      <c r="P463" s="3" t="str">
        <f>Table1[[#This Row],[Provider Type]] &amp; "+" &amp; Table1[[#This Row],[Provider Type Description]]</f>
        <v>31+Physician</v>
      </c>
      <c r="Q463" s="7" t="str">
        <f>Table1[[#This Row],[Provider Specialty]] &amp; "+" &amp; Table1[[#This Row],[Provider Specialty Description]]</f>
        <v>314+Dermatologist</v>
      </c>
      <c r="R463" s="7" t="str">
        <f>Table1[[#This Row],[PDMS Specialty Type ID]] &amp; "+" &amp; Table1[[#This Row],[PDMS Provider Type ID]] &amp; "+" &amp;Table1[[#This Row],[TAXONOMY]]</f>
        <v>2075+114+207N00000X</v>
      </c>
      <c r="S4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(9441, 2075, 114, N'207N00000X', N'Dermatology  - Dermatology ')</v>
      </c>
    </row>
    <row r="464" spans="1:19" ht="47.25" hidden="1" customHeight="1" x14ac:dyDescent="0.25">
      <c r="A464" s="22" t="s">
        <v>1854</v>
      </c>
      <c r="B464" s="3" t="s">
        <v>988</v>
      </c>
      <c r="C464" s="3" t="s">
        <v>1086</v>
      </c>
      <c r="D464" s="3" t="s">
        <v>1086</v>
      </c>
      <c r="E464" s="3" t="s">
        <v>1087</v>
      </c>
      <c r="F464" s="3">
        <f>VLOOKUP(Table1[[#This Row],[Column2]], TAXONOMY_TYPE, 2, FALSE)</f>
        <v>9442</v>
      </c>
      <c r="G464" s="3">
        <v>32</v>
      </c>
      <c r="H464" s="3" t="s">
        <v>1444</v>
      </c>
      <c r="I464" s="3">
        <f>VLOOKUP(Table1[[#This Row],[Provider Type]] &amp; Table1[[#This Row],[Provider Type Description]], PROVIDER_TYPE, 2, FALSE)</f>
        <v>50</v>
      </c>
      <c r="J464" s="3">
        <v>314</v>
      </c>
      <c r="K464" s="3" t="s">
        <v>1088</v>
      </c>
      <c r="L464" s="3">
        <f>VLOOKUP(TRIM(Table1[[#This Row],[Provider Specialty]]) &amp; TRIM(Table1[[#This Row],[Provider Specialty Description]]), SPECIALTY_TYPE, 2, FALSE)</f>
        <v>2075</v>
      </c>
      <c r="M464" s="3" t="s">
        <v>18</v>
      </c>
      <c r="N464" s="27" t="s">
        <v>19</v>
      </c>
      <c r="O464" s="38">
        <f>VLOOKUP(TRIM(Table1[[#This Row],[Provider Specialty]]) &amp; TRIM(Table1[[#This Row],[Provider Specialty Description]]), SPECIALTY_TYPE, 2, FALSE)</f>
        <v>2075</v>
      </c>
      <c r="P464" s="3" t="str">
        <f>Table1[[#This Row],[Provider Type]] &amp; "+" &amp; Table1[[#This Row],[Provider Type Description]]</f>
        <v>32+Multi-Specialty</v>
      </c>
      <c r="Q464" s="7" t="str">
        <f>Table1[[#This Row],[Provider Specialty]] &amp; "+" &amp; Table1[[#This Row],[Provider Specialty Description]]</f>
        <v>314+Dermatologist</v>
      </c>
      <c r="R464" s="7" t="str">
        <f>Table1[[#This Row],[PDMS Specialty Type ID]] &amp; "+" &amp; Table1[[#This Row],[PDMS Provider Type ID]] &amp; "+" &amp;Table1[[#This Row],[TAXONOMY]]</f>
        <v>2075+50+207N00000X</v>
      </c>
      <c r="S4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(9442, 2075, 50, N'207N00000X', N'Dermatology  - Dermatology ')</v>
      </c>
    </row>
    <row r="465" spans="1:19" ht="47.25" hidden="1" customHeight="1" x14ac:dyDescent="0.25">
      <c r="A465" s="22" t="s">
        <v>1854</v>
      </c>
      <c r="B465" s="3" t="s">
        <v>988</v>
      </c>
      <c r="C465" s="3" t="s">
        <v>1086</v>
      </c>
      <c r="D465" s="3" t="s">
        <v>1086</v>
      </c>
      <c r="E465" s="3" t="s">
        <v>1087</v>
      </c>
      <c r="F465" s="3">
        <f>VLOOKUP(Table1[[#This Row],[Column2]], TAXONOMY_TYPE, 2, FALSE)</f>
        <v>9443</v>
      </c>
      <c r="G465" s="3">
        <v>33</v>
      </c>
      <c r="H465" s="3" t="s">
        <v>1953</v>
      </c>
      <c r="I465" s="3">
        <f>VLOOKUP(Table1[[#This Row],[Provider Type]] &amp; Table1[[#This Row],[Provider Type Description]], PROVIDER_TYPE, 2, FALSE)</f>
        <v>51</v>
      </c>
      <c r="J465" s="3">
        <v>314</v>
      </c>
      <c r="K465" s="3" t="s">
        <v>1088</v>
      </c>
      <c r="L465" s="3">
        <f>VLOOKUP(TRIM(Table1[[#This Row],[Provider Specialty]]) &amp; TRIM(Table1[[#This Row],[Provider Specialty Description]]), SPECIALTY_TYPE, 2, FALSE)</f>
        <v>2075</v>
      </c>
      <c r="M465" s="3" t="s">
        <v>18</v>
      </c>
      <c r="N465" s="27" t="s">
        <v>19</v>
      </c>
      <c r="O465" s="38">
        <f>VLOOKUP(TRIM(Table1[[#This Row],[Provider Specialty]]) &amp; TRIM(Table1[[#This Row],[Provider Specialty Description]]), SPECIALTY_TYPE, 2, FALSE)</f>
        <v>2075</v>
      </c>
      <c r="P465" s="3" t="str">
        <f>Table1[[#This Row],[Provider Type]] &amp; "+" &amp; Table1[[#This Row],[Provider Type Description]]</f>
        <v>33+Single-Specialty</v>
      </c>
      <c r="Q465" s="7" t="str">
        <f>Table1[[#This Row],[Provider Specialty]] &amp; "+" &amp; Table1[[#This Row],[Provider Specialty Description]]</f>
        <v>314+Dermatologist</v>
      </c>
      <c r="R465" s="7" t="str">
        <f>Table1[[#This Row],[PDMS Specialty Type ID]] &amp; "+" &amp; Table1[[#This Row],[PDMS Provider Type ID]] &amp; "+" &amp;Table1[[#This Row],[TAXONOMY]]</f>
        <v>2075+51+207N00000X</v>
      </c>
      <c r="S4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(9443, 2075, 51, N'207N00000X', N'Dermatology  - Dermatology ')</v>
      </c>
    </row>
    <row r="466" spans="1:19" ht="47.25" hidden="1" customHeight="1" x14ac:dyDescent="0.25">
      <c r="A466" s="22" t="s">
        <v>1855</v>
      </c>
      <c r="B466" s="3" t="s">
        <v>988</v>
      </c>
      <c r="C466" s="3" t="s">
        <v>1086</v>
      </c>
      <c r="D466" s="3" t="s">
        <v>1089</v>
      </c>
      <c r="E466" s="3" t="s">
        <v>1090</v>
      </c>
      <c r="F466" s="3">
        <f>VLOOKUP(Table1[[#This Row],[Column2]], TAXONOMY_TYPE, 2, FALSE)</f>
        <v>9445</v>
      </c>
      <c r="G466" s="3">
        <v>31</v>
      </c>
      <c r="H466" s="3" t="s">
        <v>991</v>
      </c>
      <c r="I466" s="3">
        <f>VLOOKUP(Table1[[#This Row],[Provider Type]] &amp; Table1[[#This Row],[Provider Type Description]], PROVIDER_TYPE, 2, FALSE)</f>
        <v>114</v>
      </c>
      <c r="J466" s="3">
        <v>314</v>
      </c>
      <c r="K466" s="3" t="s">
        <v>1088</v>
      </c>
      <c r="L466" s="3">
        <f>VLOOKUP(TRIM(Table1[[#This Row],[Provider Specialty]]) &amp; TRIM(Table1[[#This Row],[Provider Specialty Description]]), SPECIALTY_TYPE, 2, FALSE)</f>
        <v>2075</v>
      </c>
      <c r="M466" s="3" t="s">
        <v>19</v>
      </c>
      <c r="N466" s="27" t="s">
        <v>19</v>
      </c>
      <c r="O466" s="38">
        <f>VLOOKUP(TRIM(Table1[[#This Row],[Provider Specialty]]) &amp; TRIM(Table1[[#This Row],[Provider Specialty Description]]), SPECIALTY_TYPE, 2, FALSE)</f>
        <v>2075</v>
      </c>
      <c r="P466" s="3" t="str">
        <f>Table1[[#This Row],[Provider Type]] &amp; "+" &amp; Table1[[#This Row],[Provider Type Description]]</f>
        <v>31+Physician</v>
      </c>
      <c r="Q466" s="7" t="str">
        <f>Table1[[#This Row],[Provider Specialty]] &amp; "+" &amp; Table1[[#This Row],[Provider Specialty Description]]</f>
        <v>314+Dermatologist</v>
      </c>
      <c r="R466" s="7" t="str">
        <f>Table1[[#This Row],[PDMS Specialty Type ID]] &amp; "+" &amp; Table1[[#This Row],[PDMS Provider Type ID]] &amp; "+" &amp;Table1[[#This Row],[TAXONOMY]]</f>
        <v>2075+114+207ND0101X</v>
      </c>
      <c r="S4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(9445, 2075, 114, N'207ND0101X', N'Dermatology  - MOHS-Micrographic Surgery## ')</v>
      </c>
    </row>
    <row r="467" spans="1:19" ht="47.25" hidden="1" customHeight="1" x14ac:dyDescent="0.25">
      <c r="A467" s="22" t="s">
        <v>1854</v>
      </c>
      <c r="B467" s="3" t="s">
        <v>988</v>
      </c>
      <c r="C467" s="3" t="s">
        <v>1086</v>
      </c>
      <c r="D467" s="3" t="s">
        <v>1089</v>
      </c>
      <c r="E467" s="3" t="s">
        <v>1090</v>
      </c>
      <c r="F467" s="3">
        <f>VLOOKUP(Table1[[#This Row],[Column2]], TAXONOMY_TYPE, 2, FALSE)</f>
        <v>9446</v>
      </c>
      <c r="G467" s="3">
        <v>32</v>
      </c>
      <c r="H467" s="3" t="s">
        <v>1444</v>
      </c>
      <c r="I467" s="3">
        <f>VLOOKUP(Table1[[#This Row],[Provider Type]] &amp; Table1[[#This Row],[Provider Type Description]], PROVIDER_TYPE, 2, FALSE)</f>
        <v>50</v>
      </c>
      <c r="J467" s="3">
        <v>314</v>
      </c>
      <c r="K467" s="3" t="s">
        <v>1088</v>
      </c>
      <c r="L467" s="3">
        <f>VLOOKUP(TRIM(Table1[[#This Row],[Provider Specialty]]) &amp; TRIM(Table1[[#This Row],[Provider Specialty Description]]), SPECIALTY_TYPE, 2, FALSE)</f>
        <v>2075</v>
      </c>
      <c r="M467" s="3" t="s">
        <v>18</v>
      </c>
      <c r="N467" s="27" t="s">
        <v>19</v>
      </c>
      <c r="O467" s="38">
        <f>VLOOKUP(TRIM(Table1[[#This Row],[Provider Specialty]]) &amp; TRIM(Table1[[#This Row],[Provider Specialty Description]]), SPECIALTY_TYPE, 2, FALSE)</f>
        <v>2075</v>
      </c>
      <c r="P467" s="3" t="str">
        <f>Table1[[#This Row],[Provider Type]] &amp; "+" &amp; Table1[[#This Row],[Provider Type Description]]</f>
        <v>32+Multi-Specialty</v>
      </c>
      <c r="Q467" s="7" t="str">
        <f>Table1[[#This Row],[Provider Specialty]] &amp; "+" &amp; Table1[[#This Row],[Provider Specialty Description]]</f>
        <v>314+Dermatologist</v>
      </c>
      <c r="R467" s="7" t="str">
        <f>Table1[[#This Row],[PDMS Specialty Type ID]] &amp; "+" &amp; Table1[[#This Row],[PDMS Provider Type ID]] &amp; "+" &amp;Table1[[#This Row],[TAXONOMY]]</f>
        <v>2075+50+207ND0101X</v>
      </c>
      <c r="S4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(9446, 2075, 50, N'207ND0101X', N'Dermatology  - MOHS-Micrographic Surgery## ')</v>
      </c>
    </row>
    <row r="468" spans="1:19" ht="47.25" hidden="1" customHeight="1" x14ac:dyDescent="0.25">
      <c r="A468" s="22" t="s">
        <v>1854</v>
      </c>
      <c r="B468" s="3" t="s">
        <v>988</v>
      </c>
      <c r="C468" s="3" t="s">
        <v>1086</v>
      </c>
      <c r="D468" s="3" t="s">
        <v>1089</v>
      </c>
      <c r="E468" s="3" t="s">
        <v>1090</v>
      </c>
      <c r="F468" s="3">
        <f>VLOOKUP(Table1[[#This Row],[Column2]], TAXONOMY_TYPE, 2, FALSE)</f>
        <v>9447</v>
      </c>
      <c r="G468" s="3">
        <v>33</v>
      </c>
      <c r="H468" s="3" t="s">
        <v>1953</v>
      </c>
      <c r="I468" s="3">
        <f>VLOOKUP(Table1[[#This Row],[Provider Type]] &amp; Table1[[#This Row],[Provider Type Description]], PROVIDER_TYPE, 2, FALSE)</f>
        <v>51</v>
      </c>
      <c r="J468" s="3">
        <v>314</v>
      </c>
      <c r="K468" s="3" t="s">
        <v>1088</v>
      </c>
      <c r="L468" s="3">
        <f>VLOOKUP(TRIM(Table1[[#This Row],[Provider Specialty]]) &amp; TRIM(Table1[[#This Row],[Provider Specialty Description]]), SPECIALTY_TYPE, 2, FALSE)</f>
        <v>2075</v>
      </c>
      <c r="M468" s="3" t="s">
        <v>18</v>
      </c>
      <c r="N468" s="27" t="s">
        <v>19</v>
      </c>
      <c r="O468" s="38">
        <f>VLOOKUP(TRIM(Table1[[#This Row],[Provider Specialty]]) &amp; TRIM(Table1[[#This Row],[Provider Specialty Description]]), SPECIALTY_TYPE, 2, FALSE)</f>
        <v>2075</v>
      </c>
      <c r="P468" s="3" t="str">
        <f>Table1[[#This Row],[Provider Type]] &amp; "+" &amp; Table1[[#This Row],[Provider Type Description]]</f>
        <v>33+Single-Specialty</v>
      </c>
      <c r="Q468" s="7" t="str">
        <f>Table1[[#This Row],[Provider Specialty]] &amp; "+" &amp; Table1[[#This Row],[Provider Specialty Description]]</f>
        <v>314+Dermatologist</v>
      </c>
      <c r="R468" s="7" t="str">
        <f>Table1[[#This Row],[PDMS Specialty Type ID]] &amp; "+" &amp; Table1[[#This Row],[PDMS Provider Type ID]] &amp; "+" &amp;Table1[[#This Row],[TAXONOMY]]</f>
        <v>2075+51+207ND0101X</v>
      </c>
      <c r="S4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(9447, 2075, 51, N'207ND0101X', N'Dermatology  - MOHS-Micrographic Surgery## ')</v>
      </c>
    </row>
    <row r="469" spans="1:19" ht="47.25" hidden="1" customHeight="1" x14ac:dyDescent="0.25">
      <c r="A469" s="22" t="s">
        <v>1855</v>
      </c>
      <c r="B469" s="3" t="s">
        <v>988</v>
      </c>
      <c r="C469" s="3" t="s">
        <v>1086</v>
      </c>
      <c r="D469" s="3" t="s">
        <v>1091</v>
      </c>
      <c r="E469" s="3" t="s">
        <v>1092</v>
      </c>
      <c r="F469" s="3">
        <f>VLOOKUP(Table1[[#This Row],[Column2]], TAXONOMY_TYPE, 2, FALSE)</f>
        <v>9448</v>
      </c>
      <c r="G469" s="3">
        <v>31</v>
      </c>
      <c r="H469" s="3" t="s">
        <v>991</v>
      </c>
      <c r="I469" s="3">
        <f>VLOOKUP(Table1[[#This Row],[Provider Type]] &amp; Table1[[#This Row],[Provider Type Description]], PROVIDER_TYPE, 2, FALSE)</f>
        <v>114</v>
      </c>
      <c r="J469" s="3">
        <v>314</v>
      </c>
      <c r="K469" s="3" t="s">
        <v>1088</v>
      </c>
      <c r="L469" s="3">
        <f>VLOOKUP(TRIM(Table1[[#This Row],[Provider Specialty]]) &amp; TRIM(Table1[[#This Row],[Provider Specialty Description]]), SPECIALTY_TYPE, 2, FALSE)</f>
        <v>2075</v>
      </c>
      <c r="M469" s="3" t="s">
        <v>19</v>
      </c>
      <c r="N469" s="27" t="s">
        <v>19</v>
      </c>
      <c r="O469" s="38">
        <f>VLOOKUP(TRIM(Table1[[#This Row],[Provider Specialty]]) &amp; TRIM(Table1[[#This Row],[Provider Specialty Description]]), SPECIALTY_TYPE, 2, FALSE)</f>
        <v>2075</v>
      </c>
      <c r="P469" s="3" t="str">
        <f>Table1[[#This Row],[Provider Type]] &amp; "+" &amp; Table1[[#This Row],[Provider Type Description]]</f>
        <v>31+Physician</v>
      </c>
      <c r="Q469" s="7" t="str">
        <f>Table1[[#This Row],[Provider Specialty]] &amp; "+" &amp; Table1[[#This Row],[Provider Specialty Description]]</f>
        <v>314+Dermatologist</v>
      </c>
      <c r="R469" s="7" t="str">
        <f>Table1[[#This Row],[PDMS Specialty Type ID]] &amp; "+" &amp; Table1[[#This Row],[PDMS Provider Type ID]] &amp; "+" &amp;Table1[[#This Row],[TAXONOMY]]</f>
        <v>2075+114+207ND0900X</v>
      </c>
      <c r="S4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(9448, 2075, 114, N'207ND0900X', N'Dermatology  - Dermatopathology ')</v>
      </c>
    </row>
    <row r="470" spans="1:19" ht="47.25" hidden="1" customHeight="1" x14ac:dyDescent="0.25">
      <c r="A470" s="22" t="s">
        <v>1854</v>
      </c>
      <c r="B470" s="3" t="s">
        <v>988</v>
      </c>
      <c r="C470" s="3" t="s">
        <v>1086</v>
      </c>
      <c r="D470" s="3" t="s">
        <v>1091</v>
      </c>
      <c r="E470" s="3" t="s">
        <v>1092</v>
      </c>
      <c r="F470" s="3">
        <f>VLOOKUP(Table1[[#This Row],[Column2]], TAXONOMY_TYPE, 2, FALSE)</f>
        <v>9449</v>
      </c>
      <c r="G470" s="3">
        <v>32</v>
      </c>
      <c r="H470" s="3" t="s">
        <v>1444</v>
      </c>
      <c r="I470" s="3">
        <f>VLOOKUP(Table1[[#This Row],[Provider Type]] &amp; Table1[[#This Row],[Provider Type Description]], PROVIDER_TYPE, 2, FALSE)</f>
        <v>50</v>
      </c>
      <c r="J470" s="3">
        <v>314</v>
      </c>
      <c r="K470" s="3" t="s">
        <v>1088</v>
      </c>
      <c r="L470" s="3">
        <f>VLOOKUP(TRIM(Table1[[#This Row],[Provider Specialty]]) &amp; TRIM(Table1[[#This Row],[Provider Specialty Description]]), SPECIALTY_TYPE, 2, FALSE)</f>
        <v>2075</v>
      </c>
      <c r="M470" s="3" t="s">
        <v>18</v>
      </c>
      <c r="N470" s="27" t="s">
        <v>19</v>
      </c>
      <c r="O470" s="38">
        <f>VLOOKUP(TRIM(Table1[[#This Row],[Provider Specialty]]) &amp; TRIM(Table1[[#This Row],[Provider Specialty Description]]), SPECIALTY_TYPE, 2, FALSE)</f>
        <v>2075</v>
      </c>
      <c r="P470" s="3" t="str">
        <f>Table1[[#This Row],[Provider Type]] &amp; "+" &amp; Table1[[#This Row],[Provider Type Description]]</f>
        <v>32+Multi-Specialty</v>
      </c>
      <c r="Q470" s="7" t="str">
        <f>Table1[[#This Row],[Provider Specialty]] &amp; "+" &amp; Table1[[#This Row],[Provider Specialty Description]]</f>
        <v>314+Dermatologist</v>
      </c>
      <c r="R470" s="7" t="str">
        <f>Table1[[#This Row],[PDMS Specialty Type ID]] &amp; "+" &amp; Table1[[#This Row],[PDMS Provider Type ID]] &amp; "+" &amp;Table1[[#This Row],[TAXONOMY]]</f>
        <v>2075+50+207ND0900X</v>
      </c>
      <c r="S4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(9449, 2075, 50, N'207ND0900X', N'Dermatology  - Dermatopathology ')</v>
      </c>
    </row>
    <row r="471" spans="1:19" ht="47.25" hidden="1" customHeight="1" x14ac:dyDescent="0.25">
      <c r="A471" s="22" t="s">
        <v>1854</v>
      </c>
      <c r="B471" s="3" t="s">
        <v>988</v>
      </c>
      <c r="C471" s="3" t="s">
        <v>1086</v>
      </c>
      <c r="D471" s="3" t="s">
        <v>1091</v>
      </c>
      <c r="E471" s="3" t="s">
        <v>1092</v>
      </c>
      <c r="F471" s="3">
        <f>VLOOKUP(Table1[[#This Row],[Column2]], TAXONOMY_TYPE, 2, FALSE)</f>
        <v>9450</v>
      </c>
      <c r="G471" s="3">
        <v>33</v>
      </c>
      <c r="H471" s="3" t="s">
        <v>1953</v>
      </c>
      <c r="I471" s="3">
        <f>VLOOKUP(Table1[[#This Row],[Provider Type]] &amp; Table1[[#This Row],[Provider Type Description]], PROVIDER_TYPE, 2, FALSE)</f>
        <v>51</v>
      </c>
      <c r="J471" s="3">
        <v>314</v>
      </c>
      <c r="K471" s="3" t="s">
        <v>1088</v>
      </c>
      <c r="L471" s="3">
        <f>VLOOKUP(TRIM(Table1[[#This Row],[Provider Specialty]]) &amp; TRIM(Table1[[#This Row],[Provider Specialty Description]]), SPECIALTY_TYPE, 2, FALSE)</f>
        <v>2075</v>
      </c>
      <c r="M471" s="3" t="s">
        <v>18</v>
      </c>
      <c r="N471" s="27" t="s">
        <v>19</v>
      </c>
      <c r="O471" s="38">
        <f>VLOOKUP(TRIM(Table1[[#This Row],[Provider Specialty]]) &amp; TRIM(Table1[[#This Row],[Provider Specialty Description]]), SPECIALTY_TYPE, 2, FALSE)</f>
        <v>2075</v>
      </c>
      <c r="P471" s="3" t="str">
        <f>Table1[[#This Row],[Provider Type]] &amp; "+" &amp; Table1[[#This Row],[Provider Type Description]]</f>
        <v>33+Single-Specialty</v>
      </c>
      <c r="Q471" s="7" t="str">
        <f>Table1[[#This Row],[Provider Specialty]] &amp; "+" &amp; Table1[[#This Row],[Provider Specialty Description]]</f>
        <v>314+Dermatologist</v>
      </c>
      <c r="R471" s="7" t="str">
        <f>Table1[[#This Row],[PDMS Specialty Type ID]] &amp; "+" &amp; Table1[[#This Row],[PDMS Provider Type ID]] &amp; "+" &amp;Table1[[#This Row],[TAXONOMY]]</f>
        <v>2075+51+207ND0900X</v>
      </c>
      <c r="S4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(9450, 2075, 51, N'207ND0900X', N'Dermatology  - Dermatopathology ')</v>
      </c>
    </row>
    <row r="472" spans="1:19" ht="47.25" hidden="1" customHeight="1" x14ac:dyDescent="0.25">
      <c r="A472" s="22" t="s">
        <v>1855</v>
      </c>
      <c r="B472" s="3" t="s">
        <v>988</v>
      </c>
      <c r="C472" s="3" t="s">
        <v>1086</v>
      </c>
      <c r="D472" s="3" t="s">
        <v>1093</v>
      </c>
      <c r="E472" s="3" t="s">
        <v>1094</v>
      </c>
      <c r="F472" s="3">
        <f>VLOOKUP(Table1[[#This Row],[Column2]], TAXONOMY_TYPE, 2, FALSE)</f>
        <v>9451</v>
      </c>
      <c r="G472" s="3">
        <v>31</v>
      </c>
      <c r="H472" s="3" t="s">
        <v>991</v>
      </c>
      <c r="I472" s="3">
        <f>VLOOKUP(Table1[[#This Row],[Provider Type]] &amp; Table1[[#This Row],[Provider Type Description]], PROVIDER_TYPE, 2, FALSE)</f>
        <v>114</v>
      </c>
      <c r="J472" s="3">
        <v>314</v>
      </c>
      <c r="K472" s="3" t="s">
        <v>1088</v>
      </c>
      <c r="L472" s="3">
        <f>VLOOKUP(TRIM(Table1[[#This Row],[Provider Specialty]]) &amp; TRIM(Table1[[#This Row],[Provider Specialty Description]]), SPECIALTY_TYPE, 2, FALSE)</f>
        <v>2075</v>
      </c>
      <c r="M472" s="3" t="s">
        <v>19</v>
      </c>
      <c r="N472" s="27" t="s">
        <v>19</v>
      </c>
      <c r="O472" s="38">
        <f>VLOOKUP(TRIM(Table1[[#This Row],[Provider Specialty]]) &amp; TRIM(Table1[[#This Row],[Provider Specialty Description]]), SPECIALTY_TYPE, 2, FALSE)</f>
        <v>2075</v>
      </c>
      <c r="P472" s="3" t="str">
        <f>Table1[[#This Row],[Provider Type]] &amp; "+" &amp; Table1[[#This Row],[Provider Type Description]]</f>
        <v>31+Physician</v>
      </c>
      <c r="Q472" s="7" t="str">
        <f>Table1[[#This Row],[Provider Specialty]] &amp; "+" &amp; Table1[[#This Row],[Provider Specialty Description]]</f>
        <v>314+Dermatologist</v>
      </c>
      <c r="R472" s="7" t="str">
        <f>Table1[[#This Row],[PDMS Specialty Type ID]] &amp; "+" &amp; Table1[[#This Row],[PDMS Provider Type ID]] &amp; "+" &amp;Table1[[#This Row],[TAXONOMY]]</f>
        <v>2075+114+207NI0002X</v>
      </c>
      <c r="S4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(9451, 2075, 114, N'207NI0002X', N'Dermatology  - Clinical &amp; Laboratory Dermatological Immunology ')</v>
      </c>
    </row>
    <row r="473" spans="1:19" ht="47.25" hidden="1" customHeight="1" x14ac:dyDescent="0.25">
      <c r="A473" s="22" t="s">
        <v>1854</v>
      </c>
      <c r="B473" s="3" t="s">
        <v>988</v>
      </c>
      <c r="C473" s="3" t="s">
        <v>1086</v>
      </c>
      <c r="D473" s="3" t="s">
        <v>1093</v>
      </c>
      <c r="E473" s="3" t="s">
        <v>1094</v>
      </c>
      <c r="F473" s="3">
        <f>VLOOKUP(Table1[[#This Row],[Column2]], TAXONOMY_TYPE, 2, FALSE)</f>
        <v>9452</v>
      </c>
      <c r="G473" s="3">
        <v>32</v>
      </c>
      <c r="H473" s="3" t="s">
        <v>1444</v>
      </c>
      <c r="I473" s="3">
        <f>VLOOKUP(Table1[[#This Row],[Provider Type]] &amp; Table1[[#This Row],[Provider Type Description]], PROVIDER_TYPE, 2, FALSE)</f>
        <v>50</v>
      </c>
      <c r="J473" s="3">
        <v>314</v>
      </c>
      <c r="K473" s="3" t="s">
        <v>1088</v>
      </c>
      <c r="L473" s="3">
        <f>VLOOKUP(TRIM(Table1[[#This Row],[Provider Specialty]]) &amp; TRIM(Table1[[#This Row],[Provider Specialty Description]]), SPECIALTY_TYPE, 2, FALSE)</f>
        <v>2075</v>
      </c>
      <c r="M473" s="3" t="s">
        <v>18</v>
      </c>
      <c r="N473" s="27" t="s">
        <v>19</v>
      </c>
      <c r="O473" s="38">
        <f>VLOOKUP(TRIM(Table1[[#This Row],[Provider Specialty]]) &amp; TRIM(Table1[[#This Row],[Provider Specialty Description]]), SPECIALTY_TYPE, 2, FALSE)</f>
        <v>2075</v>
      </c>
      <c r="P473" s="3" t="str">
        <f>Table1[[#This Row],[Provider Type]] &amp; "+" &amp; Table1[[#This Row],[Provider Type Description]]</f>
        <v>32+Multi-Specialty</v>
      </c>
      <c r="Q473" s="7" t="str">
        <f>Table1[[#This Row],[Provider Specialty]] &amp; "+" &amp; Table1[[#This Row],[Provider Specialty Description]]</f>
        <v>314+Dermatologist</v>
      </c>
      <c r="R473" s="7" t="str">
        <f>Table1[[#This Row],[PDMS Specialty Type ID]] &amp; "+" &amp; Table1[[#This Row],[PDMS Provider Type ID]] &amp; "+" &amp;Table1[[#This Row],[TAXONOMY]]</f>
        <v>2075+50+207NI0002X</v>
      </c>
      <c r="S4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(9452, 2075, 50, N'207NI0002X', N'Dermatology  - Clinical &amp; Laboratory Dermatological Immunology ')</v>
      </c>
    </row>
    <row r="474" spans="1:19" ht="47.25" hidden="1" customHeight="1" x14ac:dyDescent="0.25">
      <c r="A474" s="22" t="s">
        <v>1854</v>
      </c>
      <c r="B474" s="3" t="s">
        <v>988</v>
      </c>
      <c r="C474" s="3" t="s">
        <v>1086</v>
      </c>
      <c r="D474" s="3" t="s">
        <v>1093</v>
      </c>
      <c r="E474" s="3" t="s">
        <v>1094</v>
      </c>
      <c r="F474" s="3">
        <f>VLOOKUP(Table1[[#This Row],[Column2]], TAXONOMY_TYPE, 2, FALSE)</f>
        <v>9453</v>
      </c>
      <c r="G474" s="3">
        <v>33</v>
      </c>
      <c r="H474" s="3" t="s">
        <v>1953</v>
      </c>
      <c r="I474" s="3">
        <f>VLOOKUP(Table1[[#This Row],[Provider Type]] &amp; Table1[[#This Row],[Provider Type Description]], PROVIDER_TYPE, 2, FALSE)</f>
        <v>51</v>
      </c>
      <c r="J474" s="3">
        <v>314</v>
      </c>
      <c r="K474" s="3" t="s">
        <v>1088</v>
      </c>
      <c r="L474" s="3">
        <f>VLOOKUP(TRIM(Table1[[#This Row],[Provider Specialty]]) &amp; TRIM(Table1[[#This Row],[Provider Specialty Description]]), SPECIALTY_TYPE, 2, FALSE)</f>
        <v>2075</v>
      </c>
      <c r="M474" s="3" t="s">
        <v>18</v>
      </c>
      <c r="N474" s="27" t="s">
        <v>19</v>
      </c>
      <c r="O474" s="38">
        <f>VLOOKUP(TRIM(Table1[[#This Row],[Provider Specialty]]) &amp; TRIM(Table1[[#This Row],[Provider Specialty Description]]), SPECIALTY_TYPE, 2, FALSE)</f>
        <v>2075</v>
      </c>
      <c r="P474" s="3" t="str">
        <f>Table1[[#This Row],[Provider Type]] &amp; "+" &amp; Table1[[#This Row],[Provider Type Description]]</f>
        <v>33+Single-Specialty</v>
      </c>
      <c r="Q474" s="7" t="str">
        <f>Table1[[#This Row],[Provider Specialty]] &amp; "+" &amp; Table1[[#This Row],[Provider Specialty Description]]</f>
        <v>314+Dermatologist</v>
      </c>
      <c r="R474" s="7" t="str">
        <f>Table1[[#This Row],[PDMS Specialty Type ID]] &amp; "+" &amp; Table1[[#This Row],[PDMS Provider Type ID]] &amp; "+" &amp;Table1[[#This Row],[TAXONOMY]]</f>
        <v>2075+51+207NI0002X</v>
      </c>
      <c r="S4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(9453, 2075, 51, N'207NI0002X', N'Dermatology  - Clinical &amp; Laboratory Dermatological Immunology ')</v>
      </c>
    </row>
    <row r="475" spans="1:19" ht="47.25" hidden="1" customHeight="1" x14ac:dyDescent="0.25">
      <c r="A475" s="22" t="s">
        <v>1855</v>
      </c>
      <c r="B475" s="3" t="s">
        <v>988</v>
      </c>
      <c r="C475" s="3" t="s">
        <v>1086</v>
      </c>
      <c r="D475" s="3" t="s">
        <v>1095</v>
      </c>
      <c r="E475" s="3" t="s">
        <v>1096</v>
      </c>
      <c r="F475" s="3">
        <f>VLOOKUP(Table1[[#This Row],[Column2]], TAXONOMY_TYPE, 2, FALSE)</f>
        <v>9454</v>
      </c>
      <c r="G475" s="3">
        <v>31</v>
      </c>
      <c r="H475" s="3" t="s">
        <v>991</v>
      </c>
      <c r="I475" s="3">
        <f>VLOOKUP(Table1[[#This Row],[Provider Type]] &amp; Table1[[#This Row],[Provider Type Description]], PROVIDER_TYPE, 2, FALSE)</f>
        <v>114</v>
      </c>
      <c r="J475" s="3">
        <v>314</v>
      </c>
      <c r="K475" s="3" t="s">
        <v>1088</v>
      </c>
      <c r="L475" s="3">
        <f>VLOOKUP(TRIM(Table1[[#This Row],[Provider Specialty]]) &amp; TRIM(Table1[[#This Row],[Provider Specialty Description]]), SPECIALTY_TYPE, 2, FALSE)</f>
        <v>2075</v>
      </c>
      <c r="M475" s="3" t="s">
        <v>19</v>
      </c>
      <c r="N475" s="27" t="s">
        <v>19</v>
      </c>
      <c r="O475" s="38">
        <f>VLOOKUP(TRIM(Table1[[#This Row],[Provider Specialty]]) &amp; TRIM(Table1[[#This Row],[Provider Specialty Description]]), SPECIALTY_TYPE, 2, FALSE)</f>
        <v>2075</v>
      </c>
      <c r="P475" s="3" t="str">
        <f>Table1[[#This Row],[Provider Type]] &amp; "+" &amp; Table1[[#This Row],[Provider Type Description]]</f>
        <v>31+Physician</v>
      </c>
      <c r="Q475" s="7" t="str">
        <f>Table1[[#This Row],[Provider Specialty]] &amp; "+" &amp; Table1[[#This Row],[Provider Specialty Description]]</f>
        <v>314+Dermatologist</v>
      </c>
      <c r="R475" s="7" t="str">
        <f>Table1[[#This Row],[PDMS Specialty Type ID]] &amp; "+" &amp; Table1[[#This Row],[PDMS Provider Type ID]] &amp; "+" &amp;Table1[[#This Row],[TAXONOMY]]</f>
        <v>2075+114+207NP0225X</v>
      </c>
      <c r="S4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(9454, 2075, 114, N'207NP0225X', N'Dermatology  - Pediatric Dermatology ')</v>
      </c>
    </row>
    <row r="476" spans="1:19" ht="47.25" hidden="1" customHeight="1" x14ac:dyDescent="0.25">
      <c r="A476" s="22" t="s">
        <v>1854</v>
      </c>
      <c r="B476" s="3" t="s">
        <v>988</v>
      </c>
      <c r="C476" s="3" t="s">
        <v>1086</v>
      </c>
      <c r="D476" s="3" t="s">
        <v>1095</v>
      </c>
      <c r="E476" s="3" t="s">
        <v>1096</v>
      </c>
      <c r="F476" s="3">
        <f>VLOOKUP(Table1[[#This Row],[Column2]], TAXONOMY_TYPE, 2, FALSE)</f>
        <v>9455</v>
      </c>
      <c r="G476" s="3">
        <v>32</v>
      </c>
      <c r="H476" s="3" t="s">
        <v>1444</v>
      </c>
      <c r="I476" s="3">
        <f>VLOOKUP(Table1[[#This Row],[Provider Type]] &amp; Table1[[#This Row],[Provider Type Description]], PROVIDER_TYPE, 2, FALSE)</f>
        <v>50</v>
      </c>
      <c r="J476" s="3">
        <v>314</v>
      </c>
      <c r="K476" s="3" t="s">
        <v>1088</v>
      </c>
      <c r="L476" s="3">
        <f>VLOOKUP(TRIM(Table1[[#This Row],[Provider Specialty]]) &amp; TRIM(Table1[[#This Row],[Provider Specialty Description]]), SPECIALTY_TYPE, 2, FALSE)</f>
        <v>2075</v>
      </c>
      <c r="M476" s="3" t="s">
        <v>18</v>
      </c>
      <c r="N476" s="27" t="s">
        <v>19</v>
      </c>
      <c r="O476" s="38">
        <f>VLOOKUP(TRIM(Table1[[#This Row],[Provider Specialty]]) &amp; TRIM(Table1[[#This Row],[Provider Specialty Description]]), SPECIALTY_TYPE, 2, FALSE)</f>
        <v>2075</v>
      </c>
      <c r="P476" s="3" t="str">
        <f>Table1[[#This Row],[Provider Type]] &amp; "+" &amp; Table1[[#This Row],[Provider Type Description]]</f>
        <v>32+Multi-Specialty</v>
      </c>
      <c r="Q476" s="7" t="str">
        <f>Table1[[#This Row],[Provider Specialty]] &amp; "+" &amp; Table1[[#This Row],[Provider Specialty Description]]</f>
        <v>314+Dermatologist</v>
      </c>
      <c r="R476" s="7" t="str">
        <f>Table1[[#This Row],[PDMS Specialty Type ID]] &amp; "+" &amp; Table1[[#This Row],[PDMS Provider Type ID]] &amp; "+" &amp;Table1[[#This Row],[TAXONOMY]]</f>
        <v>2075+50+207NP0225X</v>
      </c>
      <c r="S4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(9455, 2075, 50, N'207NP0225X', N'Dermatology  - Pediatric Dermatology ')</v>
      </c>
    </row>
    <row r="477" spans="1:19" ht="47.25" hidden="1" customHeight="1" x14ac:dyDescent="0.25">
      <c r="A477" s="22" t="s">
        <v>1854</v>
      </c>
      <c r="B477" s="3" t="s">
        <v>988</v>
      </c>
      <c r="C477" s="3" t="s">
        <v>1086</v>
      </c>
      <c r="D477" s="3" t="s">
        <v>1095</v>
      </c>
      <c r="E477" s="3" t="s">
        <v>1096</v>
      </c>
      <c r="F477" s="3">
        <f>VLOOKUP(Table1[[#This Row],[Column2]], TAXONOMY_TYPE, 2, FALSE)</f>
        <v>9456</v>
      </c>
      <c r="G477" s="3">
        <v>33</v>
      </c>
      <c r="H477" s="3" t="s">
        <v>1953</v>
      </c>
      <c r="I477" s="3">
        <f>VLOOKUP(Table1[[#This Row],[Provider Type]] &amp; Table1[[#This Row],[Provider Type Description]], PROVIDER_TYPE, 2, FALSE)</f>
        <v>51</v>
      </c>
      <c r="J477" s="3">
        <v>314</v>
      </c>
      <c r="K477" s="3" t="s">
        <v>1088</v>
      </c>
      <c r="L477" s="3">
        <f>VLOOKUP(TRIM(Table1[[#This Row],[Provider Specialty]]) &amp; TRIM(Table1[[#This Row],[Provider Specialty Description]]), SPECIALTY_TYPE, 2, FALSE)</f>
        <v>2075</v>
      </c>
      <c r="M477" s="3" t="s">
        <v>18</v>
      </c>
      <c r="N477" s="27" t="s">
        <v>19</v>
      </c>
      <c r="O477" s="38">
        <f>VLOOKUP(TRIM(Table1[[#This Row],[Provider Specialty]]) &amp; TRIM(Table1[[#This Row],[Provider Specialty Description]]), SPECIALTY_TYPE, 2, FALSE)</f>
        <v>2075</v>
      </c>
      <c r="P477" s="3" t="str">
        <f>Table1[[#This Row],[Provider Type]] &amp; "+" &amp; Table1[[#This Row],[Provider Type Description]]</f>
        <v>33+Single-Specialty</v>
      </c>
      <c r="Q477" s="7" t="str">
        <f>Table1[[#This Row],[Provider Specialty]] &amp; "+" &amp; Table1[[#This Row],[Provider Specialty Description]]</f>
        <v>314+Dermatologist</v>
      </c>
      <c r="R477" s="7" t="str">
        <f>Table1[[#This Row],[PDMS Specialty Type ID]] &amp; "+" &amp; Table1[[#This Row],[PDMS Provider Type ID]] &amp; "+" &amp;Table1[[#This Row],[TAXONOMY]]</f>
        <v>2075+51+207NP0225X</v>
      </c>
      <c r="S4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(9456, 2075, 51, N'207NP0225X', N'Dermatology  - Pediatric Dermatology ')</v>
      </c>
    </row>
    <row r="478" spans="1:19" ht="47.25" hidden="1" customHeight="1" x14ac:dyDescent="0.25">
      <c r="A478" s="22" t="s">
        <v>1855</v>
      </c>
      <c r="B478" s="3" t="s">
        <v>988</v>
      </c>
      <c r="C478" s="3" t="s">
        <v>1086</v>
      </c>
      <c r="D478" s="3" t="s">
        <v>1097</v>
      </c>
      <c r="E478" s="3" t="s">
        <v>1098</v>
      </c>
      <c r="F478" s="3">
        <f>VLOOKUP(Table1[[#This Row],[Column2]], TAXONOMY_TYPE, 2, FALSE)</f>
        <v>9457</v>
      </c>
      <c r="G478" s="3">
        <v>31</v>
      </c>
      <c r="H478" s="3" t="s">
        <v>991</v>
      </c>
      <c r="I478" s="3">
        <f>VLOOKUP(Table1[[#This Row],[Provider Type]] &amp; Table1[[#This Row],[Provider Type Description]], PROVIDER_TYPE, 2, FALSE)</f>
        <v>114</v>
      </c>
      <c r="J478" s="3">
        <v>314</v>
      </c>
      <c r="K478" s="3" t="s">
        <v>1088</v>
      </c>
      <c r="L478" s="3">
        <f>VLOOKUP(TRIM(Table1[[#This Row],[Provider Specialty]]) &amp; TRIM(Table1[[#This Row],[Provider Specialty Description]]), SPECIALTY_TYPE, 2, FALSE)</f>
        <v>2075</v>
      </c>
      <c r="M478" s="3" t="s">
        <v>19</v>
      </c>
      <c r="N478" s="27" t="s">
        <v>19</v>
      </c>
      <c r="O478" s="38">
        <f>VLOOKUP(TRIM(Table1[[#This Row],[Provider Specialty]]) &amp; TRIM(Table1[[#This Row],[Provider Specialty Description]]), SPECIALTY_TYPE, 2, FALSE)</f>
        <v>2075</v>
      </c>
      <c r="P478" s="3" t="str">
        <f>Table1[[#This Row],[Provider Type]] &amp; "+" &amp; Table1[[#This Row],[Provider Type Description]]</f>
        <v>31+Physician</v>
      </c>
      <c r="Q478" s="7" t="str">
        <f>Table1[[#This Row],[Provider Specialty]] &amp; "+" &amp; Table1[[#This Row],[Provider Specialty Description]]</f>
        <v>314+Dermatologist</v>
      </c>
      <c r="R478" s="7" t="str">
        <f>Table1[[#This Row],[PDMS Specialty Type ID]] &amp; "+" &amp; Table1[[#This Row],[PDMS Provider Type ID]] &amp; "+" &amp;Table1[[#This Row],[TAXONOMY]]</f>
        <v>2075+114+207NS0135X</v>
      </c>
      <c r="S4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(9457, 2075, 114, N'207NS0135X', N'Dermatology  - Procedural Dermatology (title change from Dermatological Surgery effective 20080401)## ')</v>
      </c>
    </row>
    <row r="479" spans="1:19" ht="47.25" hidden="1" customHeight="1" x14ac:dyDescent="0.25">
      <c r="A479" s="22" t="s">
        <v>1854</v>
      </c>
      <c r="B479" s="3" t="s">
        <v>988</v>
      </c>
      <c r="C479" s="3" t="s">
        <v>1086</v>
      </c>
      <c r="D479" s="3" t="s">
        <v>1097</v>
      </c>
      <c r="E479" s="3" t="s">
        <v>1098</v>
      </c>
      <c r="F479" s="3">
        <f>VLOOKUP(Table1[[#This Row],[Column2]], TAXONOMY_TYPE, 2, FALSE)</f>
        <v>9458</v>
      </c>
      <c r="G479" s="3">
        <v>32</v>
      </c>
      <c r="H479" s="3" t="s">
        <v>1444</v>
      </c>
      <c r="I479" s="3">
        <f>VLOOKUP(Table1[[#This Row],[Provider Type]] &amp; Table1[[#This Row],[Provider Type Description]], PROVIDER_TYPE, 2, FALSE)</f>
        <v>50</v>
      </c>
      <c r="J479" s="3">
        <v>314</v>
      </c>
      <c r="K479" s="3" t="s">
        <v>1088</v>
      </c>
      <c r="L479" s="3">
        <f>VLOOKUP(TRIM(Table1[[#This Row],[Provider Specialty]]) &amp; TRIM(Table1[[#This Row],[Provider Specialty Description]]), SPECIALTY_TYPE, 2, FALSE)</f>
        <v>2075</v>
      </c>
      <c r="M479" s="3" t="s">
        <v>18</v>
      </c>
      <c r="N479" s="27" t="s">
        <v>19</v>
      </c>
      <c r="O479" s="38">
        <f>VLOOKUP(TRIM(Table1[[#This Row],[Provider Specialty]]) &amp; TRIM(Table1[[#This Row],[Provider Specialty Description]]), SPECIALTY_TYPE, 2, FALSE)</f>
        <v>2075</v>
      </c>
      <c r="P479" s="3" t="str">
        <f>Table1[[#This Row],[Provider Type]] &amp; "+" &amp; Table1[[#This Row],[Provider Type Description]]</f>
        <v>32+Multi-Specialty</v>
      </c>
      <c r="Q479" s="7" t="str">
        <f>Table1[[#This Row],[Provider Specialty]] &amp; "+" &amp; Table1[[#This Row],[Provider Specialty Description]]</f>
        <v>314+Dermatologist</v>
      </c>
      <c r="R479" s="7" t="str">
        <f>Table1[[#This Row],[PDMS Specialty Type ID]] &amp; "+" &amp; Table1[[#This Row],[PDMS Provider Type ID]] &amp; "+" &amp;Table1[[#This Row],[TAXONOMY]]</f>
        <v>2075+50+207NS0135X</v>
      </c>
      <c r="S4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(9458, 2075, 50, N'207NS0135X', N'Dermatology  - Procedural Dermatology (title change from Dermatological Surgery effective 20080401)## ')</v>
      </c>
    </row>
    <row r="480" spans="1:19" ht="47.25" hidden="1" customHeight="1" x14ac:dyDescent="0.25">
      <c r="A480" s="22" t="s">
        <v>1854</v>
      </c>
      <c r="B480" s="3" t="s">
        <v>988</v>
      </c>
      <c r="C480" s="3" t="s">
        <v>1086</v>
      </c>
      <c r="D480" s="3" t="s">
        <v>1097</v>
      </c>
      <c r="E480" s="3" t="s">
        <v>1098</v>
      </c>
      <c r="F480" s="3">
        <f>VLOOKUP(Table1[[#This Row],[Column2]], TAXONOMY_TYPE, 2, FALSE)</f>
        <v>9459</v>
      </c>
      <c r="G480" s="3">
        <v>33</v>
      </c>
      <c r="H480" s="3" t="s">
        <v>1953</v>
      </c>
      <c r="I480" s="3">
        <f>VLOOKUP(Table1[[#This Row],[Provider Type]] &amp; Table1[[#This Row],[Provider Type Description]], PROVIDER_TYPE, 2, FALSE)</f>
        <v>51</v>
      </c>
      <c r="J480" s="3">
        <v>314</v>
      </c>
      <c r="K480" s="3" t="s">
        <v>1088</v>
      </c>
      <c r="L480" s="3">
        <f>VLOOKUP(TRIM(Table1[[#This Row],[Provider Specialty]]) &amp; TRIM(Table1[[#This Row],[Provider Specialty Description]]), SPECIALTY_TYPE, 2, FALSE)</f>
        <v>2075</v>
      </c>
      <c r="M480" s="3" t="s">
        <v>18</v>
      </c>
      <c r="N480" s="27" t="s">
        <v>19</v>
      </c>
      <c r="O480" s="38">
        <f>VLOOKUP(TRIM(Table1[[#This Row],[Provider Specialty]]) &amp; TRIM(Table1[[#This Row],[Provider Specialty Description]]), SPECIALTY_TYPE, 2, FALSE)</f>
        <v>2075</v>
      </c>
      <c r="P480" s="3" t="str">
        <f>Table1[[#This Row],[Provider Type]] &amp; "+" &amp; Table1[[#This Row],[Provider Type Description]]</f>
        <v>33+Single-Specialty</v>
      </c>
      <c r="Q480" s="7" t="str">
        <f>Table1[[#This Row],[Provider Specialty]] &amp; "+" &amp; Table1[[#This Row],[Provider Specialty Description]]</f>
        <v>314+Dermatologist</v>
      </c>
      <c r="R480" s="7" t="str">
        <f>Table1[[#This Row],[PDMS Specialty Type ID]] &amp; "+" &amp; Table1[[#This Row],[PDMS Provider Type ID]] &amp; "+" &amp;Table1[[#This Row],[TAXONOMY]]</f>
        <v>2075+51+207NS0135X</v>
      </c>
      <c r="S4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(9459, 2075, 51, N'207NS0135X', N'Dermatology  - Procedural Dermatology (title change from Dermatological Surgery effective 20080401)## ')</v>
      </c>
    </row>
    <row r="481" spans="1:19" ht="47.25" hidden="1" customHeight="1" x14ac:dyDescent="0.25">
      <c r="A481" s="22" t="s">
        <v>1855</v>
      </c>
      <c r="B481" s="3" t="s">
        <v>988</v>
      </c>
      <c r="C481" s="3" t="s">
        <v>1099</v>
      </c>
      <c r="D481" s="3" t="s">
        <v>1099</v>
      </c>
      <c r="E481" s="3" t="s">
        <v>1100</v>
      </c>
      <c r="F481" s="3">
        <f>VLOOKUP(Table1[[#This Row],[Column2]], TAXONOMY_TYPE, 2, FALSE)</f>
        <v>9460</v>
      </c>
      <c r="G481" s="3">
        <v>31</v>
      </c>
      <c r="H481" s="3" t="s">
        <v>991</v>
      </c>
      <c r="I481" s="3">
        <f>VLOOKUP(Table1[[#This Row],[Provider Type]] &amp; Table1[[#This Row],[Provider Type Description]], PROVIDER_TYPE, 2, FALSE)</f>
        <v>114</v>
      </c>
      <c r="J481" s="3">
        <v>315</v>
      </c>
      <c r="K481" s="3" t="s">
        <v>1101</v>
      </c>
      <c r="L481" s="3">
        <f>VLOOKUP(TRIM(Table1[[#This Row],[Provider Specialty]]) &amp; TRIM(Table1[[#This Row],[Provider Specialty Description]]), SPECIALTY_TYPE, 2, FALSE)</f>
        <v>2076</v>
      </c>
      <c r="M481" s="3" t="s">
        <v>19</v>
      </c>
      <c r="N481" s="27" t="s">
        <v>19</v>
      </c>
      <c r="O481" s="38">
        <f>VLOOKUP(TRIM(Table1[[#This Row],[Provider Specialty]]) &amp; TRIM(Table1[[#This Row],[Provider Specialty Description]]), SPECIALTY_TYPE, 2, FALSE)</f>
        <v>2076</v>
      </c>
      <c r="P481" s="3" t="str">
        <f>Table1[[#This Row],[Provider Type]] &amp; "+" &amp; Table1[[#This Row],[Provider Type Description]]</f>
        <v>31+Physician</v>
      </c>
      <c r="Q481" s="7" t="str">
        <f>Table1[[#This Row],[Provider Specialty]] &amp; "+" &amp; Table1[[#This Row],[Provider Specialty Description]]</f>
        <v>315+Emergency Medicine Practitioner</v>
      </c>
      <c r="R481" s="7" t="str">
        <f>Table1[[#This Row],[PDMS Specialty Type ID]] &amp; "+" &amp; Table1[[#This Row],[PDMS Provider Type ID]] &amp; "+" &amp;Table1[[#This Row],[TAXONOMY]]</f>
        <v>2076+114+207P00000X</v>
      </c>
      <c r="S4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(9460, 2076, 114, N'207P00000X', N'Emergency Medicine  - Emergency Medicine ')</v>
      </c>
    </row>
    <row r="482" spans="1:19" ht="47.25" hidden="1" customHeight="1" x14ac:dyDescent="0.25">
      <c r="A482" s="22" t="s">
        <v>1854</v>
      </c>
      <c r="B482" s="3" t="s">
        <v>988</v>
      </c>
      <c r="C482" s="3" t="s">
        <v>1099</v>
      </c>
      <c r="D482" s="3" t="s">
        <v>1099</v>
      </c>
      <c r="E482" s="3" t="s">
        <v>1100</v>
      </c>
      <c r="F482" s="3">
        <f>VLOOKUP(Table1[[#This Row],[Column2]], TAXONOMY_TYPE, 2, FALSE)</f>
        <v>9461</v>
      </c>
      <c r="G482" s="3">
        <v>32</v>
      </c>
      <c r="H482" s="3" t="s">
        <v>1444</v>
      </c>
      <c r="I482" s="3">
        <f>VLOOKUP(Table1[[#This Row],[Provider Type]] &amp; Table1[[#This Row],[Provider Type Description]], PROVIDER_TYPE, 2, FALSE)</f>
        <v>50</v>
      </c>
      <c r="J482" s="3">
        <v>315</v>
      </c>
      <c r="K482" s="3" t="s">
        <v>1101</v>
      </c>
      <c r="L482" s="3">
        <f>VLOOKUP(TRIM(Table1[[#This Row],[Provider Specialty]]) &amp; TRIM(Table1[[#This Row],[Provider Specialty Description]]), SPECIALTY_TYPE, 2, FALSE)</f>
        <v>2076</v>
      </c>
      <c r="M482" s="3" t="s">
        <v>18</v>
      </c>
      <c r="N482" s="27" t="s">
        <v>19</v>
      </c>
      <c r="O482" s="38">
        <f>VLOOKUP(TRIM(Table1[[#This Row],[Provider Specialty]]) &amp; TRIM(Table1[[#This Row],[Provider Specialty Description]]), SPECIALTY_TYPE, 2, FALSE)</f>
        <v>2076</v>
      </c>
      <c r="P482" s="3" t="str">
        <f>Table1[[#This Row],[Provider Type]] &amp; "+" &amp; Table1[[#This Row],[Provider Type Description]]</f>
        <v>32+Multi-Specialty</v>
      </c>
      <c r="Q482" s="7" t="str">
        <f>Table1[[#This Row],[Provider Specialty]] &amp; "+" &amp; Table1[[#This Row],[Provider Specialty Description]]</f>
        <v>315+Emergency Medicine Practitioner</v>
      </c>
      <c r="R482" s="7" t="str">
        <f>Table1[[#This Row],[PDMS Specialty Type ID]] &amp; "+" &amp; Table1[[#This Row],[PDMS Provider Type ID]] &amp; "+" &amp;Table1[[#This Row],[TAXONOMY]]</f>
        <v>2076+50+207P00000X</v>
      </c>
      <c r="S4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(9461, 2076, 50, N'207P00000X', N'Emergency Medicine  - Emergency Medicine ')</v>
      </c>
    </row>
    <row r="483" spans="1:19" ht="47.25" hidden="1" customHeight="1" x14ac:dyDescent="0.25">
      <c r="A483" s="22" t="s">
        <v>1854</v>
      </c>
      <c r="B483" s="3" t="s">
        <v>988</v>
      </c>
      <c r="C483" s="3" t="s">
        <v>1099</v>
      </c>
      <c r="D483" s="3" t="s">
        <v>1099</v>
      </c>
      <c r="E483" s="3" t="s">
        <v>1100</v>
      </c>
      <c r="F483" s="3">
        <f>VLOOKUP(Table1[[#This Row],[Column2]], TAXONOMY_TYPE, 2, FALSE)</f>
        <v>9462</v>
      </c>
      <c r="G483" s="3">
        <v>33</v>
      </c>
      <c r="H483" s="3" t="s">
        <v>1953</v>
      </c>
      <c r="I483" s="3">
        <f>VLOOKUP(Table1[[#This Row],[Provider Type]] &amp; Table1[[#This Row],[Provider Type Description]], PROVIDER_TYPE, 2, FALSE)</f>
        <v>51</v>
      </c>
      <c r="J483" s="3">
        <v>315</v>
      </c>
      <c r="K483" s="3" t="s">
        <v>1101</v>
      </c>
      <c r="L483" s="3">
        <f>VLOOKUP(TRIM(Table1[[#This Row],[Provider Specialty]]) &amp; TRIM(Table1[[#This Row],[Provider Specialty Description]]), SPECIALTY_TYPE, 2, FALSE)</f>
        <v>2076</v>
      </c>
      <c r="M483" s="3" t="s">
        <v>18</v>
      </c>
      <c r="N483" s="27" t="s">
        <v>19</v>
      </c>
      <c r="O483" s="38">
        <f>VLOOKUP(TRIM(Table1[[#This Row],[Provider Specialty]]) &amp; TRIM(Table1[[#This Row],[Provider Specialty Description]]), SPECIALTY_TYPE, 2, FALSE)</f>
        <v>2076</v>
      </c>
      <c r="P483" s="3" t="str">
        <f>Table1[[#This Row],[Provider Type]] &amp; "+" &amp; Table1[[#This Row],[Provider Type Description]]</f>
        <v>33+Single-Specialty</v>
      </c>
      <c r="Q483" s="7" t="str">
        <f>Table1[[#This Row],[Provider Specialty]] &amp; "+" &amp; Table1[[#This Row],[Provider Specialty Description]]</f>
        <v>315+Emergency Medicine Practitioner</v>
      </c>
      <c r="R483" s="7" t="str">
        <f>Table1[[#This Row],[PDMS Specialty Type ID]] &amp; "+" &amp; Table1[[#This Row],[PDMS Provider Type ID]] &amp; "+" &amp;Table1[[#This Row],[TAXONOMY]]</f>
        <v>2076+51+207P00000X</v>
      </c>
      <c r="S4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(9462, 2076, 51, N'207P00000X', N'Emergency Medicine  - Emergency Medicine ')</v>
      </c>
    </row>
    <row r="484" spans="1:19" ht="47.25" hidden="1" customHeight="1" x14ac:dyDescent="0.25">
      <c r="A484" s="22" t="s">
        <v>1855</v>
      </c>
      <c r="B484" s="3" t="s">
        <v>988</v>
      </c>
      <c r="C484" s="3" t="s">
        <v>1099</v>
      </c>
      <c r="D484" s="3" t="s">
        <v>1102</v>
      </c>
      <c r="E484" s="3" t="s">
        <v>1103</v>
      </c>
      <c r="F484" s="3">
        <f>VLOOKUP(Table1[[#This Row],[Column2]], TAXONOMY_TYPE, 2, FALSE)</f>
        <v>9463</v>
      </c>
      <c r="G484" s="3">
        <v>31</v>
      </c>
      <c r="H484" s="3" t="s">
        <v>991</v>
      </c>
      <c r="I484" s="3">
        <f>VLOOKUP(Table1[[#This Row],[Provider Type]] &amp; Table1[[#This Row],[Provider Type Description]], PROVIDER_TYPE, 2, FALSE)</f>
        <v>114</v>
      </c>
      <c r="J484" s="3">
        <v>315</v>
      </c>
      <c r="K484" s="3" t="s">
        <v>1101</v>
      </c>
      <c r="L484" s="3">
        <f>VLOOKUP(TRIM(Table1[[#This Row],[Provider Specialty]]) &amp; TRIM(Table1[[#This Row],[Provider Specialty Description]]), SPECIALTY_TYPE, 2, FALSE)</f>
        <v>2076</v>
      </c>
      <c r="M484" s="3" t="s">
        <v>19</v>
      </c>
      <c r="N484" s="27" t="s">
        <v>19</v>
      </c>
      <c r="O484" s="38">
        <f>VLOOKUP(TRIM(Table1[[#This Row],[Provider Specialty]]) &amp; TRIM(Table1[[#This Row],[Provider Specialty Description]]), SPECIALTY_TYPE, 2, FALSE)</f>
        <v>2076</v>
      </c>
      <c r="P484" s="3" t="str">
        <f>Table1[[#This Row],[Provider Type]] &amp; "+" &amp; Table1[[#This Row],[Provider Type Description]]</f>
        <v>31+Physician</v>
      </c>
      <c r="Q484" s="7" t="str">
        <f>Table1[[#This Row],[Provider Specialty]] &amp; "+" &amp; Table1[[#This Row],[Provider Specialty Description]]</f>
        <v>315+Emergency Medicine Practitioner</v>
      </c>
      <c r="R484" s="7" t="str">
        <f>Table1[[#This Row],[PDMS Specialty Type ID]] &amp; "+" &amp; Table1[[#This Row],[PDMS Provider Type ID]] &amp; "+" &amp;Table1[[#This Row],[TAXONOMY]]</f>
        <v>2076+114+207PE0004X</v>
      </c>
      <c r="S4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(9463, 2076, 114, N'207PE0004X', N'Emergency Medicine  - Emergency Medical Services ')</v>
      </c>
    </row>
    <row r="485" spans="1:19" ht="47.25" hidden="1" customHeight="1" x14ac:dyDescent="0.25">
      <c r="A485" s="22" t="s">
        <v>1854</v>
      </c>
      <c r="B485" s="3" t="s">
        <v>988</v>
      </c>
      <c r="C485" s="3" t="s">
        <v>1099</v>
      </c>
      <c r="D485" s="3" t="s">
        <v>1102</v>
      </c>
      <c r="E485" s="3" t="s">
        <v>1103</v>
      </c>
      <c r="F485" s="3">
        <f>VLOOKUP(Table1[[#This Row],[Column2]], TAXONOMY_TYPE, 2, FALSE)</f>
        <v>9464</v>
      </c>
      <c r="G485" s="3">
        <v>32</v>
      </c>
      <c r="H485" s="3" t="s">
        <v>1444</v>
      </c>
      <c r="I485" s="3">
        <f>VLOOKUP(Table1[[#This Row],[Provider Type]] &amp; Table1[[#This Row],[Provider Type Description]], PROVIDER_TYPE, 2, FALSE)</f>
        <v>50</v>
      </c>
      <c r="J485" s="3">
        <v>315</v>
      </c>
      <c r="K485" s="3" t="s">
        <v>1101</v>
      </c>
      <c r="L485" s="3">
        <f>VLOOKUP(TRIM(Table1[[#This Row],[Provider Specialty]]) &amp; TRIM(Table1[[#This Row],[Provider Specialty Description]]), SPECIALTY_TYPE, 2, FALSE)</f>
        <v>2076</v>
      </c>
      <c r="M485" s="3" t="s">
        <v>18</v>
      </c>
      <c r="N485" s="27" t="s">
        <v>19</v>
      </c>
      <c r="O485" s="38">
        <f>VLOOKUP(TRIM(Table1[[#This Row],[Provider Specialty]]) &amp; TRIM(Table1[[#This Row],[Provider Specialty Description]]), SPECIALTY_TYPE, 2, FALSE)</f>
        <v>2076</v>
      </c>
      <c r="P485" s="3" t="str">
        <f>Table1[[#This Row],[Provider Type]] &amp; "+" &amp; Table1[[#This Row],[Provider Type Description]]</f>
        <v>32+Multi-Specialty</v>
      </c>
      <c r="Q485" s="7" t="str">
        <f>Table1[[#This Row],[Provider Specialty]] &amp; "+" &amp; Table1[[#This Row],[Provider Specialty Description]]</f>
        <v>315+Emergency Medicine Practitioner</v>
      </c>
      <c r="R485" s="7" t="str">
        <f>Table1[[#This Row],[PDMS Specialty Type ID]] &amp; "+" &amp; Table1[[#This Row],[PDMS Provider Type ID]] &amp; "+" &amp;Table1[[#This Row],[TAXONOMY]]</f>
        <v>2076+50+207PE0004X</v>
      </c>
      <c r="S4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(9464, 2076, 50, N'207PE0004X', N'Emergency Medicine  - Emergency Medical Services ')</v>
      </c>
    </row>
    <row r="486" spans="1:19" ht="47.25" hidden="1" customHeight="1" x14ac:dyDescent="0.25">
      <c r="A486" s="22" t="s">
        <v>1854</v>
      </c>
      <c r="B486" s="3" t="s">
        <v>988</v>
      </c>
      <c r="C486" s="3" t="s">
        <v>1099</v>
      </c>
      <c r="D486" s="3" t="s">
        <v>1102</v>
      </c>
      <c r="E486" s="3" t="s">
        <v>1103</v>
      </c>
      <c r="F486" s="3">
        <f>VLOOKUP(Table1[[#This Row],[Column2]], TAXONOMY_TYPE, 2, FALSE)</f>
        <v>9465</v>
      </c>
      <c r="G486" s="3">
        <v>33</v>
      </c>
      <c r="H486" s="3" t="s">
        <v>1953</v>
      </c>
      <c r="I486" s="3">
        <f>VLOOKUP(Table1[[#This Row],[Provider Type]] &amp; Table1[[#This Row],[Provider Type Description]], PROVIDER_TYPE, 2, FALSE)</f>
        <v>51</v>
      </c>
      <c r="J486" s="3">
        <v>315</v>
      </c>
      <c r="K486" s="3" t="s">
        <v>1101</v>
      </c>
      <c r="L486" s="3">
        <f>VLOOKUP(TRIM(Table1[[#This Row],[Provider Specialty]]) &amp; TRIM(Table1[[#This Row],[Provider Specialty Description]]), SPECIALTY_TYPE, 2, FALSE)</f>
        <v>2076</v>
      </c>
      <c r="M486" s="3" t="s">
        <v>18</v>
      </c>
      <c r="N486" s="27" t="s">
        <v>19</v>
      </c>
      <c r="O486" s="38">
        <f>VLOOKUP(TRIM(Table1[[#This Row],[Provider Specialty]]) &amp; TRIM(Table1[[#This Row],[Provider Specialty Description]]), SPECIALTY_TYPE, 2, FALSE)</f>
        <v>2076</v>
      </c>
      <c r="P486" s="3" t="str">
        <f>Table1[[#This Row],[Provider Type]] &amp; "+" &amp; Table1[[#This Row],[Provider Type Description]]</f>
        <v>33+Single-Specialty</v>
      </c>
      <c r="Q486" s="7" t="str">
        <f>Table1[[#This Row],[Provider Specialty]] &amp; "+" &amp; Table1[[#This Row],[Provider Specialty Description]]</f>
        <v>315+Emergency Medicine Practitioner</v>
      </c>
      <c r="R486" s="7" t="str">
        <f>Table1[[#This Row],[PDMS Specialty Type ID]] &amp; "+" &amp; Table1[[#This Row],[PDMS Provider Type ID]] &amp; "+" &amp;Table1[[#This Row],[TAXONOMY]]</f>
        <v>2076+51+207PE0004X</v>
      </c>
      <c r="S4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(9465, 2076, 51, N'207PE0004X', N'Emergency Medicine  - Emergency Medical Services ')</v>
      </c>
    </row>
    <row r="487" spans="1:19" ht="47.25" hidden="1" customHeight="1" x14ac:dyDescent="0.25">
      <c r="A487" s="22" t="s">
        <v>1855</v>
      </c>
      <c r="B487" s="3" t="s">
        <v>988</v>
      </c>
      <c r="C487" s="3" t="s">
        <v>1099</v>
      </c>
      <c r="D487" s="3" t="s">
        <v>1104</v>
      </c>
      <c r="E487" s="3" t="s">
        <v>1105</v>
      </c>
      <c r="F487" s="3">
        <f>VLOOKUP(Table1[[#This Row],[Column2]], TAXONOMY_TYPE, 2, FALSE)</f>
        <v>9466</v>
      </c>
      <c r="G487" s="3">
        <v>31</v>
      </c>
      <c r="H487" s="3" t="s">
        <v>991</v>
      </c>
      <c r="I487" s="3">
        <f>VLOOKUP(Table1[[#This Row],[Provider Type]] &amp; Table1[[#This Row],[Provider Type Description]], PROVIDER_TYPE, 2, FALSE)</f>
        <v>114</v>
      </c>
      <c r="J487" s="3">
        <v>315</v>
      </c>
      <c r="K487" s="3" t="s">
        <v>1101</v>
      </c>
      <c r="L487" s="3">
        <f>VLOOKUP(TRIM(Table1[[#This Row],[Provider Specialty]]) &amp; TRIM(Table1[[#This Row],[Provider Specialty Description]]), SPECIALTY_TYPE, 2, FALSE)</f>
        <v>2076</v>
      </c>
      <c r="M487" s="3" t="s">
        <v>19</v>
      </c>
      <c r="N487" s="27" t="s">
        <v>19</v>
      </c>
      <c r="O487" s="38">
        <f>VLOOKUP(TRIM(Table1[[#This Row],[Provider Specialty]]) &amp; TRIM(Table1[[#This Row],[Provider Specialty Description]]), SPECIALTY_TYPE, 2, FALSE)</f>
        <v>2076</v>
      </c>
      <c r="P487" s="3" t="str">
        <f>Table1[[#This Row],[Provider Type]] &amp; "+" &amp; Table1[[#This Row],[Provider Type Description]]</f>
        <v>31+Physician</v>
      </c>
      <c r="Q487" s="7" t="str">
        <f>Table1[[#This Row],[Provider Specialty]] &amp; "+" &amp; Table1[[#This Row],[Provider Specialty Description]]</f>
        <v>315+Emergency Medicine Practitioner</v>
      </c>
      <c r="R487" s="7" t="str">
        <f>Table1[[#This Row],[PDMS Specialty Type ID]] &amp; "+" &amp; Table1[[#This Row],[PDMS Provider Type ID]] &amp; "+" &amp;Table1[[#This Row],[TAXONOMY]]</f>
        <v>2076+114+207PE0005X</v>
      </c>
      <c r="S4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(9466, 2076, 114, N'207PE0005X', N'Emergency Medicine  - Undersea and Hyperbaric Medicine ')</v>
      </c>
    </row>
    <row r="488" spans="1:19" ht="47.25" hidden="1" customHeight="1" x14ac:dyDescent="0.25">
      <c r="A488" s="22" t="s">
        <v>1854</v>
      </c>
      <c r="B488" s="3" t="s">
        <v>988</v>
      </c>
      <c r="C488" s="3" t="s">
        <v>1099</v>
      </c>
      <c r="D488" s="3" t="s">
        <v>1104</v>
      </c>
      <c r="E488" s="3" t="s">
        <v>1105</v>
      </c>
      <c r="F488" s="3">
        <f>VLOOKUP(Table1[[#This Row],[Column2]], TAXONOMY_TYPE, 2, FALSE)</f>
        <v>9467</v>
      </c>
      <c r="G488" s="3">
        <v>32</v>
      </c>
      <c r="H488" s="3" t="s">
        <v>1444</v>
      </c>
      <c r="I488" s="3">
        <f>VLOOKUP(Table1[[#This Row],[Provider Type]] &amp; Table1[[#This Row],[Provider Type Description]], PROVIDER_TYPE, 2, FALSE)</f>
        <v>50</v>
      </c>
      <c r="J488" s="3">
        <v>315</v>
      </c>
      <c r="K488" s="3" t="s">
        <v>1101</v>
      </c>
      <c r="L488" s="3">
        <f>VLOOKUP(TRIM(Table1[[#This Row],[Provider Specialty]]) &amp; TRIM(Table1[[#This Row],[Provider Specialty Description]]), SPECIALTY_TYPE, 2, FALSE)</f>
        <v>2076</v>
      </c>
      <c r="M488" s="3" t="s">
        <v>18</v>
      </c>
      <c r="N488" s="27" t="s">
        <v>19</v>
      </c>
      <c r="O488" s="38">
        <f>VLOOKUP(TRIM(Table1[[#This Row],[Provider Specialty]]) &amp; TRIM(Table1[[#This Row],[Provider Specialty Description]]), SPECIALTY_TYPE, 2, FALSE)</f>
        <v>2076</v>
      </c>
      <c r="P488" s="3" t="str">
        <f>Table1[[#This Row],[Provider Type]] &amp; "+" &amp; Table1[[#This Row],[Provider Type Description]]</f>
        <v>32+Multi-Specialty</v>
      </c>
      <c r="Q488" s="7" t="str">
        <f>Table1[[#This Row],[Provider Specialty]] &amp; "+" &amp; Table1[[#This Row],[Provider Specialty Description]]</f>
        <v>315+Emergency Medicine Practitioner</v>
      </c>
      <c r="R488" s="7" t="str">
        <f>Table1[[#This Row],[PDMS Specialty Type ID]] &amp; "+" &amp; Table1[[#This Row],[PDMS Provider Type ID]] &amp; "+" &amp;Table1[[#This Row],[TAXONOMY]]</f>
        <v>2076+50+207PE0005X</v>
      </c>
      <c r="S4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(9467, 2076, 50, N'207PE0005X', N'Emergency Medicine  - Undersea and Hyperbaric Medicine ')</v>
      </c>
    </row>
    <row r="489" spans="1:19" ht="47.25" hidden="1" customHeight="1" x14ac:dyDescent="0.25">
      <c r="A489" s="22" t="s">
        <v>1854</v>
      </c>
      <c r="B489" s="3" t="s">
        <v>988</v>
      </c>
      <c r="C489" s="3" t="s">
        <v>1099</v>
      </c>
      <c r="D489" s="3" t="s">
        <v>1104</v>
      </c>
      <c r="E489" s="3" t="s">
        <v>1105</v>
      </c>
      <c r="F489" s="3">
        <f>VLOOKUP(Table1[[#This Row],[Column2]], TAXONOMY_TYPE, 2, FALSE)</f>
        <v>9468</v>
      </c>
      <c r="G489" s="3">
        <v>33</v>
      </c>
      <c r="H489" s="3" t="s">
        <v>1953</v>
      </c>
      <c r="I489" s="3">
        <f>VLOOKUP(Table1[[#This Row],[Provider Type]] &amp; Table1[[#This Row],[Provider Type Description]], PROVIDER_TYPE, 2, FALSE)</f>
        <v>51</v>
      </c>
      <c r="J489" s="3">
        <v>315</v>
      </c>
      <c r="K489" s="3" t="s">
        <v>1101</v>
      </c>
      <c r="L489" s="3">
        <f>VLOOKUP(TRIM(Table1[[#This Row],[Provider Specialty]]) &amp; TRIM(Table1[[#This Row],[Provider Specialty Description]]), SPECIALTY_TYPE, 2, FALSE)</f>
        <v>2076</v>
      </c>
      <c r="M489" s="3" t="s">
        <v>18</v>
      </c>
      <c r="N489" s="27" t="s">
        <v>19</v>
      </c>
      <c r="O489" s="38">
        <f>VLOOKUP(TRIM(Table1[[#This Row],[Provider Specialty]]) &amp; TRIM(Table1[[#This Row],[Provider Specialty Description]]), SPECIALTY_TYPE, 2, FALSE)</f>
        <v>2076</v>
      </c>
      <c r="P489" s="3" t="str">
        <f>Table1[[#This Row],[Provider Type]] &amp; "+" &amp; Table1[[#This Row],[Provider Type Description]]</f>
        <v>33+Single-Specialty</v>
      </c>
      <c r="Q489" s="7" t="str">
        <f>Table1[[#This Row],[Provider Specialty]] &amp; "+" &amp; Table1[[#This Row],[Provider Specialty Description]]</f>
        <v>315+Emergency Medicine Practitioner</v>
      </c>
      <c r="R489" s="7" t="str">
        <f>Table1[[#This Row],[PDMS Specialty Type ID]] &amp; "+" &amp; Table1[[#This Row],[PDMS Provider Type ID]] &amp; "+" &amp;Table1[[#This Row],[TAXONOMY]]</f>
        <v>2076+51+207PE0005X</v>
      </c>
      <c r="S4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(9468, 2076, 51, N'207PE0005X', N'Emergency Medicine  - Undersea and Hyperbaric Medicine ')</v>
      </c>
    </row>
    <row r="490" spans="1:19" ht="47.25" hidden="1" customHeight="1" x14ac:dyDescent="0.25">
      <c r="A490" s="22" t="s">
        <v>1855</v>
      </c>
      <c r="B490" s="3" t="s">
        <v>988</v>
      </c>
      <c r="C490" s="3" t="s">
        <v>1099</v>
      </c>
      <c r="D490" s="3" t="s">
        <v>1106</v>
      </c>
      <c r="E490" s="3" t="s">
        <v>1107</v>
      </c>
      <c r="F490" s="3">
        <f>VLOOKUP(Table1[[#This Row],[Column2]], TAXONOMY_TYPE, 2, FALSE)</f>
        <v>9469</v>
      </c>
      <c r="G490" s="3">
        <v>31</v>
      </c>
      <c r="H490" s="3" t="s">
        <v>991</v>
      </c>
      <c r="I490" s="3">
        <f>VLOOKUP(Table1[[#This Row],[Provider Type]] &amp; Table1[[#This Row],[Provider Type Description]], PROVIDER_TYPE, 2, FALSE)</f>
        <v>114</v>
      </c>
      <c r="J490" s="3">
        <v>315</v>
      </c>
      <c r="K490" s="3" t="s">
        <v>1101</v>
      </c>
      <c r="L490" s="3">
        <f>VLOOKUP(TRIM(Table1[[#This Row],[Provider Specialty]]) &amp; TRIM(Table1[[#This Row],[Provider Specialty Description]]), SPECIALTY_TYPE, 2, FALSE)</f>
        <v>2076</v>
      </c>
      <c r="M490" s="3" t="s">
        <v>19</v>
      </c>
      <c r="N490" s="27" t="s">
        <v>19</v>
      </c>
      <c r="O490" s="38">
        <f>VLOOKUP(TRIM(Table1[[#This Row],[Provider Specialty]]) &amp; TRIM(Table1[[#This Row],[Provider Specialty Description]]), SPECIALTY_TYPE, 2, FALSE)</f>
        <v>2076</v>
      </c>
      <c r="P490" s="3" t="str">
        <f>Table1[[#This Row],[Provider Type]] &amp; "+" &amp; Table1[[#This Row],[Provider Type Description]]</f>
        <v>31+Physician</v>
      </c>
      <c r="Q490" s="7" t="str">
        <f>Table1[[#This Row],[Provider Specialty]] &amp; "+" &amp; Table1[[#This Row],[Provider Specialty Description]]</f>
        <v>315+Emergency Medicine Practitioner</v>
      </c>
      <c r="R490" s="7" t="str">
        <f>Table1[[#This Row],[PDMS Specialty Type ID]] &amp; "+" &amp; Table1[[#This Row],[PDMS Provider Type ID]] &amp; "+" &amp;Table1[[#This Row],[TAXONOMY]]</f>
        <v>2076+114+207PH0002X</v>
      </c>
      <c r="S4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(9469, 2076, 114, N'207PH0002X', N'Emergency Medicine  - Hospice and Palliative Medicine** ')</v>
      </c>
    </row>
    <row r="491" spans="1:19" ht="47.25" hidden="1" customHeight="1" x14ac:dyDescent="0.25">
      <c r="A491" s="22" t="s">
        <v>1854</v>
      </c>
      <c r="B491" s="3" t="s">
        <v>988</v>
      </c>
      <c r="C491" s="3" t="s">
        <v>1099</v>
      </c>
      <c r="D491" s="3" t="s">
        <v>1106</v>
      </c>
      <c r="E491" s="3" t="s">
        <v>1107</v>
      </c>
      <c r="F491" s="3">
        <f>VLOOKUP(Table1[[#This Row],[Column2]], TAXONOMY_TYPE, 2, FALSE)</f>
        <v>9470</v>
      </c>
      <c r="G491" s="3">
        <v>32</v>
      </c>
      <c r="H491" s="3" t="s">
        <v>1444</v>
      </c>
      <c r="I491" s="3">
        <f>VLOOKUP(Table1[[#This Row],[Provider Type]] &amp; Table1[[#This Row],[Provider Type Description]], PROVIDER_TYPE, 2, FALSE)</f>
        <v>50</v>
      </c>
      <c r="J491" s="3">
        <v>315</v>
      </c>
      <c r="K491" s="3" t="s">
        <v>1101</v>
      </c>
      <c r="L491" s="3">
        <f>VLOOKUP(TRIM(Table1[[#This Row],[Provider Specialty]]) &amp; TRIM(Table1[[#This Row],[Provider Specialty Description]]), SPECIALTY_TYPE, 2, FALSE)</f>
        <v>2076</v>
      </c>
      <c r="M491" s="3" t="s">
        <v>18</v>
      </c>
      <c r="N491" s="27" t="s">
        <v>19</v>
      </c>
      <c r="O491" s="38">
        <f>VLOOKUP(TRIM(Table1[[#This Row],[Provider Specialty]]) &amp; TRIM(Table1[[#This Row],[Provider Specialty Description]]), SPECIALTY_TYPE, 2, FALSE)</f>
        <v>2076</v>
      </c>
      <c r="P491" s="3" t="str">
        <f>Table1[[#This Row],[Provider Type]] &amp; "+" &amp; Table1[[#This Row],[Provider Type Description]]</f>
        <v>32+Multi-Specialty</v>
      </c>
      <c r="Q491" s="7" t="str">
        <f>Table1[[#This Row],[Provider Specialty]] &amp; "+" &amp; Table1[[#This Row],[Provider Specialty Description]]</f>
        <v>315+Emergency Medicine Practitioner</v>
      </c>
      <c r="R491" s="7" t="str">
        <f>Table1[[#This Row],[PDMS Specialty Type ID]] &amp; "+" &amp; Table1[[#This Row],[PDMS Provider Type ID]] &amp; "+" &amp;Table1[[#This Row],[TAXONOMY]]</f>
        <v>2076+50+207PH0002X</v>
      </c>
      <c r="S4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(9470, 2076, 50, N'207PH0002X', N'Emergency Medicine  - Hospice and Palliative Medicine** ')</v>
      </c>
    </row>
    <row r="492" spans="1:19" ht="47.25" hidden="1" customHeight="1" x14ac:dyDescent="0.25">
      <c r="A492" s="22" t="s">
        <v>1854</v>
      </c>
      <c r="B492" s="3" t="s">
        <v>988</v>
      </c>
      <c r="C492" s="3" t="s">
        <v>1099</v>
      </c>
      <c r="D492" s="3" t="s">
        <v>1106</v>
      </c>
      <c r="E492" s="3" t="s">
        <v>1107</v>
      </c>
      <c r="F492" s="3">
        <f>VLOOKUP(Table1[[#This Row],[Column2]], TAXONOMY_TYPE, 2, FALSE)</f>
        <v>9471</v>
      </c>
      <c r="G492" s="3">
        <v>33</v>
      </c>
      <c r="H492" s="3" t="s">
        <v>1953</v>
      </c>
      <c r="I492" s="3">
        <f>VLOOKUP(Table1[[#This Row],[Provider Type]] &amp; Table1[[#This Row],[Provider Type Description]], PROVIDER_TYPE, 2, FALSE)</f>
        <v>51</v>
      </c>
      <c r="J492" s="3">
        <v>315</v>
      </c>
      <c r="K492" s="3" t="s">
        <v>1101</v>
      </c>
      <c r="L492" s="3">
        <f>VLOOKUP(TRIM(Table1[[#This Row],[Provider Specialty]]) &amp; TRIM(Table1[[#This Row],[Provider Specialty Description]]), SPECIALTY_TYPE, 2, FALSE)</f>
        <v>2076</v>
      </c>
      <c r="M492" s="3" t="s">
        <v>18</v>
      </c>
      <c r="N492" s="27" t="s">
        <v>19</v>
      </c>
      <c r="O492" s="38">
        <f>VLOOKUP(TRIM(Table1[[#This Row],[Provider Specialty]]) &amp; TRIM(Table1[[#This Row],[Provider Specialty Description]]), SPECIALTY_TYPE, 2, FALSE)</f>
        <v>2076</v>
      </c>
      <c r="P492" s="3" t="str">
        <f>Table1[[#This Row],[Provider Type]] &amp; "+" &amp; Table1[[#This Row],[Provider Type Description]]</f>
        <v>33+Single-Specialty</v>
      </c>
      <c r="Q492" s="7" t="str">
        <f>Table1[[#This Row],[Provider Specialty]] &amp; "+" &amp; Table1[[#This Row],[Provider Specialty Description]]</f>
        <v>315+Emergency Medicine Practitioner</v>
      </c>
      <c r="R492" s="7" t="str">
        <f>Table1[[#This Row],[PDMS Specialty Type ID]] &amp; "+" &amp; Table1[[#This Row],[PDMS Provider Type ID]] &amp; "+" &amp;Table1[[#This Row],[TAXONOMY]]</f>
        <v>2076+51+207PH0002X</v>
      </c>
      <c r="S4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(9471, 2076, 51, N'207PH0002X', N'Emergency Medicine  - Hospice and Palliative Medicine** ')</v>
      </c>
    </row>
    <row r="493" spans="1:19" ht="47.25" hidden="1" customHeight="1" x14ac:dyDescent="0.25">
      <c r="A493" s="22" t="s">
        <v>1855</v>
      </c>
      <c r="B493" s="3" t="s">
        <v>988</v>
      </c>
      <c r="C493" s="3" t="s">
        <v>1099</v>
      </c>
      <c r="D493" s="3" t="s">
        <v>1108</v>
      </c>
      <c r="E493" s="3" t="s">
        <v>1109</v>
      </c>
      <c r="F493" s="3">
        <f>VLOOKUP(Table1[[#This Row],[Column2]], TAXONOMY_TYPE, 2, FALSE)</f>
        <v>9472</v>
      </c>
      <c r="G493" s="3">
        <v>31</v>
      </c>
      <c r="H493" s="3" t="s">
        <v>991</v>
      </c>
      <c r="I493" s="3">
        <f>VLOOKUP(Table1[[#This Row],[Provider Type]] &amp; Table1[[#This Row],[Provider Type Description]], PROVIDER_TYPE, 2, FALSE)</f>
        <v>114</v>
      </c>
      <c r="J493" s="3">
        <v>315</v>
      </c>
      <c r="K493" s="3" t="s">
        <v>1101</v>
      </c>
      <c r="L493" s="3">
        <f>VLOOKUP(TRIM(Table1[[#This Row],[Provider Specialty]]) &amp; TRIM(Table1[[#This Row],[Provider Specialty Description]]), SPECIALTY_TYPE, 2, FALSE)</f>
        <v>2076</v>
      </c>
      <c r="M493" s="3" t="s">
        <v>19</v>
      </c>
      <c r="N493" s="27" t="s">
        <v>19</v>
      </c>
      <c r="O493" s="38">
        <f>VLOOKUP(TRIM(Table1[[#This Row],[Provider Specialty]]) &amp; TRIM(Table1[[#This Row],[Provider Specialty Description]]), SPECIALTY_TYPE, 2, FALSE)</f>
        <v>2076</v>
      </c>
      <c r="P493" s="3" t="str">
        <f>Table1[[#This Row],[Provider Type]] &amp; "+" &amp; Table1[[#This Row],[Provider Type Description]]</f>
        <v>31+Physician</v>
      </c>
      <c r="Q493" s="7" t="str">
        <f>Table1[[#This Row],[Provider Specialty]] &amp; "+" &amp; Table1[[#This Row],[Provider Specialty Description]]</f>
        <v>315+Emergency Medicine Practitioner</v>
      </c>
      <c r="R493" s="7" t="str">
        <f>Table1[[#This Row],[PDMS Specialty Type ID]] &amp; "+" &amp; Table1[[#This Row],[PDMS Provider Type ID]] &amp; "+" &amp;Table1[[#This Row],[TAXONOMY]]</f>
        <v>2076+114+207PP0204X</v>
      </c>
      <c r="S4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(9472, 2076, 114, N'207PP0204X', N'Emergency Medicine  - Pediatric Emergency Medicine ')</v>
      </c>
    </row>
    <row r="494" spans="1:19" ht="47.25" hidden="1" customHeight="1" x14ac:dyDescent="0.25">
      <c r="A494" s="22" t="s">
        <v>1854</v>
      </c>
      <c r="B494" s="3" t="s">
        <v>988</v>
      </c>
      <c r="C494" s="3" t="s">
        <v>1099</v>
      </c>
      <c r="D494" s="3" t="s">
        <v>1108</v>
      </c>
      <c r="E494" s="3" t="s">
        <v>1109</v>
      </c>
      <c r="F494" s="3">
        <f>VLOOKUP(Table1[[#This Row],[Column2]], TAXONOMY_TYPE, 2, FALSE)</f>
        <v>9473</v>
      </c>
      <c r="G494" s="3">
        <v>32</v>
      </c>
      <c r="H494" s="3" t="s">
        <v>1444</v>
      </c>
      <c r="I494" s="3">
        <f>VLOOKUP(Table1[[#This Row],[Provider Type]] &amp; Table1[[#This Row],[Provider Type Description]], PROVIDER_TYPE, 2, FALSE)</f>
        <v>50</v>
      </c>
      <c r="J494" s="3">
        <v>315</v>
      </c>
      <c r="K494" s="3" t="s">
        <v>1101</v>
      </c>
      <c r="L494" s="3">
        <f>VLOOKUP(TRIM(Table1[[#This Row],[Provider Specialty]]) &amp; TRIM(Table1[[#This Row],[Provider Specialty Description]]), SPECIALTY_TYPE, 2, FALSE)</f>
        <v>2076</v>
      </c>
      <c r="M494" s="3" t="s">
        <v>18</v>
      </c>
      <c r="N494" s="27" t="s">
        <v>19</v>
      </c>
      <c r="O494" s="38">
        <f>VLOOKUP(TRIM(Table1[[#This Row],[Provider Specialty]]) &amp; TRIM(Table1[[#This Row],[Provider Specialty Description]]), SPECIALTY_TYPE, 2, FALSE)</f>
        <v>2076</v>
      </c>
      <c r="P494" s="3" t="str">
        <f>Table1[[#This Row],[Provider Type]] &amp; "+" &amp; Table1[[#This Row],[Provider Type Description]]</f>
        <v>32+Multi-Specialty</v>
      </c>
      <c r="Q494" s="7" t="str">
        <f>Table1[[#This Row],[Provider Specialty]] &amp; "+" &amp; Table1[[#This Row],[Provider Specialty Description]]</f>
        <v>315+Emergency Medicine Practitioner</v>
      </c>
      <c r="R494" s="7" t="str">
        <f>Table1[[#This Row],[PDMS Specialty Type ID]] &amp; "+" &amp; Table1[[#This Row],[PDMS Provider Type ID]] &amp; "+" &amp;Table1[[#This Row],[TAXONOMY]]</f>
        <v>2076+50+207PP0204X</v>
      </c>
      <c r="S4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(9473, 2076, 50, N'207PP0204X', N'Emergency Medicine  - Pediatric Emergency Medicine ')</v>
      </c>
    </row>
    <row r="495" spans="1:19" ht="47.25" hidden="1" customHeight="1" x14ac:dyDescent="0.25">
      <c r="A495" s="22" t="s">
        <v>1854</v>
      </c>
      <c r="B495" s="3" t="s">
        <v>988</v>
      </c>
      <c r="C495" s="3" t="s">
        <v>1099</v>
      </c>
      <c r="D495" s="3" t="s">
        <v>1108</v>
      </c>
      <c r="E495" s="3" t="s">
        <v>1109</v>
      </c>
      <c r="F495" s="3">
        <f>VLOOKUP(Table1[[#This Row],[Column2]], TAXONOMY_TYPE, 2, FALSE)</f>
        <v>9474</v>
      </c>
      <c r="G495" s="3">
        <v>33</v>
      </c>
      <c r="H495" s="3" t="s">
        <v>1953</v>
      </c>
      <c r="I495" s="3">
        <f>VLOOKUP(Table1[[#This Row],[Provider Type]] &amp; Table1[[#This Row],[Provider Type Description]], PROVIDER_TYPE, 2, FALSE)</f>
        <v>51</v>
      </c>
      <c r="J495" s="3">
        <v>315</v>
      </c>
      <c r="K495" s="3" t="s">
        <v>1101</v>
      </c>
      <c r="L495" s="3">
        <f>VLOOKUP(TRIM(Table1[[#This Row],[Provider Specialty]]) &amp; TRIM(Table1[[#This Row],[Provider Specialty Description]]), SPECIALTY_TYPE, 2, FALSE)</f>
        <v>2076</v>
      </c>
      <c r="M495" s="3" t="s">
        <v>18</v>
      </c>
      <c r="N495" s="27" t="s">
        <v>19</v>
      </c>
      <c r="O495" s="38">
        <f>VLOOKUP(TRIM(Table1[[#This Row],[Provider Specialty]]) &amp; TRIM(Table1[[#This Row],[Provider Specialty Description]]), SPECIALTY_TYPE, 2, FALSE)</f>
        <v>2076</v>
      </c>
      <c r="P495" s="3" t="str">
        <f>Table1[[#This Row],[Provider Type]] &amp; "+" &amp; Table1[[#This Row],[Provider Type Description]]</f>
        <v>33+Single-Specialty</v>
      </c>
      <c r="Q495" s="7" t="str">
        <f>Table1[[#This Row],[Provider Specialty]] &amp; "+" &amp; Table1[[#This Row],[Provider Specialty Description]]</f>
        <v>315+Emergency Medicine Practitioner</v>
      </c>
      <c r="R495" s="7" t="str">
        <f>Table1[[#This Row],[PDMS Specialty Type ID]] &amp; "+" &amp; Table1[[#This Row],[PDMS Provider Type ID]] &amp; "+" &amp;Table1[[#This Row],[TAXONOMY]]</f>
        <v>2076+51+207PP0204X</v>
      </c>
      <c r="S4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(9474, 2076, 51, N'207PP0204X', N'Emergency Medicine  - Pediatric Emergency Medicine ')</v>
      </c>
    </row>
    <row r="496" spans="1:19" ht="47.25" hidden="1" customHeight="1" x14ac:dyDescent="0.25">
      <c r="A496" s="22" t="s">
        <v>1855</v>
      </c>
      <c r="B496" s="3" t="s">
        <v>988</v>
      </c>
      <c r="C496" s="3" t="s">
        <v>1099</v>
      </c>
      <c r="D496" s="3" t="s">
        <v>1110</v>
      </c>
      <c r="E496" s="3" t="s">
        <v>1111</v>
      </c>
      <c r="F496" s="3">
        <f>VLOOKUP(Table1[[#This Row],[Column2]], TAXONOMY_TYPE, 2, FALSE)</f>
        <v>9475</v>
      </c>
      <c r="G496" s="3">
        <v>31</v>
      </c>
      <c r="H496" s="3" t="s">
        <v>991</v>
      </c>
      <c r="I496" s="3">
        <f>VLOOKUP(Table1[[#This Row],[Provider Type]] &amp; Table1[[#This Row],[Provider Type Description]], PROVIDER_TYPE, 2, FALSE)</f>
        <v>114</v>
      </c>
      <c r="J496" s="3">
        <v>315</v>
      </c>
      <c r="K496" s="3" t="s">
        <v>1101</v>
      </c>
      <c r="L496" s="3">
        <f>VLOOKUP(TRIM(Table1[[#This Row],[Provider Specialty]]) &amp; TRIM(Table1[[#This Row],[Provider Specialty Description]]), SPECIALTY_TYPE, 2, FALSE)</f>
        <v>2076</v>
      </c>
      <c r="M496" s="3" t="s">
        <v>19</v>
      </c>
      <c r="N496" s="27" t="s">
        <v>19</v>
      </c>
      <c r="O496" s="38">
        <f>VLOOKUP(TRIM(Table1[[#This Row],[Provider Specialty]]) &amp; TRIM(Table1[[#This Row],[Provider Specialty Description]]), SPECIALTY_TYPE, 2, FALSE)</f>
        <v>2076</v>
      </c>
      <c r="P496" s="3" t="str">
        <f>Table1[[#This Row],[Provider Type]] &amp; "+" &amp; Table1[[#This Row],[Provider Type Description]]</f>
        <v>31+Physician</v>
      </c>
      <c r="Q496" s="7" t="str">
        <f>Table1[[#This Row],[Provider Specialty]] &amp; "+" &amp; Table1[[#This Row],[Provider Specialty Description]]</f>
        <v>315+Emergency Medicine Practitioner</v>
      </c>
      <c r="R496" s="7" t="str">
        <f>Table1[[#This Row],[PDMS Specialty Type ID]] &amp; "+" &amp; Table1[[#This Row],[PDMS Provider Type ID]] &amp; "+" &amp;Table1[[#This Row],[TAXONOMY]]</f>
        <v>2076+114+207PS0010X</v>
      </c>
      <c r="S4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(9475, 2076, 114, N'207PS0010X', N'Emergency Medicine  - Sports Medicine ')</v>
      </c>
    </row>
    <row r="497" spans="1:19" ht="47.25" hidden="1" customHeight="1" x14ac:dyDescent="0.25">
      <c r="A497" s="22" t="s">
        <v>1854</v>
      </c>
      <c r="B497" s="3" t="s">
        <v>988</v>
      </c>
      <c r="C497" s="3" t="s">
        <v>1099</v>
      </c>
      <c r="D497" s="3" t="s">
        <v>1110</v>
      </c>
      <c r="E497" s="3" t="s">
        <v>1111</v>
      </c>
      <c r="F497" s="3">
        <f>VLOOKUP(Table1[[#This Row],[Column2]], TAXONOMY_TYPE, 2, FALSE)</f>
        <v>9476</v>
      </c>
      <c r="G497" s="3">
        <v>32</v>
      </c>
      <c r="H497" s="3" t="s">
        <v>1444</v>
      </c>
      <c r="I497" s="3">
        <f>VLOOKUP(Table1[[#This Row],[Provider Type]] &amp; Table1[[#This Row],[Provider Type Description]], PROVIDER_TYPE, 2, FALSE)</f>
        <v>50</v>
      </c>
      <c r="J497" s="3">
        <v>315</v>
      </c>
      <c r="K497" s="3" t="s">
        <v>1101</v>
      </c>
      <c r="L497" s="3">
        <f>VLOOKUP(TRIM(Table1[[#This Row],[Provider Specialty]]) &amp; TRIM(Table1[[#This Row],[Provider Specialty Description]]), SPECIALTY_TYPE, 2, FALSE)</f>
        <v>2076</v>
      </c>
      <c r="M497" s="3" t="s">
        <v>18</v>
      </c>
      <c r="N497" s="27" t="s">
        <v>19</v>
      </c>
      <c r="O497" s="38">
        <f>VLOOKUP(TRIM(Table1[[#This Row],[Provider Specialty]]) &amp; TRIM(Table1[[#This Row],[Provider Specialty Description]]), SPECIALTY_TYPE, 2, FALSE)</f>
        <v>2076</v>
      </c>
      <c r="P497" s="3" t="str">
        <f>Table1[[#This Row],[Provider Type]] &amp; "+" &amp; Table1[[#This Row],[Provider Type Description]]</f>
        <v>32+Multi-Specialty</v>
      </c>
      <c r="Q497" s="7" t="str">
        <f>Table1[[#This Row],[Provider Specialty]] &amp; "+" &amp; Table1[[#This Row],[Provider Specialty Description]]</f>
        <v>315+Emergency Medicine Practitioner</v>
      </c>
      <c r="R497" s="7" t="str">
        <f>Table1[[#This Row],[PDMS Specialty Type ID]] &amp; "+" &amp; Table1[[#This Row],[PDMS Provider Type ID]] &amp; "+" &amp;Table1[[#This Row],[TAXONOMY]]</f>
        <v>2076+50+207PS0010X</v>
      </c>
      <c r="S4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(9476, 2076, 50, N'207PS0010X', N'Emergency Medicine  - Sports Medicine ')</v>
      </c>
    </row>
    <row r="498" spans="1:19" ht="47.25" hidden="1" customHeight="1" x14ac:dyDescent="0.25">
      <c r="A498" s="22" t="s">
        <v>1854</v>
      </c>
      <c r="B498" s="3" t="s">
        <v>988</v>
      </c>
      <c r="C498" s="3" t="s">
        <v>1099</v>
      </c>
      <c r="D498" s="3" t="s">
        <v>1110</v>
      </c>
      <c r="E498" s="3" t="s">
        <v>1111</v>
      </c>
      <c r="F498" s="3">
        <f>VLOOKUP(Table1[[#This Row],[Column2]], TAXONOMY_TYPE, 2, FALSE)</f>
        <v>9477</v>
      </c>
      <c r="G498" s="3">
        <v>33</v>
      </c>
      <c r="H498" s="3" t="s">
        <v>1953</v>
      </c>
      <c r="I498" s="3">
        <f>VLOOKUP(Table1[[#This Row],[Provider Type]] &amp; Table1[[#This Row],[Provider Type Description]], PROVIDER_TYPE, 2, FALSE)</f>
        <v>51</v>
      </c>
      <c r="J498" s="3">
        <v>315</v>
      </c>
      <c r="K498" s="3" t="s">
        <v>1101</v>
      </c>
      <c r="L498" s="3">
        <f>VLOOKUP(TRIM(Table1[[#This Row],[Provider Specialty]]) &amp; TRIM(Table1[[#This Row],[Provider Specialty Description]]), SPECIALTY_TYPE, 2, FALSE)</f>
        <v>2076</v>
      </c>
      <c r="M498" s="3" t="s">
        <v>18</v>
      </c>
      <c r="N498" s="27" t="s">
        <v>19</v>
      </c>
      <c r="O498" s="38">
        <f>VLOOKUP(TRIM(Table1[[#This Row],[Provider Specialty]]) &amp; TRIM(Table1[[#This Row],[Provider Specialty Description]]), SPECIALTY_TYPE, 2, FALSE)</f>
        <v>2076</v>
      </c>
      <c r="P498" s="3" t="str">
        <f>Table1[[#This Row],[Provider Type]] &amp; "+" &amp; Table1[[#This Row],[Provider Type Description]]</f>
        <v>33+Single-Specialty</v>
      </c>
      <c r="Q498" s="7" t="str">
        <f>Table1[[#This Row],[Provider Specialty]] &amp; "+" &amp; Table1[[#This Row],[Provider Specialty Description]]</f>
        <v>315+Emergency Medicine Practitioner</v>
      </c>
      <c r="R498" s="7" t="str">
        <f>Table1[[#This Row],[PDMS Specialty Type ID]] &amp; "+" &amp; Table1[[#This Row],[PDMS Provider Type ID]] &amp; "+" &amp;Table1[[#This Row],[TAXONOMY]]</f>
        <v>2076+51+207PS0010X</v>
      </c>
      <c r="S4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(9477, 2076, 51, N'207PS0010X', N'Emergency Medicine  - Sports Medicine ')</v>
      </c>
    </row>
    <row r="499" spans="1:19" ht="47.25" hidden="1" customHeight="1" x14ac:dyDescent="0.25">
      <c r="A499" s="22" t="s">
        <v>1855</v>
      </c>
      <c r="B499" s="3" t="s">
        <v>988</v>
      </c>
      <c r="C499" s="3" t="s">
        <v>1099</v>
      </c>
      <c r="D499" s="3" t="s">
        <v>1112</v>
      </c>
      <c r="E499" s="3" t="s">
        <v>1113</v>
      </c>
      <c r="F499" s="3">
        <f>VLOOKUP(Table1[[#This Row],[Column2]], TAXONOMY_TYPE, 2, FALSE)</f>
        <v>9478</v>
      </c>
      <c r="G499" s="3">
        <v>31</v>
      </c>
      <c r="H499" s="3" t="s">
        <v>991</v>
      </c>
      <c r="I499" s="3">
        <f>VLOOKUP(Table1[[#This Row],[Provider Type]] &amp; Table1[[#This Row],[Provider Type Description]], PROVIDER_TYPE, 2, FALSE)</f>
        <v>114</v>
      </c>
      <c r="J499" s="3">
        <v>315</v>
      </c>
      <c r="K499" s="3" t="s">
        <v>1101</v>
      </c>
      <c r="L499" s="3">
        <f>VLOOKUP(TRIM(Table1[[#This Row],[Provider Specialty]]) &amp; TRIM(Table1[[#This Row],[Provider Specialty Description]]), SPECIALTY_TYPE, 2, FALSE)</f>
        <v>2076</v>
      </c>
      <c r="M499" s="3" t="s">
        <v>19</v>
      </c>
      <c r="N499" s="27" t="s">
        <v>19</v>
      </c>
      <c r="O499" s="38">
        <f>VLOOKUP(TRIM(Table1[[#This Row],[Provider Specialty]]) &amp; TRIM(Table1[[#This Row],[Provider Specialty Description]]), SPECIALTY_TYPE, 2, FALSE)</f>
        <v>2076</v>
      </c>
      <c r="P499" s="3" t="str">
        <f>Table1[[#This Row],[Provider Type]] &amp; "+" &amp; Table1[[#This Row],[Provider Type Description]]</f>
        <v>31+Physician</v>
      </c>
      <c r="Q499" s="7" t="str">
        <f>Table1[[#This Row],[Provider Specialty]] &amp; "+" &amp; Table1[[#This Row],[Provider Specialty Description]]</f>
        <v>315+Emergency Medicine Practitioner</v>
      </c>
      <c r="R499" s="7" t="str">
        <f>Table1[[#This Row],[PDMS Specialty Type ID]] &amp; "+" &amp; Table1[[#This Row],[PDMS Provider Type ID]] &amp; "+" &amp;Table1[[#This Row],[TAXONOMY]]</f>
        <v>2076+114+207PT0002X</v>
      </c>
      <c r="S4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(9478, 2076, 114, N'207PT0002X', N'Emergency Medicine  - Medical Toxicology ')</v>
      </c>
    </row>
    <row r="500" spans="1:19" ht="47.25" hidden="1" customHeight="1" x14ac:dyDescent="0.25">
      <c r="A500" s="22" t="s">
        <v>1854</v>
      </c>
      <c r="B500" s="3" t="s">
        <v>988</v>
      </c>
      <c r="C500" s="3" t="s">
        <v>1099</v>
      </c>
      <c r="D500" s="3" t="s">
        <v>1112</v>
      </c>
      <c r="E500" s="3" t="s">
        <v>1113</v>
      </c>
      <c r="F500" s="3">
        <f>VLOOKUP(Table1[[#This Row],[Column2]], TAXONOMY_TYPE, 2, FALSE)</f>
        <v>9479</v>
      </c>
      <c r="G500" s="3">
        <v>32</v>
      </c>
      <c r="H500" s="3" t="s">
        <v>1444</v>
      </c>
      <c r="I500" s="3">
        <f>VLOOKUP(Table1[[#This Row],[Provider Type]] &amp; Table1[[#This Row],[Provider Type Description]], PROVIDER_TYPE, 2, FALSE)</f>
        <v>50</v>
      </c>
      <c r="J500" s="3">
        <v>315</v>
      </c>
      <c r="K500" s="3" t="s">
        <v>1101</v>
      </c>
      <c r="L500" s="3">
        <f>VLOOKUP(TRIM(Table1[[#This Row],[Provider Specialty]]) &amp; TRIM(Table1[[#This Row],[Provider Specialty Description]]), SPECIALTY_TYPE, 2, FALSE)</f>
        <v>2076</v>
      </c>
      <c r="M500" s="3" t="s">
        <v>18</v>
      </c>
      <c r="N500" s="27" t="s">
        <v>19</v>
      </c>
      <c r="O500" s="38">
        <f>VLOOKUP(TRIM(Table1[[#This Row],[Provider Specialty]]) &amp; TRIM(Table1[[#This Row],[Provider Specialty Description]]), SPECIALTY_TYPE, 2, FALSE)</f>
        <v>2076</v>
      </c>
      <c r="P500" s="3" t="str">
        <f>Table1[[#This Row],[Provider Type]] &amp; "+" &amp; Table1[[#This Row],[Provider Type Description]]</f>
        <v>32+Multi-Specialty</v>
      </c>
      <c r="Q500" s="7" t="str">
        <f>Table1[[#This Row],[Provider Specialty]] &amp; "+" &amp; Table1[[#This Row],[Provider Specialty Description]]</f>
        <v>315+Emergency Medicine Practitioner</v>
      </c>
      <c r="R500" s="7" t="str">
        <f>Table1[[#This Row],[PDMS Specialty Type ID]] &amp; "+" &amp; Table1[[#This Row],[PDMS Provider Type ID]] &amp; "+" &amp;Table1[[#This Row],[TAXONOMY]]</f>
        <v>2076+50+207PT0002X</v>
      </c>
      <c r="S5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(9479, 2076, 50, N'207PT0002X', N'Emergency Medicine  - Medical Toxicology ')</v>
      </c>
    </row>
    <row r="501" spans="1:19" ht="47.25" hidden="1" customHeight="1" x14ac:dyDescent="0.25">
      <c r="A501" s="22" t="s">
        <v>1854</v>
      </c>
      <c r="B501" s="3" t="s">
        <v>988</v>
      </c>
      <c r="C501" s="3" t="s">
        <v>1099</v>
      </c>
      <c r="D501" s="3" t="s">
        <v>1112</v>
      </c>
      <c r="E501" s="3" t="s">
        <v>1113</v>
      </c>
      <c r="F501" s="3">
        <f>VLOOKUP(Table1[[#This Row],[Column2]], TAXONOMY_TYPE, 2, FALSE)</f>
        <v>9480</v>
      </c>
      <c r="G501" s="3">
        <v>33</v>
      </c>
      <c r="H501" s="3" t="s">
        <v>1953</v>
      </c>
      <c r="I501" s="3">
        <f>VLOOKUP(Table1[[#This Row],[Provider Type]] &amp; Table1[[#This Row],[Provider Type Description]], PROVIDER_TYPE, 2, FALSE)</f>
        <v>51</v>
      </c>
      <c r="J501" s="3">
        <v>315</v>
      </c>
      <c r="K501" s="3" t="s">
        <v>1101</v>
      </c>
      <c r="L501" s="3">
        <f>VLOOKUP(TRIM(Table1[[#This Row],[Provider Specialty]]) &amp; TRIM(Table1[[#This Row],[Provider Specialty Description]]), SPECIALTY_TYPE, 2, FALSE)</f>
        <v>2076</v>
      </c>
      <c r="M501" s="3" t="s">
        <v>18</v>
      </c>
      <c r="N501" s="27" t="s">
        <v>19</v>
      </c>
      <c r="O501" s="38">
        <f>VLOOKUP(TRIM(Table1[[#This Row],[Provider Specialty]]) &amp; TRIM(Table1[[#This Row],[Provider Specialty Description]]), SPECIALTY_TYPE, 2, FALSE)</f>
        <v>2076</v>
      </c>
      <c r="P501" s="3" t="str">
        <f>Table1[[#This Row],[Provider Type]] &amp; "+" &amp; Table1[[#This Row],[Provider Type Description]]</f>
        <v>33+Single-Specialty</v>
      </c>
      <c r="Q501" s="7" t="str">
        <f>Table1[[#This Row],[Provider Specialty]] &amp; "+" &amp; Table1[[#This Row],[Provider Specialty Description]]</f>
        <v>315+Emergency Medicine Practitioner</v>
      </c>
      <c r="R501" s="7" t="str">
        <f>Table1[[#This Row],[PDMS Specialty Type ID]] &amp; "+" &amp; Table1[[#This Row],[PDMS Provider Type ID]] &amp; "+" &amp;Table1[[#This Row],[TAXONOMY]]</f>
        <v>2076+51+207PT0002X</v>
      </c>
      <c r="S5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(9480, 2076, 51, N'207PT0002X', N'Emergency Medicine  - Medical Toxicology ')</v>
      </c>
    </row>
    <row r="502" spans="1:19" ht="47.25" hidden="1" customHeight="1" x14ac:dyDescent="0.25">
      <c r="A502" s="22" t="s">
        <v>1855</v>
      </c>
      <c r="B502" s="3" t="s">
        <v>988</v>
      </c>
      <c r="C502" s="3" t="s">
        <v>325</v>
      </c>
      <c r="D502" s="3" t="s">
        <v>1280</v>
      </c>
      <c r="E502" s="3" t="s">
        <v>1281</v>
      </c>
      <c r="F502" s="3">
        <f>VLOOKUP(Table1[[#This Row],[Column2]], TAXONOMY_TYPE, 2, FALSE)</f>
        <v>9481</v>
      </c>
      <c r="G502" s="3">
        <v>31</v>
      </c>
      <c r="H502" s="3" t="s">
        <v>991</v>
      </c>
      <c r="I502" s="3">
        <f>VLOOKUP(Table1[[#This Row],[Provider Type]] &amp; Table1[[#This Row],[Provider Type Description]], PROVIDER_TYPE, 2, FALSE)</f>
        <v>114</v>
      </c>
      <c r="J502" s="3">
        <v>315</v>
      </c>
      <c r="K502" s="3" t="s">
        <v>1101</v>
      </c>
      <c r="L502" s="3">
        <f>VLOOKUP(TRIM(Table1[[#This Row],[Provider Specialty]]) &amp; TRIM(Table1[[#This Row],[Provider Specialty Description]]), SPECIALTY_TYPE, 2, FALSE)</f>
        <v>2076</v>
      </c>
      <c r="M502" s="3" t="s">
        <v>19</v>
      </c>
      <c r="N502" s="27" t="s">
        <v>19</v>
      </c>
      <c r="O502" s="38">
        <f>VLOOKUP(TRIM(Table1[[#This Row],[Provider Specialty]]) &amp; TRIM(Table1[[#This Row],[Provider Specialty Description]]), SPECIALTY_TYPE, 2, FALSE)</f>
        <v>2076</v>
      </c>
      <c r="P502" s="3" t="str">
        <f>Table1[[#This Row],[Provider Type]] &amp; "+" &amp; Table1[[#This Row],[Provider Type Description]]</f>
        <v>31+Physician</v>
      </c>
      <c r="Q502" s="7" t="str">
        <f>Table1[[#This Row],[Provider Specialty]] &amp; "+" &amp; Table1[[#This Row],[Provider Specialty Description]]</f>
        <v>315+Emergency Medicine Practitioner</v>
      </c>
      <c r="R502" s="7" t="str">
        <f>Table1[[#This Row],[PDMS Specialty Type ID]] &amp; "+" &amp; Table1[[#This Row],[PDMS Provider Type ID]] &amp; "+" &amp;Table1[[#This Row],[TAXONOMY]]</f>
        <v>2076+114+2080P0204X</v>
      </c>
      <c r="S5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(9481, 2076, 114, N'2080P0204X', N'Pediatrics - Pediatric Emergency Medicine')</v>
      </c>
    </row>
    <row r="503" spans="1:19" ht="47.25" hidden="1" customHeight="1" x14ac:dyDescent="0.25">
      <c r="A503" s="22" t="s">
        <v>1854</v>
      </c>
      <c r="B503" s="3" t="s">
        <v>988</v>
      </c>
      <c r="C503" s="3" t="s">
        <v>325</v>
      </c>
      <c r="D503" s="3" t="s">
        <v>1280</v>
      </c>
      <c r="E503" s="3" t="s">
        <v>1281</v>
      </c>
      <c r="F503" s="3">
        <f>VLOOKUP(Table1[[#This Row],[Column2]], TAXONOMY_TYPE, 2, FALSE)</f>
        <v>9482</v>
      </c>
      <c r="G503" s="3">
        <v>32</v>
      </c>
      <c r="H503" s="3" t="s">
        <v>1444</v>
      </c>
      <c r="I503" s="3">
        <f>VLOOKUP(Table1[[#This Row],[Provider Type]] &amp; Table1[[#This Row],[Provider Type Description]], PROVIDER_TYPE, 2, FALSE)</f>
        <v>50</v>
      </c>
      <c r="J503" s="3">
        <v>315</v>
      </c>
      <c r="K503" s="3" t="s">
        <v>1101</v>
      </c>
      <c r="L503" s="3">
        <f>VLOOKUP(TRIM(Table1[[#This Row],[Provider Specialty]]) &amp; TRIM(Table1[[#This Row],[Provider Specialty Description]]), SPECIALTY_TYPE, 2, FALSE)</f>
        <v>2076</v>
      </c>
      <c r="M503" s="3" t="s">
        <v>18</v>
      </c>
      <c r="N503" s="27" t="s">
        <v>19</v>
      </c>
      <c r="O503" s="38">
        <f>VLOOKUP(TRIM(Table1[[#This Row],[Provider Specialty]]) &amp; TRIM(Table1[[#This Row],[Provider Specialty Description]]), SPECIALTY_TYPE, 2, FALSE)</f>
        <v>2076</v>
      </c>
      <c r="P503" s="3" t="str">
        <f>Table1[[#This Row],[Provider Type]] &amp; "+" &amp; Table1[[#This Row],[Provider Type Description]]</f>
        <v>32+Multi-Specialty</v>
      </c>
      <c r="Q503" s="7" t="str">
        <f>Table1[[#This Row],[Provider Specialty]] &amp; "+" &amp; Table1[[#This Row],[Provider Specialty Description]]</f>
        <v>315+Emergency Medicine Practitioner</v>
      </c>
      <c r="R503" s="7" t="str">
        <f>Table1[[#This Row],[PDMS Specialty Type ID]] &amp; "+" &amp; Table1[[#This Row],[PDMS Provider Type ID]] &amp; "+" &amp;Table1[[#This Row],[TAXONOMY]]</f>
        <v>2076+50+2080P0204X</v>
      </c>
      <c r="S5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(9482, 2076, 50, N'2080P0204X', N'Pediatrics - Pediatric Emergency Medicine')</v>
      </c>
    </row>
    <row r="504" spans="1:19" ht="47.25" hidden="1" customHeight="1" x14ac:dyDescent="0.25">
      <c r="A504" s="22" t="s">
        <v>1854</v>
      </c>
      <c r="B504" s="3" t="s">
        <v>988</v>
      </c>
      <c r="C504" s="3" t="s">
        <v>325</v>
      </c>
      <c r="D504" s="3" t="s">
        <v>1280</v>
      </c>
      <c r="E504" s="3" t="s">
        <v>1281</v>
      </c>
      <c r="F504" s="3">
        <f>VLOOKUP(Table1[[#This Row],[Column2]], TAXONOMY_TYPE, 2, FALSE)</f>
        <v>9483</v>
      </c>
      <c r="G504" s="3">
        <v>33</v>
      </c>
      <c r="H504" s="3" t="s">
        <v>1953</v>
      </c>
      <c r="I504" s="3">
        <f>VLOOKUP(Table1[[#This Row],[Provider Type]] &amp; Table1[[#This Row],[Provider Type Description]], PROVIDER_TYPE, 2, FALSE)</f>
        <v>51</v>
      </c>
      <c r="J504" s="3">
        <v>315</v>
      </c>
      <c r="K504" s="3" t="s">
        <v>1101</v>
      </c>
      <c r="L504" s="3">
        <f>VLOOKUP(TRIM(Table1[[#This Row],[Provider Specialty]]) &amp; TRIM(Table1[[#This Row],[Provider Specialty Description]]), SPECIALTY_TYPE, 2, FALSE)</f>
        <v>2076</v>
      </c>
      <c r="M504" s="3" t="s">
        <v>18</v>
      </c>
      <c r="N504" s="27" t="s">
        <v>19</v>
      </c>
      <c r="O504" s="38">
        <f>VLOOKUP(TRIM(Table1[[#This Row],[Provider Specialty]]) &amp; TRIM(Table1[[#This Row],[Provider Specialty Description]]), SPECIALTY_TYPE, 2, FALSE)</f>
        <v>2076</v>
      </c>
      <c r="P504" s="3" t="str">
        <f>Table1[[#This Row],[Provider Type]] &amp; "+" &amp; Table1[[#This Row],[Provider Type Description]]</f>
        <v>33+Single-Specialty</v>
      </c>
      <c r="Q504" s="7" t="str">
        <f>Table1[[#This Row],[Provider Specialty]] &amp; "+" &amp; Table1[[#This Row],[Provider Specialty Description]]</f>
        <v>315+Emergency Medicine Practitioner</v>
      </c>
      <c r="R504" s="7" t="str">
        <f>Table1[[#This Row],[PDMS Specialty Type ID]] &amp; "+" &amp; Table1[[#This Row],[PDMS Provider Type ID]] &amp; "+" &amp;Table1[[#This Row],[TAXONOMY]]</f>
        <v>2076+51+2080P0204X</v>
      </c>
      <c r="S5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(9483, 2076, 51, N'2080P0204X', N'Pediatrics - Pediatric Emergency Medicine')</v>
      </c>
    </row>
    <row r="505" spans="1:19" ht="47.25" hidden="1" customHeight="1" x14ac:dyDescent="0.25">
      <c r="A505" s="22" t="s">
        <v>1855</v>
      </c>
      <c r="B505" s="3" t="s">
        <v>988</v>
      </c>
      <c r="C505" s="3" t="s">
        <v>994</v>
      </c>
      <c r="D505" s="3" t="s">
        <v>994</v>
      </c>
      <c r="E505" s="3" t="s">
        <v>1114</v>
      </c>
      <c r="F505" s="3">
        <f>VLOOKUP(Table1[[#This Row],[Column2]], TAXONOMY_TYPE, 2, FALSE)</f>
        <v>9484</v>
      </c>
      <c r="G505" s="3">
        <v>31</v>
      </c>
      <c r="H505" s="3" t="s">
        <v>991</v>
      </c>
      <c r="I505" s="3">
        <f>VLOOKUP(Table1[[#This Row],[Provider Type]] &amp; Table1[[#This Row],[Provider Type Description]], PROVIDER_TYPE, 2, FALSE)</f>
        <v>114</v>
      </c>
      <c r="J505" s="3">
        <v>316</v>
      </c>
      <c r="K505" s="3" t="s">
        <v>1115</v>
      </c>
      <c r="L505" s="3">
        <f>VLOOKUP(TRIM(Table1[[#This Row],[Provider Specialty]]) &amp; TRIM(Table1[[#This Row],[Provider Specialty Description]]), SPECIALTY_TYPE, 2, FALSE)</f>
        <v>2077</v>
      </c>
      <c r="M505" s="3" t="s">
        <v>19</v>
      </c>
      <c r="N505" s="27" t="s">
        <v>19</v>
      </c>
      <c r="O505" s="38">
        <f>VLOOKUP(TRIM(Table1[[#This Row],[Provider Specialty]]) &amp; TRIM(Table1[[#This Row],[Provider Specialty Description]]), SPECIALTY_TYPE, 2, FALSE)</f>
        <v>2077</v>
      </c>
      <c r="P505" s="3" t="str">
        <f>Table1[[#This Row],[Provider Type]] &amp; "+" &amp; Table1[[#This Row],[Provider Type Description]]</f>
        <v>31+Physician</v>
      </c>
      <c r="Q505" s="7" t="str">
        <f>Table1[[#This Row],[Provider Specialty]] &amp; "+" &amp; Table1[[#This Row],[Provider Specialty Description]]</f>
        <v>316+Family Practitioner</v>
      </c>
      <c r="R505" s="7" t="str">
        <f>Table1[[#This Row],[PDMS Specialty Type ID]] &amp; "+" &amp; Table1[[#This Row],[PDMS Provider Type ID]] &amp; "+" &amp;Table1[[#This Row],[TAXONOMY]]</f>
        <v>2077+114+207Q00000X</v>
      </c>
      <c r="S5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(9484, 2077, 114, N'207Q00000X', N'Family Medicine+  - Family Medicine+ ')</v>
      </c>
    </row>
    <row r="506" spans="1:19" ht="47.25" hidden="1" customHeight="1" x14ac:dyDescent="0.25">
      <c r="A506" s="22" t="s">
        <v>1854</v>
      </c>
      <c r="B506" s="3" t="s">
        <v>988</v>
      </c>
      <c r="C506" s="3" t="s">
        <v>994</v>
      </c>
      <c r="D506" s="3" t="s">
        <v>994</v>
      </c>
      <c r="E506" s="3" t="s">
        <v>1114</v>
      </c>
      <c r="F506" s="3">
        <f>VLOOKUP(Table1[[#This Row],[Column2]], TAXONOMY_TYPE, 2, FALSE)</f>
        <v>9485</v>
      </c>
      <c r="G506" s="3">
        <v>32</v>
      </c>
      <c r="H506" s="3" t="s">
        <v>1444</v>
      </c>
      <c r="I506" s="3">
        <f>VLOOKUP(Table1[[#This Row],[Provider Type]] &amp; Table1[[#This Row],[Provider Type Description]], PROVIDER_TYPE, 2, FALSE)</f>
        <v>50</v>
      </c>
      <c r="J506" s="3">
        <v>316</v>
      </c>
      <c r="K506" s="3" t="s">
        <v>1115</v>
      </c>
      <c r="L506" s="3">
        <f>VLOOKUP(TRIM(Table1[[#This Row],[Provider Specialty]]) &amp; TRIM(Table1[[#This Row],[Provider Specialty Description]]), SPECIALTY_TYPE, 2, FALSE)</f>
        <v>2077</v>
      </c>
      <c r="M506" s="3" t="s">
        <v>18</v>
      </c>
      <c r="N506" s="27" t="s">
        <v>19</v>
      </c>
      <c r="O506" s="38">
        <f>VLOOKUP(TRIM(Table1[[#This Row],[Provider Specialty]]) &amp; TRIM(Table1[[#This Row],[Provider Specialty Description]]), SPECIALTY_TYPE, 2, FALSE)</f>
        <v>2077</v>
      </c>
      <c r="P506" s="3" t="str">
        <f>Table1[[#This Row],[Provider Type]] &amp; "+" &amp; Table1[[#This Row],[Provider Type Description]]</f>
        <v>32+Multi-Specialty</v>
      </c>
      <c r="Q506" s="7" t="str">
        <f>Table1[[#This Row],[Provider Specialty]] &amp; "+" &amp; Table1[[#This Row],[Provider Specialty Description]]</f>
        <v>316+Family Practitioner</v>
      </c>
      <c r="R506" s="7" t="str">
        <f>Table1[[#This Row],[PDMS Specialty Type ID]] &amp; "+" &amp; Table1[[#This Row],[PDMS Provider Type ID]] &amp; "+" &amp;Table1[[#This Row],[TAXONOMY]]</f>
        <v>2077+50+207Q00000X</v>
      </c>
      <c r="S5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(9485, 2077, 50, N'207Q00000X', N'Family Medicine+  - Family Medicine+ ')</v>
      </c>
    </row>
    <row r="507" spans="1:19" ht="47.25" hidden="1" customHeight="1" x14ac:dyDescent="0.25">
      <c r="A507" s="22" t="s">
        <v>1854</v>
      </c>
      <c r="B507" s="3" t="s">
        <v>988</v>
      </c>
      <c r="C507" s="3" t="s">
        <v>994</v>
      </c>
      <c r="D507" s="3" t="s">
        <v>994</v>
      </c>
      <c r="E507" s="3" t="s">
        <v>1114</v>
      </c>
      <c r="F507" s="3">
        <f>VLOOKUP(Table1[[#This Row],[Column2]], TAXONOMY_TYPE, 2, FALSE)</f>
        <v>9486</v>
      </c>
      <c r="G507" s="3">
        <v>33</v>
      </c>
      <c r="H507" s="3" t="s">
        <v>1953</v>
      </c>
      <c r="I507" s="3">
        <f>VLOOKUP(Table1[[#This Row],[Provider Type]] &amp; Table1[[#This Row],[Provider Type Description]], PROVIDER_TYPE, 2, FALSE)</f>
        <v>51</v>
      </c>
      <c r="J507" s="3">
        <v>316</v>
      </c>
      <c r="K507" s="3" t="s">
        <v>1115</v>
      </c>
      <c r="L507" s="3">
        <f>VLOOKUP(TRIM(Table1[[#This Row],[Provider Specialty]]) &amp; TRIM(Table1[[#This Row],[Provider Specialty Description]]), SPECIALTY_TYPE, 2, FALSE)</f>
        <v>2077</v>
      </c>
      <c r="M507" s="3" t="s">
        <v>18</v>
      </c>
      <c r="N507" s="27" t="s">
        <v>19</v>
      </c>
      <c r="O507" s="38">
        <f>VLOOKUP(TRIM(Table1[[#This Row],[Provider Specialty]]) &amp; TRIM(Table1[[#This Row],[Provider Specialty Description]]), SPECIALTY_TYPE, 2, FALSE)</f>
        <v>2077</v>
      </c>
      <c r="P507" s="3" t="str">
        <f>Table1[[#This Row],[Provider Type]] &amp; "+" &amp; Table1[[#This Row],[Provider Type Description]]</f>
        <v>33+Single-Specialty</v>
      </c>
      <c r="Q507" s="7" t="str">
        <f>Table1[[#This Row],[Provider Specialty]] &amp; "+" &amp; Table1[[#This Row],[Provider Specialty Description]]</f>
        <v>316+Family Practitioner</v>
      </c>
      <c r="R507" s="7" t="str">
        <f>Table1[[#This Row],[PDMS Specialty Type ID]] &amp; "+" &amp; Table1[[#This Row],[PDMS Provider Type ID]] &amp; "+" &amp;Table1[[#This Row],[TAXONOMY]]</f>
        <v>2077+51+207Q00000X</v>
      </c>
      <c r="S5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(9486, 2077, 51, N'207Q00000X', N'Family Medicine+  - Family Medicine+ ')</v>
      </c>
    </row>
    <row r="508" spans="1:19" ht="47.25" hidden="1" customHeight="1" x14ac:dyDescent="0.25">
      <c r="A508" s="22" t="s">
        <v>1855</v>
      </c>
      <c r="B508" s="3" t="s">
        <v>988</v>
      </c>
      <c r="C508" s="3" t="s">
        <v>994</v>
      </c>
      <c r="D508" s="3" t="s">
        <v>1116</v>
      </c>
      <c r="E508" s="3" t="s">
        <v>1117</v>
      </c>
      <c r="F508" s="3">
        <f>VLOOKUP(Table1[[#This Row],[Column2]], TAXONOMY_TYPE, 2, FALSE)</f>
        <v>9487</v>
      </c>
      <c r="G508" s="3">
        <v>31</v>
      </c>
      <c r="H508" s="3" t="s">
        <v>991</v>
      </c>
      <c r="I508" s="3">
        <f>VLOOKUP(Table1[[#This Row],[Provider Type]] &amp; Table1[[#This Row],[Provider Type Description]], PROVIDER_TYPE, 2, FALSE)</f>
        <v>114</v>
      </c>
      <c r="J508" s="3">
        <v>316</v>
      </c>
      <c r="K508" s="3" t="s">
        <v>1115</v>
      </c>
      <c r="L508" s="3">
        <f>VLOOKUP(TRIM(Table1[[#This Row],[Provider Specialty]]) &amp; TRIM(Table1[[#This Row],[Provider Specialty Description]]), SPECIALTY_TYPE, 2, FALSE)</f>
        <v>2077</v>
      </c>
      <c r="M508" s="3" t="s">
        <v>19</v>
      </c>
      <c r="N508" s="27" t="s">
        <v>19</v>
      </c>
      <c r="O508" s="38">
        <f>VLOOKUP(TRIM(Table1[[#This Row],[Provider Specialty]]) &amp; TRIM(Table1[[#This Row],[Provider Specialty Description]]), SPECIALTY_TYPE, 2, FALSE)</f>
        <v>2077</v>
      </c>
      <c r="P508" s="3" t="str">
        <f>Table1[[#This Row],[Provider Type]] &amp; "+" &amp; Table1[[#This Row],[Provider Type Description]]</f>
        <v>31+Physician</v>
      </c>
      <c r="Q508" s="7" t="str">
        <f>Table1[[#This Row],[Provider Specialty]] &amp; "+" &amp; Table1[[#This Row],[Provider Specialty Description]]</f>
        <v>316+Family Practitioner</v>
      </c>
      <c r="R508" s="7" t="str">
        <f>Table1[[#This Row],[PDMS Specialty Type ID]] &amp; "+" &amp; Table1[[#This Row],[PDMS Provider Type ID]] &amp; "+" &amp;Table1[[#This Row],[TAXONOMY]]</f>
        <v>2077+114+207QA0000X</v>
      </c>
      <c r="S5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(9487, 2077, 114, N'207QA0000X', N'Family Medicine+  - Adolescent Medicine')</v>
      </c>
    </row>
    <row r="509" spans="1:19" ht="47.25" hidden="1" customHeight="1" x14ac:dyDescent="0.25">
      <c r="A509" s="22" t="s">
        <v>1854</v>
      </c>
      <c r="B509" s="3" t="s">
        <v>988</v>
      </c>
      <c r="C509" s="3" t="s">
        <v>994</v>
      </c>
      <c r="D509" s="3" t="s">
        <v>1116</v>
      </c>
      <c r="E509" s="3" t="s">
        <v>1117</v>
      </c>
      <c r="F509" s="3">
        <f>VLOOKUP(Table1[[#This Row],[Column2]], TAXONOMY_TYPE, 2, FALSE)</f>
        <v>9488</v>
      </c>
      <c r="G509" s="3">
        <v>32</v>
      </c>
      <c r="H509" s="3" t="s">
        <v>1444</v>
      </c>
      <c r="I509" s="3">
        <f>VLOOKUP(Table1[[#This Row],[Provider Type]] &amp; Table1[[#This Row],[Provider Type Description]], PROVIDER_TYPE, 2, FALSE)</f>
        <v>50</v>
      </c>
      <c r="J509" s="3">
        <v>316</v>
      </c>
      <c r="K509" s="3" t="s">
        <v>1115</v>
      </c>
      <c r="L509" s="3">
        <f>VLOOKUP(TRIM(Table1[[#This Row],[Provider Specialty]]) &amp; TRIM(Table1[[#This Row],[Provider Specialty Description]]), SPECIALTY_TYPE, 2, FALSE)</f>
        <v>2077</v>
      </c>
      <c r="M509" s="3" t="s">
        <v>18</v>
      </c>
      <c r="N509" s="27" t="s">
        <v>19</v>
      </c>
      <c r="O509" s="38">
        <f>VLOOKUP(TRIM(Table1[[#This Row],[Provider Specialty]]) &amp; TRIM(Table1[[#This Row],[Provider Specialty Description]]), SPECIALTY_TYPE, 2, FALSE)</f>
        <v>2077</v>
      </c>
      <c r="P509" s="3" t="str">
        <f>Table1[[#This Row],[Provider Type]] &amp; "+" &amp; Table1[[#This Row],[Provider Type Description]]</f>
        <v>32+Multi-Specialty</v>
      </c>
      <c r="Q509" s="7" t="str">
        <f>Table1[[#This Row],[Provider Specialty]] &amp; "+" &amp; Table1[[#This Row],[Provider Specialty Description]]</f>
        <v>316+Family Practitioner</v>
      </c>
      <c r="R509" s="7" t="str">
        <f>Table1[[#This Row],[PDMS Specialty Type ID]] &amp; "+" &amp; Table1[[#This Row],[PDMS Provider Type ID]] &amp; "+" &amp;Table1[[#This Row],[TAXONOMY]]</f>
        <v>2077+50+207QA0000X</v>
      </c>
      <c r="S5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(9488, 2077, 50, N'207QA0000X', N'Family Medicine+  - Adolescent Medicine')</v>
      </c>
    </row>
    <row r="510" spans="1:19" ht="47.25" hidden="1" customHeight="1" x14ac:dyDescent="0.25">
      <c r="A510" s="22" t="s">
        <v>1854</v>
      </c>
      <c r="B510" s="3" t="s">
        <v>988</v>
      </c>
      <c r="C510" s="3" t="s">
        <v>994</v>
      </c>
      <c r="D510" s="3" t="s">
        <v>1116</v>
      </c>
      <c r="E510" s="3" t="s">
        <v>1117</v>
      </c>
      <c r="F510" s="3">
        <f>VLOOKUP(Table1[[#This Row],[Column2]], TAXONOMY_TYPE, 2, FALSE)</f>
        <v>9489</v>
      </c>
      <c r="G510" s="3">
        <v>33</v>
      </c>
      <c r="H510" s="3" t="s">
        <v>1953</v>
      </c>
      <c r="I510" s="3">
        <f>VLOOKUP(Table1[[#This Row],[Provider Type]] &amp; Table1[[#This Row],[Provider Type Description]], PROVIDER_TYPE, 2, FALSE)</f>
        <v>51</v>
      </c>
      <c r="J510" s="3">
        <v>316</v>
      </c>
      <c r="K510" s="3" t="s">
        <v>1115</v>
      </c>
      <c r="L510" s="3">
        <f>VLOOKUP(TRIM(Table1[[#This Row],[Provider Specialty]]) &amp; TRIM(Table1[[#This Row],[Provider Specialty Description]]), SPECIALTY_TYPE, 2, FALSE)</f>
        <v>2077</v>
      </c>
      <c r="M510" s="3" t="s">
        <v>18</v>
      </c>
      <c r="N510" s="27" t="s">
        <v>19</v>
      </c>
      <c r="O510" s="38">
        <f>VLOOKUP(TRIM(Table1[[#This Row],[Provider Specialty]]) &amp; TRIM(Table1[[#This Row],[Provider Specialty Description]]), SPECIALTY_TYPE, 2, FALSE)</f>
        <v>2077</v>
      </c>
      <c r="P510" s="3" t="str">
        <f>Table1[[#This Row],[Provider Type]] &amp; "+" &amp; Table1[[#This Row],[Provider Type Description]]</f>
        <v>33+Single-Specialty</v>
      </c>
      <c r="Q510" s="7" t="str">
        <f>Table1[[#This Row],[Provider Specialty]] &amp; "+" &amp; Table1[[#This Row],[Provider Specialty Description]]</f>
        <v>316+Family Practitioner</v>
      </c>
      <c r="R510" s="7" t="str">
        <f>Table1[[#This Row],[PDMS Specialty Type ID]] &amp; "+" &amp; Table1[[#This Row],[PDMS Provider Type ID]] &amp; "+" &amp;Table1[[#This Row],[TAXONOMY]]</f>
        <v>2077+51+207QA0000X</v>
      </c>
      <c r="S5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(9489, 2077, 51, N'207QA0000X', N'Family Medicine+  - Adolescent Medicine')</v>
      </c>
    </row>
    <row r="511" spans="1:19" ht="47.25" hidden="1" customHeight="1" x14ac:dyDescent="0.25">
      <c r="A511" s="22" t="s">
        <v>1855</v>
      </c>
      <c r="B511" s="3" t="s">
        <v>988</v>
      </c>
      <c r="C511" s="3" t="s">
        <v>994</v>
      </c>
      <c r="D511" s="3" t="s">
        <v>1118</v>
      </c>
      <c r="E511" s="3" t="s">
        <v>1119</v>
      </c>
      <c r="F511" s="3">
        <f>VLOOKUP(Table1[[#This Row],[Column2]], TAXONOMY_TYPE, 2, FALSE)</f>
        <v>9490</v>
      </c>
      <c r="G511" s="3">
        <v>31</v>
      </c>
      <c r="H511" s="3" t="s">
        <v>991</v>
      </c>
      <c r="I511" s="3">
        <f>VLOOKUP(Table1[[#This Row],[Provider Type]] &amp; Table1[[#This Row],[Provider Type Description]], PROVIDER_TYPE, 2, FALSE)</f>
        <v>114</v>
      </c>
      <c r="J511" s="3">
        <v>316</v>
      </c>
      <c r="K511" s="3" t="s">
        <v>1115</v>
      </c>
      <c r="L511" s="3">
        <f>VLOOKUP(TRIM(Table1[[#This Row],[Provider Specialty]]) &amp; TRIM(Table1[[#This Row],[Provider Specialty Description]]), SPECIALTY_TYPE, 2, FALSE)</f>
        <v>2077</v>
      </c>
      <c r="M511" s="3" t="s">
        <v>19</v>
      </c>
      <c r="N511" s="27" t="s">
        <v>19</v>
      </c>
      <c r="O511" s="38">
        <f>VLOOKUP(TRIM(Table1[[#This Row],[Provider Specialty]]) &amp; TRIM(Table1[[#This Row],[Provider Specialty Description]]), SPECIALTY_TYPE, 2, FALSE)</f>
        <v>2077</v>
      </c>
      <c r="P511" s="3" t="str">
        <f>Table1[[#This Row],[Provider Type]] &amp; "+" &amp; Table1[[#This Row],[Provider Type Description]]</f>
        <v>31+Physician</v>
      </c>
      <c r="Q511" s="7" t="str">
        <f>Table1[[#This Row],[Provider Specialty]] &amp; "+" &amp; Table1[[#This Row],[Provider Specialty Description]]</f>
        <v>316+Family Practitioner</v>
      </c>
      <c r="R511" s="7" t="str">
        <f>Table1[[#This Row],[PDMS Specialty Type ID]] &amp; "+" &amp; Table1[[#This Row],[PDMS Provider Type ID]] &amp; "+" &amp;Table1[[#This Row],[TAXONOMY]]</f>
        <v>2077+114+207QA0505X</v>
      </c>
      <c r="S5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(9490, 2077, 114, N'207QA0505X', N'Family Medicine+  - Adult Medicine')</v>
      </c>
    </row>
    <row r="512" spans="1:19" ht="47.25" hidden="1" customHeight="1" x14ac:dyDescent="0.25">
      <c r="A512" s="22" t="s">
        <v>1854</v>
      </c>
      <c r="B512" s="3" t="s">
        <v>988</v>
      </c>
      <c r="C512" s="3" t="s">
        <v>994</v>
      </c>
      <c r="D512" s="3" t="s">
        <v>1118</v>
      </c>
      <c r="E512" s="3" t="s">
        <v>1119</v>
      </c>
      <c r="F512" s="3">
        <f>VLOOKUP(Table1[[#This Row],[Column2]], TAXONOMY_TYPE, 2, FALSE)</f>
        <v>9491</v>
      </c>
      <c r="G512" s="3">
        <v>32</v>
      </c>
      <c r="H512" s="3" t="s">
        <v>1444</v>
      </c>
      <c r="I512" s="3">
        <f>VLOOKUP(Table1[[#This Row],[Provider Type]] &amp; Table1[[#This Row],[Provider Type Description]], PROVIDER_TYPE, 2, FALSE)</f>
        <v>50</v>
      </c>
      <c r="J512" s="3">
        <v>316</v>
      </c>
      <c r="K512" s="3" t="s">
        <v>1115</v>
      </c>
      <c r="L512" s="3">
        <f>VLOOKUP(TRIM(Table1[[#This Row],[Provider Specialty]]) &amp; TRIM(Table1[[#This Row],[Provider Specialty Description]]), SPECIALTY_TYPE, 2, FALSE)</f>
        <v>2077</v>
      </c>
      <c r="M512" s="3" t="s">
        <v>18</v>
      </c>
      <c r="N512" s="27" t="s">
        <v>19</v>
      </c>
      <c r="O512" s="38">
        <f>VLOOKUP(TRIM(Table1[[#This Row],[Provider Specialty]]) &amp; TRIM(Table1[[#This Row],[Provider Specialty Description]]), SPECIALTY_TYPE, 2, FALSE)</f>
        <v>2077</v>
      </c>
      <c r="P512" s="3" t="str">
        <f>Table1[[#This Row],[Provider Type]] &amp; "+" &amp; Table1[[#This Row],[Provider Type Description]]</f>
        <v>32+Multi-Specialty</v>
      </c>
      <c r="Q512" s="7" t="str">
        <f>Table1[[#This Row],[Provider Specialty]] &amp; "+" &amp; Table1[[#This Row],[Provider Specialty Description]]</f>
        <v>316+Family Practitioner</v>
      </c>
      <c r="R512" s="7" t="str">
        <f>Table1[[#This Row],[PDMS Specialty Type ID]] &amp; "+" &amp; Table1[[#This Row],[PDMS Provider Type ID]] &amp; "+" &amp;Table1[[#This Row],[TAXONOMY]]</f>
        <v>2077+50+207QA0505X</v>
      </c>
      <c r="S5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(9491, 2077, 50, N'207QA0505X', N'Family Medicine+  - Adult Medicine')</v>
      </c>
    </row>
    <row r="513" spans="1:19" ht="47.25" hidden="1" customHeight="1" x14ac:dyDescent="0.25">
      <c r="A513" s="22" t="s">
        <v>1854</v>
      </c>
      <c r="B513" s="3" t="s">
        <v>988</v>
      </c>
      <c r="C513" s="3" t="s">
        <v>994</v>
      </c>
      <c r="D513" s="3" t="s">
        <v>1118</v>
      </c>
      <c r="E513" s="3" t="s">
        <v>1119</v>
      </c>
      <c r="F513" s="3">
        <f>VLOOKUP(Table1[[#This Row],[Column2]], TAXONOMY_TYPE, 2, FALSE)</f>
        <v>9492</v>
      </c>
      <c r="G513" s="3">
        <v>33</v>
      </c>
      <c r="H513" s="3" t="s">
        <v>1953</v>
      </c>
      <c r="I513" s="3">
        <f>VLOOKUP(Table1[[#This Row],[Provider Type]] &amp; Table1[[#This Row],[Provider Type Description]], PROVIDER_TYPE, 2, FALSE)</f>
        <v>51</v>
      </c>
      <c r="J513" s="3">
        <v>316</v>
      </c>
      <c r="K513" s="3" t="s">
        <v>1115</v>
      </c>
      <c r="L513" s="3">
        <f>VLOOKUP(TRIM(Table1[[#This Row],[Provider Specialty]]) &amp; TRIM(Table1[[#This Row],[Provider Specialty Description]]), SPECIALTY_TYPE, 2, FALSE)</f>
        <v>2077</v>
      </c>
      <c r="M513" s="3" t="s">
        <v>18</v>
      </c>
      <c r="N513" s="27" t="s">
        <v>19</v>
      </c>
      <c r="O513" s="38">
        <f>VLOOKUP(TRIM(Table1[[#This Row],[Provider Specialty]]) &amp; TRIM(Table1[[#This Row],[Provider Specialty Description]]), SPECIALTY_TYPE, 2, FALSE)</f>
        <v>2077</v>
      </c>
      <c r="P513" s="3" t="str">
        <f>Table1[[#This Row],[Provider Type]] &amp; "+" &amp; Table1[[#This Row],[Provider Type Description]]</f>
        <v>33+Single-Specialty</v>
      </c>
      <c r="Q513" s="7" t="str">
        <f>Table1[[#This Row],[Provider Specialty]] &amp; "+" &amp; Table1[[#This Row],[Provider Specialty Description]]</f>
        <v>316+Family Practitioner</v>
      </c>
      <c r="R513" s="7" t="str">
        <f>Table1[[#This Row],[PDMS Specialty Type ID]] &amp; "+" &amp; Table1[[#This Row],[PDMS Provider Type ID]] &amp; "+" &amp;Table1[[#This Row],[TAXONOMY]]</f>
        <v>2077+51+207QA0505X</v>
      </c>
      <c r="S5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(9492, 2077, 51, N'207QA0505X', N'Family Medicine+  - Adult Medicine')</v>
      </c>
    </row>
    <row r="514" spans="1:19" ht="47.25" hidden="1" customHeight="1" x14ac:dyDescent="0.25">
      <c r="A514" s="22" t="s">
        <v>1855</v>
      </c>
      <c r="B514" s="3" t="s">
        <v>988</v>
      </c>
      <c r="C514" s="3" t="s">
        <v>994</v>
      </c>
      <c r="D514" s="3" t="s">
        <v>1120</v>
      </c>
      <c r="E514" s="3" t="s">
        <v>1121</v>
      </c>
      <c r="F514" s="3">
        <f>VLOOKUP(Table1[[#This Row],[Column2]], TAXONOMY_TYPE, 2, FALSE)</f>
        <v>9493</v>
      </c>
      <c r="G514" s="3">
        <v>31</v>
      </c>
      <c r="H514" s="3" t="s">
        <v>991</v>
      </c>
      <c r="I514" s="3">
        <f>VLOOKUP(Table1[[#This Row],[Provider Type]] &amp; Table1[[#This Row],[Provider Type Description]], PROVIDER_TYPE, 2, FALSE)</f>
        <v>114</v>
      </c>
      <c r="J514" s="3">
        <v>316</v>
      </c>
      <c r="K514" s="3" t="s">
        <v>1115</v>
      </c>
      <c r="L514" s="3">
        <f>VLOOKUP(TRIM(Table1[[#This Row],[Provider Specialty]]) &amp; TRIM(Table1[[#This Row],[Provider Specialty Description]]), SPECIALTY_TYPE, 2, FALSE)</f>
        <v>2077</v>
      </c>
      <c r="M514" s="3" t="s">
        <v>19</v>
      </c>
      <c r="N514" s="27" t="s">
        <v>18</v>
      </c>
      <c r="O514" s="38">
        <f>VLOOKUP(TRIM(Table1[[#This Row],[Provider Specialty]]) &amp; TRIM(Table1[[#This Row],[Provider Specialty Description]]), SPECIALTY_TYPE, 2, FALSE)</f>
        <v>2077</v>
      </c>
      <c r="P514" s="3" t="str">
        <f>Table1[[#This Row],[Provider Type]] &amp; "+" &amp; Table1[[#This Row],[Provider Type Description]]</f>
        <v>31+Physician</v>
      </c>
      <c r="Q514" s="7" t="str">
        <f>Table1[[#This Row],[Provider Specialty]] &amp; "+" &amp; Table1[[#This Row],[Provider Specialty Description]]</f>
        <v>316+Family Practitioner</v>
      </c>
      <c r="R514" s="7" t="str">
        <f>Table1[[#This Row],[PDMS Specialty Type ID]] &amp; "+" &amp; Table1[[#This Row],[PDMS Provider Type ID]] &amp; "+" &amp;Table1[[#This Row],[TAXONOMY]]</f>
        <v>2077+114+207QB0002X</v>
      </c>
      <c r="S5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(9493, 2077, 114, N'207QB0002X', N'Family Medicine+  - Bariatric Medicine****')</v>
      </c>
    </row>
    <row r="515" spans="1:19" ht="47.25" hidden="1" customHeight="1" x14ac:dyDescent="0.25">
      <c r="A515" s="22" t="s">
        <v>1854</v>
      </c>
      <c r="B515" s="3" t="s">
        <v>988</v>
      </c>
      <c r="C515" s="3" t="s">
        <v>994</v>
      </c>
      <c r="D515" s="3" t="s">
        <v>1120</v>
      </c>
      <c r="E515" s="3" t="s">
        <v>1121</v>
      </c>
      <c r="F515" s="3">
        <f>VLOOKUP(Table1[[#This Row],[Column2]], TAXONOMY_TYPE, 2, FALSE)</f>
        <v>9494</v>
      </c>
      <c r="G515" s="3">
        <v>32</v>
      </c>
      <c r="H515" s="3" t="s">
        <v>1444</v>
      </c>
      <c r="I515" s="3">
        <f>VLOOKUP(Table1[[#This Row],[Provider Type]] &amp; Table1[[#This Row],[Provider Type Description]], PROVIDER_TYPE, 2, FALSE)</f>
        <v>50</v>
      </c>
      <c r="J515" s="3">
        <v>316</v>
      </c>
      <c r="K515" s="3" t="s">
        <v>1115</v>
      </c>
      <c r="L515" s="3">
        <f>VLOOKUP(TRIM(Table1[[#This Row],[Provider Specialty]]) &amp; TRIM(Table1[[#This Row],[Provider Specialty Description]]), SPECIALTY_TYPE, 2, FALSE)</f>
        <v>2077</v>
      </c>
      <c r="M515" s="3" t="s">
        <v>18</v>
      </c>
      <c r="N515" s="27" t="s">
        <v>19</v>
      </c>
      <c r="O515" s="38">
        <f>VLOOKUP(TRIM(Table1[[#This Row],[Provider Specialty]]) &amp; TRIM(Table1[[#This Row],[Provider Specialty Description]]), SPECIALTY_TYPE, 2, FALSE)</f>
        <v>2077</v>
      </c>
      <c r="P515" s="3" t="str">
        <f>Table1[[#This Row],[Provider Type]] &amp; "+" &amp; Table1[[#This Row],[Provider Type Description]]</f>
        <v>32+Multi-Specialty</v>
      </c>
      <c r="Q515" s="7" t="str">
        <f>Table1[[#This Row],[Provider Specialty]] &amp; "+" &amp; Table1[[#This Row],[Provider Specialty Description]]</f>
        <v>316+Family Practitioner</v>
      </c>
      <c r="R515" s="7" t="str">
        <f>Table1[[#This Row],[PDMS Specialty Type ID]] &amp; "+" &amp; Table1[[#This Row],[PDMS Provider Type ID]] &amp; "+" &amp;Table1[[#This Row],[TAXONOMY]]</f>
        <v>2077+50+207QB0002X</v>
      </c>
      <c r="S5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(9494, 2077, 50, N'207QB0002X', N'Family Medicine+  - Bariatric Medicine****')</v>
      </c>
    </row>
    <row r="516" spans="1:19" ht="47.25" hidden="1" customHeight="1" x14ac:dyDescent="0.25">
      <c r="A516" s="22" t="s">
        <v>1854</v>
      </c>
      <c r="B516" s="3" t="s">
        <v>988</v>
      </c>
      <c r="C516" s="3" t="s">
        <v>994</v>
      </c>
      <c r="D516" s="3" t="s">
        <v>1120</v>
      </c>
      <c r="E516" s="3" t="s">
        <v>1121</v>
      </c>
      <c r="F516" s="3">
        <f>VLOOKUP(Table1[[#This Row],[Column2]], TAXONOMY_TYPE, 2, FALSE)</f>
        <v>9495</v>
      </c>
      <c r="G516" s="3">
        <v>33</v>
      </c>
      <c r="H516" s="3" t="s">
        <v>1953</v>
      </c>
      <c r="I516" s="3">
        <f>VLOOKUP(Table1[[#This Row],[Provider Type]] &amp; Table1[[#This Row],[Provider Type Description]], PROVIDER_TYPE, 2, FALSE)</f>
        <v>51</v>
      </c>
      <c r="J516" s="3">
        <v>316</v>
      </c>
      <c r="K516" s="3" t="s">
        <v>1115</v>
      </c>
      <c r="L516" s="3">
        <f>VLOOKUP(TRIM(Table1[[#This Row],[Provider Specialty]]) &amp; TRIM(Table1[[#This Row],[Provider Specialty Description]]), SPECIALTY_TYPE, 2, FALSE)</f>
        <v>2077</v>
      </c>
      <c r="M516" s="3" t="s">
        <v>18</v>
      </c>
      <c r="N516" s="27" t="s">
        <v>19</v>
      </c>
      <c r="O516" s="38">
        <f>VLOOKUP(TRIM(Table1[[#This Row],[Provider Specialty]]) &amp; TRIM(Table1[[#This Row],[Provider Specialty Description]]), SPECIALTY_TYPE, 2, FALSE)</f>
        <v>2077</v>
      </c>
      <c r="P516" s="3" t="str">
        <f>Table1[[#This Row],[Provider Type]] &amp; "+" &amp; Table1[[#This Row],[Provider Type Description]]</f>
        <v>33+Single-Specialty</v>
      </c>
      <c r="Q516" s="7" t="str">
        <f>Table1[[#This Row],[Provider Specialty]] &amp; "+" &amp; Table1[[#This Row],[Provider Specialty Description]]</f>
        <v>316+Family Practitioner</v>
      </c>
      <c r="R516" s="7" t="str">
        <f>Table1[[#This Row],[PDMS Specialty Type ID]] &amp; "+" &amp; Table1[[#This Row],[PDMS Provider Type ID]] &amp; "+" &amp;Table1[[#This Row],[TAXONOMY]]</f>
        <v>2077+51+207QB0002X</v>
      </c>
      <c r="S5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(9495, 2077, 51, N'207QB0002X', N'Family Medicine+  - Bariatric Medicine****')</v>
      </c>
    </row>
    <row r="517" spans="1:19" ht="47.25" hidden="1" customHeight="1" x14ac:dyDescent="0.25">
      <c r="A517" s="22" t="s">
        <v>1855</v>
      </c>
      <c r="B517" s="3" t="s">
        <v>988</v>
      </c>
      <c r="C517" s="3" t="s">
        <v>994</v>
      </c>
      <c r="D517" s="3" t="s">
        <v>1080</v>
      </c>
      <c r="E517" s="3" t="s">
        <v>1122</v>
      </c>
      <c r="F517" s="3">
        <f>VLOOKUP(Table1[[#This Row],[Column2]], TAXONOMY_TYPE, 2, FALSE)</f>
        <v>9496</v>
      </c>
      <c r="G517" s="3">
        <v>31</v>
      </c>
      <c r="H517" s="3" t="s">
        <v>991</v>
      </c>
      <c r="I517" s="3">
        <f>VLOOKUP(Table1[[#This Row],[Provider Type]] &amp; Table1[[#This Row],[Provider Type Description]], PROVIDER_TYPE, 2, FALSE)</f>
        <v>114</v>
      </c>
      <c r="J517" s="3">
        <v>316</v>
      </c>
      <c r="K517" s="3" t="s">
        <v>1115</v>
      </c>
      <c r="L517" s="3">
        <f>VLOOKUP(TRIM(Table1[[#This Row],[Provider Specialty]]) &amp; TRIM(Table1[[#This Row],[Provider Specialty Description]]), SPECIALTY_TYPE, 2, FALSE)</f>
        <v>2077</v>
      </c>
      <c r="M517" s="3" t="s">
        <v>19</v>
      </c>
      <c r="N517" s="27" t="s">
        <v>19</v>
      </c>
      <c r="O517" s="38">
        <f>VLOOKUP(TRIM(Table1[[#This Row],[Provider Specialty]]) &amp; TRIM(Table1[[#This Row],[Provider Specialty Description]]), SPECIALTY_TYPE, 2, FALSE)</f>
        <v>2077</v>
      </c>
      <c r="P517" s="3" t="str">
        <f>Table1[[#This Row],[Provider Type]] &amp; "+" &amp; Table1[[#This Row],[Provider Type Description]]</f>
        <v>31+Physician</v>
      </c>
      <c r="Q517" s="7" t="str">
        <f>Table1[[#This Row],[Provider Specialty]] &amp; "+" &amp; Table1[[#This Row],[Provider Specialty Description]]</f>
        <v>316+Family Practitioner</v>
      </c>
      <c r="R517" s="7" t="str">
        <f>Table1[[#This Row],[PDMS Specialty Type ID]] &amp; "+" &amp; Table1[[#This Row],[PDMS Provider Type ID]] &amp; "+" &amp;Table1[[#This Row],[TAXONOMY]]</f>
        <v>2077+114+207QH0002X</v>
      </c>
      <c r="S5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(9496, 2077, 114, N'207QH0002X', N'Family Medicine+  - Hospice and Palliative Medicine**')</v>
      </c>
    </row>
    <row r="518" spans="1:19" ht="47.25" hidden="1" customHeight="1" x14ac:dyDescent="0.25">
      <c r="A518" s="22" t="s">
        <v>1854</v>
      </c>
      <c r="B518" s="3" t="s">
        <v>988</v>
      </c>
      <c r="C518" s="3" t="s">
        <v>994</v>
      </c>
      <c r="D518" s="3" t="s">
        <v>1080</v>
      </c>
      <c r="E518" s="3" t="s">
        <v>1122</v>
      </c>
      <c r="F518" s="3">
        <f>VLOOKUP(Table1[[#This Row],[Column2]], TAXONOMY_TYPE, 2, FALSE)</f>
        <v>9497</v>
      </c>
      <c r="G518" s="3">
        <v>32</v>
      </c>
      <c r="H518" s="3" t="s">
        <v>1444</v>
      </c>
      <c r="I518" s="3">
        <f>VLOOKUP(Table1[[#This Row],[Provider Type]] &amp; Table1[[#This Row],[Provider Type Description]], PROVIDER_TYPE, 2, FALSE)</f>
        <v>50</v>
      </c>
      <c r="J518" s="3">
        <v>316</v>
      </c>
      <c r="K518" s="3" t="s">
        <v>1115</v>
      </c>
      <c r="L518" s="3">
        <f>VLOOKUP(TRIM(Table1[[#This Row],[Provider Specialty]]) &amp; TRIM(Table1[[#This Row],[Provider Specialty Description]]), SPECIALTY_TYPE, 2, FALSE)</f>
        <v>2077</v>
      </c>
      <c r="M518" s="3" t="s">
        <v>18</v>
      </c>
      <c r="N518" s="27" t="s">
        <v>19</v>
      </c>
      <c r="O518" s="38">
        <f>VLOOKUP(TRIM(Table1[[#This Row],[Provider Specialty]]) &amp; TRIM(Table1[[#This Row],[Provider Specialty Description]]), SPECIALTY_TYPE, 2, FALSE)</f>
        <v>2077</v>
      </c>
      <c r="P518" s="3" t="str">
        <f>Table1[[#This Row],[Provider Type]] &amp; "+" &amp; Table1[[#This Row],[Provider Type Description]]</f>
        <v>32+Multi-Specialty</v>
      </c>
      <c r="Q518" s="7" t="str">
        <f>Table1[[#This Row],[Provider Specialty]] &amp; "+" &amp; Table1[[#This Row],[Provider Specialty Description]]</f>
        <v>316+Family Practitioner</v>
      </c>
      <c r="R518" s="7" t="str">
        <f>Table1[[#This Row],[PDMS Specialty Type ID]] &amp; "+" &amp; Table1[[#This Row],[PDMS Provider Type ID]] &amp; "+" &amp;Table1[[#This Row],[TAXONOMY]]</f>
        <v>2077+50+207QH0002X</v>
      </c>
      <c r="S5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(9497, 2077, 50, N'207QH0002X', N'Family Medicine+  - Hospice and Palliative Medicine**')</v>
      </c>
    </row>
    <row r="519" spans="1:19" ht="47.25" hidden="1" customHeight="1" x14ac:dyDescent="0.25">
      <c r="A519" s="22" t="s">
        <v>1854</v>
      </c>
      <c r="B519" s="3" t="s">
        <v>988</v>
      </c>
      <c r="C519" s="3" t="s">
        <v>994</v>
      </c>
      <c r="D519" s="3" t="s">
        <v>1080</v>
      </c>
      <c r="E519" s="3" t="s">
        <v>1122</v>
      </c>
      <c r="F519" s="3">
        <f>VLOOKUP(Table1[[#This Row],[Column2]], TAXONOMY_TYPE, 2, FALSE)</f>
        <v>9498</v>
      </c>
      <c r="G519" s="3">
        <v>33</v>
      </c>
      <c r="H519" s="3" t="s">
        <v>1953</v>
      </c>
      <c r="I519" s="3">
        <f>VLOOKUP(Table1[[#This Row],[Provider Type]] &amp; Table1[[#This Row],[Provider Type Description]], PROVIDER_TYPE, 2, FALSE)</f>
        <v>51</v>
      </c>
      <c r="J519" s="3">
        <v>316</v>
      </c>
      <c r="K519" s="3" t="s">
        <v>1115</v>
      </c>
      <c r="L519" s="3">
        <f>VLOOKUP(TRIM(Table1[[#This Row],[Provider Specialty]]) &amp; TRIM(Table1[[#This Row],[Provider Specialty Description]]), SPECIALTY_TYPE, 2, FALSE)</f>
        <v>2077</v>
      </c>
      <c r="M519" s="3" t="s">
        <v>18</v>
      </c>
      <c r="N519" s="27" t="s">
        <v>19</v>
      </c>
      <c r="O519" s="38">
        <f>VLOOKUP(TRIM(Table1[[#This Row],[Provider Specialty]]) &amp; TRIM(Table1[[#This Row],[Provider Specialty Description]]), SPECIALTY_TYPE, 2, FALSE)</f>
        <v>2077</v>
      </c>
      <c r="P519" s="3" t="str">
        <f>Table1[[#This Row],[Provider Type]] &amp; "+" &amp; Table1[[#This Row],[Provider Type Description]]</f>
        <v>33+Single-Specialty</v>
      </c>
      <c r="Q519" s="7" t="str">
        <f>Table1[[#This Row],[Provider Specialty]] &amp; "+" &amp; Table1[[#This Row],[Provider Specialty Description]]</f>
        <v>316+Family Practitioner</v>
      </c>
      <c r="R519" s="7" t="str">
        <f>Table1[[#This Row],[PDMS Specialty Type ID]] &amp; "+" &amp; Table1[[#This Row],[PDMS Provider Type ID]] &amp; "+" &amp;Table1[[#This Row],[TAXONOMY]]</f>
        <v>2077+51+207QH0002X</v>
      </c>
      <c r="S5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(9498, 2077, 51, N'207QH0002X', N'Family Medicine+  - Hospice and Palliative Medicine**')</v>
      </c>
    </row>
    <row r="520" spans="1:19" ht="47.25" hidden="1" customHeight="1" x14ac:dyDescent="0.25">
      <c r="A520" s="22" t="s">
        <v>1855</v>
      </c>
      <c r="B520" s="3" t="s">
        <v>988</v>
      </c>
      <c r="C520" s="3" t="s">
        <v>994</v>
      </c>
      <c r="D520" s="3" t="s">
        <v>1123</v>
      </c>
      <c r="E520" s="3" t="s">
        <v>1124</v>
      </c>
      <c r="F520" s="3">
        <f>VLOOKUP(Table1[[#This Row],[Column2]], TAXONOMY_TYPE, 2, FALSE)</f>
        <v>9499</v>
      </c>
      <c r="G520" s="3">
        <v>31</v>
      </c>
      <c r="H520" s="3" t="s">
        <v>991</v>
      </c>
      <c r="I520" s="3">
        <f>VLOOKUP(Table1[[#This Row],[Provider Type]] &amp; Table1[[#This Row],[Provider Type Description]], PROVIDER_TYPE, 2, FALSE)</f>
        <v>114</v>
      </c>
      <c r="J520" s="3">
        <v>316</v>
      </c>
      <c r="K520" s="3" t="s">
        <v>1115</v>
      </c>
      <c r="L520" s="3">
        <f>VLOOKUP(TRIM(Table1[[#This Row],[Provider Specialty]]) &amp; TRIM(Table1[[#This Row],[Provider Specialty Description]]), SPECIALTY_TYPE, 2, FALSE)</f>
        <v>2077</v>
      </c>
      <c r="M520" s="3" t="s">
        <v>19</v>
      </c>
      <c r="N520" s="27" t="s">
        <v>19</v>
      </c>
      <c r="O520" s="38">
        <f>VLOOKUP(TRIM(Table1[[#This Row],[Provider Specialty]]) &amp; TRIM(Table1[[#This Row],[Provider Specialty Description]]), SPECIALTY_TYPE, 2, FALSE)</f>
        <v>2077</v>
      </c>
      <c r="P520" s="3" t="str">
        <f>Table1[[#This Row],[Provider Type]] &amp; "+" &amp; Table1[[#This Row],[Provider Type Description]]</f>
        <v>31+Physician</v>
      </c>
      <c r="Q520" s="7" t="str">
        <f>Table1[[#This Row],[Provider Specialty]] &amp; "+" &amp; Table1[[#This Row],[Provider Specialty Description]]</f>
        <v>316+Family Practitioner</v>
      </c>
      <c r="R520" s="7" t="str">
        <f>Table1[[#This Row],[PDMS Specialty Type ID]] &amp; "+" &amp; Table1[[#This Row],[PDMS Provider Type ID]] &amp; "+" &amp;Table1[[#This Row],[TAXONOMY]]</f>
        <v>2077+114+207QS0010X</v>
      </c>
      <c r="S5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(9499, 2077, 114, N'207QS0010X', N'Family Medicine+  - Sports Medicine ')</v>
      </c>
    </row>
    <row r="521" spans="1:19" ht="47.25" hidden="1" customHeight="1" x14ac:dyDescent="0.25">
      <c r="A521" s="22" t="s">
        <v>1854</v>
      </c>
      <c r="B521" s="3" t="s">
        <v>988</v>
      </c>
      <c r="C521" s="3" t="s">
        <v>994</v>
      </c>
      <c r="D521" s="3" t="s">
        <v>1123</v>
      </c>
      <c r="E521" s="3" t="s">
        <v>1124</v>
      </c>
      <c r="F521" s="3">
        <f>VLOOKUP(Table1[[#This Row],[Column2]], TAXONOMY_TYPE, 2, FALSE)</f>
        <v>9500</v>
      </c>
      <c r="G521" s="3">
        <v>32</v>
      </c>
      <c r="H521" s="3" t="s">
        <v>1444</v>
      </c>
      <c r="I521" s="3">
        <f>VLOOKUP(Table1[[#This Row],[Provider Type]] &amp; Table1[[#This Row],[Provider Type Description]], PROVIDER_TYPE, 2, FALSE)</f>
        <v>50</v>
      </c>
      <c r="J521" s="3">
        <v>316</v>
      </c>
      <c r="K521" s="3" t="s">
        <v>1115</v>
      </c>
      <c r="L521" s="3">
        <f>VLOOKUP(TRIM(Table1[[#This Row],[Provider Specialty]]) &amp; TRIM(Table1[[#This Row],[Provider Specialty Description]]), SPECIALTY_TYPE, 2, FALSE)</f>
        <v>2077</v>
      </c>
      <c r="M521" s="3" t="s">
        <v>18</v>
      </c>
      <c r="N521" s="27" t="s">
        <v>19</v>
      </c>
      <c r="O521" s="38">
        <f>VLOOKUP(TRIM(Table1[[#This Row],[Provider Specialty]]) &amp; TRIM(Table1[[#This Row],[Provider Specialty Description]]), SPECIALTY_TYPE, 2, FALSE)</f>
        <v>2077</v>
      </c>
      <c r="P521" s="3" t="str">
        <f>Table1[[#This Row],[Provider Type]] &amp; "+" &amp; Table1[[#This Row],[Provider Type Description]]</f>
        <v>32+Multi-Specialty</v>
      </c>
      <c r="Q521" s="7" t="str">
        <f>Table1[[#This Row],[Provider Specialty]] &amp; "+" &amp; Table1[[#This Row],[Provider Specialty Description]]</f>
        <v>316+Family Practitioner</v>
      </c>
      <c r="R521" s="7" t="str">
        <f>Table1[[#This Row],[PDMS Specialty Type ID]] &amp; "+" &amp; Table1[[#This Row],[PDMS Provider Type ID]] &amp; "+" &amp;Table1[[#This Row],[TAXONOMY]]</f>
        <v>2077+50+207QS0010X</v>
      </c>
      <c r="S5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(9500, 2077, 50, N'207QS0010X', N'Family Medicine+  - Sports Medicine ')</v>
      </c>
    </row>
    <row r="522" spans="1:19" ht="47.25" hidden="1" customHeight="1" x14ac:dyDescent="0.25">
      <c r="A522" s="22" t="s">
        <v>1854</v>
      </c>
      <c r="B522" s="3" t="s">
        <v>988</v>
      </c>
      <c r="C522" s="3" t="s">
        <v>994</v>
      </c>
      <c r="D522" s="3" t="s">
        <v>1123</v>
      </c>
      <c r="E522" s="3" t="s">
        <v>1124</v>
      </c>
      <c r="F522" s="3">
        <f>VLOOKUP(Table1[[#This Row],[Column2]], TAXONOMY_TYPE, 2, FALSE)</f>
        <v>9501</v>
      </c>
      <c r="G522" s="3">
        <v>33</v>
      </c>
      <c r="H522" s="3" t="s">
        <v>1953</v>
      </c>
      <c r="I522" s="3">
        <f>VLOOKUP(Table1[[#This Row],[Provider Type]] &amp; Table1[[#This Row],[Provider Type Description]], PROVIDER_TYPE, 2, FALSE)</f>
        <v>51</v>
      </c>
      <c r="J522" s="3">
        <v>316</v>
      </c>
      <c r="K522" s="3" t="s">
        <v>1115</v>
      </c>
      <c r="L522" s="3">
        <f>VLOOKUP(TRIM(Table1[[#This Row],[Provider Specialty]]) &amp; TRIM(Table1[[#This Row],[Provider Specialty Description]]), SPECIALTY_TYPE, 2, FALSE)</f>
        <v>2077</v>
      </c>
      <c r="M522" s="3" t="s">
        <v>18</v>
      </c>
      <c r="N522" s="27" t="s">
        <v>19</v>
      </c>
      <c r="O522" s="38">
        <f>VLOOKUP(TRIM(Table1[[#This Row],[Provider Specialty]]) &amp; TRIM(Table1[[#This Row],[Provider Specialty Description]]), SPECIALTY_TYPE, 2, FALSE)</f>
        <v>2077</v>
      </c>
      <c r="P522" s="3" t="str">
        <f>Table1[[#This Row],[Provider Type]] &amp; "+" &amp; Table1[[#This Row],[Provider Type Description]]</f>
        <v>33+Single-Specialty</v>
      </c>
      <c r="Q522" s="7" t="str">
        <f>Table1[[#This Row],[Provider Specialty]] &amp; "+" &amp; Table1[[#This Row],[Provider Specialty Description]]</f>
        <v>316+Family Practitioner</v>
      </c>
      <c r="R522" s="7" t="str">
        <f>Table1[[#This Row],[PDMS Specialty Type ID]] &amp; "+" &amp; Table1[[#This Row],[PDMS Provider Type ID]] &amp; "+" &amp;Table1[[#This Row],[TAXONOMY]]</f>
        <v>2077+51+207QS0010X</v>
      </c>
      <c r="S5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(9501, 2077, 51, N'207QS0010X', N'Family Medicine+  - Sports Medicine ')</v>
      </c>
    </row>
    <row r="523" spans="1:19" ht="47.25" hidden="1" customHeight="1" x14ac:dyDescent="0.25">
      <c r="A523" s="22" t="s">
        <v>1855</v>
      </c>
      <c r="B523" s="3" t="s">
        <v>1425</v>
      </c>
      <c r="C523" s="3" t="s">
        <v>1426</v>
      </c>
      <c r="D523" s="3" t="s">
        <v>1427</v>
      </c>
      <c r="E523" s="3" t="s">
        <v>1428</v>
      </c>
      <c r="F523" s="3">
        <f>VLOOKUP(Table1[[#This Row],[Column2]], TAXONOMY_TYPE, 2, FALSE)</f>
        <v>9502</v>
      </c>
      <c r="G523" s="3">
        <v>31</v>
      </c>
      <c r="H523" s="3" t="s">
        <v>991</v>
      </c>
      <c r="I523" s="3">
        <f>VLOOKUP(Table1[[#This Row],[Provider Type]] &amp; Table1[[#This Row],[Provider Type Description]], PROVIDER_TYPE, 2, FALSE)</f>
        <v>114</v>
      </c>
      <c r="J523" s="3">
        <v>316</v>
      </c>
      <c r="K523" s="3" t="s">
        <v>1115</v>
      </c>
      <c r="L523" s="3">
        <f>VLOOKUP(TRIM(Table1[[#This Row],[Provider Specialty]]) &amp; TRIM(Table1[[#This Row],[Provider Specialty Description]]), SPECIALTY_TYPE, 2, FALSE)</f>
        <v>2077</v>
      </c>
      <c r="M523" s="3" t="s">
        <v>19</v>
      </c>
      <c r="N523" s="27" t="s">
        <v>19</v>
      </c>
      <c r="O523" s="38">
        <f>VLOOKUP(TRIM(Table1[[#This Row],[Provider Specialty]]) &amp; TRIM(Table1[[#This Row],[Provider Specialty Description]]), SPECIALTY_TYPE, 2, FALSE)</f>
        <v>2077</v>
      </c>
      <c r="P523" s="3" t="str">
        <f>Table1[[#This Row],[Provider Type]] &amp; "+" &amp; Table1[[#This Row],[Provider Type Description]]</f>
        <v>31+Physician</v>
      </c>
      <c r="Q523" s="7" t="str">
        <f>Table1[[#This Row],[Provider Specialty]] &amp; "+" &amp; Table1[[#This Row],[Provider Specialty Description]]</f>
        <v>316+Family Practitioner</v>
      </c>
      <c r="R523" s="7" t="str">
        <f>Table1[[#This Row],[PDMS Specialty Type ID]] &amp; "+" &amp; Table1[[#This Row],[PDMS Provider Type ID]] &amp; "+" &amp;Table1[[#This Row],[TAXONOMY]]</f>
        <v>2077+114+207QS1201X</v>
      </c>
      <c r="S5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(9502, 2077, 114, N'207QS1201X', N'Family Medicine - Sleep Medicine Specialization')</v>
      </c>
    </row>
    <row r="524" spans="1:19" ht="47.25" hidden="1" customHeight="1" x14ac:dyDescent="0.25">
      <c r="A524" s="22" t="s">
        <v>1854</v>
      </c>
      <c r="B524" s="3" t="s">
        <v>1425</v>
      </c>
      <c r="C524" s="3" t="s">
        <v>1426</v>
      </c>
      <c r="D524" s="3" t="s">
        <v>1427</v>
      </c>
      <c r="E524" s="3" t="s">
        <v>1428</v>
      </c>
      <c r="F524" s="3">
        <f>VLOOKUP(Table1[[#This Row],[Column2]], TAXONOMY_TYPE, 2, FALSE)</f>
        <v>9503</v>
      </c>
      <c r="G524" s="3">
        <v>32</v>
      </c>
      <c r="H524" s="3" t="s">
        <v>1444</v>
      </c>
      <c r="I524" s="3">
        <f>VLOOKUP(Table1[[#This Row],[Provider Type]] &amp; Table1[[#This Row],[Provider Type Description]], PROVIDER_TYPE, 2, FALSE)</f>
        <v>50</v>
      </c>
      <c r="J524" s="3">
        <v>316</v>
      </c>
      <c r="K524" s="3" t="s">
        <v>1115</v>
      </c>
      <c r="L524" s="3">
        <f>VLOOKUP(TRIM(Table1[[#This Row],[Provider Specialty]]) &amp; TRIM(Table1[[#This Row],[Provider Specialty Description]]), SPECIALTY_TYPE, 2, FALSE)</f>
        <v>2077</v>
      </c>
      <c r="M524" s="3" t="s">
        <v>18</v>
      </c>
      <c r="N524" s="27" t="s">
        <v>19</v>
      </c>
      <c r="O524" s="38">
        <f>VLOOKUP(TRIM(Table1[[#This Row],[Provider Specialty]]) &amp; TRIM(Table1[[#This Row],[Provider Specialty Description]]), SPECIALTY_TYPE, 2, FALSE)</f>
        <v>2077</v>
      </c>
      <c r="P524" s="3" t="str">
        <f>Table1[[#This Row],[Provider Type]] &amp; "+" &amp; Table1[[#This Row],[Provider Type Description]]</f>
        <v>32+Multi-Specialty</v>
      </c>
      <c r="Q524" s="7" t="str">
        <f>Table1[[#This Row],[Provider Specialty]] &amp; "+" &amp; Table1[[#This Row],[Provider Specialty Description]]</f>
        <v>316+Family Practitioner</v>
      </c>
      <c r="R524" s="7" t="str">
        <f>Table1[[#This Row],[PDMS Specialty Type ID]] &amp; "+" &amp; Table1[[#This Row],[PDMS Provider Type ID]] &amp; "+" &amp;Table1[[#This Row],[TAXONOMY]]</f>
        <v>2077+50+207QS1201X</v>
      </c>
      <c r="S5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(9503, 2077, 50, N'207QS1201X', N'Family Medicine - Sleep Medicine Specialization')</v>
      </c>
    </row>
    <row r="525" spans="1:19" ht="47.25" hidden="1" customHeight="1" x14ac:dyDescent="0.25">
      <c r="A525" s="22" t="s">
        <v>1854</v>
      </c>
      <c r="B525" s="3" t="s">
        <v>1425</v>
      </c>
      <c r="C525" s="3" t="s">
        <v>1426</v>
      </c>
      <c r="D525" s="3" t="s">
        <v>1427</v>
      </c>
      <c r="E525" s="3" t="s">
        <v>1428</v>
      </c>
      <c r="F525" s="3">
        <f>VLOOKUP(Table1[[#This Row],[Column2]], TAXONOMY_TYPE, 2, FALSE)</f>
        <v>9504</v>
      </c>
      <c r="G525" s="3">
        <v>33</v>
      </c>
      <c r="H525" s="3" t="s">
        <v>1953</v>
      </c>
      <c r="I525" s="3">
        <f>VLOOKUP(Table1[[#This Row],[Provider Type]] &amp; Table1[[#This Row],[Provider Type Description]], PROVIDER_TYPE, 2, FALSE)</f>
        <v>51</v>
      </c>
      <c r="J525" s="3">
        <v>316</v>
      </c>
      <c r="K525" s="3" t="s">
        <v>1115</v>
      </c>
      <c r="L525" s="3">
        <f>VLOOKUP(TRIM(Table1[[#This Row],[Provider Specialty]]) &amp; TRIM(Table1[[#This Row],[Provider Specialty Description]]), SPECIALTY_TYPE, 2, FALSE)</f>
        <v>2077</v>
      </c>
      <c r="M525" s="3" t="s">
        <v>18</v>
      </c>
      <c r="N525" s="27" t="s">
        <v>19</v>
      </c>
      <c r="O525" s="38">
        <f>VLOOKUP(TRIM(Table1[[#This Row],[Provider Specialty]]) &amp; TRIM(Table1[[#This Row],[Provider Specialty Description]]), SPECIALTY_TYPE, 2, FALSE)</f>
        <v>2077</v>
      </c>
      <c r="P525" s="3" t="str">
        <f>Table1[[#This Row],[Provider Type]] &amp; "+" &amp; Table1[[#This Row],[Provider Type Description]]</f>
        <v>33+Single-Specialty</v>
      </c>
      <c r="Q525" s="7" t="str">
        <f>Table1[[#This Row],[Provider Specialty]] &amp; "+" &amp; Table1[[#This Row],[Provider Specialty Description]]</f>
        <v>316+Family Practitioner</v>
      </c>
      <c r="R525" s="7" t="str">
        <f>Table1[[#This Row],[PDMS Specialty Type ID]] &amp; "+" &amp; Table1[[#This Row],[PDMS Provider Type ID]] &amp; "+" &amp;Table1[[#This Row],[TAXONOMY]]</f>
        <v>2077+51+207QS1201X</v>
      </c>
      <c r="S5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(9504, 2077, 51, N'207QS1201X', N'Family Medicine - Sleep Medicine Specialization')</v>
      </c>
    </row>
    <row r="526" spans="1:19" ht="47.25" hidden="1" customHeight="1" x14ac:dyDescent="0.25">
      <c r="A526" s="22" t="s">
        <v>1855</v>
      </c>
      <c r="B526" s="3" t="s">
        <v>988</v>
      </c>
      <c r="C526" s="3" t="s">
        <v>999</v>
      </c>
      <c r="D526" s="3" t="s">
        <v>1139</v>
      </c>
      <c r="E526" s="3" t="s">
        <v>1140</v>
      </c>
      <c r="F526" s="3">
        <f>VLOOKUP(Table1[[#This Row],[Column2]], TAXONOMY_TYPE, 2, FALSE)</f>
        <v>9505</v>
      </c>
      <c r="G526" s="3">
        <v>31</v>
      </c>
      <c r="H526" s="3" t="s">
        <v>991</v>
      </c>
      <c r="I526" s="3">
        <f>VLOOKUP(Table1[[#This Row],[Provider Type]] &amp; Table1[[#This Row],[Provider Type Description]], PROVIDER_TYPE, 2, FALSE)</f>
        <v>114</v>
      </c>
      <c r="J526" s="3">
        <v>317</v>
      </c>
      <c r="K526" s="3" t="s">
        <v>1141</v>
      </c>
      <c r="L526" s="3">
        <f>VLOOKUP(TRIM(Table1[[#This Row],[Provider Specialty]]) &amp; TRIM(Table1[[#This Row],[Provider Specialty Description]]), SPECIALTY_TYPE, 2, FALSE)</f>
        <v>2078</v>
      </c>
      <c r="M526" s="3" t="s">
        <v>19</v>
      </c>
      <c r="N526" s="27" t="s">
        <v>19</v>
      </c>
      <c r="O526" s="38">
        <f>VLOOKUP(TRIM(Table1[[#This Row],[Provider Specialty]]) &amp; TRIM(Table1[[#This Row],[Provider Specialty Description]]), SPECIALTY_TYPE, 2, FALSE)</f>
        <v>2078</v>
      </c>
      <c r="P526" s="3" t="str">
        <f>Table1[[#This Row],[Provider Type]] &amp; "+" &amp; Table1[[#This Row],[Provider Type Description]]</f>
        <v>31+Physician</v>
      </c>
      <c r="Q526" s="7" t="str">
        <f>Table1[[#This Row],[Provider Specialty]] &amp; "+" &amp; Table1[[#This Row],[Provider Specialty Description]]</f>
        <v>317+Gastroenterologist</v>
      </c>
      <c r="R526" s="7" t="str">
        <f>Table1[[#This Row],[PDMS Specialty Type ID]] &amp; "+" &amp; Table1[[#This Row],[PDMS Provider Type ID]] &amp; "+" &amp;Table1[[#This Row],[TAXONOMY]]</f>
        <v>2078+114+207RG0100X</v>
      </c>
      <c r="S5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(9505, 2078, 114, N'207RG0100X', N'Internal Medicine - Gastroenterology')</v>
      </c>
    </row>
    <row r="527" spans="1:19" ht="47.25" hidden="1" customHeight="1" x14ac:dyDescent="0.25">
      <c r="A527" s="22" t="s">
        <v>1854</v>
      </c>
      <c r="B527" s="3" t="s">
        <v>988</v>
      </c>
      <c r="C527" s="3" t="s">
        <v>999</v>
      </c>
      <c r="D527" s="3" t="s">
        <v>1139</v>
      </c>
      <c r="E527" s="3" t="s">
        <v>1140</v>
      </c>
      <c r="F527" s="3">
        <f>VLOOKUP(Table1[[#This Row],[Column2]], TAXONOMY_TYPE, 2, FALSE)</f>
        <v>9506</v>
      </c>
      <c r="G527" s="3">
        <v>32</v>
      </c>
      <c r="H527" s="3" t="s">
        <v>1444</v>
      </c>
      <c r="I527" s="3">
        <f>VLOOKUP(Table1[[#This Row],[Provider Type]] &amp; Table1[[#This Row],[Provider Type Description]], PROVIDER_TYPE, 2, FALSE)</f>
        <v>50</v>
      </c>
      <c r="J527" s="3">
        <v>317</v>
      </c>
      <c r="K527" s="3" t="s">
        <v>1141</v>
      </c>
      <c r="L527" s="3">
        <f>VLOOKUP(TRIM(Table1[[#This Row],[Provider Specialty]]) &amp; TRIM(Table1[[#This Row],[Provider Specialty Description]]), SPECIALTY_TYPE, 2, FALSE)</f>
        <v>2078</v>
      </c>
      <c r="M527" s="3" t="s">
        <v>18</v>
      </c>
      <c r="N527" s="27" t="s">
        <v>19</v>
      </c>
      <c r="O527" s="38">
        <f>VLOOKUP(TRIM(Table1[[#This Row],[Provider Specialty]]) &amp; TRIM(Table1[[#This Row],[Provider Specialty Description]]), SPECIALTY_TYPE, 2, FALSE)</f>
        <v>2078</v>
      </c>
      <c r="P527" s="3" t="str">
        <f>Table1[[#This Row],[Provider Type]] &amp; "+" &amp; Table1[[#This Row],[Provider Type Description]]</f>
        <v>32+Multi-Specialty</v>
      </c>
      <c r="Q527" s="7" t="str">
        <f>Table1[[#This Row],[Provider Specialty]] &amp; "+" &amp; Table1[[#This Row],[Provider Specialty Description]]</f>
        <v>317+Gastroenterologist</v>
      </c>
      <c r="R527" s="7" t="str">
        <f>Table1[[#This Row],[PDMS Specialty Type ID]] &amp; "+" &amp; Table1[[#This Row],[PDMS Provider Type ID]] &amp; "+" &amp;Table1[[#This Row],[TAXONOMY]]</f>
        <v>2078+50+207RG0100X</v>
      </c>
      <c r="S5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(9506, 2078, 50, N'207RG0100X', N'Internal Medicine - Gastroenterology')</v>
      </c>
    </row>
    <row r="528" spans="1:19" ht="47.25" hidden="1" customHeight="1" x14ac:dyDescent="0.25">
      <c r="A528" s="22" t="s">
        <v>1854</v>
      </c>
      <c r="B528" s="3" t="s">
        <v>988</v>
      </c>
      <c r="C528" s="3" t="s">
        <v>999</v>
      </c>
      <c r="D528" s="3" t="s">
        <v>1139</v>
      </c>
      <c r="E528" s="3" t="s">
        <v>1140</v>
      </c>
      <c r="F528" s="3">
        <f>VLOOKUP(Table1[[#This Row],[Column2]], TAXONOMY_TYPE, 2, FALSE)</f>
        <v>9507</v>
      </c>
      <c r="G528" s="3">
        <v>33</v>
      </c>
      <c r="H528" s="3" t="s">
        <v>1953</v>
      </c>
      <c r="I528" s="3">
        <f>VLOOKUP(Table1[[#This Row],[Provider Type]] &amp; Table1[[#This Row],[Provider Type Description]], PROVIDER_TYPE, 2, FALSE)</f>
        <v>51</v>
      </c>
      <c r="J528" s="3">
        <v>317</v>
      </c>
      <c r="K528" s="3" t="s">
        <v>1141</v>
      </c>
      <c r="L528" s="3">
        <f>VLOOKUP(TRIM(Table1[[#This Row],[Provider Specialty]]) &amp; TRIM(Table1[[#This Row],[Provider Specialty Description]]), SPECIALTY_TYPE, 2, FALSE)</f>
        <v>2078</v>
      </c>
      <c r="M528" s="3" t="s">
        <v>18</v>
      </c>
      <c r="N528" s="27" t="s">
        <v>19</v>
      </c>
      <c r="O528" s="38">
        <f>VLOOKUP(TRIM(Table1[[#This Row],[Provider Specialty]]) &amp; TRIM(Table1[[#This Row],[Provider Specialty Description]]), SPECIALTY_TYPE, 2, FALSE)</f>
        <v>2078</v>
      </c>
      <c r="P528" s="3" t="str">
        <f>Table1[[#This Row],[Provider Type]] &amp; "+" &amp; Table1[[#This Row],[Provider Type Description]]</f>
        <v>33+Single-Specialty</v>
      </c>
      <c r="Q528" s="7" t="str">
        <f>Table1[[#This Row],[Provider Specialty]] &amp; "+" &amp; Table1[[#This Row],[Provider Specialty Description]]</f>
        <v>317+Gastroenterologist</v>
      </c>
      <c r="R528" s="7" t="str">
        <f>Table1[[#This Row],[PDMS Specialty Type ID]] &amp; "+" &amp; Table1[[#This Row],[PDMS Provider Type ID]] &amp; "+" &amp;Table1[[#This Row],[TAXONOMY]]</f>
        <v>2078+51+207RG0100X</v>
      </c>
      <c r="S5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(9507, 2078, 51, N'207RG0100X', N'Internal Medicine - Gastroenterology')</v>
      </c>
    </row>
    <row r="529" spans="1:19" ht="47.25" hidden="1" customHeight="1" x14ac:dyDescent="0.25">
      <c r="A529" s="22" t="s">
        <v>1855</v>
      </c>
      <c r="B529" s="3" t="s">
        <v>988</v>
      </c>
      <c r="C529" s="3" t="s">
        <v>999</v>
      </c>
      <c r="D529" s="3" t="s">
        <v>1147</v>
      </c>
      <c r="E529" s="3" t="s">
        <v>1148</v>
      </c>
      <c r="F529" s="3">
        <f>VLOOKUP(Table1[[#This Row],[Column2]], TAXONOMY_TYPE, 2, FALSE)</f>
        <v>9508</v>
      </c>
      <c r="G529" s="3">
        <v>31</v>
      </c>
      <c r="H529" s="3" t="s">
        <v>991</v>
      </c>
      <c r="I529" s="3">
        <f>VLOOKUP(Table1[[#This Row],[Provider Type]] &amp; Table1[[#This Row],[Provider Type Description]], PROVIDER_TYPE, 2, FALSE)</f>
        <v>114</v>
      </c>
      <c r="J529" s="3">
        <v>317</v>
      </c>
      <c r="K529" s="3" t="s">
        <v>1141</v>
      </c>
      <c r="L529" s="3">
        <f>VLOOKUP(TRIM(Table1[[#This Row],[Provider Specialty]]) &amp; TRIM(Table1[[#This Row],[Provider Specialty Description]]), SPECIALTY_TYPE, 2, FALSE)</f>
        <v>2078</v>
      </c>
      <c r="M529" s="3" t="s">
        <v>19</v>
      </c>
      <c r="N529" s="27" t="s">
        <v>19</v>
      </c>
      <c r="O529" s="38">
        <f>VLOOKUP(TRIM(Table1[[#This Row],[Provider Specialty]]) &amp; TRIM(Table1[[#This Row],[Provider Specialty Description]]), SPECIALTY_TYPE, 2, FALSE)</f>
        <v>2078</v>
      </c>
      <c r="P529" s="3" t="str">
        <f>Table1[[#This Row],[Provider Type]] &amp; "+" &amp; Table1[[#This Row],[Provider Type Description]]</f>
        <v>31+Physician</v>
      </c>
      <c r="Q529" s="7" t="str">
        <f>Table1[[#This Row],[Provider Specialty]] &amp; "+" &amp; Table1[[#This Row],[Provider Specialty Description]]</f>
        <v>317+Gastroenterologist</v>
      </c>
      <c r="R529" s="7" t="str">
        <f>Table1[[#This Row],[PDMS Specialty Type ID]] &amp; "+" &amp; Table1[[#This Row],[PDMS Provider Type ID]] &amp; "+" &amp;Table1[[#This Row],[TAXONOMY]]</f>
        <v>2078+114+207RI0008X</v>
      </c>
      <c r="S5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(9508, 2078, 114, N'207RI0008X', N'Internal Medicine - Hepatology')</v>
      </c>
    </row>
    <row r="530" spans="1:19" ht="47.25" hidden="1" customHeight="1" x14ac:dyDescent="0.25">
      <c r="A530" s="22" t="s">
        <v>1854</v>
      </c>
      <c r="B530" s="3" t="s">
        <v>988</v>
      </c>
      <c r="C530" s="3" t="s">
        <v>999</v>
      </c>
      <c r="D530" s="3" t="s">
        <v>1147</v>
      </c>
      <c r="E530" s="3" t="s">
        <v>1148</v>
      </c>
      <c r="F530" s="3">
        <f>VLOOKUP(Table1[[#This Row],[Column2]], TAXONOMY_TYPE, 2, FALSE)</f>
        <v>9509</v>
      </c>
      <c r="G530" s="3">
        <v>32</v>
      </c>
      <c r="H530" s="3" t="s">
        <v>1444</v>
      </c>
      <c r="I530" s="3">
        <f>VLOOKUP(Table1[[#This Row],[Provider Type]] &amp; Table1[[#This Row],[Provider Type Description]], PROVIDER_TYPE, 2, FALSE)</f>
        <v>50</v>
      </c>
      <c r="J530" s="3">
        <v>318</v>
      </c>
      <c r="K530" s="3" t="s">
        <v>1141</v>
      </c>
      <c r="L530" s="3">
        <f>VLOOKUP(TRIM(Table1[[#This Row],[Provider Specialty]]) &amp; TRIM(Table1[[#This Row],[Provider Specialty Description]]), SPECIALTY_TYPE, 2, FALSE)</f>
        <v>2246</v>
      </c>
      <c r="M530" s="3" t="s">
        <v>18</v>
      </c>
      <c r="N530" s="27" t="s">
        <v>19</v>
      </c>
      <c r="O530" s="38">
        <f>VLOOKUP(TRIM(Table1[[#This Row],[Provider Specialty]]) &amp; TRIM(Table1[[#This Row],[Provider Specialty Description]]), SPECIALTY_TYPE, 2, FALSE)</f>
        <v>2246</v>
      </c>
      <c r="P530" s="3" t="str">
        <f>Table1[[#This Row],[Provider Type]] &amp; "+" &amp; Table1[[#This Row],[Provider Type Description]]</f>
        <v>32+Multi-Specialty</v>
      </c>
      <c r="Q530" s="7" t="str">
        <f>Table1[[#This Row],[Provider Specialty]] &amp; "+" &amp; Table1[[#This Row],[Provider Specialty Description]]</f>
        <v>318+Gastroenterologist</v>
      </c>
      <c r="R530" s="7" t="str">
        <f>Table1[[#This Row],[PDMS Specialty Type ID]] &amp; "+" &amp; Table1[[#This Row],[PDMS Provider Type ID]] &amp; "+" &amp;Table1[[#This Row],[TAXONOMY]]</f>
        <v>2246+50+207RI0008X</v>
      </c>
      <c r="S5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(9509, 2246, 50, N'207RI0008X', N'Internal Medicine - Hepatology')</v>
      </c>
    </row>
    <row r="531" spans="1:19" ht="47.25" hidden="1" customHeight="1" x14ac:dyDescent="0.25">
      <c r="A531" s="22" t="s">
        <v>1854</v>
      </c>
      <c r="B531" s="3" t="s">
        <v>988</v>
      </c>
      <c r="C531" s="3" t="s">
        <v>999</v>
      </c>
      <c r="D531" s="3" t="s">
        <v>1147</v>
      </c>
      <c r="E531" s="3" t="s">
        <v>1148</v>
      </c>
      <c r="F531" s="3">
        <f>VLOOKUP(Table1[[#This Row],[Column2]], TAXONOMY_TYPE, 2, FALSE)</f>
        <v>9510</v>
      </c>
      <c r="G531" s="3">
        <v>33</v>
      </c>
      <c r="H531" s="3" t="s">
        <v>1953</v>
      </c>
      <c r="I531" s="3">
        <f>VLOOKUP(Table1[[#This Row],[Provider Type]] &amp; Table1[[#This Row],[Provider Type Description]], PROVIDER_TYPE, 2, FALSE)</f>
        <v>51</v>
      </c>
      <c r="J531" s="3">
        <v>319</v>
      </c>
      <c r="K531" s="3" t="s">
        <v>1141</v>
      </c>
      <c r="L531" s="3">
        <f>VLOOKUP(TRIM(Table1[[#This Row],[Provider Specialty]]) &amp; TRIM(Table1[[#This Row],[Provider Specialty Description]]), SPECIALTY_TYPE, 2, FALSE)</f>
        <v>2247</v>
      </c>
      <c r="M531" s="3" t="s">
        <v>18</v>
      </c>
      <c r="N531" s="27" t="s">
        <v>19</v>
      </c>
      <c r="O531" s="38">
        <f>VLOOKUP(TRIM(Table1[[#This Row],[Provider Specialty]]) &amp; TRIM(Table1[[#This Row],[Provider Specialty Description]]), SPECIALTY_TYPE, 2, FALSE)</f>
        <v>2247</v>
      </c>
      <c r="P531" s="3" t="str">
        <f>Table1[[#This Row],[Provider Type]] &amp; "+" &amp; Table1[[#This Row],[Provider Type Description]]</f>
        <v>33+Single-Specialty</v>
      </c>
      <c r="Q531" s="7" t="str">
        <f>Table1[[#This Row],[Provider Specialty]] &amp; "+" &amp; Table1[[#This Row],[Provider Specialty Description]]</f>
        <v>319+Gastroenterologist</v>
      </c>
      <c r="R531" s="7" t="str">
        <f>Table1[[#This Row],[PDMS Specialty Type ID]] &amp; "+" &amp; Table1[[#This Row],[PDMS Provider Type ID]] &amp; "+" &amp;Table1[[#This Row],[TAXONOMY]]</f>
        <v>2247+51+207RI0008X</v>
      </c>
      <c r="S5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(9510, 2247, 51, N'207RI0008X', N'Internal Medicine - Hepatology')</v>
      </c>
    </row>
    <row r="532" spans="1:19" ht="47.25" hidden="1" customHeight="1" x14ac:dyDescent="0.25">
      <c r="A532" s="22" t="s">
        <v>1855</v>
      </c>
      <c r="B532" s="3" t="s">
        <v>988</v>
      </c>
      <c r="C532" s="3" t="s">
        <v>325</v>
      </c>
      <c r="D532" s="3" t="s">
        <v>1284</v>
      </c>
      <c r="E532" s="3" t="s">
        <v>1285</v>
      </c>
      <c r="F532" s="3">
        <f>VLOOKUP(Table1[[#This Row],[Column2]], TAXONOMY_TYPE, 2, FALSE)</f>
        <v>9511</v>
      </c>
      <c r="G532" s="3">
        <v>31</v>
      </c>
      <c r="H532" s="3" t="s">
        <v>991</v>
      </c>
      <c r="I532" s="3">
        <f>VLOOKUP(Table1[[#This Row],[Provider Type]] &amp; Table1[[#This Row],[Provider Type Description]], PROVIDER_TYPE, 2, FALSE)</f>
        <v>114</v>
      </c>
      <c r="J532" s="3">
        <v>317</v>
      </c>
      <c r="K532" s="3" t="s">
        <v>1141</v>
      </c>
      <c r="L532" s="3">
        <f>VLOOKUP(TRIM(Table1[[#This Row],[Provider Specialty]]) &amp; TRIM(Table1[[#This Row],[Provider Specialty Description]]), SPECIALTY_TYPE, 2, FALSE)</f>
        <v>2078</v>
      </c>
      <c r="M532" s="3" t="s">
        <v>19</v>
      </c>
      <c r="N532" s="27" t="s">
        <v>19</v>
      </c>
      <c r="O532" s="38">
        <f>VLOOKUP(TRIM(Table1[[#This Row],[Provider Specialty]]) &amp; TRIM(Table1[[#This Row],[Provider Specialty Description]]), SPECIALTY_TYPE, 2, FALSE)</f>
        <v>2078</v>
      </c>
      <c r="P532" s="3" t="str">
        <f>Table1[[#This Row],[Provider Type]] &amp; "+" &amp; Table1[[#This Row],[Provider Type Description]]</f>
        <v>31+Physician</v>
      </c>
      <c r="Q532" s="7" t="str">
        <f>Table1[[#This Row],[Provider Specialty]] &amp; "+" &amp; Table1[[#This Row],[Provider Specialty Description]]</f>
        <v>317+Gastroenterologist</v>
      </c>
      <c r="R532" s="7" t="str">
        <f>Table1[[#This Row],[PDMS Specialty Type ID]] &amp; "+" &amp; Table1[[#This Row],[PDMS Provider Type ID]] &amp; "+" &amp;Table1[[#This Row],[TAXONOMY]]</f>
        <v>2078+114+2080P0206X</v>
      </c>
      <c r="S5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(9511, 2078, 114, N'2080P0206X', N'Pediatrics - Pediatric Gastroenterology')</v>
      </c>
    </row>
    <row r="533" spans="1:19" ht="47.25" hidden="1" customHeight="1" x14ac:dyDescent="0.25">
      <c r="A533" s="22" t="s">
        <v>1854</v>
      </c>
      <c r="B533" s="3" t="s">
        <v>988</v>
      </c>
      <c r="C533" s="3" t="s">
        <v>325</v>
      </c>
      <c r="D533" s="3" t="s">
        <v>1284</v>
      </c>
      <c r="E533" s="3" t="s">
        <v>1285</v>
      </c>
      <c r="F533" s="3">
        <f>VLOOKUP(Table1[[#This Row],[Column2]], TAXONOMY_TYPE, 2, FALSE)</f>
        <v>9512</v>
      </c>
      <c r="G533" s="3">
        <v>32</v>
      </c>
      <c r="H533" s="3" t="s">
        <v>1444</v>
      </c>
      <c r="I533" s="3">
        <f>VLOOKUP(Table1[[#This Row],[Provider Type]] &amp; Table1[[#This Row],[Provider Type Description]], PROVIDER_TYPE, 2, FALSE)</f>
        <v>50</v>
      </c>
      <c r="J533" s="3">
        <v>318</v>
      </c>
      <c r="K533" s="3" t="s">
        <v>1141</v>
      </c>
      <c r="L533" s="3">
        <f>VLOOKUP(TRIM(Table1[[#This Row],[Provider Specialty]]) &amp; TRIM(Table1[[#This Row],[Provider Specialty Description]]), SPECIALTY_TYPE, 2, FALSE)</f>
        <v>2246</v>
      </c>
      <c r="M533" s="3" t="s">
        <v>18</v>
      </c>
      <c r="N533" s="27" t="s">
        <v>19</v>
      </c>
      <c r="O533" s="38">
        <f>VLOOKUP(TRIM(Table1[[#This Row],[Provider Specialty]]) &amp; TRIM(Table1[[#This Row],[Provider Specialty Description]]), SPECIALTY_TYPE, 2, FALSE)</f>
        <v>2246</v>
      </c>
      <c r="P533" s="3" t="str">
        <f>Table1[[#This Row],[Provider Type]] &amp; "+" &amp; Table1[[#This Row],[Provider Type Description]]</f>
        <v>32+Multi-Specialty</v>
      </c>
      <c r="Q533" s="7" t="str">
        <f>Table1[[#This Row],[Provider Specialty]] &amp; "+" &amp; Table1[[#This Row],[Provider Specialty Description]]</f>
        <v>318+Gastroenterologist</v>
      </c>
      <c r="R533" s="7" t="str">
        <f>Table1[[#This Row],[PDMS Specialty Type ID]] &amp; "+" &amp; Table1[[#This Row],[PDMS Provider Type ID]] &amp; "+" &amp;Table1[[#This Row],[TAXONOMY]]</f>
        <v>2246+50+2080P0206X</v>
      </c>
      <c r="S5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(9512, 2246, 50, N'2080P0206X', N'Pediatrics - Pediatric Gastroenterology')</v>
      </c>
    </row>
    <row r="534" spans="1:19" ht="47.25" hidden="1" customHeight="1" x14ac:dyDescent="0.25">
      <c r="A534" s="22" t="s">
        <v>1854</v>
      </c>
      <c r="B534" s="3" t="s">
        <v>988</v>
      </c>
      <c r="C534" s="3" t="s">
        <v>325</v>
      </c>
      <c r="D534" s="3" t="s">
        <v>1284</v>
      </c>
      <c r="E534" s="3" t="s">
        <v>1285</v>
      </c>
      <c r="F534" s="3">
        <f>VLOOKUP(Table1[[#This Row],[Column2]], TAXONOMY_TYPE, 2, FALSE)</f>
        <v>9513</v>
      </c>
      <c r="G534" s="3">
        <v>33</v>
      </c>
      <c r="H534" s="3" t="s">
        <v>1953</v>
      </c>
      <c r="I534" s="3">
        <f>VLOOKUP(Table1[[#This Row],[Provider Type]] &amp; Table1[[#This Row],[Provider Type Description]], PROVIDER_TYPE, 2, FALSE)</f>
        <v>51</v>
      </c>
      <c r="J534" s="3">
        <v>319</v>
      </c>
      <c r="K534" s="3" t="s">
        <v>1141</v>
      </c>
      <c r="L534" s="3">
        <f>VLOOKUP(TRIM(Table1[[#This Row],[Provider Specialty]]) &amp; TRIM(Table1[[#This Row],[Provider Specialty Description]]), SPECIALTY_TYPE, 2, FALSE)</f>
        <v>2247</v>
      </c>
      <c r="M534" s="3" t="s">
        <v>18</v>
      </c>
      <c r="N534" s="27" t="s">
        <v>19</v>
      </c>
      <c r="O534" s="38">
        <f>VLOOKUP(TRIM(Table1[[#This Row],[Provider Specialty]]) &amp; TRIM(Table1[[#This Row],[Provider Specialty Description]]), SPECIALTY_TYPE, 2, FALSE)</f>
        <v>2247</v>
      </c>
      <c r="P534" s="3" t="str">
        <f>Table1[[#This Row],[Provider Type]] &amp; "+" &amp; Table1[[#This Row],[Provider Type Description]]</f>
        <v>33+Single-Specialty</v>
      </c>
      <c r="Q534" s="7" t="str">
        <f>Table1[[#This Row],[Provider Specialty]] &amp; "+" &amp; Table1[[#This Row],[Provider Specialty Description]]</f>
        <v>319+Gastroenterologist</v>
      </c>
      <c r="R534" s="7" t="str">
        <f>Table1[[#This Row],[PDMS Specialty Type ID]] &amp; "+" &amp; Table1[[#This Row],[PDMS Provider Type ID]] &amp; "+" &amp;Table1[[#This Row],[TAXONOMY]]</f>
        <v>2247+51+2080P0206X</v>
      </c>
      <c r="S5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(9513, 2247, 51, N'2080P0206X', N'Pediatrics - Pediatric Gastroenterology')</v>
      </c>
    </row>
    <row r="535" spans="1:19" ht="47.25" hidden="1" customHeight="1" x14ac:dyDescent="0.25">
      <c r="A535" s="22" t="s">
        <v>1855</v>
      </c>
      <c r="B535" s="3" t="s">
        <v>988</v>
      </c>
      <c r="C535" s="3" t="s">
        <v>1319</v>
      </c>
      <c r="D535" s="3" t="s">
        <v>1320</v>
      </c>
      <c r="E535" s="3" t="s">
        <v>1321</v>
      </c>
      <c r="F535" s="3">
        <f>VLOOKUP(Table1[[#This Row],[Column2]], TAXONOMY_TYPE, 2, FALSE)</f>
        <v>9514</v>
      </c>
      <c r="G535" s="3">
        <v>31</v>
      </c>
      <c r="H535" s="3" t="s">
        <v>991</v>
      </c>
      <c r="I535" s="3">
        <f>VLOOKUP(Table1[[#This Row],[Provider Type]] &amp; Table1[[#This Row],[Provider Type Description]], PROVIDER_TYPE, 2, FALSE)</f>
        <v>114</v>
      </c>
      <c r="J535" s="3">
        <v>318</v>
      </c>
      <c r="K535" s="3" t="s">
        <v>1322</v>
      </c>
      <c r="L535" s="3">
        <f>VLOOKUP(TRIM(Table1[[#This Row],[Provider Specialty]]) &amp; TRIM(Table1[[#This Row],[Provider Specialty Description]]), SPECIALTY_TYPE, 2, FALSE)</f>
        <v>2079</v>
      </c>
      <c r="M535" s="3" t="s">
        <v>19</v>
      </c>
      <c r="N535" s="27" t="s">
        <v>19</v>
      </c>
      <c r="O535" s="38">
        <f>VLOOKUP(TRIM(Table1[[#This Row],[Provider Specialty]]) &amp; TRIM(Table1[[#This Row],[Provider Specialty Description]]), SPECIALTY_TYPE, 2, FALSE)</f>
        <v>2079</v>
      </c>
      <c r="P535" s="3" t="str">
        <f>Table1[[#This Row],[Provider Type]] &amp; "+" &amp; Table1[[#This Row],[Provider Type Description]]</f>
        <v>31+Physician</v>
      </c>
      <c r="Q535" s="7" t="str">
        <f>Table1[[#This Row],[Provider Specialty]] &amp; "+" &amp; Table1[[#This Row],[Provider Specialty Description]]</f>
        <v>318+General Practitioner</v>
      </c>
      <c r="R535" s="7" t="str">
        <f>Table1[[#This Row],[PDMS Specialty Type ID]] &amp; "+" &amp; Table1[[#This Row],[PDMS Provider Type ID]] &amp; "+" &amp;Table1[[#This Row],[TAXONOMY]]</f>
        <v>2079+114+2083A0100X</v>
      </c>
      <c r="S5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(9514, 2079, 114, N'2083A0100X', N'Preventive Medicine - - Aerospace Medicine')</v>
      </c>
    </row>
    <row r="536" spans="1:19" ht="47.25" hidden="1" customHeight="1" x14ac:dyDescent="0.25">
      <c r="A536" s="22" t="s">
        <v>1854</v>
      </c>
      <c r="B536" s="3" t="s">
        <v>988</v>
      </c>
      <c r="C536" s="3" t="s">
        <v>1319</v>
      </c>
      <c r="D536" s="3" t="s">
        <v>1320</v>
      </c>
      <c r="E536" s="3" t="s">
        <v>1321</v>
      </c>
      <c r="F536" s="3">
        <f>VLOOKUP(Table1[[#This Row],[Column2]], TAXONOMY_TYPE, 2, FALSE)</f>
        <v>9515</v>
      </c>
      <c r="G536" s="3">
        <v>32</v>
      </c>
      <c r="H536" s="3" t="s">
        <v>1444</v>
      </c>
      <c r="I536" s="3">
        <f>VLOOKUP(Table1[[#This Row],[Provider Type]] &amp; Table1[[#This Row],[Provider Type Description]], PROVIDER_TYPE, 2, FALSE)</f>
        <v>50</v>
      </c>
      <c r="J536" s="3">
        <v>319</v>
      </c>
      <c r="K536" s="3" t="s">
        <v>1322</v>
      </c>
      <c r="L536" s="3">
        <f>VLOOKUP(TRIM(Table1[[#This Row],[Provider Specialty]]) &amp; TRIM(Table1[[#This Row],[Provider Specialty Description]]), SPECIALTY_TYPE, 2, FALSE)</f>
        <v>2248</v>
      </c>
      <c r="M536" s="3" t="s">
        <v>18</v>
      </c>
      <c r="N536" s="27" t="s">
        <v>19</v>
      </c>
      <c r="O536" s="38">
        <f>VLOOKUP(TRIM(Table1[[#This Row],[Provider Specialty]]) &amp; TRIM(Table1[[#This Row],[Provider Specialty Description]]), SPECIALTY_TYPE, 2, FALSE)</f>
        <v>2248</v>
      </c>
      <c r="P536" s="3" t="str">
        <f>Table1[[#This Row],[Provider Type]] &amp; "+" &amp; Table1[[#This Row],[Provider Type Description]]</f>
        <v>32+Multi-Specialty</v>
      </c>
      <c r="Q536" s="7" t="str">
        <f>Table1[[#This Row],[Provider Specialty]] &amp; "+" &amp; Table1[[#This Row],[Provider Specialty Description]]</f>
        <v>319+General Practitioner</v>
      </c>
      <c r="R536" s="7" t="str">
        <f>Table1[[#This Row],[PDMS Specialty Type ID]] &amp; "+" &amp; Table1[[#This Row],[PDMS Provider Type ID]] &amp; "+" &amp;Table1[[#This Row],[TAXONOMY]]</f>
        <v>2248+50+2083A0100X</v>
      </c>
      <c r="S5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(9515, 2248, 50, N'2083A0100X', N'Preventive Medicine - - Aerospace Medicine')</v>
      </c>
    </row>
    <row r="537" spans="1:19" ht="47.25" hidden="1" customHeight="1" x14ac:dyDescent="0.25">
      <c r="A537" s="22" t="s">
        <v>1854</v>
      </c>
      <c r="B537" s="3" t="s">
        <v>988</v>
      </c>
      <c r="C537" s="3" t="s">
        <v>1319</v>
      </c>
      <c r="D537" s="3" t="s">
        <v>1320</v>
      </c>
      <c r="E537" s="3" t="s">
        <v>1321</v>
      </c>
      <c r="F537" s="3">
        <f>VLOOKUP(Table1[[#This Row],[Column2]], TAXONOMY_TYPE, 2, FALSE)</f>
        <v>9516</v>
      </c>
      <c r="G537" s="3">
        <v>33</v>
      </c>
      <c r="H537" s="3" t="s">
        <v>1953</v>
      </c>
      <c r="I537" s="3">
        <f>VLOOKUP(Table1[[#This Row],[Provider Type]] &amp; Table1[[#This Row],[Provider Type Description]], PROVIDER_TYPE, 2, FALSE)</f>
        <v>51</v>
      </c>
      <c r="J537" s="3">
        <v>320</v>
      </c>
      <c r="K537" s="3" t="s">
        <v>1322</v>
      </c>
      <c r="L537" s="3">
        <f>VLOOKUP(TRIM(Table1[[#This Row],[Provider Specialty]]) &amp; TRIM(Table1[[#This Row],[Provider Specialty Description]]), SPECIALTY_TYPE, 2, FALSE)</f>
        <v>2249</v>
      </c>
      <c r="M537" s="3" t="s">
        <v>18</v>
      </c>
      <c r="N537" s="27" t="s">
        <v>19</v>
      </c>
      <c r="O537" s="38">
        <f>VLOOKUP(TRIM(Table1[[#This Row],[Provider Specialty]]) &amp; TRIM(Table1[[#This Row],[Provider Specialty Description]]), SPECIALTY_TYPE, 2, FALSE)</f>
        <v>2249</v>
      </c>
      <c r="P537" s="3" t="str">
        <f>Table1[[#This Row],[Provider Type]] &amp; "+" &amp; Table1[[#This Row],[Provider Type Description]]</f>
        <v>33+Single-Specialty</v>
      </c>
      <c r="Q537" s="7" t="str">
        <f>Table1[[#This Row],[Provider Specialty]] &amp; "+" &amp; Table1[[#This Row],[Provider Specialty Description]]</f>
        <v>320+General Practitioner</v>
      </c>
      <c r="R537" s="7" t="str">
        <f>Table1[[#This Row],[PDMS Specialty Type ID]] &amp; "+" &amp; Table1[[#This Row],[PDMS Provider Type ID]] &amp; "+" &amp;Table1[[#This Row],[TAXONOMY]]</f>
        <v>2249+51+2083A0100X</v>
      </c>
      <c r="S5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(9516, 2249, 51, N'2083A0100X', N'Preventive Medicine - - Aerospace Medicine')</v>
      </c>
    </row>
    <row r="538" spans="1:19" ht="47.25" hidden="1" customHeight="1" x14ac:dyDescent="0.25">
      <c r="A538" s="22" t="s">
        <v>1855</v>
      </c>
      <c r="B538" s="3" t="s">
        <v>988</v>
      </c>
      <c r="C538" s="3" t="s">
        <v>1319</v>
      </c>
      <c r="D538" s="3" t="s">
        <v>1323</v>
      </c>
      <c r="E538" s="3" t="s">
        <v>1324</v>
      </c>
      <c r="F538" s="3">
        <f>VLOOKUP(Table1[[#This Row],[Column2]], TAXONOMY_TYPE, 2, FALSE)</f>
        <v>9517</v>
      </c>
      <c r="G538" s="3">
        <v>31</v>
      </c>
      <c r="H538" s="3" t="s">
        <v>991</v>
      </c>
      <c r="I538" s="3">
        <f>VLOOKUP(Table1[[#This Row],[Provider Type]] &amp; Table1[[#This Row],[Provider Type Description]], PROVIDER_TYPE, 2, FALSE)</f>
        <v>114</v>
      </c>
      <c r="J538" s="3">
        <v>318</v>
      </c>
      <c r="K538" s="3" t="s">
        <v>1322</v>
      </c>
      <c r="L538" s="3">
        <f>VLOOKUP(TRIM(Table1[[#This Row],[Provider Specialty]]) &amp; TRIM(Table1[[#This Row],[Provider Specialty Description]]), SPECIALTY_TYPE, 2, FALSE)</f>
        <v>2079</v>
      </c>
      <c r="M538" s="3" t="s">
        <v>19</v>
      </c>
      <c r="N538" s="27" t="s">
        <v>19</v>
      </c>
      <c r="O538" s="38">
        <f>VLOOKUP(TRIM(Table1[[#This Row],[Provider Specialty]]) &amp; TRIM(Table1[[#This Row],[Provider Specialty Description]]), SPECIALTY_TYPE, 2, FALSE)</f>
        <v>2079</v>
      </c>
      <c r="P538" s="3" t="str">
        <f>Table1[[#This Row],[Provider Type]] &amp; "+" &amp; Table1[[#This Row],[Provider Type Description]]</f>
        <v>31+Physician</v>
      </c>
      <c r="Q538" s="7" t="str">
        <f>Table1[[#This Row],[Provider Specialty]] &amp; "+" &amp; Table1[[#This Row],[Provider Specialty Description]]</f>
        <v>318+General Practitioner</v>
      </c>
      <c r="R538" s="7" t="str">
        <f>Table1[[#This Row],[PDMS Specialty Type ID]] &amp; "+" &amp; Table1[[#This Row],[PDMS Provider Type ID]] &amp; "+" &amp;Table1[[#This Row],[TAXONOMY]]</f>
        <v>2079+114+2083P0011X</v>
      </c>
      <c r="S5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(9517, 2079, 114, N'2083P0011X', N'Preventive Medicine - - Undersea and Hyperbaric Medicine')</v>
      </c>
    </row>
    <row r="539" spans="1:19" ht="47.25" hidden="1" customHeight="1" x14ac:dyDescent="0.25">
      <c r="A539" s="22" t="s">
        <v>1854</v>
      </c>
      <c r="B539" s="3" t="s">
        <v>988</v>
      </c>
      <c r="C539" s="3" t="s">
        <v>1319</v>
      </c>
      <c r="D539" s="3" t="s">
        <v>1323</v>
      </c>
      <c r="E539" s="3" t="s">
        <v>1324</v>
      </c>
      <c r="F539" s="3">
        <f>VLOOKUP(Table1[[#This Row],[Column2]], TAXONOMY_TYPE, 2, FALSE)</f>
        <v>9518</v>
      </c>
      <c r="G539" s="3">
        <v>32</v>
      </c>
      <c r="H539" s="3" t="s">
        <v>1444</v>
      </c>
      <c r="I539" s="3">
        <f>VLOOKUP(Table1[[#This Row],[Provider Type]] &amp; Table1[[#This Row],[Provider Type Description]], PROVIDER_TYPE, 2, FALSE)</f>
        <v>50</v>
      </c>
      <c r="J539" s="3">
        <v>318</v>
      </c>
      <c r="K539" s="3" t="s">
        <v>1322</v>
      </c>
      <c r="L539" s="3">
        <f>VLOOKUP(TRIM(Table1[[#This Row],[Provider Specialty]]) &amp; TRIM(Table1[[#This Row],[Provider Specialty Description]]), SPECIALTY_TYPE, 2, FALSE)</f>
        <v>2079</v>
      </c>
      <c r="M539" s="3" t="s">
        <v>18</v>
      </c>
      <c r="N539" s="27" t="s">
        <v>19</v>
      </c>
      <c r="O539" s="38">
        <f>VLOOKUP(TRIM(Table1[[#This Row],[Provider Specialty]]) &amp; TRIM(Table1[[#This Row],[Provider Specialty Description]]), SPECIALTY_TYPE, 2, FALSE)</f>
        <v>2079</v>
      </c>
      <c r="P539" s="3" t="str">
        <f>Table1[[#This Row],[Provider Type]] &amp; "+" &amp; Table1[[#This Row],[Provider Type Description]]</f>
        <v>32+Multi-Specialty</v>
      </c>
      <c r="Q539" s="7" t="str">
        <f>Table1[[#This Row],[Provider Specialty]] &amp; "+" &amp; Table1[[#This Row],[Provider Specialty Description]]</f>
        <v>318+General Practitioner</v>
      </c>
      <c r="R539" s="7" t="str">
        <f>Table1[[#This Row],[PDMS Specialty Type ID]] &amp; "+" &amp; Table1[[#This Row],[PDMS Provider Type ID]] &amp; "+" &amp;Table1[[#This Row],[TAXONOMY]]</f>
        <v>2079+50+2083P0011X</v>
      </c>
      <c r="S5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(9518, 2079, 50, N'2083P0011X', N'Preventive Medicine - - Undersea and Hyperbaric Medicine')</v>
      </c>
    </row>
    <row r="540" spans="1:19" ht="47.25" hidden="1" customHeight="1" x14ac:dyDescent="0.25">
      <c r="A540" s="22" t="s">
        <v>1854</v>
      </c>
      <c r="B540" s="3" t="s">
        <v>988</v>
      </c>
      <c r="C540" s="3" t="s">
        <v>1319</v>
      </c>
      <c r="D540" s="3" t="s">
        <v>1323</v>
      </c>
      <c r="E540" s="3" t="s">
        <v>1324</v>
      </c>
      <c r="F540" s="3">
        <f>VLOOKUP(Table1[[#This Row],[Column2]], TAXONOMY_TYPE, 2, FALSE)</f>
        <v>9519</v>
      </c>
      <c r="G540" s="3">
        <v>33</v>
      </c>
      <c r="H540" s="3" t="s">
        <v>1953</v>
      </c>
      <c r="I540" s="3">
        <f>VLOOKUP(Table1[[#This Row],[Provider Type]] &amp; Table1[[#This Row],[Provider Type Description]], PROVIDER_TYPE, 2, FALSE)</f>
        <v>51</v>
      </c>
      <c r="J540" s="3">
        <v>318</v>
      </c>
      <c r="K540" s="3" t="s">
        <v>1322</v>
      </c>
      <c r="L540" s="3">
        <f>VLOOKUP(TRIM(Table1[[#This Row],[Provider Specialty]]) &amp; TRIM(Table1[[#This Row],[Provider Specialty Description]]), SPECIALTY_TYPE, 2, FALSE)</f>
        <v>2079</v>
      </c>
      <c r="M540" s="3" t="s">
        <v>18</v>
      </c>
      <c r="N540" s="27" t="s">
        <v>19</v>
      </c>
      <c r="O540" s="38">
        <f>VLOOKUP(TRIM(Table1[[#This Row],[Provider Specialty]]) &amp; TRIM(Table1[[#This Row],[Provider Specialty Description]]), SPECIALTY_TYPE, 2, FALSE)</f>
        <v>2079</v>
      </c>
      <c r="P540" s="3" t="str">
        <f>Table1[[#This Row],[Provider Type]] &amp; "+" &amp; Table1[[#This Row],[Provider Type Description]]</f>
        <v>33+Single-Specialty</v>
      </c>
      <c r="Q540" s="7" t="str">
        <f>Table1[[#This Row],[Provider Specialty]] &amp; "+" &amp; Table1[[#This Row],[Provider Specialty Description]]</f>
        <v>318+General Practitioner</v>
      </c>
      <c r="R540" s="7" t="str">
        <f>Table1[[#This Row],[PDMS Specialty Type ID]] &amp; "+" &amp; Table1[[#This Row],[PDMS Provider Type ID]] &amp; "+" &amp;Table1[[#This Row],[TAXONOMY]]</f>
        <v>2079+51+2083P0011X</v>
      </c>
      <c r="S5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(9519, 2079, 51, N'2083P0011X', N'Preventive Medicine - - Undersea and Hyperbaric Medicine')</v>
      </c>
    </row>
    <row r="541" spans="1:19" ht="47.25" hidden="1" customHeight="1" x14ac:dyDescent="0.25">
      <c r="A541" s="22" t="s">
        <v>1855</v>
      </c>
      <c r="B541" s="3" t="s">
        <v>988</v>
      </c>
      <c r="C541" s="3" t="s">
        <v>1319</v>
      </c>
      <c r="D541" s="3" t="s">
        <v>1325</v>
      </c>
      <c r="E541" s="3" t="s">
        <v>1326</v>
      </c>
      <c r="F541" s="3">
        <f>VLOOKUP(Table1[[#This Row],[Column2]], TAXONOMY_TYPE, 2, FALSE)</f>
        <v>9520</v>
      </c>
      <c r="G541" s="3">
        <v>31</v>
      </c>
      <c r="H541" s="3" t="s">
        <v>991</v>
      </c>
      <c r="I541" s="3">
        <f>VLOOKUP(Table1[[#This Row],[Provider Type]] &amp; Table1[[#This Row],[Provider Type Description]], PROVIDER_TYPE, 2, FALSE)</f>
        <v>114</v>
      </c>
      <c r="J541" s="3">
        <v>318</v>
      </c>
      <c r="K541" s="3" t="s">
        <v>1322</v>
      </c>
      <c r="L541" s="3">
        <f>VLOOKUP(TRIM(Table1[[#This Row],[Provider Specialty]]) &amp; TRIM(Table1[[#This Row],[Provider Specialty Description]]), SPECIALTY_TYPE, 2, FALSE)</f>
        <v>2079</v>
      </c>
      <c r="M541" s="3" t="s">
        <v>19</v>
      </c>
      <c r="N541" s="27" t="s">
        <v>19</v>
      </c>
      <c r="O541" s="38">
        <f>VLOOKUP(TRIM(Table1[[#This Row],[Provider Specialty]]) &amp; TRIM(Table1[[#This Row],[Provider Specialty Description]]), SPECIALTY_TYPE, 2, FALSE)</f>
        <v>2079</v>
      </c>
      <c r="P541" s="3" t="str">
        <f>Table1[[#This Row],[Provider Type]] &amp; "+" &amp; Table1[[#This Row],[Provider Type Description]]</f>
        <v>31+Physician</v>
      </c>
      <c r="Q541" s="7" t="str">
        <f>Table1[[#This Row],[Provider Specialty]] &amp; "+" &amp; Table1[[#This Row],[Provider Specialty Description]]</f>
        <v>318+General Practitioner</v>
      </c>
      <c r="R541" s="7" t="str">
        <f>Table1[[#This Row],[PDMS Specialty Type ID]] &amp; "+" &amp; Table1[[#This Row],[PDMS Provider Type ID]] &amp; "+" &amp;Table1[[#This Row],[TAXONOMY]]</f>
        <v>2079+114+2083P0500X</v>
      </c>
      <c r="S5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(9520, 2079, 114, N'2083P0500X', N'Preventive Medicine - - Preventive Medicine/Occupational Environmental Medicine')</v>
      </c>
    </row>
    <row r="542" spans="1:19" ht="47.25" hidden="1" customHeight="1" x14ac:dyDescent="0.25">
      <c r="A542" s="22" t="s">
        <v>1854</v>
      </c>
      <c r="B542" s="3" t="s">
        <v>988</v>
      </c>
      <c r="C542" s="3" t="s">
        <v>1319</v>
      </c>
      <c r="D542" s="3" t="s">
        <v>1325</v>
      </c>
      <c r="E542" s="3" t="s">
        <v>1326</v>
      </c>
      <c r="F542" s="3">
        <f>VLOOKUP(Table1[[#This Row],[Column2]], TAXONOMY_TYPE, 2, FALSE)</f>
        <v>9521</v>
      </c>
      <c r="G542" s="3">
        <v>32</v>
      </c>
      <c r="H542" s="3" t="s">
        <v>1444</v>
      </c>
      <c r="I542" s="3">
        <f>VLOOKUP(Table1[[#This Row],[Provider Type]] &amp; Table1[[#This Row],[Provider Type Description]], PROVIDER_TYPE, 2, FALSE)</f>
        <v>50</v>
      </c>
      <c r="J542" s="3">
        <v>318</v>
      </c>
      <c r="K542" s="3" t="s">
        <v>1322</v>
      </c>
      <c r="L542" s="3">
        <f>VLOOKUP(TRIM(Table1[[#This Row],[Provider Specialty]]) &amp; TRIM(Table1[[#This Row],[Provider Specialty Description]]), SPECIALTY_TYPE, 2, FALSE)</f>
        <v>2079</v>
      </c>
      <c r="M542" s="3" t="s">
        <v>18</v>
      </c>
      <c r="N542" s="27" t="s">
        <v>19</v>
      </c>
      <c r="O542" s="38">
        <f>VLOOKUP(TRIM(Table1[[#This Row],[Provider Specialty]]) &amp; TRIM(Table1[[#This Row],[Provider Specialty Description]]), SPECIALTY_TYPE, 2, FALSE)</f>
        <v>2079</v>
      </c>
      <c r="P542" s="3" t="str">
        <f>Table1[[#This Row],[Provider Type]] &amp; "+" &amp; Table1[[#This Row],[Provider Type Description]]</f>
        <v>32+Multi-Specialty</v>
      </c>
      <c r="Q542" s="7" t="str">
        <f>Table1[[#This Row],[Provider Specialty]] &amp; "+" &amp; Table1[[#This Row],[Provider Specialty Description]]</f>
        <v>318+General Practitioner</v>
      </c>
      <c r="R542" s="7" t="str">
        <f>Table1[[#This Row],[PDMS Specialty Type ID]] &amp; "+" &amp; Table1[[#This Row],[PDMS Provider Type ID]] &amp; "+" &amp;Table1[[#This Row],[TAXONOMY]]</f>
        <v>2079+50+2083P0500X</v>
      </c>
      <c r="S5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(9521, 2079, 50, N'2083P0500X', N'Preventive Medicine - - Preventive Medicine/Occupational Environmental Medicine')</v>
      </c>
    </row>
    <row r="543" spans="1:19" ht="47.25" hidden="1" customHeight="1" x14ac:dyDescent="0.25">
      <c r="A543" s="22" t="s">
        <v>1854</v>
      </c>
      <c r="B543" s="3" t="s">
        <v>988</v>
      </c>
      <c r="C543" s="3" t="s">
        <v>1319</v>
      </c>
      <c r="D543" s="3" t="s">
        <v>1325</v>
      </c>
      <c r="E543" s="3" t="s">
        <v>1326</v>
      </c>
      <c r="F543" s="3">
        <f>VLOOKUP(Table1[[#This Row],[Column2]], TAXONOMY_TYPE, 2, FALSE)</f>
        <v>9522</v>
      </c>
      <c r="G543" s="3">
        <v>33</v>
      </c>
      <c r="H543" s="3" t="s">
        <v>1953</v>
      </c>
      <c r="I543" s="3">
        <f>VLOOKUP(Table1[[#This Row],[Provider Type]] &amp; Table1[[#This Row],[Provider Type Description]], PROVIDER_TYPE, 2, FALSE)</f>
        <v>51</v>
      </c>
      <c r="J543" s="3">
        <v>318</v>
      </c>
      <c r="K543" s="3" t="s">
        <v>1322</v>
      </c>
      <c r="L543" s="3">
        <f>VLOOKUP(TRIM(Table1[[#This Row],[Provider Specialty]]) &amp; TRIM(Table1[[#This Row],[Provider Specialty Description]]), SPECIALTY_TYPE, 2, FALSE)</f>
        <v>2079</v>
      </c>
      <c r="M543" s="3" t="s">
        <v>18</v>
      </c>
      <c r="N543" s="27" t="s">
        <v>19</v>
      </c>
      <c r="O543" s="38">
        <f>VLOOKUP(TRIM(Table1[[#This Row],[Provider Specialty]]) &amp; TRIM(Table1[[#This Row],[Provider Specialty Description]]), SPECIALTY_TYPE, 2, FALSE)</f>
        <v>2079</v>
      </c>
      <c r="P543" s="3" t="str">
        <f>Table1[[#This Row],[Provider Type]] &amp; "+" &amp; Table1[[#This Row],[Provider Type Description]]</f>
        <v>33+Single-Specialty</v>
      </c>
      <c r="Q543" s="7" t="str">
        <f>Table1[[#This Row],[Provider Specialty]] &amp; "+" &amp; Table1[[#This Row],[Provider Specialty Description]]</f>
        <v>318+General Practitioner</v>
      </c>
      <c r="R543" s="7" t="str">
        <f>Table1[[#This Row],[PDMS Specialty Type ID]] &amp; "+" &amp; Table1[[#This Row],[PDMS Provider Type ID]] &amp; "+" &amp;Table1[[#This Row],[TAXONOMY]]</f>
        <v>2079+51+2083P0500X</v>
      </c>
      <c r="S5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(9522, 2079, 51, N'2083P0500X', N'Preventive Medicine - - Preventive Medicine/Occupational Environmental Medicine')</v>
      </c>
    </row>
    <row r="544" spans="1:19" ht="47.25" hidden="1" customHeight="1" x14ac:dyDescent="0.25">
      <c r="A544" s="22" t="s">
        <v>1855</v>
      </c>
      <c r="B544" s="3" t="s">
        <v>988</v>
      </c>
      <c r="C544" s="3" t="s">
        <v>1319</v>
      </c>
      <c r="D544" s="3" t="s">
        <v>1327</v>
      </c>
      <c r="E544" s="3" t="s">
        <v>1328</v>
      </c>
      <c r="F544" s="3">
        <f>VLOOKUP(Table1[[#This Row],[Column2]], TAXONOMY_TYPE, 2, FALSE)</f>
        <v>9523</v>
      </c>
      <c r="G544" s="3">
        <v>31</v>
      </c>
      <c r="H544" s="3" t="s">
        <v>991</v>
      </c>
      <c r="I544" s="3">
        <f>VLOOKUP(Table1[[#This Row],[Provider Type]] &amp; Table1[[#This Row],[Provider Type Description]], PROVIDER_TYPE, 2, FALSE)</f>
        <v>114</v>
      </c>
      <c r="J544" s="3">
        <v>318</v>
      </c>
      <c r="K544" s="3" t="s">
        <v>1322</v>
      </c>
      <c r="L544" s="3">
        <f>VLOOKUP(TRIM(Table1[[#This Row],[Provider Specialty]]) &amp; TRIM(Table1[[#This Row],[Provider Specialty Description]]), SPECIALTY_TYPE, 2, FALSE)</f>
        <v>2079</v>
      </c>
      <c r="M544" s="3" t="s">
        <v>19</v>
      </c>
      <c r="N544" s="27" t="s">
        <v>19</v>
      </c>
      <c r="O544" s="38">
        <f>VLOOKUP(TRIM(Table1[[#This Row],[Provider Specialty]]) &amp; TRIM(Table1[[#This Row],[Provider Specialty Description]]), SPECIALTY_TYPE, 2, FALSE)</f>
        <v>2079</v>
      </c>
      <c r="P544" s="3" t="str">
        <f>Table1[[#This Row],[Provider Type]] &amp; "+" &amp; Table1[[#This Row],[Provider Type Description]]</f>
        <v>31+Physician</v>
      </c>
      <c r="Q544" s="7" t="str">
        <f>Table1[[#This Row],[Provider Specialty]] &amp; "+" &amp; Table1[[#This Row],[Provider Specialty Description]]</f>
        <v>318+General Practitioner</v>
      </c>
      <c r="R544" s="7" t="str">
        <f>Table1[[#This Row],[PDMS Specialty Type ID]] &amp; "+" &amp; Table1[[#This Row],[PDMS Provider Type ID]] &amp; "+" &amp;Table1[[#This Row],[TAXONOMY]]</f>
        <v>2079+114+2083P0901X</v>
      </c>
      <c r="S5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(9523, 2079, 114, N'2083P0901X', N'Preventive Medicine - - Public Health &amp; General Preventive Medicine')</v>
      </c>
    </row>
    <row r="545" spans="1:19" ht="47.25" hidden="1" customHeight="1" x14ac:dyDescent="0.25">
      <c r="A545" s="22" t="s">
        <v>1854</v>
      </c>
      <c r="B545" s="3" t="s">
        <v>988</v>
      </c>
      <c r="C545" s="3" t="s">
        <v>1319</v>
      </c>
      <c r="D545" s="3" t="s">
        <v>1327</v>
      </c>
      <c r="E545" s="3" t="s">
        <v>1328</v>
      </c>
      <c r="F545" s="3">
        <f>VLOOKUP(Table1[[#This Row],[Column2]], TAXONOMY_TYPE, 2, FALSE)</f>
        <v>9524</v>
      </c>
      <c r="G545" s="3">
        <v>32</v>
      </c>
      <c r="H545" s="3" t="s">
        <v>1444</v>
      </c>
      <c r="I545" s="3">
        <f>VLOOKUP(Table1[[#This Row],[Provider Type]] &amp; Table1[[#This Row],[Provider Type Description]], PROVIDER_TYPE, 2, FALSE)</f>
        <v>50</v>
      </c>
      <c r="J545" s="3">
        <v>318</v>
      </c>
      <c r="K545" s="3" t="s">
        <v>1322</v>
      </c>
      <c r="L545" s="3">
        <f>VLOOKUP(TRIM(Table1[[#This Row],[Provider Specialty]]) &amp; TRIM(Table1[[#This Row],[Provider Specialty Description]]), SPECIALTY_TYPE, 2, FALSE)</f>
        <v>2079</v>
      </c>
      <c r="M545" s="3" t="s">
        <v>18</v>
      </c>
      <c r="N545" s="27" t="s">
        <v>19</v>
      </c>
      <c r="O545" s="38">
        <f>VLOOKUP(TRIM(Table1[[#This Row],[Provider Specialty]]) &amp; TRIM(Table1[[#This Row],[Provider Specialty Description]]), SPECIALTY_TYPE, 2, FALSE)</f>
        <v>2079</v>
      </c>
      <c r="P545" s="3" t="str">
        <f>Table1[[#This Row],[Provider Type]] &amp; "+" &amp; Table1[[#This Row],[Provider Type Description]]</f>
        <v>32+Multi-Specialty</v>
      </c>
      <c r="Q545" s="7" t="str">
        <f>Table1[[#This Row],[Provider Specialty]] &amp; "+" &amp; Table1[[#This Row],[Provider Specialty Description]]</f>
        <v>318+General Practitioner</v>
      </c>
      <c r="R545" s="7" t="str">
        <f>Table1[[#This Row],[PDMS Specialty Type ID]] &amp; "+" &amp; Table1[[#This Row],[PDMS Provider Type ID]] &amp; "+" &amp;Table1[[#This Row],[TAXONOMY]]</f>
        <v>2079+50+2083P0901X</v>
      </c>
      <c r="S5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(9524, 2079, 50, N'2083P0901X', N'Preventive Medicine - - Public Health &amp; General Preventive Medicine')</v>
      </c>
    </row>
    <row r="546" spans="1:19" ht="47.25" hidden="1" customHeight="1" x14ac:dyDescent="0.25">
      <c r="A546" s="22" t="s">
        <v>1854</v>
      </c>
      <c r="B546" s="3" t="s">
        <v>988</v>
      </c>
      <c r="C546" s="3" t="s">
        <v>1319</v>
      </c>
      <c r="D546" s="3" t="s">
        <v>1327</v>
      </c>
      <c r="E546" s="3" t="s">
        <v>1328</v>
      </c>
      <c r="F546" s="3">
        <f>VLOOKUP(Table1[[#This Row],[Column2]], TAXONOMY_TYPE, 2, FALSE)</f>
        <v>9525</v>
      </c>
      <c r="G546" s="3">
        <v>33</v>
      </c>
      <c r="H546" s="3" t="s">
        <v>1953</v>
      </c>
      <c r="I546" s="3">
        <f>VLOOKUP(Table1[[#This Row],[Provider Type]] &amp; Table1[[#This Row],[Provider Type Description]], PROVIDER_TYPE, 2, FALSE)</f>
        <v>51</v>
      </c>
      <c r="J546" s="3">
        <v>318</v>
      </c>
      <c r="K546" s="3" t="s">
        <v>1322</v>
      </c>
      <c r="L546" s="3">
        <f>VLOOKUP(TRIM(Table1[[#This Row],[Provider Specialty]]) &amp; TRIM(Table1[[#This Row],[Provider Specialty Description]]), SPECIALTY_TYPE, 2, FALSE)</f>
        <v>2079</v>
      </c>
      <c r="M546" s="3" t="s">
        <v>18</v>
      </c>
      <c r="N546" s="27" t="s">
        <v>19</v>
      </c>
      <c r="O546" s="38">
        <f>VLOOKUP(TRIM(Table1[[#This Row],[Provider Specialty]]) &amp; TRIM(Table1[[#This Row],[Provider Specialty Description]]), SPECIALTY_TYPE, 2, FALSE)</f>
        <v>2079</v>
      </c>
      <c r="P546" s="3" t="str">
        <f>Table1[[#This Row],[Provider Type]] &amp; "+" &amp; Table1[[#This Row],[Provider Type Description]]</f>
        <v>33+Single-Specialty</v>
      </c>
      <c r="Q546" s="7" t="str">
        <f>Table1[[#This Row],[Provider Specialty]] &amp; "+" &amp; Table1[[#This Row],[Provider Specialty Description]]</f>
        <v>318+General Practitioner</v>
      </c>
      <c r="R546" s="7" t="str">
        <f>Table1[[#This Row],[PDMS Specialty Type ID]] &amp; "+" &amp; Table1[[#This Row],[PDMS Provider Type ID]] &amp; "+" &amp;Table1[[#This Row],[TAXONOMY]]</f>
        <v>2079+51+2083P0901X</v>
      </c>
      <c r="S5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(9525, 2079, 51, N'2083P0901X', N'Preventive Medicine - - Public Health &amp; General Preventive Medicine')</v>
      </c>
    </row>
    <row r="547" spans="1:19" ht="47.25" hidden="1" customHeight="1" x14ac:dyDescent="0.25">
      <c r="A547" s="22" t="s">
        <v>1855</v>
      </c>
      <c r="B547" s="3" t="s">
        <v>988</v>
      </c>
      <c r="C547" s="3" t="s">
        <v>1319</v>
      </c>
      <c r="D547" s="3" t="s">
        <v>566</v>
      </c>
      <c r="E547" s="3" t="s">
        <v>1329</v>
      </c>
      <c r="F547" s="3">
        <f>VLOOKUP(Table1[[#This Row],[Column2]], TAXONOMY_TYPE, 2, FALSE)</f>
        <v>9526</v>
      </c>
      <c r="G547" s="3">
        <v>31</v>
      </c>
      <c r="H547" s="3" t="s">
        <v>991</v>
      </c>
      <c r="I547" s="3">
        <f>VLOOKUP(Table1[[#This Row],[Provider Type]] &amp; Table1[[#This Row],[Provider Type Description]], PROVIDER_TYPE, 2, FALSE)</f>
        <v>114</v>
      </c>
      <c r="J547" s="3">
        <v>318</v>
      </c>
      <c r="K547" s="3" t="s">
        <v>1322</v>
      </c>
      <c r="L547" s="3">
        <f>VLOOKUP(TRIM(Table1[[#This Row],[Provider Specialty]]) &amp; TRIM(Table1[[#This Row],[Provider Specialty Description]]), SPECIALTY_TYPE, 2, FALSE)</f>
        <v>2079</v>
      </c>
      <c r="M547" s="3" t="s">
        <v>19</v>
      </c>
      <c r="N547" s="27" t="s">
        <v>19</v>
      </c>
      <c r="O547" s="38">
        <f>VLOOKUP(TRIM(Table1[[#This Row],[Provider Specialty]]) &amp; TRIM(Table1[[#This Row],[Provider Specialty Description]]), SPECIALTY_TYPE, 2, FALSE)</f>
        <v>2079</v>
      </c>
      <c r="P547" s="3" t="str">
        <f>Table1[[#This Row],[Provider Type]] &amp; "+" &amp; Table1[[#This Row],[Provider Type Description]]</f>
        <v>31+Physician</v>
      </c>
      <c r="Q547" s="7" t="str">
        <f>Table1[[#This Row],[Provider Specialty]] &amp; "+" &amp; Table1[[#This Row],[Provider Specialty Description]]</f>
        <v>318+General Practitioner</v>
      </c>
      <c r="R547" s="7" t="str">
        <f>Table1[[#This Row],[PDMS Specialty Type ID]] &amp; "+" &amp; Table1[[#This Row],[PDMS Provider Type ID]] &amp; "+" &amp;Table1[[#This Row],[TAXONOMY]]</f>
        <v>2079+114+2083S0010X</v>
      </c>
      <c r="S5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(9526, 2079, 114, N'2083S0010X', N'Preventive Medicine - - Sports Medicine')</v>
      </c>
    </row>
    <row r="548" spans="1:19" ht="47.25" hidden="1" customHeight="1" x14ac:dyDescent="0.25">
      <c r="A548" s="22" t="s">
        <v>1854</v>
      </c>
      <c r="B548" s="3" t="s">
        <v>988</v>
      </c>
      <c r="C548" s="3" t="s">
        <v>1319</v>
      </c>
      <c r="D548" s="3" t="s">
        <v>566</v>
      </c>
      <c r="E548" s="3" t="s">
        <v>1329</v>
      </c>
      <c r="F548" s="3">
        <f>VLOOKUP(Table1[[#This Row],[Column2]], TAXONOMY_TYPE, 2, FALSE)</f>
        <v>9527</v>
      </c>
      <c r="G548" s="3">
        <v>32</v>
      </c>
      <c r="H548" s="3" t="s">
        <v>1444</v>
      </c>
      <c r="I548" s="3">
        <f>VLOOKUP(Table1[[#This Row],[Provider Type]] &amp; Table1[[#This Row],[Provider Type Description]], PROVIDER_TYPE, 2, FALSE)</f>
        <v>50</v>
      </c>
      <c r="J548" s="3">
        <v>318</v>
      </c>
      <c r="K548" s="3" t="s">
        <v>1322</v>
      </c>
      <c r="L548" s="3">
        <f>VLOOKUP(TRIM(Table1[[#This Row],[Provider Specialty]]) &amp; TRIM(Table1[[#This Row],[Provider Specialty Description]]), SPECIALTY_TYPE, 2, FALSE)</f>
        <v>2079</v>
      </c>
      <c r="M548" s="3" t="s">
        <v>18</v>
      </c>
      <c r="N548" s="27" t="s">
        <v>19</v>
      </c>
      <c r="O548" s="38">
        <f>VLOOKUP(TRIM(Table1[[#This Row],[Provider Specialty]]) &amp; TRIM(Table1[[#This Row],[Provider Specialty Description]]), SPECIALTY_TYPE, 2, FALSE)</f>
        <v>2079</v>
      </c>
      <c r="P548" s="3" t="str">
        <f>Table1[[#This Row],[Provider Type]] &amp; "+" &amp; Table1[[#This Row],[Provider Type Description]]</f>
        <v>32+Multi-Specialty</v>
      </c>
      <c r="Q548" s="7" t="str">
        <f>Table1[[#This Row],[Provider Specialty]] &amp; "+" &amp; Table1[[#This Row],[Provider Specialty Description]]</f>
        <v>318+General Practitioner</v>
      </c>
      <c r="R548" s="7" t="str">
        <f>Table1[[#This Row],[PDMS Specialty Type ID]] &amp; "+" &amp; Table1[[#This Row],[PDMS Provider Type ID]] &amp; "+" &amp;Table1[[#This Row],[TAXONOMY]]</f>
        <v>2079+50+2083S0010X</v>
      </c>
      <c r="S5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(9527, 2079, 50, N'2083S0010X', N'Preventive Medicine - - Sports Medicine')</v>
      </c>
    </row>
    <row r="549" spans="1:19" ht="47.25" hidden="1" customHeight="1" x14ac:dyDescent="0.25">
      <c r="A549" s="22" t="s">
        <v>1854</v>
      </c>
      <c r="B549" s="3" t="s">
        <v>988</v>
      </c>
      <c r="C549" s="3" t="s">
        <v>1319</v>
      </c>
      <c r="D549" s="3" t="s">
        <v>566</v>
      </c>
      <c r="E549" s="3" t="s">
        <v>1329</v>
      </c>
      <c r="F549" s="3">
        <f>VLOOKUP(Table1[[#This Row],[Column2]], TAXONOMY_TYPE, 2, FALSE)</f>
        <v>9528</v>
      </c>
      <c r="G549" s="3">
        <v>33</v>
      </c>
      <c r="H549" s="3" t="s">
        <v>1953</v>
      </c>
      <c r="I549" s="3">
        <f>VLOOKUP(Table1[[#This Row],[Provider Type]] &amp; Table1[[#This Row],[Provider Type Description]], PROVIDER_TYPE, 2, FALSE)</f>
        <v>51</v>
      </c>
      <c r="J549" s="3">
        <v>318</v>
      </c>
      <c r="K549" s="3" t="s">
        <v>1322</v>
      </c>
      <c r="L549" s="3">
        <f>VLOOKUP(TRIM(Table1[[#This Row],[Provider Specialty]]) &amp; TRIM(Table1[[#This Row],[Provider Specialty Description]]), SPECIALTY_TYPE, 2, FALSE)</f>
        <v>2079</v>
      </c>
      <c r="M549" s="3" t="s">
        <v>18</v>
      </c>
      <c r="N549" s="27" t="s">
        <v>19</v>
      </c>
      <c r="O549" s="38">
        <f>VLOOKUP(TRIM(Table1[[#This Row],[Provider Specialty]]) &amp; TRIM(Table1[[#This Row],[Provider Specialty Description]]), SPECIALTY_TYPE, 2, FALSE)</f>
        <v>2079</v>
      </c>
      <c r="P549" s="3" t="str">
        <f>Table1[[#This Row],[Provider Type]] &amp; "+" &amp; Table1[[#This Row],[Provider Type Description]]</f>
        <v>33+Single-Specialty</v>
      </c>
      <c r="Q549" s="7" t="str">
        <f>Table1[[#This Row],[Provider Specialty]] &amp; "+" &amp; Table1[[#This Row],[Provider Specialty Description]]</f>
        <v>318+General Practitioner</v>
      </c>
      <c r="R549" s="7" t="str">
        <f>Table1[[#This Row],[PDMS Specialty Type ID]] &amp; "+" &amp; Table1[[#This Row],[PDMS Provider Type ID]] &amp; "+" &amp;Table1[[#This Row],[TAXONOMY]]</f>
        <v>2079+51+2083S0010X</v>
      </c>
      <c r="S5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(9528, 2079, 51, N'2083S0010X', N'Preventive Medicine - - Sports Medicine')</v>
      </c>
    </row>
    <row r="550" spans="1:19" ht="47.25" hidden="1" customHeight="1" x14ac:dyDescent="0.25">
      <c r="A550" s="22" t="s">
        <v>1855</v>
      </c>
      <c r="B550" s="3" t="s">
        <v>988</v>
      </c>
      <c r="C550" s="3" t="s">
        <v>1319</v>
      </c>
      <c r="D550" s="3" t="s">
        <v>1297</v>
      </c>
      <c r="E550" s="3" t="s">
        <v>1330</v>
      </c>
      <c r="F550" s="3">
        <f>VLOOKUP(Table1[[#This Row],[Column2]], TAXONOMY_TYPE, 2, FALSE)</f>
        <v>9529</v>
      </c>
      <c r="G550" s="3">
        <v>31</v>
      </c>
      <c r="H550" s="3" t="s">
        <v>991</v>
      </c>
      <c r="I550" s="3">
        <f>VLOOKUP(Table1[[#This Row],[Provider Type]] &amp; Table1[[#This Row],[Provider Type Description]], PROVIDER_TYPE, 2, FALSE)</f>
        <v>114</v>
      </c>
      <c r="J550" s="3">
        <v>318</v>
      </c>
      <c r="K550" s="3" t="s">
        <v>1322</v>
      </c>
      <c r="L550" s="3">
        <f>VLOOKUP(TRIM(Table1[[#This Row],[Provider Specialty]]) &amp; TRIM(Table1[[#This Row],[Provider Specialty Description]]), SPECIALTY_TYPE, 2, FALSE)</f>
        <v>2079</v>
      </c>
      <c r="M550" s="3" t="s">
        <v>19</v>
      </c>
      <c r="N550" s="27" t="s">
        <v>19</v>
      </c>
      <c r="O550" s="38">
        <f>VLOOKUP(TRIM(Table1[[#This Row],[Provider Specialty]]) &amp; TRIM(Table1[[#This Row],[Provider Specialty Description]]), SPECIALTY_TYPE, 2, FALSE)</f>
        <v>2079</v>
      </c>
      <c r="P550" s="3" t="str">
        <f>Table1[[#This Row],[Provider Type]] &amp; "+" &amp; Table1[[#This Row],[Provider Type Description]]</f>
        <v>31+Physician</v>
      </c>
      <c r="Q550" s="7" t="str">
        <f>Table1[[#This Row],[Provider Specialty]] &amp; "+" &amp; Table1[[#This Row],[Provider Specialty Description]]</f>
        <v>318+General Practitioner</v>
      </c>
      <c r="R550" s="7" t="str">
        <f>Table1[[#This Row],[PDMS Specialty Type ID]] &amp; "+" &amp; Table1[[#This Row],[PDMS Provider Type ID]] &amp; "+" &amp;Table1[[#This Row],[TAXONOMY]]</f>
        <v>2079+114+2083T0002X</v>
      </c>
      <c r="S5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(9529, 2079, 114, N'2083T0002X', N'Preventive Medicine - - Medical Toxicology')</v>
      </c>
    </row>
    <row r="551" spans="1:19" ht="47.25" hidden="1" customHeight="1" x14ac:dyDescent="0.25">
      <c r="A551" s="22" t="s">
        <v>1854</v>
      </c>
      <c r="B551" s="3" t="s">
        <v>988</v>
      </c>
      <c r="C551" s="3" t="s">
        <v>1319</v>
      </c>
      <c r="D551" s="3" t="s">
        <v>1297</v>
      </c>
      <c r="E551" s="3" t="s">
        <v>1330</v>
      </c>
      <c r="F551" s="3">
        <f>VLOOKUP(Table1[[#This Row],[Column2]], TAXONOMY_TYPE, 2, FALSE)</f>
        <v>9530</v>
      </c>
      <c r="G551" s="3">
        <v>32</v>
      </c>
      <c r="H551" s="3" t="s">
        <v>1444</v>
      </c>
      <c r="I551" s="3">
        <f>VLOOKUP(Table1[[#This Row],[Provider Type]] &amp; Table1[[#This Row],[Provider Type Description]], PROVIDER_TYPE, 2, FALSE)</f>
        <v>50</v>
      </c>
      <c r="J551" s="3">
        <v>318</v>
      </c>
      <c r="K551" s="3" t="s">
        <v>1322</v>
      </c>
      <c r="L551" s="3">
        <f>VLOOKUP(TRIM(Table1[[#This Row],[Provider Specialty]]) &amp; TRIM(Table1[[#This Row],[Provider Specialty Description]]), SPECIALTY_TYPE, 2, FALSE)</f>
        <v>2079</v>
      </c>
      <c r="M551" s="3" t="s">
        <v>18</v>
      </c>
      <c r="N551" s="27" t="s">
        <v>19</v>
      </c>
      <c r="O551" s="38">
        <f>VLOOKUP(TRIM(Table1[[#This Row],[Provider Specialty]]) &amp; TRIM(Table1[[#This Row],[Provider Specialty Description]]), SPECIALTY_TYPE, 2, FALSE)</f>
        <v>2079</v>
      </c>
      <c r="P551" s="3" t="str">
        <f>Table1[[#This Row],[Provider Type]] &amp; "+" &amp; Table1[[#This Row],[Provider Type Description]]</f>
        <v>32+Multi-Specialty</v>
      </c>
      <c r="Q551" s="7" t="str">
        <f>Table1[[#This Row],[Provider Specialty]] &amp; "+" &amp; Table1[[#This Row],[Provider Specialty Description]]</f>
        <v>318+General Practitioner</v>
      </c>
      <c r="R551" s="7" t="str">
        <f>Table1[[#This Row],[PDMS Specialty Type ID]] &amp; "+" &amp; Table1[[#This Row],[PDMS Provider Type ID]] &amp; "+" &amp;Table1[[#This Row],[TAXONOMY]]</f>
        <v>2079+50+2083T0002X</v>
      </c>
      <c r="S5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(9530, 2079, 50, N'2083T0002X', N'Preventive Medicine - - Medical Toxicology')</v>
      </c>
    </row>
    <row r="552" spans="1:19" ht="47.25" hidden="1" customHeight="1" x14ac:dyDescent="0.25">
      <c r="A552" s="22" t="s">
        <v>1854</v>
      </c>
      <c r="B552" s="3" t="s">
        <v>988</v>
      </c>
      <c r="C552" s="3" t="s">
        <v>1319</v>
      </c>
      <c r="D552" s="3" t="s">
        <v>1297</v>
      </c>
      <c r="E552" s="3" t="s">
        <v>1330</v>
      </c>
      <c r="F552" s="3">
        <f>VLOOKUP(Table1[[#This Row],[Column2]], TAXONOMY_TYPE, 2, FALSE)</f>
        <v>9531</v>
      </c>
      <c r="G552" s="3">
        <v>33</v>
      </c>
      <c r="H552" s="3" t="s">
        <v>1953</v>
      </c>
      <c r="I552" s="3">
        <f>VLOOKUP(Table1[[#This Row],[Provider Type]] &amp; Table1[[#This Row],[Provider Type Description]], PROVIDER_TYPE, 2, FALSE)</f>
        <v>51</v>
      </c>
      <c r="J552" s="3">
        <v>318</v>
      </c>
      <c r="K552" s="3" t="s">
        <v>1322</v>
      </c>
      <c r="L552" s="3">
        <f>VLOOKUP(TRIM(Table1[[#This Row],[Provider Specialty]]) &amp; TRIM(Table1[[#This Row],[Provider Specialty Description]]), SPECIALTY_TYPE, 2, FALSE)</f>
        <v>2079</v>
      </c>
      <c r="M552" s="3" t="s">
        <v>18</v>
      </c>
      <c r="N552" s="27" t="s">
        <v>19</v>
      </c>
      <c r="O552" s="38">
        <f>VLOOKUP(TRIM(Table1[[#This Row],[Provider Specialty]]) &amp; TRIM(Table1[[#This Row],[Provider Specialty Description]]), SPECIALTY_TYPE, 2, FALSE)</f>
        <v>2079</v>
      </c>
      <c r="P552" s="3" t="str">
        <f>Table1[[#This Row],[Provider Type]] &amp; "+" &amp; Table1[[#This Row],[Provider Type Description]]</f>
        <v>33+Single-Specialty</v>
      </c>
      <c r="Q552" s="7" t="str">
        <f>Table1[[#This Row],[Provider Specialty]] &amp; "+" &amp; Table1[[#This Row],[Provider Specialty Description]]</f>
        <v>318+General Practitioner</v>
      </c>
      <c r="R552" s="7" t="str">
        <f>Table1[[#This Row],[PDMS Specialty Type ID]] &amp; "+" &amp; Table1[[#This Row],[PDMS Provider Type ID]] &amp; "+" &amp;Table1[[#This Row],[TAXONOMY]]</f>
        <v>2079+51+2083T0002X</v>
      </c>
      <c r="S5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(9531, 2079, 51, N'2083T0002X', N'Preventive Medicine - - Medical Toxicology')</v>
      </c>
    </row>
    <row r="553" spans="1:19" ht="47.25" hidden="1" customHeight="1" x14ac:dyDescent="0.25">
      <c r="A553" s="22" t="s">
        <v>1855</v>
      </c>
      <c r="B553" s="3" t="s">
        <v>988</v>
      </c>
      <c r="C553" s="3" t="s">
        <v>1319</v>
      </c>
      <c r="D553" s="3" t="s">
        <v>317</v>
      </c>
      <c r="E553" s="3" t="s">
        <v>1331</v>
      </c>
      <c r="F553" s="3">
        <f>VLOOKUP(Table1[[#This Row],[Column2]], TAXONOMY_TYPE, 2, FALSE)</f>
        <v>9532</v>
      </c>
      <c r="G553" s="3">
        <v>31</v>
      </c>
      <c r="H553" s="3" t="s">
        <v>991</v>
      </c>
      <c r="I553" s="3">
        <f>VLOOKUP(Table1[[#This Row],[Provider Type]] &amp; Table1[[#This Row],[Provider Type Description]], PROVIDER_TYPE, 2, FALSE)</f>
        <v>114</v>
      </c>
      <c r="J553" s="3">
        <v>318</v>
      </c>
      <c r="K553" s="3" t="s">
        <v>1322</v>
      </c>
      <c r="L553" s="3">
        <f>VLOOKUP(TRIM(Table1[[#This Row],[Provider Specialty]]) &amp; TRIM(Table1[[#This Row],[Provider Specialty Description]]), SPECIALTY_TYPE, 2, FALSE)</f>
        <v>2079</v>
      </c>
      <c r="M553" s="3" t="s">
        <v>19</v>
      </c>
      <c r="N553" s="27" t="s">
        <v>19</v>
      </c>
      <c r="O553" s="38">
        <f>VLOOKUP(TRIM(Table1[[#This Row],[Provider Specialty]]) &amp; TRIM(Table1[[#This Row],[Provider Specialty Description]]), SPECIALTY_TYPE, 2, FALSE)</f>
        <v>2079</v>
      </c>
      <c r="P553" s="3" t="str">
        <f>Table1[[#This Row],[Provider Type]] &amp; "+" &amp; Table1[[#This Row],[Provider Type Description]]</f>
        <v>31+Physician</v>
      </c>
      <c r="Q553" s="7" t="str">
        <f>Table1[[#This Row],[Provider Specialty]] &amp; "+" &amp; Table1[[#This Row],[Provider Specialty Description]]</f>
        <v>318+General Practitioner</v>
      </c>
      <c r="R553" s="7" t="str">
        <f>Table1[[#This Row],[PDMS Specialty Type ID]] &amp; "+" &amp; Table1[[#This Row],[PDMS Provider Type ID]] &amp; "+" &amp;Table1[[#This Row],[TAXONOMY]]</f>
        <v>2079+114+2083X0100X</v>
      </c>
      <c r="S5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(9532, 2079, 114, N'2083X0100X', N'Preventive Medicine - - Occupational Medicine')</v>
      </c>
    </row>
    <row r="554" spans="1:19" ht="47.25" hidden="1" customHeight="1" x14ac:dyDescent="0.25">
      <c r="A554" s="22" t="s">
        <v>1854</v>
      </c>
      <c r="B554" s="3" t="s">
        <v>988</v>
      </c>
      <c r="C554" s="3" t="s">
        <v>1319</v>
      </c>
      <c r="D554" s="3" t="s">
        <v>317</v>
      </c>
      <c r="E554" s="3" t="s">
        <v>1331</v>
      </c>
      <c r="F554" s="3">
        <f>VLOOKUP(Table1[[#This Row],[Column2]], TAXONOMY_TYPE, 2, FALSE)</f>
        <v>9533</v>
      </c>
      <c r="G554" s="3">
        <v>32</v>
      </c>
      <c r="H554" s="3" t="s">
        <v>1444</v>
      </c>
      <c r="I554" s="3">
        <f>VLOOKUP(Table1[[#This Row],[Provider Type]] &amp; Table1[[#This Row],[Provider Type Description]], PROVIDER_TYPE, 2, FALSE)</f>
        <v>50</v>
      </c>
      <c r="J554" s="3">
        <v>318</v>
      </c>
      <c r="K554" s="3" t="s">
        <v>1322</v>
      </c>
      <c r="L554" s="3">
        <f>VLOOKUP(TRIM(Table1[[#This Row],[Provider Specialty]]) &amp; TRIM(Table1[[#This Row],[Provider Specialty Description]]), SPECIALTY_TYPE, 2, FALSE)</f>
        <v>2079</v>
      </c>
      <c r="M554" s="3" t="s">
        <v>18</v>
      </c>
      <c r="N554" s="27" t="s">
        <v>19</v>
      </c>
      <c r="O554" s="38">
        <f>VLOOKUP(TRIM(Table1[[#This Row],[Provider Specialty]]) &amp; TRIM(Table1[[#This Row],[Provider Specialty Description]]), SPECIALTY_TYPE, 2, FALSE)</f>
        <v>2079</v>
      </c>
      <c r="P554" s="3" t="str">
        <f>Table1[[#This Row],[Provider Type]] &amp; "+" &amp; Table1[[#This Row],[Provider Type Description]]</f>
        <v>32+Multi-Specialty</v>
      </c>
      <c r="Q554" s="7" t="str">
        <f>Table1[[#This Row],[Provider Specialty]] &amp; "+" &amp; Table1[[#This Row],[Provider Specialty Description]]</f>
        <v>318+General Practitioner</v>
      </c>
      <c r="R554" s="7" t="str">
        <f>Table1[[#This Row],[PDMS Specialty Type ID]] &amp; "+" &amp; Table1[[#This Row],[PDMS Provider Type ID]] &amp; "+" &amp;Table1[[#This Row],[TAXONOMY]]</f>
        <v>2079+50+2083X0100X</v>
      </c>
      <c r="S5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(9533, 2079, 50, N'2083X0100X', N'Preventive Medicine - - Occupational Medicine')</v>
      </c>
    </row>
    <row r="555" spans="1:19" ht="47.25" hidden="1" customHeight="1" x14ac:dyDescent="0.25">
      <c r="A555" s="22" t="s">
        <v>1854</v>
      </c>
      <c r="B555" s="3" t="s">
        <v>988</v>
      </c>
      <c r="C555" s="3" t="s">
        <v>1319</v>
      </c>
      <c r="D555" s="3" t="s">
        <v>317</v>
      </c>
      <c r="E555" s="3" t="s">
        <v>1331</v>
      </c>
      <c r="F555" s="3">
        <f>VLOOKUP(Table1[[#This Row],[Column2]], TAXONOMY_TYPE, 2, FALSE)</f>
        <v>9534</v>
      </c>
      <c r="G555" s="3">
        <v>33</v>
      </c>
      <c r="H555" s="3" t="s">
        <v>1953</v>
      </c>
      <c r="I555" s="3">
        <f>VLOOKUP(Table1[[#This Row],[Provider Type]] &amp; Table1[[#This Row],[Provider Type Description]], PROVIDER_TYPE, 2, FALSE)</f>
        <v>51</v>
      </c>
      <c r="J555" s="3">
        <v>318</v>
      </c>
      <c r="K555" s="3" t="s">
        <v>1322</v>
      </c>
      <c r="L555" s="3">
        <f>VLOOKUP(TRIM(Table1[[#This Row],[Provider Specialty]]) &amp; TRIM(Table1[[#This Row],[Provider Specialty Description]]), SPECIALTY_TYPE, 2, FALSE)</f>
        <v>2079</v>
      </c>
      <c r="M555" s="3" t="s">
        <v>18</v>
      </c>
      <c r="N555" s="27" t="s">
        <v>19</v>
      </c>
      <c r="O555" s="38">
        <f>VLOOKUP(TRIM(Table1[[#This Row],[Provider Specialty]]) &amp; TRIM(Table1[[#This Row],[Provider Specialty Description]]), SPECIALTY_TYPE, 2, FALSE)</f>
        <v>2079</v>
      </c>
      <c r="P555" s="3" t="str">
        <f>Table1[[#This Row],[Provider Type]] &amp; "+" &amp; Table1[[#This Row],[Provider Type Description]]</f>
        <v>33+Single-Specialty</v>
      </c>
      <c r="Q555" s="7" t="str">
        <f>Table1[[#This Row],[Provider Specialty]] &amp; "+" &amp; Table1[[#This Row],[Provider Specialty Description]]</f>
        <v>318+General Practitioner</v>
      </c>
      <c r="R555" s="7" t="str">
        <f>Table1[[#This Row],[PDMS Specialty Type ID]] &amp; "+" &amp; Table1[[#This Row],[PDMS Provider Type ID]] &amp; "+" &amp;Table1[[#This Row],[TAXONOMY]]</f>
        <v>2079+51+2083X0100X</v>
      </c>
      <c r="S5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(9534, 2079, 51, N'2083X0100X', N'Preventive Medicine - - Occupational Medicine')</v>
      </c>
    </row>
    <row r="556" spans="1:19" ht="47.25" hidden="1" customHeight="1" x14ac:dyDescent="0.25">
      <c r="A556" s="22" t="s">
        <v>1855</v>
      </c>
      <c r="B556" s="3" t="s">
        <v>988</v>
      </c>
      <c r="C556" s="3" t="s">
        <v>1408</v>
      </c>
      <c r="D556" s="3" t="s">
        <v>1408</v>
      </c>
      <c r="E556" s="3" t="s">
        <v>1409</v>
      </c>
      <c r="F556" s="3">
        <f>VLOOKUP(Table1[[#This Row],[Column2]], TAXONOMY_TYPE, 2, FALSE)</f>
        <v>9535</v>
      </c>
      <c r="G556" s="3">
        <v>31</v>
      </c>
      <c r="H556" s="3" t="s">
        <v>991</v>
      </c>
      <c r="I556" s="3">
        <f>VLOOKUP(Table1[[#This Row],[Provider Type]] &amp; Table1[[#This Row],[Provider Type Description]], PROVIDER_TYPE, 2, FALSE)</f>
        <v>114</v>
      </c>
      <c r="J556" s="3">
        <v>318</v>
      </c>
      <c r="K556" s="3" t="s">
        <v>1322</v>
      </c>
      <c r="L556" s="3">
        <f>VLOOKUP(TRIM(Table1[[#This Row],[Provider Specialty]]) &amp; TRIM(Table1[[#This Row],[Provider Specialty Description]]), SPECIALTY_TYPE, 2, FALSE)</f>
        <v>2079</v>
      </c>
      <c r="M556" s="3" t="s">
        <v>19</v>
      </c>
      <c r="N556" s="27" t="s">
        <v>19</v>
      </c>
      <c r="O556" s="38">
        <f>VLOOKUP(TRIM(Table1[[#This Row],[Provider Specialty]]) &amp; TRIM(Table1[[#This Row],[Provider Specialty Description]]), SPECIALTY_TYPE, 2, FALSE)</f>
        <v>2079</v>
      </c>
      <c r="P556" s="3" t="str">
        <f>Table1[[#This Row],[Provider Type]] &amp; "+" &amp; Table1[[#This Row],[Provider Type Description]]</f>
        <v>31+Physician</v>
      </c>
      <c r="Q556" s="7" t="str">
        <f>Table1[[#This Row],[Provider Specialty]] &amp; "+" &amp; Table1[[#This Row],[Provider Specialty Description]]</f>
        <v>318+General Practitioner</v>
      </c>
      <c r="R556" s="7" t="str">
        <f>Table1[[#This Row],[PDMS Specialty Type ID]] &amp; "+" &amp; Table1[[#This Row],[PDMS Provider Type ID]] &amp; "+" &amp;Table1[[#This Row],[TAXONOMY]]</f>
        <v>2079+114+208D00000X</v>
      </c>
      <c r="S5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(9535, 2079, 114, N'208D00000X', N'General Practice - General Practice')</v>
      </c>
    </row>
    <row r="557" spans="1:19" ht="47.25" hidden="1" customHeight="1" x14ac:dyDescent="0.25">
      <c r="A557" s="22" t="s">
        <v>1854</v>
      </c>
      <c r="B557" s="3" t="s">
        <v>988</v>
      </c>
      <c r="C557" s="3" t="s">
        <v>1408</v>
      </c>
      <c r="D557" s="3" t="s">
        <v>1408</v>
      </c>
      <c r="E557" s="3" t="s">
        <v>1409</v>
      </c>
      <c r="F557" s="3">
        <f>VLOOKUP(Table1[[#This Row],[Column2]], TAXONOMY_TYPE, 2, FALSE)</f>
        <v>9536</v>
      </c>
      <c r="G557" s="3">
        <v>32</v>
      </c>
      <c r="H557" s="3" t="s">
        <v>1444</v>
      </c>
      <c r="I557" s="3">
        <f>VLOOKUP(Table1[[#This Row],[Provider Type]] &amp; Table1[[#This Row],[Provider Type Description]], PROVIDER_TYPE, 2, FALSE)</f>
        <v>50</v>
      </c>
      <c r="J557" s="3">
        <v>318</v>
      </c>
      <c r="K557" s="3" t="s">
        <v>1322</v>
      </c>
      <c r="L557" s="3">
        <f>VLOOKUP(TRIM(Table1[[#This Row],[Provider Specialty]]) &amp; TRIM(Table1[[#This Row],[Provider Specialty Description]]), SPECIALTY_TYPE, 2, FALSE)</f>
        <v>2079</v>
      </c>
      <c r="M557" s="3" t="s">
        <v>18</v>
      </c>
      <c r="N557" s="27" t="s">
        <v>19</v>
      </c>
      <c r="O557" s="38">
        <f>VLOOKUP(TRIM(Table1[[#This Row],[Provider Specialty]]) &amp; TRIM(Table1[[#This Row],[Provider Specialty Description]]), SPECIALTY_TYPE, 2, FALSE)</f>
        <v>2079</v>
      </c>
      <c r="P557" s="3" t="str">
        <f>Table1[[#This Row],[Provider Type]] &amp; "+" &amp; Table1[[#This Row],[Provider Type Description]]</f>
        <v>32+Multi-Specialty</v>
      </c>
      <c r="Q557" s="7" t="str">
        <f>Table1[[#This Row],[Provider Specialty]] &amp; "+" &amp; Table1[[#This Row],[Provider Specialty Description]]</f>
        <v>318+General Practitioner</v>
      </c>
      <c r="R557" s="7" t="str">
        <f>Table1[[#This Row],[PDMS Specialty Type ID]] &amp; "+" &amp; Table1[[#This Row],[PDMS Provider Type ID]] &amp; "+" &amp;Table1[[#This Row],[TAXONOMY]]</f>
        <v>2079+50+208D00000X</v>
      </c>
      <c r="S5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(9536, 2079, 50, N'208D00000X', N'General Practice - General Practice')</v>
      </c>
    </row>
    <row r="558" spans="1:19" ht="47.25" hidden="1" customHeight="1" x14ac:dyDescent="0.25">
      <c r="A558" s="22" t="s">
        <v>1854</v>
      </c>
      <c r="B558" s="3" t="s">
        <v>988</v>
      </c>
      <c r="C558" s="3" t="s">
        <v>1408</v>
      </c>
      <c r="D558" s="3" t="s">
        <v>1408</v>
      </c>
      <c r="E558" s="3" t="s">
        <v>1409</v>
      </c>
      <c r="F558" s="3">
        <f>VLOOKUP(Table1[[#This Row],[Column2]], TAXONOMY_TYPE, 2, FALSE)</f>
        <v>9537</v>
      </c>
      <c r="G558" s="3">
        <v>33</v>
      </c>
      <c r="H558" s="3" t="s">
        <v>1953</v>
      </c>
      <c r="I558" s="3">
        <f>VLOOKUP(Table1[[#This Row],[Provider Type]] &amp; Table1[[#This Row],[Provider Type Description]], PROVIDER_TYPE, 2, FALSE)</f>
        <v>51</v>
      </c>
      <c r="J558" s="3">
        <v>318</v>
      </c>
      <c r="K558" s="3" t="s">
        <v>1322</v>
      </c>
      <c r="L558" s="3">
        <f>VLOOKUP(TRIM(Table1[[#This Row],[Provider Specialty]]) &amp; TRIM(Table1[[#This Row],[Provider Specialty Description]]), SPECIALTY_TYPE, 2, FALSE)</f>
        <v>2079</v>
      </c>
      <c r="M558" s="3" t="s">
        <v>18</v>
      </c>
      <c r="N558" s="27" t="s">
        <v>19</v>
      </c>
      <c r="O558" s="38">
        <f>VLOOKUP(TRIM(Table1[[#This Row],[Provider Specialty]]) &amp; TRIM(Table1[[#This Row],[Provider Specialty Description]]), SPECIALTY_TYPE, 2, FALSE)</f>
        <v>2079</v>
      </c>
      <c r="P558" s="3" t="str">
        <f>Table1[[#This Row],[Provider Type]] &amp; "+" &amp; Table1[[#This Row],[Provider Type Description]]</f>
        <v>33+Single-Specialty</v>
      </c>
      <c r="Q558" s="7" t="str">
        <f>Table1[[#This Row],[Provider Specialty]] &amp; "+" &amp; Table1[[#This Row],[Provider Specialty Description]]</f>
        <v>318+General Practitioner</v>
      </c>
      <c r="R558" s="7" t="str">
        <f>Table1[[#This Row],[PDMS Specialty Type ID]] &amp; "+" &amp; Table1[[#This Row],[PDMS Provider Type ID]] &amp; "+" &amp;Table1[[#This Row],[TAXONOMY]]</f>
        <v>2079+51+208D00000X</v>
      </c>
      <c r="S5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(9537, 2079, 51, N'208D00000X', N'General Practice - General Practice')</v>
      </c>
    </row>
    <row r="559" spans="1:19" ht="47.25" hidden="1" customHeight="1" x14ac:dyDescent="0.25">
      <c r="A559" s="22" t="s">
        <v>1855</v>
      </c>
      <c r="B559" s="3" t="s">
        <v>988</v>
      </c>
      <c r="C559" s="3" t="s">
        <v>1413</v>
      </c>
      <c r="D559" s="3" t="s">
        <v>1413</v>
      </c>
      <c r="E559" s="3" t="s">
        <v>1414</v>
      </c>
      <c r="F559" s="3">
        <f>VLOOKUP(Table1[[#This Row],[Column2]], TAXONOMY_TYPE, 2, FALSE)</f>
        <v>9538</v>
      </c>
      <c r="G559" s="3">
        <v>31</v>
      </c>
      <c r="H559" s="3" t="s">
        <v>991</v>
      </c>
      <c r="I559" s="3">
        <f>VLOOKUP(Table1[[#This Row],[Provider Type]] &amp; Table1[[#This Row],[Provider Type Description]], PROVIDER_TYPE, 2, FALSE)</f>
        <v>114</v>
      </c>
      <c r="J559" s="3">
        <v>318</v>
      </c>
      <c r="K559" s="3" t="s">
        <v>1322</v>
      </c>
      <c r="L559" s="3">
        <f>VLOOKUP(TRIM(Table1[[#This Row],[Provider Specialty]]) &amp; TRIM(Table1[[#This Row],[Provider Specialty Description]]), SPECIALTY_TYPE, 2, FALSE)</f>
        <v>2079</v>
      </c>
      <c r="M559" s="3" t="s">
        <v>19</v>
      </c>
      <c r="N559" s="27" t="s">
        <v>19</v>
      </c>
      <c r="O559" s="38">
        <f>VLOOKUP(TRIM(Table1[[#This Row],[Provider Specialty]]) &amp; TRIM(Table1[[#This Row],[Provider Specialty Description]]), SPECIALTY_TYPE, 2, FALSE)</f>
        <v>2079</v>
      </c>
      <c r="P559" s="3" t="str">
        <f>Table1[[#This Row],[Provider Type]] &amp; "+" &amp; Table1[[#This Row],[Provider Type Description]]</f>
        <v>31+Physician</v>
      </c>
      <c r="Q559" s="7" t="str">
        <f>Table1[[#This Row],[Provider Specialty]] &amp; "+" &amp; Table1[[#This Row],[Provider Specialty Description]]</f>
        <v>318+General Practitioner</v>
      </c>
      <c r="R559" s="7" t="str">
        <f>Table1[[#This Row],[PDMS Specialty Type ID]] &amp; "+" &amp; Table1[[#This Row],[PDMS Provider Type ID]] &amp; "+" &amp;Table1[[#This Row],[TAXONOMY]]</f>
        <v>2079+114+208M00000X</v>
      </c>
      <c r="S5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(9538, 2079, 114, N'208M00000X', N'Hospitalist  - Hospitalist ')</v>
      </c>
    </row>
    <row r="560" spans="1:19" ht="47.25" hidden="1" customHeight="1" x14ac:dyDescent="0.25">
      <c r="A560" s="22" t="s">
        <v>1854</v>
      </c>
      <c r="B560" s="3" t="s">
        <v>988</v>
      </c>
      <c r="C560" s="3" t="s">
        <v>1413</v>
      </c>
      <c r="D560" s="3" t="s">
        <v>1413</v>
      </c>
      <c r="E560" s="3" t="s">
        <v>1414</v>
      </c>
      <c r="F560" s="3">
        <f>VLOOKUP(Table1[[#This Row],[Column2]], TAXONOMY_TYPE, 2, FALSE)</f>
        <v>9539</v>
      </c>
      <c r="G560" s="3">
        <v>32</v>
      </c>
      <c r="H560" s="3" t="s">
        <v>1444</v>
      </c>
      <c r="I560" s="3">
        <f>VLOOKUP(Table1[[#This Row],[Provider Type]] &amp; Table1[[#This Row],[Provider Type Description]], PROVIDER_TYPE, 2, FALSE)</f>
        <v>50</v>
      </c>
      <c r="J560" s="3">
        <v>318</v>
      </c>
      <c r="K560" s="3" t="s">
        <v>1322</v>
      </c>
      <c r="L560" s="3">
        <f>VLOOKUP(TRIM(Table1[[#This Row],[Provider Specialty]]) &amp; TRIM(Table1[[#This Row],[Provider Specialty Description]]), SPECIALTY_TYPE, 2, FALSE)</f>
        <v>2079</v>
      </c>
      <c r="M560" s="3" t="s">
        <v>18</v>
      </c>
      <c r="N560" s="27" t="s">
        <v>19</v>
      </c>
      <c r="O560" s="38">
        <f>VLOOKUP(TRIM(Table1[[#This Row],[Provider Specialty]]) &amp; TRIM(Table1[[#This Row],[Provider Specialty Description]]), SPECIALTY_TYPE, 2, FALSE)</f>
        <v>2079</v>
      </c>
      <c r="P560" s="3" t="str">
        <f>Table1[[#This Row],[Provider Type]] &amp; "+" &amp; Table1[[#This Row],[Provider Type Description]]</f>
        <v>32+Multi-Specialty</v>
      </c>
      <c r="Q560" s="7" t="str">
        <f>Table1[[#This Row],[Provider Specialty]] &amp; "+" &amp; Table1[[#This Row],[Provider Specialty Description]]</f>
        <v>318+General Practitioner</v>
      </c>
      <c r="R560" s="7" t="str">
        <f>Table1[[#This Row],[PDMS Specialty Type ID]] &amp; "+" &amp; Table1[[#This Row],[PDMS Provider Type ID]] &amp; "+" &amp;Table1[[#This Row],[TAXONOMY]]</f>
        <v>2079+50+208M00000X</v>
      </c>
      <c r="S5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(9539, 2079, 50, N'208M00000X', N'Hospitalist  - Hospitalist ')</v>
      </c>
    </row>
    <row r="561" spans="1:19" ht="47.25" hidden="1" customHeight="1" x14ac:dyDescent="0.25">
      <c r="A561" s="22" t="s">
        <v>1854</v>
      </c>
      <c r="B561" s="3" t="s">
        <v>988</v>
      </c>
      <c r="C561" s="3" t="s">
        <v>1413</v>
      </c>
      <c r="D561" s="3" t="s">
        <v>1413</v>
      </c>
      <c r="E561" s="3" t="s">
        <v>1414</v>
      </c>
      <c r="F561" s="3">
        <f>VLOOKUP(Table1[[#This Row],[Column2]], TAXONOMY_TYPE, 2, FALSE)</f>
        <v>9540</v>
      </c>
      <c r="G561" s="3">
        <v>33</v>
      </c>
      <c r="H561" s="3" t="s">
        <v>1953</v>
      </c>
      <c r="I561" s="3">
        <f>VLOOKUP(Table1[[#This Row],[Provider Type]] &amp; Table1[[#This Row],[Provider Type Description]], PROVIDER_TYPE, 2, FALSE)</f>
        <v>51</v>
      </c>
      <c r="J561" s="3">
        <v>318</v>
      </c>
      <c r="K561" s="3" t="s">
        <v>1322</v>
      </c>
      <c r="L561" s="3">
        <f>VLOOKUP(TRIM(Table1[[#This Row],[Provider Specialty]]) &amp; TRIM(Table1[[#This Row],[Provider Specialty Description]]), SPECIALTY_TYPE, 2, FALSE)</f>
        <v>2079</v>
      </c>
      <c r="M561" s="3" t="s">
        <v>18</v>
      </c>
      <c r="N561" s="27" t="s">
        <v>19</v>
      </c>
      <c r="O561" s="38">
        <f>VLOOKUP(TRIM(Table1[[#This Row],[Provider Specialty]]) &amp; TRIM(Table1[[#This Row],[Provider Specialty Description]]), SPECIALTY_TYPE, 2, FALSE)</f>
        <v>2079</v>
      </c>
      <c r="P561" s="3" t="str">
        <f>Table1[[#This Row],[Provider Type]] &amp; "+" &amp; Table1[[#This Row],[Provider Type Description]]</f>
        <v>33+Single-Specialty</v>
      </c>
      <c r="Q561" s="7" t="str">
        <f>Table1[[#This Row],[Provider Specialty]] &amp; "+" &amp; Table1[[#This Row],[Provider Specialty Description]]</f>
        <v>318+General Practitioner</v>
      </c>
      <c r="R561" s="7" t="str">
        <f>Table1[[#This Row],[PDMS Specialty Type ID]] &amp; "+" &amp; Table1[[#This Row],[PDMS Provider Type ID]] &amp; "+" &amp;Table1[[#This Row],[TAXONOMY]]</f>
        <v>2079+51+208M00000X</v>
      </c>
      <c r="S5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(9540, 2079, 51, N'208M00000X', N'Hospitalist  - Hospitalist ')</v>
      </c>
    </row>
    <row r="562" spans="1:19" ht="47.25" hidden="1" customHeight="1" x14ac:dyDescent="0.25">
      <c r="A562" s="22" t="s">
        <v>1855</v>
      </c>
      <c r="B562" s="3" t="s">
        <v>988</v>
      </c>
      <c r="C562" s="3" t="s">
        <v>1064</v>
      </c>
      <c r="D562" s="3" t="s">
        <v>1064</v>
      </c>
      <c r="E562" s="3" t="s">
        <v>1065</v>
      </c>
      <c r="F562" s="3">
        <f>VLOOKUP(Table1[[#This Row],[Column2]], TAXONOMY_TYPE, 2, FALSE)</f>
        <v>9541</v>
      </c>
      <c r="G562" s="3">
        <v>31</v>
      </c>
      <c r="H562" s="3" t="s">
        <v>991</v>
      </c>
      <c r="I562" s="3">
        <f>VLOOKUP(Table1[[#This Row],[Provider Type]] &amp; Table1[[#This Row],[Provider Type Description]], PROVIDER_TYPE, 2, FALSE)</f>
        <v>114</v>
      </c>
      <c r="J562" s="3">
        <v>319</v>
      </c>
      <c r="K562" s="3" t="s">
        <v>1066</v>
      </c>
      <c r="L562" s="3">
        <f>VLOOKUP(TRIM(Table1[[#This Row],[Provider Specialty]]) &amp; TRIM(Table1[[#This Row],[Provider Specialty Description]]), SPECIALTY_TYPE, 2, FALSE)</f>
        <v>2080</v>
      </c>
      <c r="M562" s="3" t="s">
        <v>19</v>
      </c>
      <c r="N562" s="27" t="s">
        <v>19</v>
      </c>
      <c r="O562" s="38">
        <f>VLOOKUP(TRIM(Table1[[#This Row],[Provider Specialty]]) &amp; TRIM(Table1[[#This Row],[Provider Specialty Description]]), SPECIALTY_TYPE, 2, FALSE)</f>
        <v>2080</v>
      </c>
      <c r="P562" s="3" t="str">
        <f>Table1[[#This Row],[Provider Type]] &amp; "+" &amp; Table1[[#This Row],[Provider Type Description]]</f>
        <v>31+Physician</v>
      </c>
      <c r="Q562" s="7" t="str">
        <f>Table1[[#This Row],[Provider Specialty]] &amp; "+" &amp; Table1[[#This Row],[Provider Specialty Description]]</f>
        <v>319+General Surgeon</v>
      </c>
      <c r="R562" s="7" t="str">
        <f>Table1[[#This Row],[PDMS Specialty Type ID]] &amp; "+" &amp; Table1[[#This Row],[PDMS Provider Type ID]] &amp; "+" &amp;Table1[[#This Row],[TAXONOMY]]</f>
        <v>2080+114+204E00000X</v>
      </c>
      <c r="S5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(9541, 2080, 114, N'204E00000X', N'Oral &amp; Maxillofacial Surgery - Oral &amp; Maxillofacial Surgery')</v>
      </c>
    </row>
    <row r="563" spans="1:19" ht="47.25" hidden="1" customHeight="1" x14ac:dyDescent="0.25">
      <c r="A563" s="22" t="s">
        <v>1854</v>
      </c>
      <c r="B563" s="3" t="s">
        <v>988</v>
      </c>
      <c r="C563" s="3" t="s">
        <v>1064</v>
      </c>
      <c r="D563" s="3" t="s">
        <v>1064</v>
      </c>
      <c r="E563" s="3" t="s">
        <v>1065</v>
      </c>
      <c r="F563" s="3">
        <f>VLOOKUP(Table1[[#This Row],[Column2]], TAXONOMY_TYPE, 2, FALSE)</f>
        <v>9542</v>
      </c>
      <c r="G563" s="3">
        <v>32</v>
      </c>
      <c r="H563" s="3" t="s">
        <v>1444</v>
      </c>
      <c r="I563" s="3">
        <f>VLOOKUP(Table1[[#This Row],[Provider Type]] &amp; Table1[[#This Row],[Provider Type Description]], PROVIDER_TYPE, 2, FALSE)</f>
        <v>50</v>
      </c>
      <c r="J563" s="3">
        <v>319</v>
      </c>
      <c r="K563" s="3" t="s">
        <v>1066</v>
      </c>
      <c r="L563" s="3">
        <f>VLOOKUP(TRIM(Table1[[#This Row],[Provider Specialty]]) &amp; TRIM(Table1[[#This Row],[Provider Specialty Description]]), SPECIALTY_TYPE, 2, FALSE)</f>
        <v>2080</v>
      </c>
      <c r="M563" s="3" t="s">
        <v>18</v>
      </c>
      <c r="N563" s="27" t="s">
        <v>19</v>
      </c>
      <c r="O563" s="38">
        <f>VLOOKUP(TRIM(Table1[[#This Row],[Provider Specialty]]) &amp; TRIM(Table1[[#This Row],[Provider Specialty Description]]), SPECIALTY_TYPE, 2, FALSE)</f>
        <v>2080</v>
      </c>
      <c r="P563" s="3" t="str">
        <f>Table1[[#This Row],[Provider Type]] &amp; "+" &amp; Table1[[#This Row],[Provider Type Description]]</f>
        <v>32+Multi-Specialty</v>
      </c>
      <c r="Q563" s="7" t="str">
        <f>Table1[[#This Row],[Provider Specialty]] &amp; "+" &amp; Table1[[#This Row],[Provider Specialty Description]]</f>
        <v>319+General Surgeon</v>
      </c>
      <c r="R563" s="7" t="str">
        <f>Table1[[#This Row],[PDMS Specialty Type ID]] &amp; "+" &amp; Table1[[#This Row],[PDMS Provider Type ID]] &amp; "+" &amp;Table1[[#This Row],[TAXONOMY]]</f>
        <v>2080+50+204E00000X</v>
      </c>
      <c r="S5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(9542, 2080, 50, N'204E00000X', N'Oral &amp; Maxillofacial Surgery - Oral &amp; Maxillofacial Surgery')</v>
      </c>
    </row>
    <row r="564" spans="1:19" ht="47.25" hidden="1" customHeight="1" x14ac:dyDescent="0.25">
      <c r="A564" s="22" t="s">
        <v>1854</v>
      </c>
      <c r="B564" s="3" t="s">
        <v>988</v>
      </c>
      <c r="C564" s="3" t="s">
        <v>1064</v>
      </c>
      <c r="D564" s="3" t="s">
        <v>1064</v>
      </c>
      <c r="E564" s="3" t="s">
        <v>1065</v>
      </c>
      <c r="F564" s="3">
        <f>VLOOKUP(Table1[[#This Row],[Column2]], TAXONOMY_TYPE, 2, FALSE)</f>
        <v>9543</v>
      </c>
      <c r="G564" s="3">
        <v>33</v>
      </c>
      <c r="H564" s="3" t="s">
        <v>1953</v>
      </c>
      <c r="I564" s="3">
        <f>VLOOKUP(Table1[[#This Row],[Provider Type]] &amp; Table1[[#This Row],[Provider Type Description]], PROVIDER_TYPE, 2, FALSE)</f>
        <v>51</v>
      </c>
      <c r="J564" s="3">
        <v>319</v>
      </c>
      <c r="K564" s="3" t="s">
        <v>1066</v>
      </c>
      <c r="L564" s="3">
        <f>VLOOKUP(TRIM(Table1[[#This Row],[Provider Specialty]]) &amp; TRIM(Table1[[#This Row],[Provider Specialty Description]]), SPECIALTY_TYPE, 2, FALSE)</f>
        <v>2080</v>
      </c>
      <c r="M564" s="3" t="s">
        <v>18</v>
      </c>
      <c r="N564" s="27" t="s">
        <v>19</v>
      </c>
      <c r="O564" s="38">
        <f>VLOOKUP(TRIM(Table1[[#This Row],[Provider Specialty]]) &amp; TRIM(Table1[[#This Row],[Provider Specialty Description]]), SPECIALTY_TYPE, 2, FALSE)</f>
        <v>2080</v>
      </c>
      <c r="P564" s="3" t="str">
        <f>Table1[[#This Row],[Provider Type]] &amp; "+" &amp; Table1[[#This Row],[Provider Type Description]]</f>
        <v>33+Single-Specialty</v>
      </c>
      <c r="Q564" s="7" t="str">
        <f>Table1[[#This Row],[Provider Specialty]] &amp; "+" &amp; Table1[[#This Row],[Provider Specialty Description]]</f>
        <v>319+General Surgeon</v>
      </c>
      <c r="R564" s="7" t="str">
        <f>Table1[[#This Row],[PDMS Specialty Type ID]] &amp; "+" &amp; Table1[[#This Row],[PDMS Provider Type ID]] &amp; "+" &amp;Table1[[#This Row],[TAXONOMY]]</f>
        <v>2080+51+204E00000X</v>
      </c>
      <c r="S5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(9543, 2080, 51, N'204E00000X', N'Oral &amp; Maxillofacial Surgery - Oral &amp; Maxillofacial Surgery')</v>
      </c>
    </row>
    <row r="565" spans="1:19" ht="47.25" hidden="1" customHeight="1" x14ac:dyDescent="0.25">
      <c r="A565" s="22" t="s">
        <v>1855</v>
      </c>
      <c r="B565" s="3" t="s">
        <v>988</v>
      </c>
      <c r="C565" s="3" t="s">
        <v>1067</v>
      </c>
      <c r="D565" s="3" t="s">
        <v>1067</v>
      </c>
      <c r="E565" s="3" t="s">
        <v>1068</v>
      </c>
      <c r="F565" s="3">
        <f>VLOOKUP(Table1[[#This Row],[Column2]], TAXONOMY_TYPE, 2, FALSE)</f>
        <v>9544</v>
      </c>
      <c r="G565" s="3">
        <v>31</v>
      </c>
      <c r="H565" s="3" t="s">
        <v>991</v>
      </c>
      <c r="I565" s="3">
        <f>VLOOKUP(Table1[[#This Row],[Provider Type]] &amp; Table1[[#This Row],[Provider Type Description]], PROVIDER_TYPE, 2, FALSE)</f>
        <v>114</v>
      </c>
      <c r="J565" s="3">
        <v>319</v>
      </c>
      <c r="K565" s="3" t="s">
        <v>1066</v>
      </c>
      <c r="L565" s="3">
        <f>VLOOKUP(TRIM(Table1[[#This Row],[Provider Specialty]]) &amp; TRIM(Table1[[#This Row],[Provider Specialty Description]]), SPECIALTY_TYPE, 2, FALSE)</f>
        <v>2080</v>
      </c>
      <c r="M565" s="3" t="s">
        <v>19</v>
      </c>
      <c r="N565" s="27" t="s">
        <v>19</v>
      </c>
      <c r="O565" s="38">
        <f>VLOOKUP(TRIM(Table1[[#This Row],[Provider Specialty]]) &amp; TRIM(Table1[[#This Row],[Provider Specialty Description]]), SPECIALTY_TYPE, 2, FALSE)</f>
        <v>2080</v>
      </c>
      <c r="P565" s="3" t="str">
        <f>Table1[[#This Row],[Provider Type]] &amp; "+" &amp; Table1[[#This Row],[Provider Type Description]]</f>
        <v>31+Physician</v>
      </c>
      <c r="Q565" s="7" t="str">
        <f>Table1[[#This Row],[Provider Specialty]] &amp; "+" &amp; Table1[[#This Row],[Provider Specialty Description]]</f>
        <v>319+General Surgeon</v>
      </c>
      <c r="R565" s="7" t="str">
        <f>Table1[[#This Row],[PDMS Specialty Type ID]] &amp; "+" &amp; Table1[[#This Row],[PDMS Provider Type ID]] &amp; "+" &amp;Table1[[#This Row],[TAXONOMY]]</f>
        <v>2080+114+204F00000X</v>
      </c>
      <c r="S5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(9544, 2080, 114, N'204F00000X', N'Transplant Surgery - Transplant Surgery')</v>
      </c>
    </row>
    <row r="566" spans="1:19" ht="47.25" hidden="1" customHeight="1" x14ac:dyDescent="0.25">
      <c r="A566" s="22" t="s">
        <v>1854</v>
      </c>
      <c r="B566" s="3" t="s">
        <v>988</v>
      </c>
      <c r="C566" s="3" t="s">
        <v>1067</v>
      </c>
      <c r="D566" s="3" t="s">
        <v>1067</v>
      </c>
      <c r="E566" s="3" t="s">
        <v>1068</v>
      </c>
      <c r="F566" s="3">
        <f>VLOOKUP(Table1[[#This Row],[Column2]], TAXONOMY_TYPE, 2, FALSE)</f>
        <v>9545</v>
      </c>
      <c r="G566" s="3">
        <v>32</v>
      </c>
      <c r="H566" s="3" t="s">
        <v>1444</v>
      </c>
      <c r="I566" s="3">
        <f>VLOOKUP(Table1[[#This Row],[Provider Type]] &amp; Table1[[#This Row],[Provider Type Description]], PROVIDER_TYPE, 2, FALSE)</f>
        <v>50</v>
      </c>
      <c r="J566" s="3">
        <v>319</v>
      </c>
      <c r="K566" s="3" t="s">
        <v>1066</v>
      </c>
      <c r="L566" s="3">
        <f>VLOOKUP(TRIM(Table1[[#This Row],[Provider Specialty]]) &amp; TRIM(Table1[[#This Row],[Provider Specialty Description]]), SPECIALTY_TYPE, 2, FALSE)</f>
        <v>2080</v>
      </c>
      <c r="M566" s="3" t="s">
        <v>18</v>
      </c>
      <c r="N566" s="27" t="s">
        <v>19</v>
      </c>
      <c r="O566" s="38">
        <f>VLOOKUP(TRIM(Table1[[#This Row],[Provider Specialty]]) &amp; TRIM(Table1[[#This Row],[Provider Specialty Description]]), SPECIALTY_TYPE, 2, FALSE)</f>
        <v>2080</v>
      </c>
      <c r="P566" s="3" t="str">
        <f>Table1[[#This Row],[Provider Type]] &amp; "+" &amp; Table1[[#This Row],[Provider Type Description]]</f>
        <v>32+Multi-Specialty</v>
      </c>
      <c r="Q566" s="7" t="str">
        <f>Table1[[#This Row],[Provider Specialty]] &amp; "+" &amp; Table1[[#This Row],[Provider Specialty Description]]</f>
        <v>319+General Surgeon</v>
      </c>
      <c r="R566" s="7" t="str">
        <f>Table1[[#This Row],[PDMS Specialty Type ID]] &amp; "+" &amp; Table1[[#This Row],[PDMS Provider Type ID]] &amp; "+" &amp;Table1[[#This Row],[TAXONOMY]]</f>
        <v>2080+50+204F00000X</v>
      </c>
      <c r="S5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(9545, 2080, 50, N'204F00000X', N'Transplant Surgery - Transplant Surgery')</v>
      </c>
    </row>
    <row r="567" spans="1:19" ht="47.25" hidden="1" customHeight="1" x14ac:dyDescent="0.25">
      <c r="A567" s="22" t="s">
        <v>1854</v>
      </c>
      <c r="B567" s="3" t="s">
        <v>988</v>
      </c>
      <c r="C567" s="3" t="s">
        <v>1067</v>
      </c>
      <c r="D567" s="3" t="s">
        <v>1067</v>
      </c>
      <c r="E567" s="3" t="s">
        <v>1068</v>
      </c>
      <c r="F567" s="3">
        <f>VLOOKUP(Table1[[#This Row],[Column2]], TAXONOMY_TYPE, 2, FALSE)</f>
        <v>9546</v>
      </c>
      <c r="G567" s="3">
        <v>33</v>
      </c>
      <c r="H567" s="3" t="s">
        <v>1953</v>
      </c>
      <c r="I567" s="3">
        <f>VLOOKUP(Table1[[#This Row],[Provider Type]] &amp; Table1[[#This Row],[Provider Type Description]], PROVIDER_TYPE, 2, FALSE)</f>
        <v>51</v>
      </c>
      <c r="J567" s="3">
        <v>319</v>
      </c>
      <c r="K567" s="3" t="s">
        <v>1066</v>
      </c>
      <c r="L567" s="3">
        <f>VLOOKUP(TRIM(Table1[[#This Row],[Provider Specialty]]) &amp; TRIM(Table1[[#This Row],[Provider Specialty Description]]), SPECIALTY_TYPE, 2, FALSE)</f>
        <v>2080</v>
      </c>
      <c r="M567" s="3" t="s">
        <v>18</v>
      </c>
      <c r="N567" s="27" t="s">
        <v>19</v>
      </c>
      <c r="O567" s="38">
        <f>VLOOKUP(TRIM(Table1[[#This Row],[Provider Specialty]]) &amp; TRIM(Table1[[#This Row],[Provider Specialty Description]]), SPECIALTY_TYPE, 2, FALSE)</f>
        <v>2080</v>
      </c>
      <c r="P567" s="3" t="str">
        <f>Table1[[#This Row],[Provider Type]] &amp; "+" &amp; Table1[[#This Row],[Provider Type Description]]</f>
        <v>33+Single-Specialty</v>
      </c>
      <c r="Q567" s="7" t="str">
        <f>Table1[[#This Row],[Provider Specialty]] &amp; "+" &amp; Table1[[#This Row],[Provider Specialty Description]]</f>
        <v>319+General Surgeon</v>
      </c>
      <c r="R567" s="7" t="str">
        <f>Table1[[#This Row],[PDMS Specialty Type ID]] &amp; "+" &amp; Table1[[#This Row],[PDMS Provider Type ID]] &amp; "+" &amp;Table1[[#This Row],[TAXONOMY]]</f>
        <v>2080+51+204F00000X</v>
      </c>
      <c r="S5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(9546, 2080, 51, N'204F00000X', N'Transplant Surgery - Transplant Surgery')</v>
      </c>
    </row>
    <row r="568" spans="1:19" ht="47.25" hidden="1" customHeight="1" x14ac:dyDescent="0.25">
      <c r="A568" s="22" t="s">
        <v>1855</v>
      </c>
      <c r="B568" s="3" t="s">
        <v>988</v>
      </c>
      <c r="C568" s="3" t="s">
        <v>1048</v>
      </c>
      <c r="D568" s="3" t="s">
        <v>1048</v>
      </c>
      <c r="E568" s="3" t="s">
        <v>1389</v>
      </c>
      <c r="F568" s="3">
        <f>VLOOKUP(Table1[[#This Row],[Column2]], TAXONOMY_TYPE, 2, FALSE)</f>
        <v>9547</v>
      </c>
      <c r="G568" s="3">
        <v>31</v>
      </c>
      <c r="H568" s="3" t="s">
        <v>991</v>
      </c>
      <c r="I568" s="3">
        <f>VLOOKUP(Table1[[#This Row],[Provider Type]] &amp; Table1[[#This Row],[Provider Type Description]], PROVIDER_TYPE, 2, FALSE)</f>
        <v>114</v>
      </c>
      <c r="J568" s="3">
        <v>319</v>
      </c>
      <c r="K568" s="3" t="s">
        <v>1066</v>
      </c>
      <c r="L568" s="3">
        <f>VLOOKUP(TRIM(Table1[[#This Row],[Provider Specialty]]) &amp; TRIM(Table1[[#This Row],[Provider Specialty Description]]), SPECIALTY_TYPE, 2, FALSE)</f>
        <v>2080</v>
      </c>
      <c r="M568" s="3" t="s">
        <v>19</v>
      </c>
      <c r="N568" s="27" t="s">
        <v>19</v>
      </c>
      <c r="O568" s="38">
        <f>VLOOKUP(TRIM(Table1[[#This Row],[Provider Specialty]]) &amp; TRIM(Table1[[#This Row],[Provider Specialty Description]]), SPECIALTY_TYPE, 2, FALSE)</f>
        <v>2080</v>
      </c>
      <c r="P568" s="3" t="str">
        <f>Table1[[#This Row],[Provider Type]] &amp; "+" &amp; Table1[[#This Row],[Provider Type Description]]</f>
        <v>31+Physician</v>
      </c>
      <c r="Q568" s="7" t="str">
        <f>Table1[[#This Row],[Provider Specialty]] &amp; "+" &amp; Table1[[#This Row],[Provider Specialty Description]]</f>
        <v>319+General Surgeon</v>
      </c>
      <c r="R568" s="7" t="str">
        <f>Table1[[#This Row],[PDMS Specialty Type ID]] &amp; "+" &amp; Table1[[#This Row],[PDMS Provider Type ID]] &amp; "+" &amp;Table1[[#This Row],[TAXONOMY]]</f>
        <v>2080+114+208600000X</v>
      </c>
      <c r="S5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(9547, 2080, 114, N'208600000X', N'Surgery - Surgery')</v>
      </c>
    </row>
    <row r="569" spans="1:19" ht="47.25" hidden="1" customHeight="1" x14ac:dyDescent="0.25">
      <c r="A569" s="22" t="s">
        <v>1854</v>
      </c>
      <c r="B569" s="3" t="s">
        <v>988</v>
      </c>
      <c r="C569" s="3" t="s">
        <v>1048</v>
      </c>
      <c r="D569" s="3" t="s">
        <v>1048</v>
      </c>
      <c r="E569" s="3" t="s">
        <v>1389</v>
      </c>
      <c r="F569" s="3">
        <f>VLOOKUP(Table1[[#This Row],[Column2]], TAXONOMY_TYPE, 2, FALSE)</f>
        <v>9548</v>
      </c>
      <c r="G569" s="3">
        <v>32</v>
      </c>
      <c r="H569" s="3" t="s">
        <v>1444</v>
      </c>
      <c r="I569" s="3">
        <f>VLOOKUP(Table1[[#This Row],[Provider Type]] &amp; Table1[[#This Row],[Provider Type Description]], PROVIDER_TYPE, 2, FALSE)</f>
        <v>50</v>
      </c>
      <c r="J569" s="3">
        <v>319</v>
      </c>
      <c r="K569" s="3" t="s">
        <v>1066</v>
      </c>
      <c r="L569" s="3">
        <f>VLOOKUP(TRIM(Table1[[#This Row],[Provider Specialty]]) &amp; TRIM(Table1[[#This Row],[Provider Specialty Description]]), SPECIALTY_TYPE, 2, FALSE)</f>
        <v>2080</v>
      </c>
      <c r="M569" s="3" t="s">
        <v>18</v>
      </c>
      <c r="N569" s="27" t="s">
        <v>19</v>
      </c>
      <c r="O569" s="38">
        <f>VLOOKUP(TRIM(Table1[[#This Row],[Provider Specialty]]) &amp; TRIM(Table1[[#This Row],[Provider Specialty Description]]), SPECIALTY_TYPE, 2, FALSE)</f>
        <v>2080</v>
      </c>
      <c r="P569" s="3" t="str">
        <f>Table1[[#This Row],[Provider Type]] &amp; "+" &amp; Table1[[#This Row],[Provider Type Description]]</f>
        <v>32+Multi-Specialty</v>
      </c>
      <c r="Q569" s="7" t="str">
        <f>Table1[[#This Row],[Provider Specialty]] &amp; "+" &amp; Table1[[#This Row],[Provider Specialty Description]]</f>
        <v>319+General Surgeon</v>
      </c>
      <c r="R569" s="7" t="str">
        <f>Table1[[#This Row],[PDMS Specialty Type ID]] &amp; "+" &amp; Table1[[#This Row],[PDMS Provider Type ID]] &amp; "+" &amp;Table1[[#This Row],[TAXONOMY]]</f>
        <v>2080+50+208600000X</v>
      </c>
      <c r="S5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(9548, 2080, 50, N'208600000X', N'Surgery - Surgery')</v>
      </c>
    </row>
    <row r="570" spans="1:19" ht="47.25" hidden="1" customHeight="1" x14ac:dyDescent="0.25">
      <c r="A570" s="22" t="s">
        <v>1854</v>
      </c>
      <c r="B570" s="3" t="s">
        <v>988</v>
      </c>
      <c r="C570" s="3" t="s">
        <v>1048</v>
      </c>
      <c r="D570" s="3" t="s">
        <v>1048</v>
      </c>
      <c r="E570" s="3" t="s">
        <v>1389</v>
      </c>
      <c r="F570" s="3">
        <f>VLOOKUP(Table1[[#This Row],[Column2]], TAXONOMY_TYPE, 2, FALSE)</f>
        <v>9549</v>
      </c>
      <c r="G570" s="3">
        <v>33</v>
      </c>
      <c r="H570" s="3" t="s">
        <v>1953</v>
      </c>
      <c r="I570" s="3">
        <f>VLOOKUP(Table1[[#This Row],[Provider Type]] &amp; Table1[[#This Row],[Provider Type Description]], PROVIDER_TYPE, 2, FALSE)</f>
        <v>51</v>
      </c>
      <c r="J570" s="3">
        <v>319</v>
      </c>
      <c r="K570" s="3" t="s">
        <v>1066</v>
      </c>
      <c r="L570" s="3">
        <f>VLOOKUP(TRIM(Table1[[#This Row],[Provider Specialty]]) &amp; TRIM(Table1[[#This Row],[Provider Specialty Description]]), SPECIALTY_TYPE, 2, FALSE)</f>
        <v>2080</v>
      </c>
      <c r="M570" s="3" t="s">
        <v>18</v>
      </c>
      <c r="N570" s="27" t="s">
        <v>19</v>
      </c>
      <c r="O570" s="38">
        <f>VLOOKUP(TRIM(Table1[[#This Row],[Provider Specialty]]) &amp; TRIM(Table1[[#This Row],[Provider Specialty Description]]), SPECIALTY_TYPE, 2, FALSE)</f>
        <v>2080</v>
      </c>
      <c r="P570" s="3" t="str">
        <f>Table1[[#This Row],[Provider Type]] &amp; "+" &amp; Table1[[#This Row],[Provider Type Description]]</f>
        <v>33+Single-Specialty</v>
      </c>
      <c r="Q570" s="7" t="str">
        <f>Table1[[#This Row],[Provider Specialty]] &amp; "+" &amp; Table1[[#This Row],[Provider Specialty Description]]</f>
        <v>319+General Surgeon</v>
      </c>
      <c r="R570" s="7" t="str">
        <f>Table1[[#This Row],[PDMS Specialty Type ID]] &amp; "+" &amp; Table1[[#This Row],[PDMS Provider Type ID]] &amp; "+" &amp;Table1[[#This Row],[TAXONOMY]]</f>
        <v>2080+51+208600000X</v>
      </c>
      <c r="S5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(9549, 2080, 51, N'208600000X', N'Surgery - Surgery')</v>
      </c>
    </row>
    <row r="571" spans="1:19" ht="47.25" hidden="1" customHeight="1" x14ac:dyDescent="0.25">
      <c r="A571" s="22" t="s">
        <v>1855</v>
      </c>
      <c r="B571" s="3" t="s">
        <v>988</v>
      </c>
      <c r="C571" s="3" t="s">
        <v>1048</v>
      </c>
      <c r="D571" s="3" t="s">
        <v>1080</v>
      </c>
      <c r="E571" s="3" t="s">
        <v>1390</v>
      </c>
      <c r="F571" s="3">
        <f>VLOOKUP(Table1[[#This Row],[Column2]], TAXONOMY_TYPE, 2, FALSE)</f>
        <v>9550</v>
      </c>
      <c r="G571" s="3">
        <v>31</v>
      </c>
      <c r="H571" s="3" t="s">
        <v>991</v>
      </c>
      <c r="I571" s="3">
        <f>VLOOKUP(Table1[[#This Row],[Provider Type]] &amp; Table1[[#This Row],[Provider Type Description]], PROVIDER_TYPE, 2, FALSE)</f>
        <v>114</v>
      </c>
      <c r="J571" s="3">
        <v>319</v>
      </c>
      <c r="K571" s="3" t="s">
        <v>1066</v>
      </c>
      <c r="L571" s="3">
        <f>VLOOKUP(TRIM(Table1[[#This Row],[Provider Specialty]]) &amp; TRIM(Table1[[#This Row],[Provider Specialty Description]]), SPECIALTY_TYPE, 2, FALSE)</f>
        <v>2080</v>
      </c>
      <c r="M571" s="3" t="s">
        <v>19</v>
      </c>
      <c r="N571" s="27" t="s">
        <v>19</v>
      </c>
      <c r="O571" s="38">
        <f>VLOOKUP(TRIM(Table1[[#This Row],[Provider Specialty]]) &amp; TRIM(Table1[[#This Row],[Provider Specialty Description]]), SPECIALTY_TYPE, 2, FALSE)</f>
        <v>2080</v>
      </c>
      <c r="P571" s="3" t="str">
        <f>Table1[[#This Row],[Provider Type]] &amp; "+" &amp; Table1[[#This Row],[Provider Type Description]]</f>
        <v>31+Physician</v>
      </c>
      <c r="Q571" s="7" t="str">
        <f>Table1[[#This Row],[Provider Specialty]] &amp; "+" &amp; Table1[[#This Row],[Provider Specialty Description]]</f>
        <v>319+General Surgeon</v>
      </c>
      <c r="R571" s="7" t="str">
        <f>Table1[[#This Row],[PDMS Specialty Type ID]] &amp; "+" &amp; Table1[[#This Row],[PDMS Provider Type ID]] &amp; "+" &amp;Table1[[#This Row],[TAXONOMY]]</f>
        <v>2080+114+2086H0002X</v>
      </c>
      <c r="S5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(9550, 2080, 114, N'2086H0002X', N'Surgery - Hospice and Palliative Medicine**')</v>
      </c>
    </row>
    <row r="572" spans="1:19" ht="47.25" hidden="1" customHeight="1" x14ac:dyDescent="0.25">
      <c r="A572" s="22" t="s">
        <v>1854</v>
      </c>
      <c r="B572" s="3" t="s">
        <v>988</v>
      </c>
      <c r="C572" s="3" t="s">
        <v>1048</v>
      </c>
      <c r="D572" s="3" t="s">
        <v>1080</v>
      </c>
      <c r="E572" s="3" t="s">
        <v>1390</v>
      </c>
      <c r="F572" s="3">
        <f>VLOOKUP(Table1[[#This Row],[Column2]], TAXONOMY_TYPE, 2, FALSE)</f>
        <v>9551</v>
      </c>
      <c r="G572" s="3">
        <v>32</v>
      </c>
      <c r="H572" s="3" t="s">
        <v>1444</v>
      </c>
      <c r="I572" s="3">
        <f>VLOOKUP(Table1[[#This Row],[Provider Type]] &amp; Table1[[#This Row],[Provider Type Description]], PROVIDER_TYPE, 2, FALSE)</f>
        <v>50</v>
      </c>
      <c r="J572" s="3">
        <v>319</v>
      </c>
      <c r="K572" s="3" t="s">
        <v>1066</v>
      </c>
      <c r="L572" s="3">
        <f>VLOOKUP(TRIM(Table1[[#This Row],[Provider Specialty]]) &amp; TRIM(Table1[[#This Row],[Provider Specialty Description]]), SPECIALTY_TYPE, 2, FALSE)</f>
        <v>2080</v>
      </c>
      <c r="M572" s="3" t="s">
        <v>18</v>
      </c>
      <c r="N572" s="27" t="s">
        <v>19</v>
      </c>
      <c r="O572" s="38">
        <f>VLOOKUP(TRIM(Table1[[#This Row],[Provider Specialty]]) &amp; TRIM(Table1[[#This Row],[Provider Specialty Description]]), SPECIALTY_TYPE, 2, FALSE)</f>
        <v>2080</v>
      </c>
      <c r="P572" s="3" t="str">
        <f>Table1[[#This Row],[Provider Type]] &amp; "+" &amp; Table1[[#This Row],[Provider Type Description]]</f>
        <v>32+Multi-Specialty</v>
      </c>
      <c r="Q572" s="7" t="str">
        <f>Table1[[#This Row],[Provider Specialty]] &amp; "+" &amp; Table1[[#This Row],[Provider Specialty Description]]</f>
        <v>319+General Surgeon</v>
      </c>
      <c r="R572" s="7" t="str">
        <f>Table1[[#This Row],[PDMS Specialty Type ID]] &amp; "+" &amp; Table1[[#This Row],[PDMS Provider Type ID]] &amp; "+" &amp;Table1[[#This Row],[TAXONOMY]]</f>
        <v>2080+50+2086H0002X</v>
      </c>
      <c r="S5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(9551, 2080, 50, N'2086H0002X', N'Surgery - Hospice and Palliative Medicine**')</v>
      </c>
    </row>
    <row r="573" spans="1:19" ht="47.25" hidden="1" customHeight="1" x14ac:dyDescent="0.25">
      <c r="A573" s="22" t="s">
        <v>1854</v>
      </c>
      <c r="B573" s="3" t="s">
        <v>988</v>
      </c>
      <c r="C573" s="3" t="s">
        <v>1048</v>
      </c>
      <c r="D573" s="3" t="s">
        <v>1080</v>
      </c>
      <c r="E573" s="3" t="s">
        <v>1390</v>
      </c>
      <c r="F573" s="3">
        <f>VLOOKUP(Table1[[#This Row],[Column2]], TAXONOMY_TYPE, 2, FALSE)</f>
        <v>9552</v>
      </c>
      <c r="G573" s="3">
        <v>33</v>
      </c>
      <c r="H573" s="3" t="s">
        <v>1953</v>
      </c>
      <c r="I573" s="3">
        <f>VLOOKUP(Table1[[#This Row],[Provider Type]] &amp; Table1[[#This Row],[Provider Type Description]], PROVIDER_TYPE, 2, FALSE)</f>
        <v>51</v>
      </c>
      <c r="J573" s="3">
        <v>319</v>
      </c>
      <c r="K573" s="3" t="s">
        <v>1066</v>
      </c>
      <c r="L573" s="3">
        <f>VLOOKUP(TRIM(Table1[[#This Row],[Provider Specialty]]) &amp; TRIM(Table1[[#This Row],[Provider Specialty Description]]), SPECIALTY_TYPE, 2, FALSE)</f>
        <v>2080</v>
      </c>
      <c r="M573" s="3" t="s">
        <v>18</v>
      </c>
      <c r="N573" s="27" t="s">
        <v>19</v>
      </c>
      <c r="O573" s="38">
        <f>VLOOKUP(TRIM(Table1[[#This Row],[Provider Specialty]]) &amp; TRIM(Table1[[#This Row],[Provider Specialty Description]]), SPECIALTY_TYPE, 2, FALSE)</f>
        <v>2080</v>
      </c>
      <c r="P573" s="3" t="str">
        <f>Table1[[#This Row],[Provider Type]] &amp; "+" &amp; Table1[[#This Row],[Provider Type Description]]</f>
        <v>33+Single-Specialty</v>
      </c>
      <c r="Q573" s="7" t="str">
        <f>Table1[[#This Row],[Provider Specialty]] &amp; "+" &amp; Table1[[#This Row],[Provider Specialty Description]]</f>
        <v>319+General Surgeon</v>
      </c>
      <c r="R573" s="7" t="str">
        <f>Table1[[#This Row],[PDMS Specialty Type ID]] &amp; "+" &amp; Table1[[#This Row],[PDMS Provider Type ID]] &amp; "+" &amp;Table1[[#This Row],[TAXONOMY]]</f>
        <v>2080+51+2086H0002X</v>
      </c>
      <c r="S5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(9552, 2080, 51, N'2086H0002X', N'Surgery - Hospice and Palliative Medicine**')</v>
      </c>
    </row>
    <row r="574" spans="1:19" ht="47.25" hidden="1" customHeight="1" x14ac:dyDescent="0.25">
      <c r="A574" s="22" t="s">
        <v>1855</v>
      </c>
      <c r="B574" s="3" t="s">
        <v>988</v>
      </c>
      <c r="C574" s="3" t="s">
        <v>1048</v>
      </c>
      <c r="D574" s="3" t="s">
        <v>1391</v>
      </c>
      <c r="E574" s="3" t="s">
        <v>1392</v>
      </c>
      <c r="F574" s="3">
        <f>VLOOKUP(Table1[[#This Row],[Column2]], TAXONOMY_TYPE, 2, FALSE)</f>
        <v>9553</v>
      </c>
      <c r="G574" s="3">
        <v>31</v>
      </c>
      <c r="H574" s="3" t="s">
        <v>991</v>
      </c>
      <c r="I574" s="3">
        <f>VLOOKUP(Table1[[#This Row],[Provider Type]] &amp; Table1[[#This Row],[Provider Type Description]], PROVIDER_TYPE, 2, FALSE)</f>
        <v>114</v>
      </c>
      <c r="J574" s="3">
        <v>319</v>
      </c>
      <c r="K574" s="3" t="s">
        <v>1066</v>
      </c>
      <c r="L574" s="3">
        <f>VLOOKUP(TRIM(Table1[[#This Row],[Provider Specialty]]) &amp; TRIM(Table1[[#This Row],[Provider Specialty Description]]), SPECIALTY_TYPE, 2, FALSE)</f>
        <v>2080</v>
      </c>
      <c r="M574" s="3" t="s">
        <v>19</v>
      </c>
      <c r="N574" s="27" t="s">
        <v>19</v>
      </c>
      <c r="O574" s="38">
        <f>VLOOKUP(TRIM(Table1[[#This Row],[Provider Specialty]]) &amp; TRIM(Table1[[#This Row],[Provider Specialty Description]]), SPECIALTY_TYPE, 2, FALSE)</f>
        <v>2080</v>
      </c>
      <c r="P574" s="3" t="str">
        <f>Table1[[#This Row],[Provider Type]] &amp; "+" &amp; Table1[[#This Row],[Provider Type Description]]</f>
        <v>31+Physician</v>
      </c>
      <c r="Q574" s="7" t="str">
        <f>Table1[[#This Row],[Provider Specialty]] &amp; "+" &amp; Table1[[#This Row],[Provider Specialty Description]]</f>
        <v>319+General Surgeon</v>
      </c>
      <c r="R574" s="7" t="str">
        <f>Table1[[#This Row],[PDMS Specialty Type ID]] &amp; "+" &amp; Table1[[#This Row],[PDMS Provider Type ID]] &amp; "+" &amp;Table1[[#This Row],[TAXONOMY]]</f>
        <v>2080+114+2086S0102X</v>
      </c>
      <c r="S5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(9553, 2080, 114, N'2086S0102X', N'Surgery - Surgical Critical Care')</v>
      </c>
    </row>
    <row r="575" spans="1:19" ht="47.25" hidden="1" customHeight="1" x14ac:dyDescent="0.25">
      <c r="A575" s="22" t="s">
        <v>1854</v>
      </c>
      <c r="B575" s="3" t="s">
        <v>988</v>
      </c>
      <c r="C575" s="3" t="s">
        <v>1048</v>
      </c>
      <c r="D575" s="3" t="s">
        <v>1391</v>
      </c>
      <c r="E575" s="3" t="s">
        <v>1392</v>
      </c>
      <c r="F575" s="3">
        <f>VLOOKUP(Table1[[#This Row],[Column2]], TAXONOMY_TYPE, 2, FALSE)</f>
        <v>9554</v>
      </c>
      <c r="G575" s="3">
        <v>32</v>
      </c>
      <c r="H575" s="3" t="s">
        <v>1444</v>
      </c>
      <c r="I575" s="3">
        <f>VLOOKUP(Table1[[#This Row],[Provider Type]] &amp; Table1[[#This Row],[Provider Type Description]], PROVIDER_TYPE, 2, FALSE)</f>
        <v>50</v>
      </c>
      <c r="J575" s="3">
        <v>319</v>
      </c>
      <c r="K575" s="3" t="s">
        <v>1066</v>
      </c>
      <c r="L575" s="3">
        <f>VLOOKUP(TRIM(Table1[[#This Row],[Provider Specialty]]) &amp; TRIM(Table1[[#This Row],[Provider Specialty Description]]), SPECIALTY_TYPE, 2, FALSE)</f>
        <v>2080</v>
      </c>
      <c r="M575" s="3" t="s">
        <v>18</v>
      </c>
      <c r="N575" s="27" t="s">
        <v>19</v>
      </c>
      <c r="O575" s="38">
        <f>VLOOKUP(TRIM(Table1[[#This Row],[Provider Specialty]]) &amp; TRIM(Table1[[#This Row],[Provider Specialty Description]]), SPECIALTY_TYPE, 2, FALSE)</f>
        <v>2080</v>
      </c>
      <c r="P575" s="3" t="str">
        <f>Table1[[#This Row],[Provider Type]] &amp; "+" &amp; Table1[[#This Row],[Provider Type Description]]</f>
        <v>32+Multi-Specialty</v>
      </c>
      <c r="Q575" s="7" t="str">
        <f>Table1[[#This Row],[Provider Specialty]] &amp; "+" &amp; Table1[[#This Row],[Provider Specialty Description]]</f>
        <v>319+General Surgeon</v>
      </c>
      <c r="R575" s="7" t="str">
        <f>Table1[[#This Row],[PDMS Specialty Type ID]] &amp; "+" &amp; Table1[[#This Row],[PDMS Provider Type ID]] &amp; "+" &amp;Table1[[#This Row],[TAXONOMY]]</f>
        <v>2080+50+2086S0102X</v>
      </c>
      <c r="S5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(9554, 2080, 50, N'2086S0102X', N'Surgery - Surgical Critical Care')</v>
      </c>
    </row>
    <row r="576" spans="1:19" ht="47.25" hidden="1" customHeight="1" x14ac:dyDescent="0.25">
      <c r="A576" s="22" t="s">
        <v>1854</v>
      </c>
      <c r="B576" s="3" t="s">
        <v>988</v>
      </c>
      <c r="C576" s="3" t="s">
        <v>1048</v>
      </c>
      <c r="D576" s="3" t="s">
        <v>1391</v>
      </c>
      <c r="E576" s="3" t="s">
        <v>1392</v>
      </c>
      <c r="F576" s="3">
        <f>VLOOKUP(Table1[[#This Row],[Column2]], TAXONOMY_TYPE, 2, FALSE)</f>
        <v>9555</v>
      </c>
      <c r="G576" s="3">
        <v>33</v>
      </c>
      <c r="H576" s="3" t="s">
        <v>1953</v>
      </c>
      <c r="I576" s="3">
        <f>VLOOKUP(Table1[[#This Row],[Provider Type]] &amp; Table1[[#This Row],[Provider Type Description]], PROVIDER_TYPE, 2, FALSE)</f>
        <v>51</v>
      </c>
      <c r="J576" s="3">
        <v>319</v>
      </c>
      <c r="K576" s="3" t="s">
        <v>1066</v>
      </c>
      <c r="L576" s="3">
        <f>VLOOKUP(TRIM(Table1[[#This Row],[Provider Specialty]]) &amp; TRIM(Table1[[#This Row],[Provider Specialty Description]]), SPECIALTY_TYPE, 2, FALSE)</f>
        <v>2080</v>
      </c>
      <c r="M576" s="3" t="s">
        <v>18</v>
      </c>
      <c r="N576" s="27" t="s">
        <v>19</v>
      </c>
      <c r="O576" s="38">
        <f>VLOOKUP(TRIM(Table1[[#This Row],[Provider Specialty]]) &amp; TRIM(Table1[[#This Row],[Provider Specialty Description]]), SPECIALTY_TYPE, 2, FALSE)</f>
        <v>2080</v>
      </c>
      <c r="P576" s="3" t="str">
        <f>Table1[[#This Row],[Provider Type]] &amp; "+" &amp; Table1[[#This Row],[Provider Type Description]]</f>
        <v>33+Single-Specialty</v>
      </c>
      <c r="Q576" s="7" t="str">
        <f>Table1[[#This Row],[Provider Specialty]] &amp; "+" &amp; Table1[[#This Row],[Provider Specialty Description]]</f>
        <v>319+General Surgeon</v>
      </c>
      <c r="R576" s="7" t="str">
        <f>Table1[[#This Row],[PDMS Specialty Type ID]] &amp; "+" &amp; Table1[[#This Row],[PDMS Provider Type ID]] &amp; "+" &amp;Table1[[#This Row],[TAXONOMY]]</f>
        <v>2080+51+2086S0102X</v>
      </c>
      <c r="S5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(9555, 2080, 51, N'2086S0102X', N'Surgery - Surgical Critical Care')</v>
      </c>
    </row>
    <row r="577" spans="1:19" ht="47.25" hidden="1" customHeight="1" x14ac:dyDescent="0.25">
      <c r="A577" s="22" t="s">
        <v>1855</v>
      </c>
      <c r="B577" s="3" t="s">
        <v>988</v>
      </c>
      <c r="C577" s="3" t="s">
        <v>1048</v>
      </c>
      <c r="D577" s="3" t="s">
        <v>1396</v>
      </c>
      <c r="E577" s="3" t="s">
        <v>1397</v>
      </c>
      <c r="F577" s="3">
        <f>VLOOKUP(Table1[[#This Row],[Column2]], TAXONOMY_TYPE, 2, FALSE)</f>
        <v>9556</v>
      </c>
      <c r="G577" s="3">
        <v>31</v>
      </c>
      <c r="H577" s="3" t="s">
        <v>991</v>
      </c>
      <c r="I577" s="3">
        <f>VLOOKUP(Table1[[#This Row],[Provider Type]] &amp; Table1[[#This Row],[Provider Type Description]], PROVIDER_TYPE, 2, FALSE)</f>
        <v>114</v>
      </c>
      <c r="J577" s="3">
        <v>319</v>
      </c>
      <c r="K577" s="3" t="s">
        <v>1066</v>
      </c>
      <c r="L577" s="3">
        <f>VLOOKUP(TRIM(Table1[[#This Row],[Provider Specialty]]) &amp; TRIM(Table1[[#This Row],[Provider Specialty Description]]), SPECIALTY_TYPE, 2, FALSE)</f>
        <v>2080</v>
      </c>
      <c r="M577" s="3" t="s">
        <v>19</v>
      </c>
      <c r="N577" s="27" t="s">
        <v>19</v>
      </c>
      <c r="O577" s="38">
        <f>VLOOKUP(TRIM(Table1[[#This Row],[Provider Specialty]]) &amp; TRIM(Table1[[#This Row],[Provider Specialty Description]]), SPECIALTY_TYPE, 2, FALSE)</f>
        <v>2080</v>
      </c>
      <c r="P577" s="3" t="str">
        <f>Table1[[#This Row],[Provider Type]] &amp; "+" &amp; Table1[[#This Row],[Provider Type Description]]</f>
        <v>31+Physician</v>
      </c>
      <c r="Q577" s="7" t="str">
        <f>Table1[[#This Row],[Provider Specialty]] &amp; "+" &amp; Table1[[#This Row],[Provider Specialty Description]]</f>
        <v>319+General Surgeon</v>
      </c>
      <c r="R577" s="7" t="str">
        <f>Table1[[#This Row],[PDMS Specialty Type ID]] &amp; "+" &amp; Table1[[#This Row],[PDMS Provider Type ID]] &amp; "+" &amp;Table1[[#This Row],[TAXONOMY]]</f>
        <v>2080+114+2086S0127X</v>
      </c>
      <c r="S5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(9556, 2080, 114, N'2086S0127X', N'Surgery - Trauma Surgery##')</v>
      </c>
    </row>
    <row r="578" spans="1:19" ht="47.25" hidden="1" customHeight="1" x14ac:dyDescent="0.25">
      <c r="A578" s="22" t="s">
        <v>1854</v>
      </c>
      <c r="B578" s="3" t="s">
        <v>988</v>
      </c>
      <c r="C578" s="3" t="s">
        <v>1048</v>
      </c>
      <c r="D578" s="3" t="s">
        <v>1396</v>
      </c>
      <c r="E578" s="3" t="s">
        <v>1397</v>
      </c>
      <c r="F578" s="3">
        <f>VLOOKUP(Table1[[#This Row],[Column2]], TAXONOMY_TYPE, 2, FALSE)</f>
        <v>9557</v>
      </c>
      <c r="G578" s="3">
        <v>32</v>
      </c>
      <c r="H578" s="3" t="s">
        <v>1444</v>
      </c>
      <c r="I578" s="3">
        <f>VLOOKUP(Table1[[#This Row],[Provider Type]] &amp; Table1[[#This Row],[Provider Type Description]], PROVIDER_TYPE, 2, FALSE)</f>
        <v>50</v>
      </c>
      <c r="J578" s="3">
        <v>319</v>
      </c>
      <c r="K578" s="3" t="s">
        <v>1066</v>
      </c>
      <c r="L578" s="3">
        <f>VLOOKUP(TRIM(Table1[[#This Row],[Provider Specialty]]) &amp; TRIM(Table1[[#This Row],[Provider Specialty Description]]), SPECIALTY_TYPE, 2, FALSE)</f>
        <v>2080</v>
      </c>
      <c r="M578" s="3" t="s">
        <v>18</v>
      </c>
      <c r="N578" s="27" t="s">
        <v>19</v>
      </c>
      <c r="O578" s="38">
        <f>VLOOKUP(TRIM(Table1[[#This Row],[Provider Specialty]]) &amp; TRIM(Table1[[#This Row],[Provider Specialty Description]]), SPECIALTY_TYPE, 2, FALSE)</f>
        <v>2080</v>
      </c>
      <c r="P578" s="3" t="str">
        <f>Table1[[#This Row],[Provider Type]] &amp; "+" &amp; Table1[[#This Row],[Provider Type Description]]</f>
        <v>32+Multi-Specialty</v>
      </c>
      <c r="Q578" s="7" t="str">
        <f>Table1[[#This Row],[Provider Specialty]] &amp; "+" &amp; Table1[[#This Row],[Provider Specialty Description]]</f>
        <v>319+General Surgeon</v>
      </c>
      <c r="R578" s="7" t="str">
        <f>Table1[[#This Row],[PDMS Specialty Type ID]] &amp; "+" &amp; Table1[[#This Row],[PDMS Provider Type ID]] &amp; "+" &amp;Table1[[#This Row],[TAXONOMY]]</f>
        <v>2080+50+2086S0127X</v>
      </c>
      <c r="S5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(9557, 2080, 50, N'2086S0127X', N'Surgery - Trauma Surgery##')</v>
      </c>
    </row>
    <row r="579" spans="1:19" ht="47.25" hidden="1" customHeight="1" x14ac:dyDescent="0.25">
      <c r="A579" s="22" t="s">
        <v>1854</v>
      </c>
      <c r="B579" s="3" t="s">
        <v>988</v>
      </c>
      <c r="C579" s="3" t="s">
        <v>1048</v>
      </c>
      <c r="D579" s="3" t="s">
        <v>1396</v>
      </c>
      <c r="E579" s="3" t="s">
        <v>1397</v>
      </c>
      <c r="F579" s="3">
        <f>VLOOKUP(Table1[[#This Row],[Column2]], TAXONOMY_TYPE, 2, FALSE)</f>
        <v>9558</v>
      </c>
      <c r="G579" s="3">
        <v>33</v>
      </c>
      <c r="H579" s="3" t="s">
        <v>1953</v>
      </c>
      <c r="I579" s="3">
        <f>VLOOKUP(Table1[[#This Row],[Provider Type]] &amp; Table1[[#This Row],[Provider Type Description]], PROVIDER_TYPE, 2, FALSE)</f>
        <v>51</v>
      </c>
      <c r="J579" s="3">
        <v>319</v>
      </c>
      <c r="K579" s="3" t="s">
        <v>1066</v>
      </c>
      <c r="L579" s="3">
        <f>VLOOKUP(TRIM(Table1[[#This Row],[Provider Specialty]]) &amp; TRIM(Table1[[#This Row],[Provider Specialty Description]]), SPECIALTY_TYPE, 2, FALSE)</f>
        <v>2080</v>
      </c>
      <c r="M579" s="3" t="s">
        <v>18</v>
      </c>
      <c r="N579" s="27" t="s">
        <v>19</v>
      </c>
      <c r="O579" s="38">
        <f>VLOOKUP(TRIM(Table1[[#This Row],[Provider Specialty]]) &amp; TRIM(Table1[[#This Row],[Provider Specialty Description]]), SPECIALTY_TYPE, 2, FALSE)</f>
        <v>2080</v>
      </c>
      <c r="P579" s="3" t="str">
        <f>Table1[[#This Row],[Provider Type]] &amp; "+" &amp; Table1[[#This Row],[Provider Type Description]]</f>
        <v>33+Single-Specialty</v>
      </c>
      <c r="Q579" s="7" t="str">
        <f>Table1[[#This Row],[Provider Specialty]] &amp; "+" &amp; Table1[[#This Row],[Provider Specialty Description]]</f>
        <v>319+General Surgeon</v>
      </c>
      <c r="R579" s="7" t="str">
        <f>Table1[[#This Row],[PDMS Specialty Type ID]] &amp; "+" &amp; Table1[[#This Row],[PDMS Provider Type ID]] &amp; "+" &amp;Table1[[#This Row],[TAXONOMY]]</f>
        <v>2080+51+2086S0127X</v>
      </c>
      <c r="S5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(9558, 2080, 51, N'2086S0127X', N'Surgery - Trauma Surgery##')</v>
      </c>
    </row>
    <row r="580" spans="1:19" ht="47.25" hidden="1" customHeight="1" x14ac:dyDescent="0.25">
      <c r="A580" s="22" t="s">
        <v>1855</v>
      </c>
      <c r="B580" s="3" t="s">
        <v>988</v>
      </c>
      <c r="C580" s="3" t="s">
        <v>994</v>
      </c>
      <c r="D580" s="3" t="s">
        <v>996</v>
      </c>
      <c r="E580" s="3" t="s">
        <v>997</v>
      </c>
      <c r="F580" s="3">
        <f>VLOOKUP(Table1[[#This Row],[Column2]], TAXONOMY_TYPE, 2, FALSE)</f>
        <v>9559</v>
      </c>
      <c r="G580" s="3">
        <v>31</v>
      </c>
      <c r="H580" s="3" t="s">
        <v>991</v>
      </c>
      <c r="I580" s="3">
        <f>VLOOKUP(Table1[[#This Row],[Provider Type]] &amp; Table1[[#This Row],[Provider Type Description]], PROVIDER_TYPE, 2, FALSE)</f>
        <v>114</v>
      </c>
      <c r="J580" s="3">
        <v>320</v>
      </c>
      <c r="K580" s="3" t="s">
        <v>998</v>
      </c>
      <c r="L580" s="3">
        <f>VLOOKUP(TRIM(Table1[[#This Row],[Provider Specialty]]) &amp; TRIM(Table1[[#This Row],[Provider Specialty Description]]), SPECIALTY_TYPE, 2, FALSE)</f>
        <v>2081</v>
      </c>
      <c r="M580" s="3" t="s">
        <v>18</v>
      </c>
      <c r="N580" s="27" t="s">
        <v>19</v>
      </c>
      <c r="O580" s="38">
        <f>VLOOKUP(TRIM(Table1[[#This Row],[Provider Specialty]]) &amp; TRIM(Table1[[#This Row],[Provider Specialty Description]]), SPECIALTY_TYPE, 2, FALSE)</f>
        <v>2081</v>
      </c>
      <c r="P580" s="3" t="str">
        <f>Table1[[#This Row],[Provider Type]] &amp; "+" &amp; Table1[[#This Row],[Provider Type Description]]</f>
        <v>31+Physician</v>
      </c>
      <c r="Q580" s="7" t="str">
        <f>Table1[[#This Row],[Provider Specialty]] &amp; "+" &amp; Table1[[#This Row],[Provider Specialty Description]]</f>
        <v>320+Geriatric Practitioner</v>
      </c>
      <c r="R580" s="7" t="str">
        <f>Table1[[#This Row],[PDMS Specialty Type ID]] &amp; "+" &amp; Table1[[#This Row],[PDMS Provider Type ID]] &amp; "+" &amp;Table1[[#This Row],[TAXONOMY]]</f>
        <v>2081+114+207QG0300X</v>
      </c>
      <c r="S5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(9559, 2081, 114, N'207QG0300X', N'Family Medicine+  - Geriatric Medicine')</v>
      </c>
    </row>
    <row r="581" spans="1:19" ht="47.25" hidden="1" customHeight="1" x14ac:dyDescent="0.25">
      <c r="A581" s="22" t="s">
        <v>1854</v>
      </c>
      <c r="B581" s="3" t="s">
        <v>988</v>
      </c>
      <c r="C581" s="3" t="s">
        <v>994</v>
      </c>
      <c r="D581" s="3" t="s">
        <v>996</v>
      </c>
      <c r="E581" s="3" t="s">
        <v>997</v>
      </c>
      <c r="F581" s="3">
        <f>VLOOKUP(Table1[[#This Row],[Column2]], TAXONOMY_TYPE, 2, FALSE)</f>
        <v>9560</v>
      </c>
      <c r="G581" s="3">
        <v>32</v>
      </c>
      <c r="H581" s="3" t="s">
        <v>1444</v>
      </c>
      <c r="I581" s="3">
        <f>VLOOKUP(Table1[[#This Row],[Provider Type]] &amp; Table1[[#This Row],[Provider Type Description]], PROVIDER_TYPE, 2, FALSE)</f>
        <v>50</v>
      </c>
      <c r="J581" s="3">
        <v>320</v>
      </c>
      <c r="K581" s="3" t="s">
        <v>998</v>
      </c>
      <c r="L581" s="3">
        <f>VLOOKUP(TRIM(Table1[[#This Row],[Provider Specialty]]) &amp; TRIM(Table1[[#This Row],[Provider Specialty Description]]), SPECIALTY_TYPE, 2, FALSE)</f>
        <v>2081</v>
      </c>
      <c r="M581" s="3" t="s">
        <v>18</v>
      </c>
      <c r="N581" s="27" t="s">
        <v>19</v>
      </c>
      <c r="O581" s="38">
        <f>VLOOKUP(TRIM(Table1[[#This Row],[Provider Specialty]]) &amp; TRIM(Table1[[#This Row],[Provider Specialty Description]]), SPECIALTY_TYPE, 2, FALSE)</f>
        <v>2081</v>
      </c>
      <c r="P581" s="3" t="str">
        <f>Table1[[#This Row],[Provider Type]] &amp; "+" &amp; Table1[[#This Row],[Provider Type Description]]</f>
        <v>32+Multi-Specialty</v>
      </c>
      <c r="Q581" s="7" t="str">
        <f>Table1[[#This Row],[Provider Specialty]] &amp; "+" &amp; Table1[[#This Row],[Provider Specialty Description]]</f>
        <v>320+Geriatric Practitioner</v>
      </c>
      <c r="R581" s="7" t="str">
        <f>Table1[[#This Row],[PDMS Specialty Type ID]] &amp; "+" &amp; Table1[[#This Row],[PDMS Provider Type ID]] &amp; "+" &amp;Table1[[#This Row],[TAXONOMY]]</f>
        <v>2081+50+207QG0300X</v>
      </c>
      <c r="S5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(9560, 2081, 50, N'207QG0300X', N'Family Medicine+  - Geriatric Medicine')</v>
      </c>
    </row>
    <row r="582" spans="1:19" ht="47.25" hidden="1" customHeight="1" x14ac:dyDescent="0.25">
      <c r="A582" s="22" t="s">
        <v>1854</v>
      </c>
      <c r="B582" s="3" t="s">
        <v>988</v>
      </c>
      <c r="C582" s="3" t="s">
        <v>994</v>
      </c>
      <c r="D582" s="3" t="s">
        <v>996</v>
      </c>
      <c r="E582" s="3" t="s">
        <v>997</v>
      </c>
      <c r="F582" s="3">
        <f>VLOOKUP(Table1[[#This Row],[Column2]], TAXONOMY_TYPE, 2, FALSE)</f>
        <v>9561</v>
      </c>
      <c r="G582" s="3">
        <v>33</v>
      </c>
      <c r="H582" s="3" t="s">
        <v>1953</v>
      </c>
      <c r="I582" s="3">
        <f>VLOOKUP(Table1[[#This Row],[Provider Type]] &amp; Table1[[#This Row],[Provider Type Description]], PROVIDER_TYPE, 2, FALSE)</f>
        <v>51</v>
      </c>
      <c r="J582" s="3">
        <v>320</v>
      </c>
      <c r="K582" s="3" t="s">
        <v>998</v>
      </c>
      <c r="L582" s="3">
        <f>VLOOKUP(TRIM(Table1[[#This Row],[Provider Specialty]]) &amp; TRIM(Table1[[#This Row],[Provider Specialty Description]]), SPECIALTY_TYPE, 2, FALSE)</f>
        <v>2081</v>
      </c>
      <c r="M582" s="3" t="s">
        <v>18</v>
      </c>
      <c r="N582" s="27" t="s">
        <v>19</v>
      </c>
      <c r="O582" s="38">
        <f>VLOOKUP(TRIM(Table1[[#This Row],[Provider Specialty]]) &amp; TRIM(Table1[[#This Row],[Provider Specialty Description]]), SPECIALTY_TYPE, 2, FALSE)</f>
        <v>2081</v>
      </c>
      <c r="P582" s="3" t="str">
        <f>Table1[[#This Row],[Provider Type]] &amp; "+" &amp; Table1[[#This Row],[Provider Type Description]]</f>
        <v>33+Single-Specialty</v>
      </c>
      <c r="Q582" s="7" t="str">
        <f>Table1[[#This Row],[Provider Specialty]] &amp; "+" &amp; Table1[[#This Row],[Provider Specialty Description]]</f>
        <v>320+Geriatric Practitioner</v>
      </c>
      <c r="R582" s="7" t="str">
        <f>Table1[[#This Row],[PDMS Specialty Type ID]] &amp; "+" &amp; Table1[[#This Row],[PDMS Provider Type ID]] &amp; "+" &amp;Table1[[#This Row],[TAXONOMY]]</f>
        <v>2081+51+207QG0300X</v>
      </c>
      <c r="S5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(9561, 2081, 51, N'207QG0300X', N'Family Medicine+  - Geriatric Medicine')</v>
      </c>
    </row>
    <row r="583" spans="1:19" ht="47.25" hidden="1" customHeight="1" x14ac:dyDescent="0.25">
      <c r="A583" s="22" t="s">
        <v>1855</v>
      </c>
      <c r="B583" s="3" t="s">
        <v>988</v>
      </c>
      <c r="C583" s="3" t="s">
        <v>1195</v>
      </c>
      <c r="D583" s="3" t="s">
        <v>1200</v>
      </c>
      <c r="E583" s="3" t="s">
        <v>1201</v>
      </c>
      <c r="F583" s="3">
        <f>VLOOKUP(Table1[[#This Row],[Column2]], TAXONOMY_TYPE, 2, FALSE)</f>
        <v>9562</v>
      </c>
      <c r="G583" s="3">
        <v>31</v>
      </c>
      <c r="H583" s="3" t="s">
        <v>991</v>
      </c>
      <c r="I583" s="3">
        <f>VLOOKUP(Table1[[#This Row],[Provider Type]] &amp; Table1[[#This Row],[Provider Type Description]], PROVIDER_TYPE, 2, FALSE)</f>
        <v>114</v>
      </c>
      <c r="J583" s="3">
        <v>321</v>
      </c>
      <c r="K583" s="3" t="s">
        <v>1202</v>
      </c>
      <c r="L583" s="3">
        <f>VLOOKUP(TRIM(Table1[[#This Row],[Provider Specialty]]) &amp; TRIM(Table1[[#This Row],[Provider Specialty Description]]), SPECIALTY_TYPE, 2, FALSE)</f>
        <v>2082</v>
      </c>
      <c r="M583" s="3" t="s">
        <v>19</v>
      </c>
      <c r="N583" s="27" t="s">
        <v>19</v>
      </c>
      <c r="O583" s="38">
        <f>VLOOKUP(TRIM(Table1[[#This Row],[Provider Specialty]]) &amp; TRIM(Table1[[#This Row],[Provider Specialty Description]]), SPECIALTY_TYPE, 2, FALSE)</f>
        <v>2082</v>
      </c>
      <c r="P583" s="3" t="str">
        <f>Table1[[#This Row],[Provider Type]] &amp; "+" &amp; Table1[[#This Row],[Provider Type Description]]</f>
        <v>31+Physician</v>
      </c>
      <c r="Q583" s="7" t="str">
        <f>Table1[[#This Row],[Provider Specialty]] &amp; "+" &amp; Table1[[#This Row],[Provider Specialty Description]]</f>
        <v>321+Hand Surgeon</v>
      </c>
      <c r="R583" s="7" t="str">
        <f>Table1[[#This Row],[PDMS Specialty Type ID]] &amp; "+" &amp; Table1[[#This Row],[PDMS Provider Type ID]] &amp; "+" &amp;Table1[[#This Row],[TAXONOMY]]</f>
        <v>2082+114+207XS0106X</v>
      </c>
      <c r="S5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(9562, 2082, 114, N'207XS0106X', N'Orthopaedic Surgery - Hand Surgery')</v>
      </c>
    </row>
    <row r="584" spans="1:19" ht="47.25" hidden="1" customHeight="1" x14ac:dyDescent="0.25">
      <c r="A584" s="22" t="s">
        <v>1854</v>
      </c>
      <c r="B584" s="3" t="s">
        <v>988</v>
      </c>
      <c r="C584" s="3" t="s">
        <v>1195</v>
      </c>
      <c r="D584" s="3" t="s">
        <v>1200</v>
      </c>
      <c r="E584" s="3" t="s">
        <v>1201</v>
      </c>
      <c r="F584" s="3">
        <f>VLOOKUP(Table1[[#This Row],[Column2]], TAXONOMY_TYPE, 2, FALSE)</f>
        <v>9563</v>
      </c>
      <c r="G584" s="3">
        <v>32</v>
      </c>
      <c r="H584" s="3" t="s">
        <v>1444</v>
      </c>
      <c r="I584" s="3">
        <f>VLOOKUP(Table1[[#This Row],[Provider Type]] &amp; Table1[[#This Row],[Provider Type Description]], PROVIDER_TYPE, 2, FALSE)</f>
        <v>50</v>
      </c>
      <c r="J584" s="3">
        <v>321</v>
      </c>
      <c r="K584" s="3" t="s">
        <v>1202</v>
      </c>
      <c r="L584" s="3">
        <f>VLOOKUP(TRIM(Table1[[#This Row],[Provider Specialty]]) &amp; TRIM(Table1[[#This Row],[Provider Specialty Description]]), SPECIALTY_TYPE, 2, FALSE)</f>
        <v>2082</v>
      </c>
      <c r="M584" s="3" t="s">
        <v>18</v>
      </c>
      <c r="N584" s="27" t="s">
        <v>19</v>
      </c>
      <c r="O584" s="38">
        <f>VLOOKUP(TRIM(Table1[[#This Row],[Provider Specialty]]) &amp; TRIM(Table1[[#This Row],[Provider Specialty Description]]), SPECIALTY_TYPE, 2, FALSE)</f>
        <v>2082</v>
      </c>
      <c r="P584" s="3" t="str">
        <f>Table1[[#This Row],[Provider Type]] &amp; "+" &amp; Table1[[#This Row],[Provider Type Description]]</f>
        <v>32+Multi-Specialty</v>
      </c>
      <c r="Q584" s="7" t="str">
        <f>Table1[[#This Row],[Provider Specialty]] &amp; "+" &amp; Table1[[#This Row],[Provider Specialty Description]]</f>
        <v>321+Hand Surgeon</v>
      </c>
      <c r="R584" s="7" t="str">
        <f>Table1[[#This Row],[PDMS Specialty Type ID]] &amp; "+" &amp; Table1[[#This Row],[PDMS Provider Type ID]] &amp; "+" &amp;Table1[[#This Row],[TAXONOMY]]</f>
        <v>2082+50+207XS0106X</v>
      </c>
      <c r="S5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(9563, 2082, 50, N'207XS0106X', N'Orthopaedic Surgery - Hand Surgery')</v>
      </c>
    </row>
    <row r="585" spans="1:19" ht="47.25" hidden="1" customHeight="1" x14ac:dyDescent="0.25">
      <c r="A585" s="22" t="s">
        <v>1854</v>
      </c>
      <c r="B585" s="3" t="s">
        <v>988</v>
      </c>
      <c r="C585" s="3" t="s">
        <v>1195</v>
      </c>
      <c r="D585" s="3" t="s">
        <v>1200</v>
      </c>
      <c r="E585" s="3" t="s">
        <v>1201</v>
      </c>
      <c r="F585" s="3">
        <f>VLOOKUP(Table1[[#This Row],[Column2]], TAXONOMY_TYPE, 2, FALSE)</f>
        <v>9564</v>
      </c>
      <c r="G585" s="3">
        <v>33</v>
      </c>
      <c r="H585" s="3" t="s">
        <v>1953</v>
      </c>
      <c r="I585" s="3">
        <f>VLOOKUP(Table1[[#This Row],[Provider Type]] &amp; Table1[[#This Row],[Provider Type Description]], PROVIDER_TYPE, 2, FALSE)</f>
        <v>51</v>
      </c>
      <c r="J585" s="3">
        <v>321</v>
      </c>
      <c r="K585" s="3" t="s">
        <v>1202</v>
      </c>
      <c r="L585" s="3">
        <f>VLOOKUP(TRIM(Table1[[#This Row],[Provider Specialty]]) &amp; TRIM(Table1[[#This Row],[Provider Specialty Description]]), SPECIALTY_TYPE, 2, FALSE)</f>
        <v>2082</v>
      </c>
      <c r="M585" s="3" t="s">
        <v>18</v>
      </c>
      <c r="N585" s="27" t="s">
        <v>19</v>
      </c>
      <c r="O585" s="38">
        <f>VLOOKUP(TRIM(Table1[[#This Row],[Provider Specialty]]) &amp; TRIM(Table1[[#This Row],[Provider Specialty Description]]), SPECIALTY_TYPE, 2, FALSE)</f>
        <v>2082</v>
      </c>
      <c r="P585" s="3" t="str">
        <f>Table1[[#This Row],[Provider Type]] &amp; "+" &amp; Table1[[#This Row],[Provider Type Description]]</f>
        <v>33+Single-Specialty</v>
      </c>
      <c r="Q585" s="7" t="str">
        <f>Table1[[#This Row],[Provider Specialty]] &amp; "+" &amp; Table1[[#This Row],[Provider Specialty Description]]</f>
        <v>321+Hand Surgeon</v>
      </c>
      <c r="R585" s="7" t="str">
        <f>Table1[[#This Row],[PDMS Specialty Type ID]] &amp; "+" &amp; Table1[[#This Row],[PDMS Provider Type ID]] &amp; "+" &amp;Table1[[#This Row],[TAXONOMY]]</f>
        <v>2082+51+207XS0106X</v>
      </c>
      <c r="S5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(9564, 2082, 51, N'207XS0106X', N'Orthopaedic Surgery - Hand Surgery')</v>
      </c>
    </row>
    <row r="586" spans="1:19" ht="47.25" hidden="1" customHeight="1" x14ac:dyDescent="0.25">
      <c r="A586" s="22" t="s">
        <v>1855</v>
      </c>
      <c r="B586" s="3" t="s">
        <v>988</v>
      </c>
      <c r="C586" s="3" t="s">
        <v>643</v>
      </c>
      <c r="D586" s="3" t="s">
        <v>1317</v>
      </c>
      <c r="E586" s="3" t="s">
        <v>1318</v>
      </c>
      <c r="F586" s="3">
        <f>VLOOKUP(Table1[[#This Row],[Column2]], TAXONOMY_TYPE, 2, FALSE)</f>
        <v>9565</v>
      </c>
      <c r="G586" s="3">
        <v>31</v>
      </c>
      <c r="H586" s="3" t="s">
        <v>991</v>
      </c>
      <c r="I586" s="3">
        <f>VLOOKUP(Table1[[#This Row],[Provider Type]] &amp; Table1[[#This Row],[Provider Type Description]], PROVIDER_TYPE, 2, FALSE)</f>
        <v>114</v>
      </c>
      <c r="J586" s="3">
        <v>321</v>
      </c>
      <c r="K586" s="3" t="s">
        <v>1202</v>
      </c>
      <c r="L586" s="3">
        <f>VLOOKUP(TRIM(Table1[[#This Row],[Provider Specialty]]) &amp; TRIM(Table1[[#This Row],[Provider Specialty Description]]), SPECIALTY_TYPE, 2, FALSE)</f>
        <v>2082</v>
      </c>
      <c r="M586" s="3" t="s">
        <v>19</v>
      </c>
      <c r="N586" s="27" t="s">
        <v>19</v>
      </c>
      <c r="O586" s="38">
        <f>VLOOKUP(TRIM(Table1[[#This Row],[Provider Specialty]]) &amp; TRIM(Table1[[#This Row],[Provider Specialty Description]]), SPECIALTY_TYPE, 2, FALSE)</f>
        <v>2082</v>
      </c>
      <c r="P586" s="3" t="str">
        <f>Table1[[#This Row],[Provider Type]] &amp; "+" &amp; Table1[[#This Row],[Provider Type Description]]</f>
        <v>31+Physician</v>
      </c>
      <c r="Q586" s="7" t="str">
        <f>Table1[[#This Row],[Provider Specialty]] &amp; "+" &amp; Table1[[#This Row],[Provider Specialty Description]]</f>
        <v>321+Hand Surgeon</v>
      </c>
      <c r="R586" s="7" t="str">
        <f>Table1[[#This Row],[PDMS Specialty Type ID]] &amp; "+" &amp; Table1[[#This Row],[PDMS Provider Type ID]] &amp; "+" &amp;Table1[[#This Row],[TAXONOMY]]</f>
        <v>2082+114+2082S0105X</v>
      </c>
      <c r="S5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(9565, 2082, 114, N'2082S0105X', N'Plastic Surgery - Surgery of the Hand')</v>
      </c>
    </row>
    <row r="587" spans="1:19" ht="47.25" hidden="1" customHeight="1" x14ac:dyDescent="0.25">
      <c r="A587" s="22" t="s">
        <v>1854</v>
      </c>
      <c r="B587" s="3" t="s">
        <v>988</v>
      </c>
      <c r="C587" s="3" t="s">
        <v>643</v>
      </c>
      <c r="D587" s="3" t="s">
        <v>1317</v>
      </c>
      <c r="E587" s="3" t="s">
        <v>1318</v>
      </c>
      <c r="F587" s="3">
        <f>VLOOKUP(Table1[[#This Row],[Column2]], TAXONOMY_TYPE, 2, FALSE)</f>
        <v>9566</v>
      </c>
      <c r="G587" s="3">
        <v>32</v>
      </c>
      <c r="H587" s="3" t="s">
        <v>1444</v>
      </c>
      <c r="I587" s="3">
        <f>VLOOKUP(Table1[[#This Row],[Provider Type]] &amp; Table1[[#This Row],[Provider Type Description]], PROVIDER_TYPE, 2, FALSE)</f>
        <v>50</v>
      </c>
      <c r="J587" s="3">
        <v>321</v>
      </c>
      <c r="K587" s="3" t="s">
        <v>1202</v>
      </c>
      <c r="L587" s="3">
        <f>VLOOKUP(TRIM(Table1[[#This Row],[Provider Specialty]]) &amp; TRIM(Table1[[#This Row],[Provider Specialty Description]]), SPECIALTY_TYPE, 2, FALSE)</f>
        <v>2082</v>
      </c>
      <c r="M587" s="3" t="s">
        <v>18</v>
      </c>
      <c r="N587" s="27" t="s">
        <v>19</v>
      </c>
      <c r="O587" s="38">
        <f>VLOOKUP(TRIM(Table1[[#This Row],[Provider Specialty]]) &amp; TRIM(Table1[[#This Row],[Provider Specialty Description]]), SPECIALTY_TYPE, 2, FALSE)</f>
        <v>2082</v>
      </c>
      <c r="P587" s="3" t="str">
        <f>Table1[[#This Row],[Provider Type]] &amp; "+" &amp; Table1[[#This Row],[Provider Type Description]]</f>
        <v>32+Multi-Specialty</v>
      </c>
      <c r="Q587" s="7" t="str">
        <f>Table1[[#This Row],[Provider Specialty]] &amp; "+" &amp; Table1[[#This Row],[Provider Specialty Description]]</f>
        <v>321+Hand Surgeon</v>
      </c>
      <c r="R587" s="7" t="str">
        <f>Table1[[#This Row],[PDMS Specialty Type ID]] &amp; "+" &amp; Table1[[#This Row],[PDMS Provider Type ID]] &amp; "+" &amp;Table1[[#This Row],[TAXONOMY]]</f>
        <v>2082+50+2082S0105X</v>
      </c>
      <c r="S5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(9566, 2082, 50, N'2082S0105X', N'Plastic Surgery - Surgery of the Hand')</v>
      </c>
    </row>
    <row r="588" spans="1:19" ht="47.25" hidden="1" customHeight="1" x14ac:dyDescent="0.25">
      <c r="A588" s="22" t="s">
        <v>1854</v>
      </c>
      <c r="B588" s="3" t="s">
        <v>988</v>
      </c>
      <c r="C588" s="3" t="s">
        <v>643</v>
      </c>
      <c r="D588" s="3" t="s">
        <v>1317</v>
      </c>
      <c r="E588" s="3" t="s">
        <v>1318</v>
      </c>
      <c r="F588" s="3">
        <f>VLOOKUP(Table1[[#This Row],[Column2]], TAXONOMY_TYPE, 2, FALSE)</f>
        <v>9567</v>
      </c>
      <c r="G588" s="3">
        <v>33</v>
      </c>
      <c r="H588" s="3" t="s">
        <v>1953</v>
      </c>
      <c r="I588" s="3">
        <f>VLOOKUP(Table1[[#This Row],[Provider Type]] &amp; Table1[[#This Row],[Provider Type Description]], PROVIDER_TYPE, 2, FALSE)</f>
        <v>51</v>
      </c>
      <c r="J588" s="3">
        <v>321</v>
      </c>
      <c r="K588" s="3" t="s">
        <v>1202</v>
      </c>
      <c r="L588" s="3">
        <f>VLOOKUP(TRIM(Table1[[#This Row],[Provider Specialty]]) &amp; TRIM(Table1[[#This Row],[Provider Specialty Description]]), SPECIALTY_TYPE, 2, FALSE)</f>
        <v>2082</v>
      </c>
      <c r="M588" s="3" t="s">
        <v>18</v>
      </c>
      <c r="N588" s="27" t="s">
        <v>19</v>
      </c>
      <c r="O588" s="38">
        <f>VLOOKUP(TRIM(Table1[[#This Row],[Provider Specialty]]) &amp; TRIM(Table1[[#This Row],[Provider Specialty Description]]), SPECIALTY_TYPE, 2, FALSE)</f>
        <v>2082</v>
      </c>
      <c r="P588" s="3" t="str">
        <f>Table1[[#This Row],[Provider Type]] &amp; "+" &amp; Table1[[#This Row],[Provider Type Description]]</f>
        <v>33+Single-Specialty</v>
      </c>
      <c r="Q588" s="7" t="str">
        <f>Table1[[#This Row],[Provider Specialty]] &amp; "+" &amp; Table1[[#This Row],[Provider Specialty Description]]</f>
        <v>321+Hand Surgeon</v>
      </c>
      <c r="R588" s="7" t="str">
        <f>Table1[[#This Row],[PDMS Specialty Type ID]] &amp; "+" &amp; Table1[[#This Row],[PDMS Provider Type ID]] &amp; "+" &amp;Table1[[#This Row],[TAXONOMY]]</f>
        <v>2082+51+2082S0105X</v>
      </c>
      <c r="S5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(9567, 2082, 51, N'2082S0105X', N'Plastic Surgery - Surgery of the Hand')</v>
      </c>
    </row>
    <row r="589" spans="1:19" ht="47.25" hidden="1" customHeight="1" x14ac:dyDescent="0.25">
      <c r="A589" s="22" t="s">
        <v>1855</v>
      </c>
      <c r="B589" s="3" t="s">
        <v>988</v>
      </c>
      <c r="C589" s="3" t="s">
        <v>1048</v>
      </c>
      <c r="D589" s="3" t="s">
        <v>1317</v>
      </c>
      <c r="E589" s="3" t="s">
        <v>1393</v>
      </c>
      <c r="F589" s="3">
        <f>VLOOKUP(Table1[[#This Row],[Column2]], TAXONOMY_TYPE, 2, FALSE)</f>
        <v>9568</v>
      </c>
      <c r="G589" s="3">
        <v>31</v>
      </c>
      <c r="H589" s="3" t="s">
        <v>991</v>
      </c>
      <c r="I589" s="3">
        <f>VLOOKUP(Table1[[#This Row],[Provider Type]] &amp; Table1[[#This Row],[Provider Type Description]], PROVIDER_TYPE, 2, FALSE)</f>
        <v>114</v>
      </c>
      <c r="J589" s="3">
        <v>321</v>
      </c>
      <c r="K589" s="3" t="s">
        <v>1202</v>
      </c>
      <c r="L589" s="3">
        <f>VLOOKUP(TRIM(Table1[[#This Row],[Provider Specialty]]) &amp; TRIM(Table1[[#This Row],[Provider Specialty Description]]), SPECIALTY_TYPE, 2, FALSE)</f>
        <v>2082</v>
      </c>
      <c r="M589" s="3" t="s">
        <v>19</v>
      </c>
      <c r="N589" s="27" t="s">
        <v>19</v>
      </c>
      <c r="O589" s="38">
        <f>VLOOKUP(TRIM(Table1[[#This Row],[Provider Specialty]]) &amp; TRIM(Table1[[#This Row],[Provider Specialty Description]]), SPECIALTY_TYPE, 2, FALSE)</f>
        <v>2082</v>
      </c>
      <c r="P589" s="3" t="str">
        <f>Table1[[#This Row],[Provider Type]] &amp; "+" &amp; Table1[[#This Row],[Provider Type Description]]</f>
        <v>31+Physician</v>
      </c>
      <c r="Q589" s="7" t="str">
        <f>Table1[[#This Row],[Provider Specialty]] &amp; "+" &amp; Table1[[#This Row],[Provider Specialty Description]]</f>
        <v>321+Hand Surgeon</v>
      </c>
      <c r="R589" s="7" t="str">
        <f>Table1[[#This Row],[PDMS Specialty Type ID]] &amp; "+" &amp; Table1[[#This Row],[PDMS Provider Type ID]] &amp; "+" &amp;Table1[[#This Row],[TAXONOMY]]</f>
        <v>2082+114+2086S0105X</v>
      </c>
      <c r="S5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(9568, 2082, 114, N'2086S0105X', N'Surgery - Surgery of the Hand')</v>
      </c>
    </row>
    <row r="590" spans="1:19" ht="47.25" hidden="1" customHeight="1" x14ac:dyDescent="0.25">
      <c r="A590" s="22" t="s">
        <v>1854</v>
      </c>
      <c r="B590" s="3" t="s">
        <v>988</v>
      </c>
      <c r="C590" s="3" t="s">
        <v>1048</v>
      </c>
      <c r="D590" s="3" t="s">
        <v>1317</v>
      </c>
      <c r="E590" s="3" t="s">
        <v>1393</v>
      </c>
      <c r="F590" s="3">
        <f>VLOOKUP(Table1[[#This Row],[Column2]], TAXONOMY_TYPE, 2, FALSE)</f>
        <v>9569</v>
      </c>
      <c r="G590" s="3">
        <v>32</v>
      </c>
      <c r="H590" s="3" t="s">
        <v>1444</v>
      </c>
      <c r="I590" s="3">
        <f>VLOOKUP(Table1[[#This Row],[Provider Type]] &amp; Table1[[#This Row],[Provider Type Description]], PROVIDER_TYPE, 2, FALSE)</f>
        <v>50</v>
      </c>
      <c r="J590" s="3">
        <v>321</v>
      </c>
      <c r="K590" s="3" t="s">
        <v>1202</v>
      </c>
      <c r="L590" s="3">
        <f>VLOOKUP(TRIM(Table1[[#This Row],[Provider Specialty]]) &amp; TRIM(Table1[[#This Row],[Provider Specialty Description]]), SPECIALTY_TYPE, 2, FALSE)</f>
        <v>2082</v>
      </c>
      <c r="M590" s="3" t="s">
        <v>18</v>
      </c>
      <c r="N590" s="27" t="s">
        <v>19</v>
      </c>
      <c r="O590" s="38">
        <f>VLOOKUP(TRIM(Table1[[#This Row],[Provider Specialty]]) &amp; TRIM(Table1[[#This Row],[Provider Specialty Description]]), SPECIALTY_TYPE, 2, FALSE)</f>
        <v>2082</v>
      </c>
      <c r="P590" s="3" t="str">
        <f>Table1[[#This Row],[Provider Type]] &amp; "+" &amp; Table1[[#This Row],[Provider Type Description]]</f>
        <v>32+Multi-Specialty</v>
      </c>
      <c r="Q590" s="7" t="str">
        <f>Table1[[#This Row],[Provider Specialty]] &amp; "+" &amp; Table1[[#This Row],[Provider Specialty Description]]</f>
        <v>321+Hand Surgeon</v>
      </c>
      <c r="R590" s="7" t="str">
        <f>Table1[[#This Row],[PDMS Specialty Type ID]] &amp; "+" &amp; Table1[[#This Row],[PDMS Provider Type ID]] &amp; "+" &amp;Table1[[#This Row],[TAXONOMY]]</f>
        <v>2082+50+2086S0105X</v>
      </c>
      <c r="S5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(9569, 2082, 50, N'2086S0105X', N'Surgery - Surgery of the Hand')</v>
      </c>
    </row>
    <row r="591" spans="1:19" ht="47.25" hidden="1" customHeight="1" x14ac:dyDescent="0.25">
      <c r="A591" s="22" t="s">
        <v>1854</v>
      </c>
      <c r="B591" s="3" t="s">
        <v>988</v>
      </c>
      <c r="C591" s="3" t="s">
        <v>1048</v>
      </c>
      <c r="D591" s="3" t="s">
        <v>1317</v>
      </c>
      <c r="E591" s="3" t="s">
        <v>1393</v>
      </c>
      <c r="F591" s="3">
        <f>VLOOKUP(Table1[[#This Row],[Column2]], TAXONOMY_TYPE, 2, FALSE)</f>
        <v>9570</v>
      </c>
      <c r="G591" s="3">
        <v>33</v>
      </c>
      <c r="H591" s="3" t="s">
        <v>1953</v>
      </c>
      <c r="I591" s="3">
        <f>VLOOKUP(Table1[[#This Row],[Provider Type]] &amp; Table1[[#This Row],[Provider Type Description]], PROVIDER_TYPE, 2, FALSE)</f>
        <v>51</v>
      </c>
      <c r="J591" s="3">
        <v>321</v>
      </c>
      <c r="K591" s="3" t="s">
        <v>1202</v>
      </c>
      <c r="L591" s="3">
        <f>VLOOKUP(TRIM(Table1[[#This Row],[Provider Specialty]]) &amp; TRIM(Table1[[#This Row],[Provider Specialty Description]]), SPECIALTY_TYPE, 2, FALSE)</f>
        <v>2082</v>
      </c>
      <c r="M591" s="3" t="s">
        <v>18</v>
      </c>
      <c r="N591" s="27" t="s">
        <v>19</v>
      </c>
      <c r="O591" s="38">
        <f>VLOOKUP(TRIM(Table1[[#This Row],[Provider Specialty]]) &amp; TRIM(Table1[[#This Row],[Provider Specialty Description]]), SPECIALTY_TYPE, 2, FALSE)</f>
        <v>2082</v>
      </c>
      <c r="P591" s="3" t="str">
        <f>Table1[[#This Row],[Provider Type]] &amp; "+" &amp; Table1[[#This Row],[Provider Type Description]]</f>
        <v>33+Single-Specialty</v>
      </c>
      <c r="Q591" s="7" t="str">
        <f>Table1[[#This Row],[Provider Specialty]] &amp; "+" &amp; Table1[[#This Row],[Provider Specialty Description]]</f>
        <v>321+Hand Surgeon</v>
      </c>
      <c r="R591" s="7" t="str">
        <f>Table1[[#This Row],[PDMS Specialty Type ID]] &amp; "+" &amp; Table1[[#This Row],[PDMS Provider Type ID]] &amp; "+" &amp;Table1[[#This Row],[TAXONOMY]]</f>
        <v>2082+51+2086S0105X</v>
      </c>
      <c r="S5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(9570, 2082, 51, N'2086S0105X', N'Surgery - Surgery of the Hand')</v>
      </c>
    </row>
    <row r="592" spans="1:19" ht="47.25" hidden="1" customHeight="1" x14ac:dyDescent="0.25">
      <c r="A592" s="22" t="s">
        <v>1855</v>
      </c>
      <c r="B592" s="3" t="s">
        <v>988</v>
      </c>
      <c r="C592" s="3" t="s">
        <v>999</v>
      </c>
      <c r="D592" s="3" t="s">
        <v>999</v>
      </c>
      <c r="E592" s="3" t="s">
        <v>1125</v>
      </c>
      <c r="F592" s="3">
        <f>VLOOKUP(Table1[[#This Row],[Column2]], TAXONOMY_TYPE, 2, FALSE)</f>
        <v>9571</v>
      </c>
      <c r="G592" s="3">
        <v>31</v>
      </c>
      <c r="H592" s="3" t="s">
        <v>991</v>
      </c>
      <c r="I592" s="3">
        <f>VLOOKUP(Table1[[#This Row],[Provider Type]] &amp; Table1[[#This Row],[Provider Type Description]], PROVIDER_TYPE, 2, FALSE)</f>
        <v>114</v>
      </c>
      <c r="J592" s="3">
        <v>322</v>
      </c>
      <c r="K592" s="3" t="s">
        <v>1126</v>
      </c>
      <c r="L592" s="3">
        <f>VLOOKUP(TRIM(Table1[[#This Row],[Provider Specialty]]) &amp; TRIM(Table1[[#This Row],[Provider Specialty Description]]), SPECIALTY_TYPE, 2, FALSE)</f>
        <v>5</v>
      </c>
      <c r="M592" s="3" t="s">
        <v>19</v>
      </c>
      <c r="N592" s="27" t="s">
        <v>19</v>
      </c>
      <c r="O592" s="38">
        <f>VLOOKUP(TRIM(Table1[[#This Row],[Provider Specialty]]) &amp; TRIM(Table1[[#This Row],[Provider Specialty Description]]), SPECIALTY_TYPE, 2, FALSE)</f>
        <v>5</v>
      </c>
      <c r="P592" s="3" t="str">
        <f>Table1[[#This Row],[Provider Type]] &amp; "+" &amp; Table1[[#This Row],[Provider Type Description]]</f>
        <v>31+Physician</v>
      </c>
      <c r="Q592" s="7" t="str">
        <f>Table1[[#This Row],[Provider Specialty]] &amp; "+" &amp; Table1[[#This Row],[Provider Specialty Description]]</f>
        <v>322+Internist</v>
      </c>
      <c r="R592" s="7" t="str">
        <f>Table1[[#This Row],[PDMS Specialty Type ID]] &amp; "+" &amp; Table1[[#This Row],[PDMS Provider Type ID]] &amp; "+" &amp;Table1[[#This Row],[TAXONOMY]]</f>
        <v>5+114+207R00000X</v>
      </c>
      <c r="S5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(9571, 5, 114, N'207R00000X', N'Internal Medicine - Internal Medicine')</v>
      </c>
    </row>
    <row r="593" spans="1:19" ht="47.25" hidden="1" customHeight="1" x14ac:dyDescent="0.25">
      <c r="A593" s="22" t="s">
        <v>1854</v>
      </c>
      <c r="B593" s="3" t="s">
        <v>988</v>
      </c>
      <c r="C593" s="3" t="s">
        <v>999</v>
      </c>
      <c r="D593" s="3" t="s">
        <v>999</v>
      </c>
      <c r="E593" s="3" t="s">
        <v>1125</v>
      </c>
      <c r="F593" s="3">
        <f>VLOOKUP(Table1[[#This Row],[Column2]], TAXONOMY_TYPE, 2, FALSE)</f>
        <v>9572</v>
      </c>
      <c r="G593" s="3">
        <v>32</v>
      </c>
      <c r="H593" s="3" t="s">
        <v>1444</v>
      </c>
      <c r="I593" s="3">
        <f>VLOOKUP(Table1[[#This Row],[Provider Type]] &amp; Table1[[#This Row],[Provider Type Description]], PROVIDER_TYPE, 2, FALSE)</f>
        <v>50</v>
      </c>
      <c r="J593" s="3">
        <v>322</v>
      </c>
      <c r="K593" s="3" t="s">
        <v>1126</v>
      </c>
      <c r="L593" s="3">
        <f>VLOOKUP(TRIM(Table1[[#This Row],[Provider Specialty]]) &amp; TRIM(Table1[[#This Row],[Provider Specialty Description]]), SPECIALTY_TYPE, 2, FALSE)</f>
        <v>5</v>
      </c>
      <c r="M593" s="3" t="s">
        <v>18</v>
      </c>
      <c r="N593" s="27" t="s">
        <v>19</v>
      </c>
      <c r="O593" s="38">
        <f>VLOOKUP(TRIM(Table1[[#This Row],[Provider Specialty]]) &amp; TRIM(Table1[[#This Row],[Provider Specialty Description]]), SPECIALTY_TYPE, 2, FALSE)</f>
        <v>5</v>
      </c>
      <c r="P593" s="3" t="str">
        <f>Table1[[#This Row],[Provider Type]] &amp; "+" &amp; Table1[[#This Row],[Provider Type Description]]</f>
        <v>32+Multi-Specialty</v>
      </c>
      <c r="Q593" s="7" t="str">
        <f>Table1[[#This Row],[Provider Specialty]] &amp; "+" &amp; Table1[[#This Row],[Provider Specialty Description]]</f>
        <v>322+Internist</v>
      </c>
      <c r="R593" s="7" t="str">
        <f>Table1[[#This Row],[PDMS Specialty Type ID]] &amp; "+" &amp; Table1[[#This Row],[PDMS Provider Type ID]] &amp; "+" &amp;Table1[[#This Row],[TAXONOMY]]</f>
        <v>5+50+207R00000X</v>
      </c>
      <c r="S5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(9572, 5, 50, N'207R00000X', N'Internal Medicine - Internal Medicine')</v>
      </c>
    </row>
    <row r="594" spans="1:19" ht="47.25" hidden="1" customHeight="1" x14ac:dyDescent="0.25">
      <c r="A594" s="22" t="s">
        <v>1854</v>
      </c>
      <c r="B594" s="3" t="s">
        <v>988</v>
      </c>
      <c r="C594" s="3" t="s">
        <v>999</v>
      </c>
      <c r="D594" s="3" t="s">
        <v>999</v>
      </c>
      <c r="E594" s="3" t="s">
        <v>1125</v>
      </c>
      <c r="F594" s="3">
        <f>VLOOKUP(Table1[[#This Row],[Column2]], TAXONOMY_TYPE, 2, FALSE)</f>
        <v>9573</v>
      </c>
      <c r="G594" s="3">
        <v>33</v>
      </c>
      <c r="H594" s="3" t="s">
        <v>1953</v>
      </c>
      <c r="I594" s="3">
        <f>VLOOKUP(Table1[[#This Row],[Provider Type]] &amp; Table1[[#This Row],[Provider Type Description]], PROVIDER_TYPE, 2, FALSE)</f>
        <v>51</v>
      </c>
      <c r="J594" s="3">
        <v>322</v>
      </c>
      <c r="K594" s="3" t="s">
        <v>1126</v>
      </c>
      <c r="L594" s="3">
        <f>VLOOKUP(TRIM(Table1[[#This Row],[Provider Specialty]]) &amp; TRIM(Table1[[#This Row],[Provider Specialty Description]]), SPECIALTY_TYPE, 2, FALSE)</f>
        <v>5</v>
      </c>
      <c r="M594" s="3" t="s">
        <v>18</v>
      </c>
      <c r="N594" s="27" t="s">
        <v>19</v>
      </c>
      <c r="O594" s="38">
        <f>VLOOKUP(TRIM(Table1[[#This Row],[Provider Specialty]]) &amp; TRIM(Table1[[#This Row],[Provider Specialty Description]]), SPECIALTY_TYPE, 2, FALSE)</f>
        <v>5</v>
      </c>
      <c r="P594" s="3" t="str">
        <f>Table1[[#This Row],[Provider Type]] &amp; "+" &amp; Table1[[#This Row],[Provider Type Description]]</f>
        <v>33+Single-Specialty</v>
      </c>
      <c r="Q594" s="7" t="str">
        <f>Table1[[#This Row],[Provider Specialty]] &amp; "+" &amp; Table1[[#This Row],[Provider Specialty Description]]</f>
        <v>322+Internist</v>
      </c>
      <c r="R594" s="7" t="str">
        <f>Table1[[#This Row],[PDMS Specialty Type ID]] &amp; "+" &amp; Table1[[#This Row],[PDMS Provider Type ID]] &amp; "+" &amp;Table1[[#This Row],[TAXONOMY]]</f>
        <v>5+51+207R00000X</v>
      </c>
      <c r="S5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(9573, 5, 51, N'207R00000X', N'Internal Medicine - Internal Medicine')</v>
      </c>
    </row>
    <row r="595" spans="1:19" ht="47.25" hidden="1" customHeight="1" x14ac:dyDescent="0.25">
      <c r="A595" s="22" t="s">
        <v>1855</v>
      </c>
      <c r="B595" s="3" t="s">
        <v>988</v>
      </c>
      <c r="C595" s="3" t="s">
        <v>999</v>
      </c>
      <c r="D595" s="3" t="s">
        <v>1127</v>
      </c>
      <c r="E595" s="3" t="s">
        <v>1128</v>
      </c>
      <c r="F595" s="3">
        <f>VLOOKUP(Table1[[#This Row],[Column2]], TAXONOMY_TYPE, 2, FALSE)</f>
        <v>9574</v>
      </c>
      <c r="G595" s="3">
        <v>31</v>
      </c>
      <c r="H595" s="3" t="s">
        <v>991</v>
      </c>
      <c r="I595" s="3">
        <f>VLOOKUP(Table1[[#This Row],[Provider Type]] &amp; Table1[[#This Row],[Provider Type Description]], PROVIDER_TYPE, 2, FALSE)</f>
        <v>114</v>
      </c>
      <c r="J595" s="3">
        <v>322</v>
      </c>
      <c r="K595" s="3" t="s">
        <v>1126</v>
      </c>
      <c r="L595" s="3">
        <f>VLOOKUP(TRIM(Table1[[#This Row],[Provider Specialty]]) &amp; TRIM(Table1[[#This Row],[Provider Specialty Description]]), SPECIALTY_TYPE, 2, FALSE)</f>
        <v>5</v>
      </c>
      <c r="M595" s="3" t="s">
        <v>19</v>
      </c>
      <c r="N595" s="27" t="s">
        <v>19</v>
      </c>
      <c r="O595" s="38">
        <f>VLOOKUP(TRIM(Table1[[#This Row],[Provider Specialty]]) &amp; TRIM(Table1[[#This Row],[Provider Specialty Description]]), SPECIALTY_TYPE, 2, FALSE)</f>
        <v>5</v>
      </c>
      <c r="P595" s="3" t="str">
        <f>Table1[[#This Row],[Provider Type]] &amp; "+" &amp; Table1[[#This Row],[Provider Type Description]]</f>
        <v>31+Physician</v>
      </c>
      <c r="Q595" s="7" t="str">
        <f>Table1[[#This Row],[Provider Specialty]] &amp; "+" &amp; Table1[[#This Row],[Provider Specialty Description]]</f>
        <v>322+Internist</v>
      </c>
      <c r="R595" s="7" t="str">
        <f>Table1[[#This Row],[PDMS Specialty Type ID]] &amp; "+" &amp; Table1[[#This Row],[PDMS Provider Type ID]] &amp; "+" &amp;Table1[[#This Row],[TAXONOMY]]</f>
        <v>5+114+207RA0000X</v>
      </c>
      <c r="S5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(9574, 5, 114, N'207RA0000X', N'Internal Medicine - Adolescent Medicine ')</v>
      </c>
    </row>
    <row r="596" spans="1:19" ht="47.25" hidden="1" customHeight="1" x14ac:dyDescent="0.25">
      <c r="A596" s="22" t="s">
        <v>1854</v>
      </c>
      <c r="B596" s="3" t="s">
        <v>988</v>
      </c>
      <c r="C596" s="3" t="s">
        <v>999</v>
      </c>
      <c r="D596" s="3" t="s">
        <v>1127</v>
      </c>
      <c r="E596" s="3" t="s">
        <v>1128</v>
      </c>
      <c r="F596" s="3">
        <f>VLOOKUP(Table1[[#This Row],[Column2]], TAXONOMY_TYPE, 2, FALSE)</f>
        <v>9575</v>
      </c>
      <c r="G596" s="3">
        <v>32</v>
      </c>
      <c r="H596" s="3" t="s">
        <v>1444</v>
      </c>
      <c r="I596" s="3">
        <f>VLOOKUP(Table1[[#This Row],[Provider Type]] &amp; Table1[[#This Row],[Provider Type Description]], PROVIDER_TYPE, 2, FALSE)</f>
        <v>50</v>
      </c>
      <c r="J596" s="3">
        <v>322</v>
      </c>
      <c r="K596" s="3" t="s">
        <v>1126</v>
      </c>
      <c r="L596" s="3">
        <f>VLOOKUP(TRIM(Table1[[#This Row],[Provider Specialty]]) &amp; TRIM(Table1[[#This Row],[Provider Specialty Description]]), SPECIALTY_TYPE, 2, FALSE)</f>
        <v>5</v>
      </c>
      <c r="M596" s="3" t="s">
        <v>18</v>
      </c>
      <c r="N596" s="27" t="s">
        <v>19</v>
      </c>
      <c r="O596" s="38">
        <f>VLOOKUP(TRIM(Table1[[#This Row],[Provider Specialty]]) &amp; TRIM(Table1[[#This Row],[Provider Specialty Description]]), SPECIALTY_TYPE, 2, FALSE)</f>
        <v>5</v>
      </c>
      <c r="P596" s="3" t="str">
        <f>Table1[[#This Row],[Provider Type]] &amp; "+" &amp; Table1[[#This Row],[Provider Type Description]]</f>
        <v>32+Multi-Specialty</v>
      </c>
      <c r="Q596" s="7" t="str">
        <f>Table1[[#This Row],[Provider Specialty]] &amp; "+" &amp; Table1[[#This Row],[Provider Specialty Description]]</f>
        <v>322+Internist</v>
      </c>
      <c r="R596" s="7" t="str">
        <f>Table1[[#This Row],[PDMS Specialty Type ID]] &amp; "+" &amp; Table1[[#This Row],[PDMS Provider Type ID]] &amp; "+" &amp;Table1[[#This Row],[TAXONOMY]]</f>
        <v>5+50+207RA0000X</v>
      </c>
      <c r="S5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(9575, 5, 50, N'207RA0000X', N'Internal Medicine - Adolescent Medicine ')</v>
      </c>
    </row>
    <row r="597" spans="1:19" ht="47.25" hidden="1" customHeight="1" x14ac:dyDescent="0.25">
      <c r="A597" s="22" t="s">
        <v>1854</v>
      </c>
      <c r="B597" s="3" t="s">
        <v>988</v>
      </c>
      <c r="C597" s="3" t="s">
        <v>999</v>
      </c>
      <c r="D597" s="3" t="s">
        <v>1127</v>
      </c>
      <c r="E597" s="3" t="s">
        <v>1128</v>
      </c>
      <c r="F597" s="3">
        <f>VLOOKUP(Table1[[#This Row],[Column2]], TAXONOMY_TYPE, 2, FALSE)</f>
        <v>9576</v>
      </c>
      <c r="G597" s="3">
        <v>33</v>
      </c>
      <c r="H597" s="3" t="s">
        <v>1953</v>
      </c>
      <c r="I597" s="3">
        <f>VLOOKUP(Table1[[#This Row],[Provider Type]] &amp; Table1[[#This Row],[Provider Type Description]], PROVIDER_TYPE, 2, FALSE)</f>
        <v>51</v>
      </c>
      <c r="J597" s="3">
        <v>322</v>
      </c>
      <c r="K597" s="3" t="s">
        <v>1126</v>
      </c>
      <c r="L597" s="3">
        <f>VLOOKUP(TRIM(Table1[[#This Row],[Provider Specialty]]) &amp; TRIM(Table1[[#This Row],[Provider Specialty Description]]), SPECIALTY_TYPE, 2, FALSE)</f>
        <v>5</v>
      </c>
      <c r="M597" s="3" t="s">
        <v>18</v>
      </c>
      <c r="N597" s="27" t="s">
        <v>19</v>
      </c>
      <c r="O597" s="38">
        <f>VLOOKUP(TRIM(Table1[[#This Row],[Provider Specialty]]) &amp; TRIM(Table1[[#This Row],[Provider Specialty Description]]), SPECIALTY_TYPE, 2, FALSE)</f>
        <v>5</v>
      </c>
      <c r="P597" s="3" t="str">
        <f>Table1[[#This Row],[Provider Type]] &amp; "+" &amp; Table1[[#This Row],[Provider Type Description]]</f>
        <v>33+Single-Specialty</v>
      </c>
      <c r="Q597" s="7" t="str">
        <f>Table1[[#This Row],[Provider Specialty]] &amp; "+" &amp; Table1[[#This Row],[Provider Specialty Description]]</f>
        <v>322+Internist</v>
      </c>
      <c r="R597" s="7" t="str">
        <f>Table1[[#This Row],[PDMS Specialty Type ID]] &amp; "+" &amp; Table1[[#This Row],[PDMS Provider Type ID]] &amp; "+" &amp;Table1[[#This Row],[TAXONOMY]]</f>
        <v>5+51+207RA0000X</v>
      </c>
      <c r="S5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(9576, 5, 51, N'207RA0000X', N'Internal Medicine - Adolescent Medicine ')</v>
      </c>
    </row>
    <row r="598" spans="1:19" ht="47.25" hidden="1" customHeight="1" x14ac:dyDescent="0.25">
      <c r="A598" s="22" t="s">
        <v>1855</v>
      </c>
      <c r="B598" s="3" t="s">
        <v>988</v>
      </c>
      <c r="C598" s="3" t="s">
        <v>999</v>
      </c>
      <c r="D598" s="3" t="s">
        <v>1131</v>
      </c>
      <c r="E598" s="3" t="s">
        <v>1132</v>
      </c>
      <c r="F598" s="3">
        <f>VLOOKUP(Table1[[#This Row],[Column2]], TAXONOMY_TYPE, 2, FALSE)</f>
        <v>9577</v>
      </c>
      <c r="G598" s="3">
        <v>31</v>
      </c>
      <c r="H598" s="3" t="s">
        <v>991</v>
      </c>
      <c r="I598" s="3">
        <f>VLOOKUP(Table1[[#This Row],[Provider Type]] &amp; Table1[[#This Row],[Provider Type Description]], PROVIDER_TYPE, 2, FALSE)</f>
        <v>114</v>
      </c>
      <c r="J598" s="3">
        <v>322</v>
      </c>
      <c r="K598" s="3" t="s">
        <v>1126</v>
      </c>
      <c r="L598" s="3">
        <f>VLOOKUP(TRIM(Table1[[#This Row],[Provider Specialty]]) &amp; TRIM(Table1[[#This Row],[Provider Specialty Description]]), SPECIALTY_TYPE, 2, FALSE)</f>
        <v>5</v>
      </c>
      <c r="M598" s="3" t="s">
        <v>19</v>
      </c>
      <c r="N598" s="27" t="s">
        <v>19</v>
      </c>
      <c r="O598" s="38">
        <f>VLOOKUP(TRIM(Table1[[#This Row],[Provider Specialty]]) &amp; TRIM(Table1[[#This Row],[Provider Specialty Description]]), SPECIALTY_TYPE, 2, FALSE)</f>
        <v>5</v>
      </c>
      <c r="P598" s="3" t="str">
        <f>Table1[[#This Row],[Provider Type]] &amp; "+" &amp; Table1[[#This Row],[Provider Type Description]]</f>
        <v>31+Physician</v>
      </c>
      <c r="Q598" s="7" t="str">
        <f>Table1[[#This Row],[Provider Specialty]] &amp; "+" &amp; Table1[[#This Row],[Provider Specialty Description]]</f>
        <v>322+Internist</v>
      </c>
      <c r="R598" s="7" t="str">
        <f>Table1[[#This Row],[PDMS Specialty Type ID]] &amp; "+" &amp; Table1[[#This Row],[PDMS Provider Type ID]] &amp; "+" &amp;Table1[[#This Row],[TAXONOMY]]</f>
        <v>5+114+207RB0002X</v>
      </c>
      <c r="S5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(9577, 5, 114, N'207RB0002X', N'Internal Medicine - Bariatric Medicine**** ')</v>
      </c>
    </row>
    <row r="599" spans="1:19" ht="47.25" hidden="1" customHeight="1" x14ac:dyDescent="0.25">
      <c r="A599" s="22" t="s">
        <v>1854</v>
      </c>
      <c r="B599" s="3" t="s">
        <v>988</v>
      </c>
      <c r="C599" s="3" t="s">
        <v>999</v>
      </c>
      <c r="D599" s="3" t="s">
        <v>1131</v>
      </c>
      <c r="E599" s="3" t="s">
        <v>1132</v>
      </c>
      <c r="F599" s="3">
        <f>VLOOKUP(Table1[[#This Row],[Column2]], TAXONOMY_TYPE, 2, FALSE)</f>
        <v>9578</v>
      </c>
      <c r="G599" s="3">
        <v>32</v>
      </c>
      <c r="H599" s="3" t="s">
        <v>1444</v>
      </c>
      <c r="I599" s="3">
        <f>VLOOKUP(Table1[[#This Row],[Provider Type]] &amp; Table1[[#This Row],[Provider Type Description]], PROVIDER_TYPE, 2, FALSE)</f>
        <v>50</v>
      </c>
      <c r="J599" s="3">
        <v>322</v>
      </c>
      <c r="K599" s="3" t="s">
        <v>1126</v>
      </c>
      <c r="L599" s="3">
        <f>VLOOKUP(TRIM(Table1[[#This Row],[Provider Specialty]]) &amp; TRIM(Table1[[#This Row],[Provider Specialty Description]]), SPECIALTY_TYPE, 2, FALSE)</f>
        <v>5</v>
      </c>
      <c r="M599" s="3" t="s">
        <v>18</v>
      </c>
      <c r="N599" s="27" t="s">
        <v>19</v>
      </c>
      <c r="O599" s="38">
        <f>VLOOKUP(TRIM(Table1[[#This Row],[Provider Specialty]]) &amp; TRIM(Table1[[#This Row],[Provider Specialty Description]]), SPECIALTY_TYPE, 2, FALSE)</f>
        <v>5</v>
      </c>
      <c r="P599" s="3" t="str">
        <f>Table1[[#This Row],[Provider Type]] &amp; "+" &amp; Table1[[#This Row],[Provider Type Description]]</f>
        <v>32+Multi-Specialty</v>
      </c>
      <c r="Q599" s="7" t="str">
        <f>Table1[[#This Row],[Provider Specialty]] &amp; "+" &amp; Table1[[#This Row],[Provider Specialty Description]]</f>
        <v>322+Internist</v>
      </c>
      <c r="R599" s="7" t="str">
        <f>Table1[[#This Row],[PDMS Specialty Type ID]] &amp; "+" &amp; Table1[[#This Row],[PDMS Provider Type ID]] &amp; "+" &amp;Table1[[#This Row],[TAXONOMY]]</f>
        <v>5+50+207RB0002X</v>
      </c>
      <c r="S5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(9578, 5, 50, N'207RB0002X', N'Internal Medicine - Bariatric Medicine**** ')</v>
      </c>
    </row>
    <row r="600" spans="1:19" ht="47.25" hidden="1" customHeight="1" x14ac:dyDescent="0.25">
      <c r="A600" s="22" t="s">
        <v>1854</v>
      </c>
      <c r="B600" s="3" t="s">
        <v>988</v>
      </c>
      <c r="C600" s="3" t="s">
        <v>999</v>
      </c>
      <c r="D600" s="3" t="s">
        <v>1131</v>
      </c>
      <c r="E600" s="3" t="s">
        <v>1132</v>
      </c>
      <c r="F600" s="3">
        <f>VLOOKUP(Table1[[#This Row],[Column2]], TAXONOMY_TYPE, 2, FALSE)</f>
        <v>9579</v>
      </c>
      <c r="G600" s="3">
        <v>33</v>
      </c>
      <c r="H600" s="3" t="s">
        <v>1953</v>
      </c>
      <c r="I600" s="3">
        <f>VLOOKUP(Table1[[#This Row],[Provider Type]] &amp; Table1[[#This Row],[Provider Type Description]], PROVIDER_TYPE, 2, FALSE)</f>
        <v>51</v>
      </c>
      <c r="J600" s="3">
        <v>322</v>
      </c>
      <c r="K600" s="3" t="s">
        <v>1126</v>
      </c>
      <c r="L600" s="3">
        <f>VLOOKUP(TRIM(Table1[[#This Row],[Provider Specialty]]) &amp; TRIM(Table1[[#This Row],[Provider Specialty Description]]), SPECIALTY_TYPE, 2, FALSE)</f>
        <v>5</v>
      </c>
      <c r="M600" s="3" t="s">
        <v>18</v>
      </c>
      <c r="N600" s="27" t="s">
        <v>19</v>
      </c>
      <c r="O600" s="38">
        <f>VLOOKUP(TRIM(Table1[[#This Row],[Provider Specialty]]) &amp; TRIM(Table1[[#This Row],[Provider Specialty Description]]), SPECIALTY_TYPE, 2, FALSE)</f>
        <v>5</v>
      </c>
      <c r="P600" s="3" t="str">
        <f>Table1[[#This Row],[Provider Type]] &amp; "+" &amp; Table1[[#This Row],[Provider Type Description]]</f>
        <v>33+Single-Specialty</v>
      </c>
      <c r="Q600" s="7" t="str">
        <f>Table1[[#This Row],[Provider Specialty]] &amp; "+" &amp; Table1[[#This Row],[Provider Specialty Description]]</f>
        <v>322+Internist</v>
      </c>
      <c r="R600" s="7" t="str">
        <f>Table1[[#This Row],[PDMS Specialty Type ID]] &amp; "+" &amp; Table1[[#This Row],[PDMS Provider Type ID]] &amp; "+" &amp;Table1[[#This Row],[TAXONOMY]]</f>
        <v>5+51+207RB0002X</v>
      </c>
      <c r="S6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(9579, 5, 51, N'207RB0002X', N'Internal Medicine - Bariatric Medicine**** ')</v>
      </c>
    </row>
    <row r="601" spans="1:19" ht="47.25" hidden="1" customHeight="1" x14ac:dyDescent="0.25">
      <c r="A601" s="22" t="s">
        <v>1855</v>
      </c>
      <c r="B601" s="3" t="s">
        <v>988</v>
      </c>
      <c r="C601" s="3" t="s">
        <v>999</v>
      </c>
      <c r="D601" s="3" t="s">
        <v>1136</v>
      </c>
      <c r="E601" s="3" t="s">
        <v>1137</v>
      </c>
      <c r="F601" s="3">
        <f>VLOOKUP(Table1[[#This Row],[Column2]], TAXONOMY_TYPE, 2, FALSE)</f>
        <v>9580</v>
      </c>
      <c r="G601" s="3">
        <v>31</v>
      </c>
      <c r="H601" s="3" t="s">
        <v>991</v>
      </c>
      <c r="I601" s="3">
        <f>VLOOKUP(Table1[[#This Row],[Provider Type]] &amp; Table1[[#This Row],[Provider Type Description]], PROVIDER_TYPE, 2, FALSE)</f>
        <v>114</v>
      </c>
      <c r="J601" s="3">
        <v>322</v>
      </c>
      <c r="K601" s="3" t="s">
        <v>1126</v>
      </c>
      <c r="L601" s="3">
        <f>VLOOKUP(TRIM(Table1[[#This Row],[Provider Specialty]]) &amp; TRIM(Table1[[#This Row],[Provider Specialty Description]]), SPECIALTY_TYPE, 2, FALSE)</f>
        <v>5</v>
      </c>
      <c r="M601" s="3" t="s">
        <v>19</v>
      </c>
      <c r="N601" s="27" t="s">
        <v>19</v>
      </c>
      <c r="O601" s="38">
        <f>VLOOKUP(TRIM(Table1[[#This Row],[Provider Specialty]]) &amp; TRIM(Table1[[#This Row],[Provider Specialty Description]]), SPECIALTY_TYPE, 2, FALSE)</f>
        <v>5</v>
      </c>
      <c r="P601" s="3" t="str">
        <f>Table1[[#This Row],[Provider Type]] &amp; "+" &amp; Table1[[#This Row],[Provider Type Description]]</f>
        <v>31+Physician</v>
      </c>
      <c r="Q601" s="7" t="str">
        <f>Table1[[#This Row],[Provider Specialty]] &amp; "+" &amp; Table1[[#This Row],[Provider Specialty Description]]</f>
        <v>322+Internist</v>
      </c>
      <c r="R601" s="7" t="str">
        <f>Table1[[#This Row],[PDMS Specialty Type ID]] &amp; "+" &amp; Table1[[#This Row],[PDMS Provider Type ID]] &amp; "+" &amp;Table1[[#This Row],[TAXONOMY]]</f>
        <v>5+114+207RC0001X</v>
      </c>
      <c r="S6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(9580, 5, 114, N'207RC0001X', N'Internal Medicine - Clinical Cardiac Electrophysiology')</v>
      </c>
    </row>
    <row r="602" spans="1:19" ht="47.25" hidden="1" customHeight="1" x14ac:dyDescent="0.25">
      <c r="A602" s="22" t="s">
        <v>1854</v>
      </c>
      <c r="B602" s="3" t="s">
        <v>988</v>
      </c>
      <c r="C602" s="3" t="s">
        <v>999</v>
      </c>
      <c r="D602" s="3" t="s">
        <v>1136</v>
      </c>
      <c r="E602" s="3" t="s">
        <v>1137</v>
      </c>
      <c r="F602" s="3">
        <f>VLOOKUP(Table1[[#This Row],[Column2]], TAXONOMY_TYPE, 2, FALSE)</f>
        <v>9581</v>
      </c>
      <c r="G602" s="3">
        <v>32</v>
      </c>
      <c r="H602" s="3" t="s">
        <v>1444</v>
      </c>
      <c r="I602" s="3">
        <f>VLOOKUP(Table1[[#This Row],[Provider Type]] &amp; Table1[[#This Row],[Provider Type Description]], PROVIDER_TYPE, 2, FALSE)</f>
        <v>50</v>
      </c>
      <c r="J602" s="3">
        <v>322</v>
      </c>
      <c r="K602" s="3" t="s">
        <v>1126</v>
      </c>
      <c r="L602" s="3">
        <f>VLOOKUP(TRIM(Table1[[#This Row],[Provider Specialty]]) &amp; TRIM(Table1[[#This Row],[Provider Specialty Description]]), SPECIALTY_TYPE, 2, FALSE)</f>
        <v>5</v>
      </c>
      <c r="M602" s="3" t="s">
        <v>18</v>
      </c>
      <c r="N602" s="27" t="s">
        <v>19</v>
      </c>
      <c r="O602" s="38">
        <f>VLOOKUP(TRIM(Table1[[#This Row],[Provider Specialty]]) &amp; TRIM(Table1[[#This Row],[Provider Specialty Description]]), SPECIALTY_TYPE, 2, FALSE)</f>
        <v>5</v>
      </c>
      <c r="P602" s="3" t="str">
        <f>Table1[[#This Row],[Provider Type]] &amp; "+" &amp; Table1[[#This Row],[Provider Type Description]]</f>
        <v>32+Multi-Specialty</v>
      </c>
      <c r="Q602" s="7" t="str">
        <f>Table1[[#This Row],[Provider Specialty]] &amp; "+" &amp; Table1[[#This Row],[Provider Specialty Description]]</f>
        <v>322+Internist</v>
      </c>
      <c r="R602" s="7" t="str">
        <f>Table1[[#This Row],[PDMS Specialty Type ID]] &amp; "+" &amp; Table1[[#This Row],[PDMS Provider Type ID]] &amp; "+" &amp;Table1[[#This Row],[TAXONOMY]]</f>
        <v>5+50+207RC0001X</v>
      </c>
      <c r="S6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(9581, 5, 50, N'207RC0001X', N'Internal Medicine - Clinical Cardiac Electrophysiology')</v>
      </c>
    </row>
    <row r="603" spans="1:19" ht="47.25" hidden="1" customHeight="1" x14ac:dyDescent="0.25">
      <c r="A603" s="22" t="s">
        <v>1854</v>
      </c>
      <c r="B603" s="3" t="s">
        <v>988</v>
      </c>
      <c r="C603" s="3" t="s">
        <v>999</v>
      </c>
      <c r="D603" s="3" t="s">
        <v>1136</v>
      </c>
      <c r="E603" s="3" t="s">
        <v>1137</v>
      </c>
      <c r="F603" s="3">
        <f>VLOOKUP(Table1[[#This Row],[Column2]], TAXONOMY_TYPE, 2, FALSE)</f>
        <v>9582</v>
      </c>
      <c r="G603" s="3">
        <v>33</v>
      </c>
      <c r="H603" s="3" t="s">
        <v>1953</v>
      </c>
      <c r="I603" s="3">
        <f>VLOOKUP(Table1[[#This Row],[Provider Type]] &amp; Table1[[#This Row],[Provider Type Description]], PROVIDER_TYPE, 2, FALSE)</f>
        <v>51</v>
      </c>
      <c r="J603" s="3">
        <v>322</v>
      </c>
      <c r="K603" s="3" t="s">
        <v>1126</v>
      </c>
      <c r="L603" s="3">
        <f>VLOOKUP(TRIM(Table1[[#This Row],[Provider Specialty]]) &amp; TRIM(Table1[[#This Row],[Provider Specialty Description]]), SPECIALTY_TYPE, 2, FALSE)</f>
        <v>5</v>
      </c>
      <c r="M603" s="3" t="s">
        <v>18</v>
      </c>
      <c r="N603" s="27" t="s">
        <v>19</v>
      </c>
      <c r="O603" s="38">
        <f>VLOOKUP(TRIM(Table1[[#This Row],[Provider Specialty]]) &amp; TRIM(Table1[[#This Row],[Provider Specialty Description]]), SPECIALTY_TYPE, 2, FALSE)</f>
        <v>5</v>
      </c>
      <c r="P603" s="3" t="str">
        <f>Table1[[#This Row],[Provider Type]] &amp; "+" &amp; Table1[[#This Row],[Provider Type Description]]</f>
        <v>33+Single-Specialty</v>
      </c>
      <c r="Q603" s="7" t="str">
        <f>Table1[[#This Row],[Provider Specialty]] &amp; "+" &amp; Table1[[#This Row],[Provider Specialty Description]]</f>
        <v>322+Internist</v>
      </c>
      <c r="R603" s="7" t="str">
        <f>Table1[[#This Row],[PDMS Specialty Type ID]] &amp; "+" &amp; Table1[[#This Row],[PDMS Provider Type ID]] &amp; "+" &amp;Table1[[#This Row],[TAXONOMY]]</f>
        <v>5+51+207RC0001X</v>
      </c>
      <c r="S6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(9582, 5, 51, N'207RC0001X', N'Internal Medicine - Clinical Cardiac Electrophysiology')</v>
      </c>
    </row>
    <row r="604" spans="1:19" ht="47.25" hidden="1" customHeight="1" x14ac:dyDescent="0.25">
      <c r="A604" s="22" t="s">
        <v>1855</v>
      </c>
      <c r="B604" s="3" t="s">
        <v>988</v>
      </c>
      <c r="C604" s="3" t="s">
        <v>999</v>
      </c>
      <c r="D604" s="3" t="s">
        <v>1078</v>
      </c>
      <c r="E604" s="3" t="s">
        <v>1138</v>
      </c>
      <c r="F604" s="3">
        <f>VLOOKUP(Table1[[#This Row],[Column2]], TAXONOMY_TYPE, 2, FALSE)</f>
        <v>9583</v>
      </c>
      <c r="G604" s="3">
        <v>31</v>
      </c>
      <c r="H604" s="3" t="s">
        <v>991</v>
      </c>
      <c r="I604" s="3">
        <f>VLOOKUP(Table1[[#This Row],[Provider Type]] &amp; Table1[[#This Row],[Provider Type Description]], PROVIDER_TYPE, 2, FALSE)</f>
        <v>114</v>
      </c>
      <c r="J604" s="3">
        <v>322</v>
      </c>
      <c r="K604" s="3" t="s">
        <v>1126</v>
      </c>
      <c r="L604" s="3">
        <f>VLOOKUP(TRIM(Table1[[#This Row],[Provider Specialty]]) &amp; TRIM(Table1[[#This Row],[Provider Specialty Description]]), SPECIALTY_TYPE, 2, FALSE)</f>
        <v>5</v>
      </c>
      <c r="M604" s="3" t="s">
        <v>19</v>
      </c>
      <c r="N604" s="27" t="s">
        <v>19</v>
      </c>
      <c r="O604" s="38">
        <f>VLOOKUP(TRIM(Table1[[#This Row],[Provider Specialty]]) &amp; TRIM(Table1[[#This Row],[Provider Specialty Description]]), SPECIALTY_TYPE, 2, FALSE)</f>
        <v>5</v>
      </c>
      <c r="P604" s="3" t="str">
        <f>Table1[[#This Row],[Provider Type]] &amp; "+" &amp; Table1[[#This Row],[Provider Type Description]]</f>
        <v>31+Physician</v>
      </c>
      <c r="Q604" s="7" t="str">
        <f>Table1[[#This Row],[Provider Specialty]] &amp; "+" &amp; Table1[[#This Row],[Provider Specialty Description]]</f>
        <v>322+Internist</v>
      </c>
      <c r="R604" s="7" t="str">
        <f>Table1[[#This Row],[PDMS Specialty Type ID]] &amp; "+" &amp; Table1[[#This Row],[PDMS Provider Type ID]] &amp; "+" &amp;Table1[[#This Row],[TAXONOMY]]</f>
        <v>5+114+207RC0200X</v>
      </c>
      <c r="S6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(9583, 5, 114, N'207RC0200X', N'Internal Medicine - Critical Care Medicine')</v>
      </c>
    </row>
    <row r="605" spans="1:19" ht="47.25" hidden="1" customHeight="1" x14ac:dyDescent="0.25">
      <c r="A605" s="22" t="s">
        <v>1854</v>
      </c>
      <c r="B605" s="3" t="s">
        <v>988</v>
      </c>
      <c r="C605" s="3" t="s">
        <v>999</v>
      </c>
      <c r="D605" s="3" t="s">
        <v>1078</v>
      </c>
      <c r="E605" s="3" t="s">
        <v>1138</v>
      </c>
      <c r="F605" s="3">
        <f>VLOOKUP(Table1[[#This Row],[Column2]], TAXONOMY_TYPE, 2, FALSE)</f>
        <v>9584</v>
      </c>
      <c r="G605" s="3">
        <v>32</v>
      </c>
      <c r="H605" s="3" t="s">
        <v>1444</v>
      </c>
      <c r="I605" s="3">
        <f>VLOOKUP(Table1[[#This Row],[Provider Type]] &amp; Table1[[#This Row],[Provider Type Description]], PROVIDER_TYPE, 2, FALSE)</f>
        <v>50</v>
      </c>
      <c r="J605" s="3">
        <v>322</v>
      </c>
      <c r="K605" s="3" t="s">
        <v>1126</v>
      </c>
      <c r="L605" s="3">
        <f>VLOOKUP(TRIM(Table1[[#This Row],[Provider Specialty]]) &amp; TRIM(Table1[[#This Row],[Provider Specialty Description]]), SPECIALTY_TYPE, 2, FALSE)</f>
        <v>5</v>
      </c>
      <c r="M605" s="3" t="s">
        <v>18</v>
      </c>
      <c r="N605" s="27" t="s">
        <v>19</v>
      </c>
      <c r="O605" s="38">
        <f>VLOOKUP(TRIM(Table1[[#This Row],[Provider Specialty]]) &amp; TRIM(Table1[[#This Row],[Provider Specialty Description]]), SPECIALTY_TYPE, 2, FALSE)</f>
        <v>5</v>
      </c>
      <c r="P605" s="3" t="str">
        <f>Table1[[#This Row],[Provider Type]] &amp; "+" &amp; Table1[[#This Row],[Provider Type Description]]</f>
        <v>32+Multi-Specialty</v>
      </c>
      <c r="Q605" s="7" t="str">
        <f>Table1[[#This Row],[Provider Specialty]] &amp; "+" &amp; Table1[[#This Row],[Provider Specialty Description]]</f>
        <v>322+Internist</v>
      </c>
      <c r="R605" s="7" t="str">
        <f>Table1[[#This Row],[PDMS Specialty Type ID]] &amp; "+" &amp; Table1[[#This Row],[PDMS Provider Type ID]] &amp; "+" &amp;Table1[[#This Row],[TAXONOMY]]</f>
        <v>5+50+207RC0200X</v>
      </c>
      <c r="S6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(9584, 5, 50, N'207RC0200X', N'Internal Medicine - Critical Care Medicine')</v>
      </c>
    </row>
    <row r="606" spans="1:19" ht="47.25" hidden="1" customHeight="1" x14ac:dyDescent="0.25">
      <c r="A606" s="22" t="s">
        <v>1854</v>
      </c>
      <c r="B606" s="3" t="s">
        <v>988</v>
      </c>
      <c r="C606" s="3" t="s">
        <v>999</v>
      </c>
      <c r="D606" s="3" t="s">
        <v>1078</v>
      </c>
      <c r="E606" s="3" t="s">
        <v>1138</v>
      </c>
      <c r="F606" s="3">
        <f>VLOOKUP(Table1[[#This Row],[Column2]], TAXONOMY_TYPE, 2, FALSE)</f>
        <v>9585</v>
      </c>
      <c r="G606" s="3">
        <v>33</v>
      </c>
      <c r="H606" s="3" t="s">
        <v>1953</v>
      </c>
      <c r="I606" s="3">
        <f>VLOOKUP(Table1[[#This Row],[Provider Type]] &amp; Table1[[#This Row],[Provider Type Description]], PROVIDER_TYPE, 2, FALSE)</f>
        <v>51</v>
      </c>
      <c r="J606" s="3">
        <v>322</v>
      </c>
      <c r="K606" s="3" t="s">
        <v>1126</v>
      </c>
      <c r="L606" s="3">
        <f>VLOOKUP(TRIM(Table1[[#This Row],[Provider Specialty]]) &amp; TRIM(Table1[[#This Row],[Provider Specialty Description]]), SPECIALTY_TYPE, 2, FALSE)</f>
        <v>5</v>
      </c>
      <c r="M606" s="3" t="s">
        <v>18</v>
      </c>
      <c r="N606" s="27" t="s">
        <v>19</v>
      </c>
      <c r="O606" s="38">
        <f>VLOOKUP(TRIM(Table1[[#This Row],[Provider Specialty]]) &amp; TRIM(Table1[[#This Row],[Provider Specialty Description]]), SPECIALTY_TYPE, 2, FALSE)</f>
        <v>5</v>
      </c>
      <c r="P606" s="3" t="str">
        <f>Table1[[#This Row],[Provider Type]] &amp; "+" &amp; Table1[[#This Row],[Provider Type Description]]</f>
        <v>33+Single-Specialty</v>
      </c>
      <c r="Q606" s="7" t="str">
        <f>Table1[[#This Row],[Provider Specialty]] &amp; "+" &amp; Table1[[#This Row],[Provider Specialty Description]]</f>
        <v>322+Internist</v>
      </c>
      <c r="R606" s="7" t="str">
        <f>Table1[[#This Row],[PDMS Specialty Type ID]] &amp; "+" &amp; Table1[[#This Row],[PDMS Provider Type ID]] &amp; "+" &amp;Table1[[#This Row],[TAXONOMY]]</f>
        <v>5+51+207RC0200X</v>
      </c>
      <c r="S6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(9585, 5, 51, N'207RC0200X', N'Internal Medicine - Critical Care Medicine')</v>
      </c>
    </row>
    <row r="607" spans="1:19" ht="47.25" hidden="1" customHeight="1" x14ac:dyDescent="0.25">
      <c r="A607" s="22" t="s">
        <v>1855</v>
      </c>
      <c r="B607" s="3" t="s">
        <v>988</v>
      </c>
      <c r="C607" s="3" t="s">
        <v>999</v>
      </c>
      <c r="D607" s="3" t="s">
        <v>1142</v>
      </c>
      <c r="E607" s="3" t="s">
        <v>1143</v>
      </c>
      <c r="F607" s="3">
        <f>VLOOKUP(Table1[[#This Row],[Column2]], TAXONOMY_TYPE, 2, FALSE)</f>
        <v>9586</v>
      </c>
      <c r="G607" s="3">
        <v>31</v>
      </c>
      <c r="H607" s="3" t="s">
        <v>991</v>
      </c>
      <c r="I607" s="3">
        <f>VLOOKUP(Table1[[#This Row],[Provider Type]] &amp; Table1[[#This Row],[Provider Type Description]], PROVIDER_TYPE, 2, FALSE)</f>
        <v>114</v>
      </c>
      <c r="J607" s="3">
        <v>322</v>
      </c>
      <c r="K607" s="3" t="s">
        <v>1126</v>
      </c>
      <c r="L607" s="3">
        <f>VLOOKUP(TRIM(Table1[[#This Row],[Provider Specialty]]) &amp; TRIM(Table1[[#This Row],[Provider Specialty Description]]), SPECIALTY_TYPE, 2, FALSE)</f>
        <v>5</v>
      </c>
      <c r="M607" s="3" t="s">
        <v>19</v>
      </c>
      <c r="N607" s="27" t="s">
        <v>19</v>
      </c>
      <c r="O607" s="38">
        <f>VLOOKUP(TRIM(Table1[[#This Row],[Provider Specialty]]) &amp; TRIM(Table1[[#This Row],[Provider Specialty Description]]), SPECIALTY_TYPE, 2, FALSE)</f>
        <v>5</v>
      </c>
      <c r="P607" s="3" t="str">
        <f>Table1[[#This Row],[Provider Type]] &amp; "+" &amp; Table1[[#This Row],[Provider Type Description]]</f>
        <v>31+Physician</v>
      </c>
      <c r="Q607" s="7" t="str">
        <f>Table1[[#This Row],[Provider Specialty]] &amp; "+" &amp; Table1[[#This Row],[Provider Specialty Description]]</f>
        <v>322+Internist</v>
      </c>
      <c r="R607" s="7" t="str">
        <f>Table1[[#This Row],[PDMS Specialty Type ID]] &amp; "+" &amp; Table1[[#This Row],[PDMS Provider Type ID]] &amp; "+" &amp;Table1[[#This Row],[TAXONOMY]]</f>
        <v>5+114+207RG0300X</v>
      </c>
      <c r="S6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(9586, 5, 114, N'207RG0300X', N'Internal Medicine - Geriatric Medicine')</v>
      </c>
    </row>
    <row r="608" spans="1:19" ht="47.25" hidden="1" customHeight="1" x14ac:dyDescent="0.25">
      <c r="A608" s="22" t="s">
        <v>1854</v>
      </c>
      <c r="B608" s="3" t="s">
        <v>988</v>
      </c>
      <c r="C608" s="3" t="s">
        <v>999</v>
      </c>
      <c r="D608" s="3" t="s">
        <v>1142</v>
      </c>
      <c r="E608" s="3" t="s">
        <v>1143</v>
      </c>
      <c r="F608" s="3">
        <f>VLOOKUP(Table1[[#This Row],[Column2]], TAXONOMY_TYPE, 2, FALSE)</f>
        <v>9587</v>
      </c>
      <c r="G608" s="3">
        <v>32</v>
      </c>
      <c r="H608" s="3" t="s">
        <v>1444</v>
      </c>
      <c r="I608" s="3">
        <f>VLOOKUP(Table1[[#This Row],[Provider Type]] &amp; Table1[[#This Row],[Provider Type Description]], PROVIDER_TYPE, 2, FALSE)</f>
        <v>50</v>
      </c>
      <c r="J608" s="3">
        <v>322</v>
      </c>
      <c r="K608" s="3" t="s">
        <v>1126</v>
      </c>
      <c r="L608" s="3">
        <f>VLOOKUP(TRIM(Table1[[#This Row],[Provider Specialty]]) &amp; TRIM(Table1[[#This Row],[Provider Specialty Description]]), SPECIALTY_TYPE, 2, FALSE)</f>
        <v>5</v>
      </c>
      <c r="M608" s="3" t="s">
        <v>18</v>
      </c>
      <c r="N608" s="27" t="s">
        <v>19</v>
      </c>
      <c r="O608" s="38">
        <f>VLOOKUP(TRIM(Table1[[#This Row],[Provider Specialty]]) &amp; TRIM(Table1[[#This Row],[Provider Specialty Description]]), SPECIALTY_TYPE, 2, FALSE)</f>
        <v>5</v>
      </c>
      <c r="P608" s="3" t="str">
        <f>Table1[[#This Row],[Provider Type]] &amp; "+" &amp; Table1[[#This Row],[Provider Type Description]]</f>
        <v>32+Multi-Specialty</v>
      </c>
      <c r="Q608" s="7" t="str">
        <f>Table1[[#This Row],[Provider Specialty]] &amp; "+" &amp; Table1[[#This Row],[Provider Specialty Description]]</f>
        <v>322+Internist</v>
      </c>
      <c r="R608" s="7" t="str">
        <f>Table1[[#This Row],[PDMS Specialty Type ID]] &amp; "+" &amp; Table1[[#This Row],[PDMS Provider Type ID]] &amp; "+" &amp;Table1[[#This Row],[TAXONOMY]]</f>
        <v>5+50+207RG0300X</v>
      </c>
      <c r="S6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(9587, 5, 50, N'207RG0300X', N'Internal Medicine - Geriatric Medicine')</v>
      </c>
    </row>
    <row r="609" spans="1:19" ht="47.25" hidden="1" customHeight="1" x14ac:dyDescent="0.25">
      <c r="A609" s="22" t="s">
        <v>1854</v>
      </c>
      <c r="B609" s="3" t="s">
        <v>988</v>
      </c>
      <c r="C609" s="3" t="s">
        <v>999</v>
      </c>
      <c r="D609" s="3" t="s">
        <v>1142</v>
      </c>
      <c r="E609" s="3" t="s">
        <v>1143</v>
      </c>
      <c r="F609" s="3">
        <f>VLOOKUP(Table1[[#This Row],[Column2]], TAXONOMY_TYPE, 2, FALSE)</f>
        <v>9588</v>
      </c>
      <c r="G609" s="3">
        <v>33</v>
      </c>
      <c r="H609" s="3" t="s">
        <v>1953</v>
      </c>
      <c r="I609" s="3">
        <f>VLOOKUP(Table1[[#This Row],[Provider Type]] &amp; Table1[[#This Row],[Provider Type Description]], PROVIDER_TYPE, 2, FALSE)</f>
        <v>51</v>
      </c>
      <c r="J609" s="3">
        <v>322</v>
      </c>
      <c r="K609" s="3" t="s">
        <v>1126</v>
      </c>
      <c r="L609" s="3">
        <f>VLOOKUP(TRIM(Table1[[#This Row],[Provider Specialty]]) &amp; TRIM(Table1[[#This Row],[Provider Specialty Description]]), SPECIALTY_TYPE, 2, FALSE)</f>
        <v>5</v>
      </c>
      <c r="M609" s="3" t="s">
        <v>18</v>
      </c>
      <c r="N609" s="27" t="s">
        <v>19</v>
      </c>
      <c r="O609" s="38">
        <f>VLOOKUP(TRIM(Table1[[#This Row],[Provider Specialty]]) &amp; TRIM(Table1[[#This Row],[Provider Specialty Description]]), SPECIALTY_TYPE, 2, FALSE)</f>
        <v>5</v>
      </c>
      <c r="P609" s="3" t="str">
        <f>Table1[[#This Row],[Provider Type]] &amp; "+" &amp; Table1[[#This Row],[Provider Type Description]]</f>
        <v>33+Single-Specialty</v>
      </c>
      <c r="Q609" s="7" t="str">
        <f>Table1[[#This Row],[Provider Specialty]] &amp; "+" &amp; Table1[[#This Row],[Provider Specialty Description]]</f>
        <v>322+Internist</v>
      </c>
      <c r="R609" s="7" t="str">
        <f>Table1[[#This Row],[PDMS Specialty Type ID]] &amp; "+" &amp; Table1[[#This Row],[PDMS Provider Type ID]] &amp; "+" &amp;Table1[[#This Row],[TAXONOMY]]</f>
        <v>5+51+207RG0300X</v>
      </c>
      <c r="S6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(9588, 5, 51, N'207RG0300X', N'Internal Medicine - Geriatric Medicine')</v>
      </c>
    </row>
    <row r="610" spans="1:19" ht="47.25" hidden="1" customHeight="1" x14ac:dyDescent="0.25">
      <c r="A610" s="22" t="s">
        <v>1855</v>
      </c>
      <c r="B610" s="3" t="s">
        <v>988</v>
      </c>
      <c r="C610" s="3" t="s">
        <v>999</v>
      </c>
      <c r="D610" s="3" t="s">
        <v>1080</v>
      </c>
      <c r="E610" s="3" t="s">
        <v>1144</v>
      </c>
      <c r="F610" s="3">
        <f>VLOOKUP(Table1[[#This Row],[Column2]], TAXONOMY_TYPE, 2, FALSE)</f>
        <v>9589</v>
      </c>
      <c r="G610" s="3">
        <v>31</v>
      </c>
      <c r="H610" s="3" t="s">
        <v>991</v>
      </c>
      <c r="I610" s="3">
        <f>VLOOKUP(Table1[[#This Row],[Provider Type]] &amp; Table1[[#This Row],[Provider Type Description]], PROVIDER_TYPE, 2, FALSE)</f>
        <v>114</v>
      </c>
      <c r="J610" s="3">
        <v>322</v>
      </c>
      <c r="K610" s="3" t="s">
        <v>1126</v>
      </c>
      <c r="L610" s="3">
        <f>VLOOKUP(TRIM(Table1[[#This Row],[Provider Specialty]]) &amp; TRIM(Table1[[#This Row],[Provider Specialty Description]]), SPECIALTY_TYPE, 2, FALSE)</f>
        <v>5</v>
      </c>
      <c r="M610" s="3" t="s">
        <v>19</v>
      </c>
      <c r="N610" s="27" t="s">
        <v>19</v>
      </c>
      <c r="O610" s="38">
        <f>VLOOKUP(TRIM(Table1[[#This Row],[Provider Specialty]]) &amp; TRIM(Table1[[#This Row],[Provider Specialty Description]]), SPECIALTY_TYPE, 2, FALSE)</f>
        <v>5</v>
      </c>
      <c r="P610" s="3" t="str">
        <f>Table1[[#This Row],[Provider Type]] &amp; "+" &amp; Table1[[#This Row],[Provider Type Description]]</f>
        <v>31+Physician</v>
      </c>
      <c r="Q610" s="7" t="str">
        <f>Table1[[#This Row],[Provider Specialty]] &amp; "+" &amp; Table1[[#This Row],[Provider Specialty Description]]</f>
        <v>322+Internist</v>
      </c>
      <c r="R610" s="7" t="str">
        <f>Table1[[#This Row],[PDMS Specialty Type ID]] &amp; "+" &amp; Table1[[#This Row],[PDMS Provider Type ID]] &amp; "+" &amp;Table1[[#This Row],[TAXONOMY]]</f>
        <v>5+114+207RH0002X</v>
      </c>
      <c r="S6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(9589, 5, 114, N'207RH0002X', N'Internal Medicine - Hospice and Palliative Medicine**')</v>
      </c>
    </row>
    <row r="611" spans="1:19" ht="47.25" hidden="1" customHeight="1" x14ac:dyDescent="0.25">
      <c r="A611" s="22" t="s">
        <v>1854</v>
      </c>
      <c r="B611" s="3" t="s">
        <v>988</v>
      </c>
      <c r="C611" s="3" t="s">
        <v>999</v>
      </c>
      <c r="D611" s="3" t="s">
        <v>1080</v>
      </c>
      <c r="E611" s="3" t="s">
        <v>1144</v>
      </c>
      <c r="F611" s="3">
        <f>VLOOKUP(Table1[[#This Row],[Column2]], TAXONOMY_TYPE, 2, FALSE)</f>
        <v>9590</v>
      </c>
      <c r="G611" s="3">
        <v>32</v>
      </c>
      <c r="H611" s="3" t="s">
        <v>1444</v>
      </c>
      <c r="I611" s="3">
        <f>VLOOKUP(Table1[[#This Row],[Provider Type]] &amp; Table1[[#This Row],[Provider Type Description]], PROVIDER_TYPE, 2, FALSE)</f>
        <v>50</v>
      </c>
      <c r="J611" s="3">
        <v>322</v>
      </c>
      <c r="K611" s="3" t="s">
        <v>1126</v>
      </c>
      <c r="L611" s="3">
        <f>VLOOKUP(TRIM(Table1[[#This Row],[Provider Specialty]]) &amp; TRIM(Table1[[#This Row],[Provider Specialty Description]]), SPECIALTY_TYPE, 2, FALSE)</f>
        <v>5</v>
      </c>
      <c r="M611" s="3" t="s">
        <v>18</v>
      </c>
      <c r="N611" s="27" t="s">
        <v>19</v>
      </c>
      <c r="O611" s="38">
        <f>VLOOKUP(TRIM(Table1[[#This Row],[Provider Specialty]]) &amp; TRIM(Table1[[#This Row],[Provider Specialty Description]]), SPECIALTY_TYPE, 2, FALSE)</f>
        <v>5</v>
      </c>
      <c r="P611" s="3" t="str">
        <f>Table1[[#This Row],[Provider Type]] &amp; "+" &amp; Table1[[#This Row],[Provider Type Description]]</f>
        <v>32+Multi-Specialty</v>
      </c>
      <c r="Q611" s="7" t="str">
        <f>Table1[[#This Row],[Provider Specialty]] &amp; "+" &amp; Table1[[#This Row],[Provider Specialty Description]]</f>
        <v>322+Internist</v>
      </c>
      <c r="R611" s="7" t="str">
        <f>Table1[[#This Row],[PDMS Specialty Type ID]] &amp; "+" &amp; Table1[[#This Row],[PDMS Provider Type ID]] &amp; "+" &amp;Table1[[#This Row],[TAXONOMY]]</f>
        <v>5+50+207RH0002X</v>
      </c>
      <c r="S6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(9590, 5, 50, N'207RH0002X', N'Internal Medicine - Hospice and Palliative Medicine**')</v>
      </c>
    </row>
    <row r="612" spans="1:19" ht="47.25" hidden="1" customHeight="1" x14ac:dyDescent="0.25">
      <c r="A612" s="22" t="s">
        <v>1854</v>
      </c>
      <c r="B612" s="3" t="s">
        <v>988</v>
      </c>
      <c r="C612" s="3" t="s">
        <v>999</v>
      </c>
      <c r="D612" s="3" t="s">
        <v>1080</v>
      </c>
      <c r="E612" s="3" t="s">
        <v>1144</v>
      </c>
      <c r="F612" s="3">
        <f>VLOOKUP(Table1[[#This Row],[Column2]], TAXONOMY_TYPE, 2, FALSE)</f>
        <v>9591</v>
      </c>
      <c r="G612" s="3">
        <v>33</v>
      </c>
      <c r="H612" s="3" t="s">
        <v>1953</v>
      </c>
      <c r="I612" s="3">
        <f>VLOOKUP(Table1[[#This Row],[Provider Type]] &amp; Table1[[#This Row],[Provider Type Description]], PROVIDER_TYPE, 2, FALSE)</f>
        <v>51</v>
      </c>
      <c r="J612" s="3">
        <v>322</v>
      </c>
      <c r="K612" s="3" t="s">
        <v>1126</v>
      </c>
      <c r="L612" s="3">
        <f>VLOOKUP(TRIM(Table1[[#This Row],[Provider Specialty]]) &amp; TRIM(Table1[[#This Row],[Provider Specialty Description]]), SPECIALTY_TYPE, 2, FALSE)</f>
        <v>5</v>
      </c>
      <c r="M612" s="3" t="s">
        <v>18</v>
      </c>
      <c r="N612" s="27" t="s">
        <v>19</v>
      </c>
      <c r="O612" s="38">
        <f>VLOOKUP(TRIM(Table1[[#This Row],[Provider Specialty]]) &amp; TRIM(Table1[[#This Row],[Provider Specialty Description]]), SPECIALTY_TYPE, 2, FALSE)</f>
        <v>5</v>
      </c>
      <c r="P612" s="3" t="str">
        <f>Table1[[#This Row],[Provider Type]] &amp; "+" &amp; Table1[[#This Row],[Provider Type Description]]</f>
        <v>33+Single-Specialty</v>
      </c>
      <c r="Q612" s="7" t="str">
        <f>Table1[[#This Row],[Provider Specialty]] &amp; "+" &amp; Table1[[#This Row],[Provider Specialty Description]]</f>
        <v>322+Internist</v>
      </c>
      <c r="R612" s="7" t="str">
        <f>Table1[[#This Row],[PDMS Specialty Type ID]] &amp; "+" &amp; Table1[[#This Row],[PDMS Provider Type ID]] &amp; "+" &amp;Table1[[#This Row],[TAXONOMY]]</f>
        <v>5+51+207RH0002X</v>
      </c>
      <c r="S6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(9591, 5, 51, N'207RH0002X', N'Internal Medicine - Hospice and Palliative Medicine**')</v>
      </c>
    </row>
    <row r="613" spans="1:19" ht="47.25" hidden="1" customHeight="1" x14ac:dyDescent="0.25">
      <c r="A613" s="22" t="s">
        <v>1855</v>
      </c>
      <c r="B613" s="3" t="s">
        <v>988</v>
      </c>
      <c r="C613" s="3" t="s">
        <v>999</v>
      </c>
      <c r="D613" s="3" t="s">
        <v>1145</v>
      </c>
      <c r="E613" s="3" t="s">
        <v>1146</v>
      </c>
      <c r="F613" s="3">
        <f>VLOOKUP(Table1[[#This Row],[Column2]], TAXONOMY_TYPE, 2, FALSE)</f>
        <v>9592</v>
      </c>
      <c r="G613" s="3">
        <v>31</v>
      </c>
      <c r="H613" s="3" t="s">
        <v>991</v>
      </c>
      <c r="I613" s="3">
        <f>VLOOKUP(Table1[[#This Row],[Provider Type]] &amp; Table1[[#This Row],[Provider Type Description]], PROVIDER_TYPE, 2, FALSE)</f>
        <v>114</v>
      </c>
      <c r="J613" s="3">
        <v>322</v>
      </c>
      <c r="K613" s="3" t="s">
        <v>1126</v>
      </c>
      <c r="L613" s="3">
        <f>VLOOKUP(TRIM(Table1[[#This Row],[Provider Specialty]]) &amp; TRIM(Table1[[#This Row],[Provider Specialty Description]]), SPECIALTY_TYPE, 2, FALSE)</f>
        <v>5</v>
      </c>
      <c r="M613" s="3" t="s">
        <v>19</v>
      </c>
      <c r="N613" s="27" t="s">
        <v>19</v>
      </c>
      <c r="O613" s="38">
        <f>VLOOKUP(TRIM(Table1[[#This Row],[Provider Specialty]]) &amp; TRIM(Table1[[#This Row],[Provider Specialty Description]]), SPECIALTY_TYPE, 2, FALSE)</f>
        <v>5</v>
      </c>
      <c r="P613" s="3" t="str">
        <f>Table1[[#This Row],[Provider Type]] &amp; "+" &amp; Table1[[#This Row],[Provider Type Description]]</f>
        <v>31+Physician</v>
      </c>
      <c r="Q613" s="7" t="str">
        <f>Table1[[#This Row],[Provider Specialty]] &amp; "+" &amp; Table1[[#This Row],[Provider Specialty Description]]</f>
        <v>322+Internist</v>
      </c>
      <c r="R613" s="7" t="str">
        <f>Table1[[#This Row],[PDMS Specialty Type ID]] &amp; "+" &amp; Table1[[#This Row],[PDMS Provider Type ID]] &amp; "+" &amp;Table1[[#This Row],[TAXONOMY]]</f>
        <v>5+114+207RI0001X</v>
      </c>
      <c r="S6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(9592, 5, 114, N'207RI0001X', N'Internal Medicine - Clinical &amp; Laboratory Immunology ')</v>
      </c>
    </row>
    <row r="614" spans="1:19" ht="47.25" hidden="1" customHeight="1" x14ac:dyDescent="0.25">
      <c r="A614" s="22" t="s">
        <v>1854</v>
      </c>
      <c r="B614" s="3" t="s">
        <v>988</v>
      </c>
      <c r="C614" s="3" t="s">
        <v>999</v>
      </c>
      <c r="D614" s="3" t="s">
        <v>1145</v>
      </c>
      <c r="E614" s="3" t="s">
        <v>1146</v>
      </c>
      <c r="F614" s="3">
        <f>VLOOKUP(Table1[[#This Row],[Column2]], TAXONOMY_TYPE, 2, FALSE)</f>
        <v>9593</v>
      </c>
      <c r="G614" s="3">
        <v>32</v>
      </c>
      <c r="H614" s="3" t="s">
        <v>1444</v>
      </c>
      <c r="I614" s="3">
        <f>VLOOKUP(Table1[[#This Row],[Provider Type]] &amp; Table1[[#This Row],[Provider Type Description]], PROVIDER_TYPE, 2, FALSE)</f>
        <v>50</v>
      </c>
      <c r="J614" s="3">
        <v>322</v>
      </c>
      <c r="K614" s="3" t="s">
        <v>1126</v>
      </c>
      <c r="L614" s="3">
        <f>VLOOKUP(TRIM(Table1[[#This Row],[Provider Specialty]]) &amp; TRIM(Table1[[#This Row],[Provider Specialty Description]]), SPECIALTY_TYPE, 2, FALSE)</f>
        <v>5</v>
      </c>
      <c r="M614" s="3" t="s">
        <v>18</v>
      </c>
      <c r="N614" s="27" t="s">
        <v>19</v>
      </c>
      <c r="O614" s="38">
        <f>VLOOKUP(TRIM(Table1[[#This Row],[Provider Specialty]]) &amp; TRIM(Table1[[#This Row],[Provider Specialty Description]]), SPECIALTY_TYPE, 2, FALSE)</f>
        <v>5</v>
      </c>
      <c r="P614" s="3" t="str">
        <f>Table1[[#This Row],[Provider Type]] &amp; "+" &amp; Table1[[#This Row],[Provider Type Description]]</f>
        <v>32+Multi-Specialty</v>
      </c>
      <c r="Q614" s="7" t="str">
        <f>Table1[[#This Row],[Provider Specialty]] &amp; "+" &amp; Table1[[#This Row],[Provider Specialty Description]]</f>
        <v>322+Internist</v>
      </c>
      <c r="R614" s="7" t="str">
        <f>Table1[[#This Row],[PDMS Specialty Type ID]] &amp; "+" &amp; Table1[[#This Row],[PDMS Provider Type ID]] &amp; "+" &amp;Table1[[#This Row],[TAXONOMY]]</f>
        <v>5+50+207RI0001X</v>
      </c>
      <c r="S6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(9593, 5, 50, N'207RI0001X', N'Internal Medicine - Clinical &amp; Laboratory Immunology ')</v>
      </c>
    </row>
    <row r="615" spans="1:19" ht="47.25" hidden="1" customHeight="1" x14ac:dyDescent="0.25">
      <c r="A615" s="22" t="s">
        <v>1854</v>
      </c>
      <c r="B615" s="3" t="s">
        <v>988</v>
      </c>
      <c r="C615" s="3" t="s">
        <v>999</v>
      </c>
      <c r="D615" s="3" t="s">
        <v>1145</v>
      </c>
      <c r="E615" s="3" t="s">
        <v>1146</v>
      </c>
      <c r="F615" s="3">
        <f>VLOOKUP(Table1[[#This Row],[Column2]], TAXONOMY_TYPE, 2, FALSE)</f>
        <v>9594</v>
      </c>
      <c r="G615" s="3">
        <v>33</v>
      </c>
      <c r="H615" s="3" t="s">
        <v>1953</v>
      </c>
      <c r="I615" s="3">
        <f>VLOOKUP(Table1[[#This Row],[Provider Type]] &amp; Table1[[#This Row],[Provider Type Description]], PROVIDER_TYPE, 2, FALSE)</f>
        <v>51</v>
      </c>
      <c r="J615" s="3">
        <v>322</v>
      </c>
      <c r="K615" s="3" t="s">
        <v>1126</v>
      </c>
      <c r="L615" s="3">
        <f>VLOOKUP(TRIM(Table1[[#This Row],[Provider Specialty]]) &amp; TRIM(Table1[[#This Row],[Provider Specialty Description]]), SPECIALTY_TYPE, 2, FALSE)</f>
        <v>5</v>
      </c>
      <c r="M615" s="3" t="s">
        <v>18</v>
      </c>
      <c r="N615" s="27" t="s">
        <v>19</v>
      </c>
      <c r="O615" s="38">
        <f>VLOOKUP(TRIM(Table1[[#This Row],[Provider Specialty]]) &amp; TRIM(Table1[[#This Row],[Provider Specialty Description]]), SPECIALTY_TYPE, 2, FALSE)</f>
        <v>5</v>
      </c>
      <c r="P615" s="3" t="str">
        <f>Table1[[#This Row],[Provider Type]] &amp; "+" &amp; Table1[[#This Row],[Provider Type Description]]</f>
        <v>33+Single-Specialty</v>
      </c>
      <c r="Q615" s="7" t="str">
        <f>Table1[[#This Row],[Provider Specialty]] &amp; "+" &amp; Table1[[#This Row],[Provider Specialty Description]]</f>
        <v>322+Internist</v>
      </c>
      <c r="R615" s="7" t="str">
        <f>Table1[[#This Row],[PDMS Specialty Type ID]] &amp; "+" &amp; Table1[[#This Row],[PDMS Provider Type ID]] &amp; "+" &amp;Table1[[#This Row],[TAXONOMY]]</f>
        <v>5+51+207RI0001X</v>
      </c>
      <c r="S6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(9594, 5, 51, N'207RI0001X', N'Internal Medicine - Clinical &amp; Laboratory Immunology ')</v>
      </c>
    </row>
    <row r="616" spans="1:19" ht="47.25" hidden="1" customHeight="1" x14ac:dyDescent="0.25">
      <c r="A616" s="22" t="s">
        <v>1855</v>
      </c>
      <c r="B616" s="3" t="s">
        <v>988</v>
      </c>
      <c r="C616" s="3" t="s">
        <v>999</v>
      </c>
      <c r="D616" s="3" t="s">
        <v>1151</v>
      </c>
      <c r="E616" s="3" t="s">
        <v>1152</v>
      </c>
      <c r="F616" s="3">
        <f>VLOOKUP(Table1[[#This Row],[Column2]], TAXONOMY_TYPE, 2, FALSE)</f>
        <v>9595</v>
      </c>
      <c r="G616" s="3">
        <v>31</v>
      </c>
      <c r="H616" s="3" t="s">
        <v>991</v>
      </c>
      <c r="I616" s="3">
        <f>VLOOKUP(Table1[[#This Row],[Provider Type]] &amp; Table1[[#This Row],[Provider Type Description]], PROVIDER_TYPE, 2, FALSE)</f>
        <v>114</v>
      </c>
      <c r="J616" s="3">
        <v>322</v>
      </c>
      <c r="K616" s="3" t="s">
        <v>1126</v>
      </c>
      <c r="L616" s="3">
        <f>VLOOKUP(TRIM(Table1[[#This Row],[Provider Specialty]]) &amp; TRIM(Table1[[#This Row],[Provider Specialty Description]]), SPECIALTY_TYPE, 2, FALSE)</f>
        <v>5</v>
      </c>
      <c r="M616" s="3" t="s">
        <v>19</v>
      </c>
      <c r="N616" s="27" t="s">
        <v>19</v>
      </c>
      <c r="O616" s="38">
        <f>VLOOKUP(TRIM(Table1[[#This Row],[Provider Specialty]]) &amp; TRIM(Table1[[#This Row],[Provider Specialty Description]]), SPECIALTY_TYPE, 2, FALSE)</f>
        <v>5</v>
      </c>
      <c r="P616" s="3" t="str">
        <f>Table1[[#This Row],[Provider Type]] &amp; "+" &amp; Table1[[#This Row],[Provider Type Description]]</f>
        <v>31+Physician</v>
      </c>
      <c r="Q616" s="7" t="str">
        <f>Table1[[#This Row],[Provider Specialty]] &amp; "+" &amp; Table1[[#This Row],[Provider Specialty Description]]</f>
        <v>322+Internist</v>
      </c>
      <c r="R616" s="7" t="str">
        <f>Table1[[#This Row],[PDMS Specialty Type ID]] &amp; "+" &amp; Table1[[#This Row],[PDMS Provider Type ID]] &amp; "+" &amp;Table1[[#This Row],[TAXONOMY]]</f>
        <v>5+114+207RM1200X</v>
      </c>
      <c r="S6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(9595, 5, 114, N'207RM1200X', N'Internal Medicine - Magnetic Resonance Imaging (MRI)')</v>
      </c>
    </row>
    <row r="617" spans="1:19" ht="47.25" hidden="1" customHeight="1" x14ac:dyDescent="0.25">
      <c r="A617" s="22" t="s">
        <v>1854</v>
      </c>
      <c r="B617" s="3" t="s">
        <v>988</v>
      </c>
      <c r="C617" s="3" t="s">
        <v>999</v>
      </c>
      <c r="D617" s="3" t="s">
        <v>1151</v>
      </c>
      <c r="E617" s="3" t="s">
        <v>1152</v>
      </c>
      <c r="F617" s="3">
        <f>VLOOKUP(Table1[[#This Row],[Column2]], TAXONOMY_TYPE, 2, FALSE)</f>
        <v>9596</v>
      </c>
      <c r="G617" s="3">
        <v>32</v>
      </c>
      <c r="H617" s="3" t="s">
        <v>1444</v>
      </c>
      <c r="I617" s="3">
        <f>VLOOKUP(Table1[[#This Row],[Provider Type]] &amp; Table1[[#This Row],[Provider Type Description]], PROVIDER_TYPE, 2, FALSE)</f>
        <v>50</v>
      </c>
      <c r="J617" s="3">
        <v>322</v>
      </c>
      <c r="K617" s="3" t="s">
        <v>1126</v>
      </c>
      <c r="L617" s="3">
        <f>VLOOKUP(TRIM(Table1[[#This Row],[Provider Specialty]]) &amp; TRIM(Table1[[#This Row],[Provider Specialty Description]]), SPECIALTY_TYPE, 2, FALSE)</f>
        <v>5</v>
      </c>
      <c r="M617" s="3" t="s">
        <v>18</v>
      </c>
      <c r="N617" s="27" t="s">
        <v>19</v>
      </c>
      <c r="O617" s="38">
        <f>VLOOKUP(TRIM(Table1[[#This Row],[Provider Specialty]]) &amp; TRIM(Table1[[#This Row],[Provider Specialty Description]]), SPECIALTY_TYPE, 2, FALSE)</f>
        <v>5</v>
      </c>
      <c r="P617" s="3" t="str">
        <f>Table1[[#This Row],[Provider Type]] &amp; "+" &amp; Table1[[#This Row],[Provider Type Description]]</f>
        <v>32+Multi-Specialty</v>
      </c>
      <c r="Q617" s="7" t="str">
        <f>Table1[[#This Row],[Provider Specialty]] &amp; "+" &amp; Table1[[#This Row],[Provider Specialty Description]]</f>
        <v>322+Internist</v>
      </c>
      <c r="R617" s="7" t="str">
        <f>Table1[[#This Row],[PDMS Specialty Type ID]] &amp; "+" &amp; Table1[[#This Row],[PDMS Provider Type ID]] &amp; "+" &amp;Table1[[#This Row],[TAXONOMY]]</f>
        <v>5+50+207RM1200X</v>
      </c>
      <c r="S6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(9596, 5, 50, N'207RM1200X', N'Internal Medicine - Magnetic Resonance Imaging (MRI)')</v>
      </c>
    </row>
    <row r="618" spans="1:19" ht="47.25" hidden="1" customHeight="1" x14ac:dyDescent="0.25">
      <c r="A618" s="22" t="s">
        <v>1854</v>
      </c>
      <c r="B618" s="3" t="s">
        <v>988</v>
      </c>
      <c r="C618" s="3" t="s">
        <v>999</v>
      </c>
      <c r="D618" s="3" t="s">
        <v>1151</v>
      </c>
      <c r="E618" s="3" t="s">
        <v>1152</v>
      </c>
      <c r="F618" s="3">
        <f>VLOOKUP(Table1[[#This Row],[Column2]], TAXONOMY_TYPE, 2, FALSE)</f>
        <v>9597</v>
      </c>
      <c r="G618" s="3">
        <v>33</v>
      </c>
      <c r="H618" s="3" t="s">
        <v>1953</v>
      </c>
      <c r="I618" s="3">
        <f>VLOOKUP(Table1[[#This Row],[Provider Type]] &amp; Table1[[#This Row],[Provider Type Description]], PROVIDER_TYPE, 2, FALSE)</f>
        <v>51</v>
      </c>
      <c r="J618" s="3">
        <v>322</v>
      </c>
      <c r="K618" s="3" t="s">
        <v>1126</v>
      </c>
      <c r="L618" s="3">
        <f>VLOOKUP(TRIM(Table1[[#This Row],[Provider Specialty]]) &amp; TRIM(Table1[[#This Row],[Provider Specialty Description]]), SPECIALTY_TYPE, 2, FALSE)</f>
        <v>5</v>
      </c>
      <c r="M618" s="3" t="s">
        <v>18</v>
      </c>
      <c r="N618" s="27" t="s">
        <v>19</v>
      </c>
      <c r="O618" s="38">
        <f>VLOOKUP(TRIM(Table1[[#This Row],[Provider Specialty]]) &amp; TRIM(Table1[[#This Row],[Provider Specialty Description]]), SPECIALTY_TYPE, 2, FALSE)</f>
        <v>5</v>
      </c>
      <c r="P618" s="3" t="str">
        <f>Table1[[#This Row],[Provider Type]] &amp; "+" &amp; Table1[[#This Row],[Provider Type Description]]</f>
        <v>33+Single-Specialty</v>
      </c>
      <c r="Q618" s="7" t="str">
        <f>Table1[[#This Row],[Provider Specialty]] &amp; "+" &amp; Table1[[#This Row],[Provider Specialty Description]]</f>
        <v>322+Internist</v>
      </c>
      <c r="R618" s="7" t="str">
        <f>Table1[[#This Row],[PDMS Specialty Type ID]] &amp; "+" &amp; Table1[[#This Row],[PDMS Provider Type ID]] &amp; "+" &amp;Table1[[#This Row],[TAXONOMY]]</f>
        <v>5+51+207RM1200X</v>
      </c>
      <c r="S6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(9597, 5, 51, N'207RM1200X', N'Internal Medicine - Magnetic Resonance Imaging (MRI)')</v>
      </c>
    </row>
    <row r="619" spans="1:19" ht="47.25" hidden="1" customHeight="1" x14ac:dyDescent="0.25">
      <c r="A619" s="22" t="s">
        <v>1855</v>
      </c>
      <c r="B619" s="3" t="s">
        <v>988</v>
      </c>
      <c r="C619" s="3" t="s">
        <v>999</v>
      </c>
      <c r="D619" s="3" t="s">
        <v>1159</v>
      </c>
      <c r="E619" s="3" t="s">
        <v>1160</v>
      </c>
      <c r="F619" s="3">
        <f>VLOOKUP(Table1[[#This Row],[Column2]], TAXONOMY_TYPE, 2, FALSE)</f>
        <v>9598</v>
      </c>
      <c r="G619" s="3">
        <v>31</v>
      </c>
      <c r="H619" s="3" t="s">
        <v>991</v>
      </c>
      <c r="I619" s="3">
        <f>VLOOKUP(Table1[[#This Row],[Provider Type]] &amp; Table1[[#This Row],[Provider Type Description]], PROVIDER_TYPE, 2, FALSE)</f>
        <v>114</v>
      </c>
      <c r="J619" s="3">
        <v>322</v>
      </c>
      <c r="K619" s="3" t="s">
        <v>1126</v>
      </c>
      <c r="L619" s="3">
        <f>VLOOKUP(TRIM(Table1[[#This Row],[Provider Specialty]]) &amp; TRIM(Table1[[#This Row],[Provider Specialty Description]]), SPECIALTY_TYPE, 2, FALSE)</f>
        <v>5</v>
      </c>
      <c r="M619" s="3" t="s">
        <v>19</v>
      </c>
      <c r="N619" s="27" t="s">
        <v>19</v>
      </c>
      <c r="O619" s="38">
        <f>VLOOKUP(TRIM(Table1[[#This Row],[Provider Specialty]]) &amp; TRIM(Table1[[#This Row],[Provider Specialty Description]]), SPECIALTY_TYPE, 2, FALSE)</f>
        <v>5</v>
      </c>
      <c r="P619" s="3" t="str">
        <f>Table1[[#This Row],[Provider Type]] &amp; "+" &amp; Table1[[#This Row],[Provider Type Description]]</f>
        <v>31+Physician</v>
      </c>
      <c r="Q619" s="7" t="str">
        <f>Table1[[#This Row],[Provider Specialty]] &amp; "+" &amp; Table1[[#This Row],[Provider Specialty Description]]</f>
        <v>322+Internist</v>
      </c>
      <c r="R619" s="7" t="str">
        <f>Table1[[#This Row],[PDMS Specialty Type ID]] &amp; "+" &amp; Table1[[#This Row],[PDMS Provider Type ID]] &amp; "+" &amp;Table1[[#This Row],[TAXONOMY]]</f>
        <v>5+114+207RS0010X</v>
      </c>
      <c r="S6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(9598, 5, 114, N'207RS0010X', N'Internal Medicine - Sports Medicine')</v>
      </c>
    </row>
    <row r="620" spans="1:19" ht="47.25" hidden="1" customHeight="1" x14ac:dyDescent="0.25">
      <c r="A620" s="22" t="s">
        <v>1854</v>
      </c>
      <c r="B620" s="3" t="s">
        <v>988</v>
      </c>
      <c r="C620" s="3" t="s">
        <v>999</v>
      </c>
      <c r="D620" s="3" t="s">
        <v>1159</v>
      </c>
      <c r="E620" s="3" t="s">
        <v>1160</v>
      </c>
      <c r="F620" s="3">
        <f>VLOOKUP(Table1[[#This Row],[Column2]], TAXONOMY_TYPE, 2, FALSE)</f>
        <v>9599</v>
      </c>
      <c r="G620" s="3">
        <v>32</v>
      </c>
      <c r="H620" s="3" t="s">
        <v>1444</v>
      </c>
      <c r="I620" s="3">
        <f>VLOOKUP(Table1[[#This Row],[Provider Type]] &amp; Table1[[#This Row],[Provider Type Description]], PROVIDER_TYPE, 2, FALSE)</f>
        <v>50</v>
      </c>
      <c r="J620" s="3">
        <v>322</v>
      </c>
      <c r="K620" s="3" t="s">
        <v>1126</v>
      </c>
      <c r="L620" s="3">
        <f>VLOOKUP(TRIM(Table1[[#This Row],[Provider Specialty]]) &amp; TRIM(Table1[[#This Row],[Provider Specialty Description]]), SPECIALTY_TYPE, 2, FALSE)</f>
        <v>5</v>
      </c>
      <c r="M620" s="3" t="s">
        <v>18</v>
      </c>
      <c r="N620" s="27" t="s">
        <v>19</v>
      </c>
      <c r="O620" s="38">
        <f>VLOOKUP(TRIM(Table1[[#This Row],[Provider Specialty]]) &amp; TRIM(Table1[[#This Row],[Provider Specialty Description]]), SPECIALTY_TYPE, 2, FALSE)</f>
        <v>5</v>
      </c>
      <c r="P620" s="3" t="str">
        <f>Table1[[#This Row],[Provider Type]] &amp; "+" &amp; Table1[[#This Row],[Provider Type Description]]</f>
        <v>32+Multi-Specialty</v>
      </c>
      <c r="Q620" s="7" t="str">
        <f>Table1[[#This Row],[Provider Specialty]] &amp; "+" &amp; Table1[[#This Row],[Provider Specialty Description]]</f>
        <v>322+Internist</v>
      </c>
      <c r="R620" s="7" t="str">
        <f>Table1[[#This Row],[PDMS Specialty Type ID]] &amp; "+" &amp; Table1[[#This Row],[PDMS Provider Type ID]] &amp; "+" &amp;Table1[[#This Row],[TAXONOMY]]</f>
        <v>5+50+207RS0010X</v>
      </c>
      <c r="S6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(9599, 5, 50, N'207RS0010X', N'Internal Medicine - Sports Medicine')</v>
      </c>
    </row>
    <row r="621" spans="1:19" ht="47.25" hidden="1" customHeight="1" x14ac:dyDescent="0.25">
      <c r="A621" s="22" t="s">
        <v>1854</v>
      </c>
      <c r="B621" s="3" t="s">
        <v>988</v>
      </c>
      <c r="C621" s="3" t="s">
        <v>999</v>
      </c>
      <c r="D621" s="3" t="s">
        <v>1159</v>
      </c>
      <c r="E621" s="3" t="s">
        <v>1160</v>
      </c>
      <c r="F621" s="3">
        <f>VLOOKUP(Table1[[#This Row],[Column2]], TAXONOMY_TYPE, 2, FALSE)</f>
        <v>9600</v>
      </c>
      <c r="G621" s="3">
        <v>33</v>
      </c>
      <c r="H621" s="3" t="s">
        <v>1953</v>
      </c>
      <c r="I621" s="3">
        <f>VLOOKUP(Table1[[#This Row],[Provider Type]] &amp; Table1[[#This Row],[Provider Type Description]], PROVIDER_TYPE, 2, FALSE)</f>
        <v>51</v>
      </c>
      <c r="J621" s="3">
        <v>322</v>
      </c>
      <c r="K621" s="3" t="s">
        <v>1126</v>
      </c>
      <c r="L621" s="3">
        <f>VLOOKUP(TRIM(Table1[[#This Row],[Provider Specialty]]) &amp; TRIM(Table1[[#This Row],[Provider Specialty Description]]), SPECIALTY_TYPE, 2, FALSE)</f>
        <v>5</v>
      </c>
      <c r="M621" s="3" t="s">
        <v>18</v>
      </c>
      <c r="N621" s="27" t="s">
        <v>19</v>
      </c>
      <c r="O621" s="38">
        <f>VLOOKUP(TRIM(Table1[[#This Row],[Provider Specialty]]) &amp; TRIM(Table1[[#This Row],[Provider Specialty Description]]), SPECIALTY_TYPE, 2, FALSE)</f>
        <v>5</v>
      </c>
      <c r="P621" s="3" t="str">
        <f>Table1[[#This Row],[Provider Type]] &amp; "+" &amp; Table1[[#This Row],[Provider Type Description]]</f>
        <v>33+Single-Specialty</v>
      </c>
      <c r="Q621" s="7" t="str">
        <f>Table1[[#This Row],[Provider Specialty]] &amp; "+" &amp; Table1[[#This Row],[Provider Specialty Description]]</f>
        <v>322+Internist</v>
      </c>
      <c r="R621" s="7" t="str">
        <f>Table1[[#This Row],[PDMS Specialty Type ID]] &amp; "+" &amp; Table1[[#This Row],[PDMS Provider Type ID]] &amp; "+" &amp;Table1[[#This Row],[TAXONOMY]]</f>
        <v>5+51+207RS0010X</v>
      </c>
      <c r="S6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(9600, 5, 51, N'207RS0010X', N'Internal Medicine - Sports Medicine')</v>
      </c>
    </row>
    <row r="622" spans="1:19" ht="47.25" hidden="1" customHeight="1" x14ac:dyDescent="0.25">
      <c r="A622" s="22" t="s">
        <v>1855</v>
      </c>
      <c r="B622" s="3" t="s">
        <v>988</v>
      </c>
      <c r="C622" s="3" t="s">
        <v>999</v>
      </c>
      <c r="D622" s="3" t="s">
        <v>1161</v>
      </c>
      <c r="E622" s="3" t="s">
        <v>1162</v>
      </c>
      <c r="F622" s="3">
        <f>VLOOKUP(Table1[[#This Row],[Column2]], TAXONOMY_TYPE, 2, FALSE)</f>
        <v>9601</v>
      </c>
      <c r="G622" s="3">
        <v>31</v>
      </c>
      <c r="H622" s="3" t="s">
        <v>991</v>
      </c>
      <c r="I622" s="3">
        <f>VLOOKUP(Table1[[#This Row],[Provider Type]] &amp; Table1[[#This Row],[Provider Type Description]], PROVIDER_TYPE, 2, FALSE)</f>
        <v>114</v>
      </c>
      <c r="J622" s="3">
        <v>322</v>
      </c>
      <c r="K622" s="3" t="s">
        <v>1126</v>
      </c>
      <c r="L622" s="3">
        <f>VLOOKUP(TRIM(Table1[[#This Row],[Provider Specialty]]) &amp; TRIM(Table1[[#This Row],[Provider Specialty Description]]), SPECIALTY_TYPE, 2, FALSE)</f>
        <v>5</v>
      </c>
      <c r="M622" s="3" t="s">
        <v>19</v>
      </c>
      <c r="N622" s="27" t="s">
        <v>19</v>
      </c>
      <c r="O622" s="38">
        <f>VLOOKUP(TRIM(Table1[[#This Row],[Provider Specialty]]) &amp; TRIM(Table1[[#This Row],[Provider Specialty Description]]), SPECIALTY_TYPE, 2, FALSE)</f>
        <v>5</v>
      </c>
      <c r="P622" s="3" t="str">
        <f>Table1[[#This Row],[Provider Type]] &amp; "+" &amp; Table1[[#This Row],[Provider Type Description]]</f>
        <v>31+Physician</v>
      </c>
      <c r="Q622" s="7" t="str">
        <f>Table1[[#This Row],[Provider Specialty]] &amp; "+" &amp; Table1[[#This Row],[Provider Specialty Description]]</f>
        <v>322+Internist</v>
      </c>
      <c r="R622" s="7" t="str">
        <f>Table1[[#This Row],[PDMS Specialty Type ID]] &amp; "+" &amp; Table1[[#This Row],[PDMS Provider Type ID]] &amp; "+" &amp;Table1[[#This Row],[TAXONOMY]]</f>
        <v>5+114+207RS0012X</v>
      </c>
      <c r="S6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(9601, 5, 114, N'207RS0012X', N'Internal Medicine - Sleep Medicine')</v>
      </c>
    </row>
    <row r="623" spans="1:19" ht="47.25" hidden="1" customHeight="1" x14ac:dyDescent="0.25">
      <c r="A623" s="22" t="s">
        <v>1854</v>
      </c>
      <c r="B623" s="3" t="s">
        <v>988</v>
      </c>
      <c r="C623" s="3" t="s">
        <v>999</v>
      </c>
      <c r="D623" s="3" t="s">
        <v>1161</v>
      </c>
      <c r="E623" s="3" t="s">
        <v>1162</v>
      </c>
      <c r="F623" s="3">
        <f>VLOOKUP(Table1[[#This Row],[Column2]], TAXONOMY_TYPE, 2, FALSE)</f>
        <v>9602</v>
      </c>
      <c r="G623" s="3">
        <v>32</v>
      </c>
      <c r="H623" s="3" t="s">
        <v>1444</v>
      </c>
      <c r="I623" s="3">
        <f>VLOOKUP(Table1[[#This Row],[Provider Type]] &amp; Table1[[#This Row],[Provider Type Description]], PROVIDER_TYPE, 2, FALSE)</f>
        <v>50</v>
      </c>
      <c r="J623" s="3">
        <v>322</v>
      </c>
      <c r="K623" s="3" t="s">
        <v>1126</v>
      </c>
      <c r="L623" s="3">
        <f>VLOOKUP(TRIM(Table1[[#This Row],[Provider Specialty]]) &amp; TRIM(Table1[[#This Row],[Provider Specialty Description]]), SPECIALTY_TYPE, 2, FALSE)</f>
        <v>5</v>
      </c>
      <c r="M623" s="3" t="s">
        <v>18</v>
      </c>
      <c r="N623" s="27" t="s">
        <v>19</v>
      </c>
      <c r="O623" s="38">
        <f>VLOOKUP(TRIM(Table1[[#This Row],[Provider Specialty]]) &amp; TRIM(Table1[[#This Row],[Provider Specialty Description]]), SPECIALTY_TYPE, 2, FALSE)</f>
        <v>5</v>
      </c>
      <c r="P623" s="3" t="str">
        <f>Table1[[#This Row],[Provider Type]] &amp; "+" &amp; Table1[[#This Row],[Provider Type Description]]</f>
        <v>32+Multi-Specialty</v>
      </c>
      <c r="Q623" s="7" t="str">
        <f>Table1[[#This Row],[Provider Specialty]] &amp; "+" &amp; Table1[[#This Row],[Provider Specialty Description]]</f>
        <v>322+Internist</v>
      </c>
      <c r="R623" s="7" t="str">
        <f>Table1[[#This Row],[PDMS Specialty Type ID]] &amp; "+" &amp; Table1[[#This Row],[PDMS Provider Type ID]] &amp; "+" &amp;Table1[[#This Row],[TAXONOMY]]</f>
        <v>5+50+207RS0012X</v>
      </c>
      <c r="S6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(9602, 5, 50, N'207RS0012X', N'Internal Medicine - Sleep Medicine')</v>
      </c>
    </row>
    <row r="624" spans="1:19" ht="47.25" hidden="1" customHeight="1" x14ac:dyDescent="0.25">
      <c r="A624" s="22" t="s">
        <v>1854</v>
      </c>
      <c r="B624" s="3" t="s">
        <v>988</v>
      </c>
      <c r="C624" s="3" t="s">
        <v>999</v>
      </c>
      <c r="D624" s="3" t="s">
        <v>1161</v>
      </c>
      <c r="E624" s="3" t="s">
        <v>1162</v>
      </c>
      <c r="F624" s="3">
        <f>VLOOKUP(Table1[[#This Row],[Column2]], TAXONOMY_TYPE, 2, FALSE)</f>
        <v>9603</v>
      </c>
      <c r="G624" s="3">
        <v>33</v>
      </c>
      <c r="H624" s="3" t="s">
        <v>1953</v>
      </c>
      <c r="I624" s="3">
        <f>VLOOKUP(Table1[[#This Row],[Provider Type]] &amp; Table1[[#This Row],[Provider Type Description]], PROVIDER_TYPE, 2, FALSE)</f>
        <v>51</v>
      </c>
      <c r="J624" s="3">
        <v>322</v>
      </c>
      <c r="K624" s="3" t="s">
        <v>1126</v>
      </c>
      <c r="L624" s="3">
        <f>VLOOKUP(TRIM(Table1[[#This Row],[Provider Specialty]]) &amp; TRIM(Table1[[#This Row],[Provider Specialty Description]]), SPECIALTY_TYPE, 2, FALSE)</f>
        <v>5</v>
      </c>
      <c r="M624" s="3" t="s">
        <v>18</v>
      </c>
      <c r="N624" s="27" t="s">
        <v>19</v>
      </c>
      <c r="O624" s="38">
        <f>VLOOKUP(TRIM(Table1[[#This Row],[Provider Specialty]]) &amp; TRIM(Table1[[#This Row],[Provider Specialty Description]]), SPECIALTY_TYPE, 2, FALSE)</f>
        <v>5</v>
      </c>
      <c r="P624" s="3" t="str">
        <f>Table1[[#This Row],[Provider Type]] &amp; "+" &amp; Table1[[#This Row],[Provider Type Description]]</f>
        <v>33+Single-Specialty</v>
      </c>
      <c r="Q624" s="7" t="str">
        <f>Table1[[#This Row],[Provider Specialty]] &amp; "+" &amp; Table1[[#This Row],[Provider Specialty Description]]</f>
        <v>322+Internist</v>
      </c>
      <c r="R624" s="7" t="str">
        <f>Table1[[#This Row],[PDMS Specialty Type ID]] &amp; "+" &amp; Table1[[#This Row],[PDMS Provider Type ID]] &amp; "+" &amp;Table1[[#This Row],[TAXONOMY]]</f>
        <v>5+51+207RS0012X</v>
      </c>
      <c r="S6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(9603, 5, 51, N'207RS0012X', N'Internal Medicine - Sleep Medicine')</v>
      </c>
    </row>
    <row r="625" spans="1:19" ht="47.25" hidden="1" customHeight="1" x14ac:dyDescent="0.25">
      <c r="A625" s="22" t="s">
        <v>1855</v>
      </c>
      <c r="B625" s="3" t="s">
        <v>988</v>
      </c>
      <c r="C625" s="3" t="s">
        <v>999</v>
      </c>
      <c r="D625" s="3" t="s">
        <v>1163</v>
      </c>
      <c r="E625" s="3" t="s">
        <v>1164</v>
      </c>
      <c r="F625" s="3">
        <f>VLOOKUP(Table1[[#This Row],[Column2]], TAXONOMY_TYPE, 2, FALSE)</f>
        <v>9604</v>
      </c>
      <c r="G625" s="3">
        <v>31</v>
      </c>
      <c r="H625" s="3" t="s">
        <v>991</v>
      </c>
      <c r="I625" s="3">
        <f>VLOOKUP(Table1[[#This Row],[Provider Type]] &amp; Table1[[#This Row],[Provider Type Description]], PROVIDER_TYPE, 2, FALSE)</f>
        <v>114</v>
      </c>
      <c r="J625" s="3">
        <v>322</v>
      </c>
      <c r="K625" s="3" t="s">
        <v>1126</v>
      </c>
      <c r="L625" s="3">
        <f>VLOOKUP(TRIM(Table1[[#This Row],[Provider Specialty]]) &amp; TRIM(Table1[[#This Row],[Provider Specialty Description]]), SPECIALTY_TYPE, 2, FALSE)</f>
        <v>5</v>
      </c>
      <c r="M625" s="3" t="s">
        <v>19</v>
      </c>
      <c r="N625" s="27" t="s">
        <v>18</v>
      </c>
      <c r="O625" s="38">
        <f>VLOOKUP(TRIM(Table1[[#This Row],[Provider Specialty]]) &amp; TRIM(Table1[[#This Row],[Provider Specialty Description]]), SPECIALTY_TYPE, 2, FALSE)</f>
        <v>5</v>
      </c>
      <c r="P625" s="3" t="str">
        <f>Table1[[#This Row],[Provider Type]] &amp; "+" &amp; Table1[[#This Row],[Provider Type Description]]</f>
        <v>31+Physician</v>
      </c>
      <c r="Q625" s="7" t="str">
        <f>Table1[[#This Row],[Provider Specialty]] &amp; "+" &amp; Table1[[#This Row],[Provider Specialty Description]]</f>
        <v>322+Internist</v>
      </c>
      <c r="R625" s="7" t="str">
        <f>Table1[[#This Row],[PDMS Specialty Type ID]] &amp; "+" &amp; Table1[[#This Row],[PDMS Provider Type ID]] &amp; "+" &amp;Table1[[#This Row],[TAXONOMY]]</f>
        <v>5+114+207RT0003X</v>
      </c>
      <c r="S6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(9604, 5, 114, N'207RT0003X', N'Internal Medicine - Transplant Hepatology****')</v>
      </c>
    </row>
    <row r="626" spans="1:19" ht="47.25" hidden="1" customHeight="1" x14ac:dyDescent="0.25">
      <c r="A626" s="22" t="s">
        <v>1854</v>
      </c>
      <c r="B626" s="3" t="s">
        <v>988</v>
      </c>
      <c r="C626" s="3" t="s">
        <v>999</v>
      </c>
      <c r="D626" s="3" t="s">
        <v>1163</v>
      </c>
      <c r="E626" s="3" t="s">
        <v>1164</v>
      </c>
      <c r="F626" s="3">
        <f>VLOOKUP(Table1[[#This Row],[Column2]], TAXONOMY_TYPE, 2, FALSE)</f>
        <v>9605</v>
      </c>
      <c r="G626" s="3">
        <v>32</v>
      </c>
      <c r="H626" s="3" t="s">
        <v>1444</v>
      </c>
      <c r="I626" s="3">
        <f>VLOOKUP(Table1[[#This Row],[Provider Type]] &amp; Table1[[#This Row],[Provider Type Description]], PROVIDER_TYPE, 2, FALSE)</f>
        <v>50</v>
      </c>
      <c r="J626" s="3">
        <v>322</v>
      </c>
      <c r="K626" s="3" t="s">
        <v>1126</v>
      </c>
      <c r="L626" s="3">
        <f>VLOOKUP(TRIM(Table1[[#This Row],[Provider Specialty]]) &amp; TRIM(Table1[[#This Row],[Provider Specialty Description]]), SPECIALTY_TYPE, 2, FALSE)</f>
        <v>5</v>
      </c>
      <c r="M626" s="3" t="s">
        <v>18</v>
      </c>
      <c r="N626" s="27" t="s">
        <v>19</v>
      </c>
      <c r="O626" s="38">
        <f>VLOOKUP(TRIM(Table1[[#This Row],[Provider Specialty]]) &amp; TRIM(Table1[[#This Row],[Provider Specialty Description]]), SPECIALTY_TYPE, 2, FALSE)</f>
        <v>5</v>
      </c>
      <c r="P626" s="3" t="str">
        <f>Table1[[#This Row],[Provider Type]] &amp; "+" &amp; Table1[[#This Row],[Provider Type Description]]</f>
        <v>32+Multi-Specialty</v>
      </c>
      <c r="Q626" s="7" t="str">
        <f>Table1[[#This Row],[Provider Specialty]] &amp; "+" &amp; Table1[[#This Row],[Provider Specialty Description]]</f>
        <v>322+Internist</v>
      </c>
      <c r="R626" s="7" t="str">
        <f>Table1[[#This Row],[PDMS Specialty Type ID]] &amp; "+" &amp; Table1[[#This Row],[PDMS Provider Type ID]] &amp; "+" &amp;Table1[[#This Row],[TAXONOMY]]</f>
        <v>5+50+207RT0003X</v>
      </c>
      <c r="S6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(9605, 5, 50, N'207RT0003X', N'Internal Medicine - Transplant Hepatology****')</v>
      </c>
    </row>
    <row r="627" spans="1:19" ht="47.25" hidden="1" customHeight="1" x14ac:dyDescent="0.25">
      <c r="A627" s="22" t="s">
        <v>1854</v>
      </c>
      <c r="B627" s="3" t="s">
        <v>988</v>
      </c>
      <c r="C627" s="3" t="s">
        <v>999</v>
      </c>
      <c r="D627" s="3" t="s">
        <v>1163</v>
      </c>
      <c r="E627" s="3" t="s">
        <v>1164</v>
      </c>
      <c r="F627" s="3">
        <f>VLOOKUP(Table1[[#This Row],[Column2]], TAXONOMY_TYPE, 2, FALSE)</f>
        <v>9606</v>
      </c>
      <c r="G627" s="3">
        <v>33</v>
      </c>
      <c r="H627" s="3" t="s">
        <v>1953</v>
      </c>
      <c r="I627" s="3">
        <f>VLOOKUP(Table1[[#This Row],[Provider Type]] &amp; Table1[[#This Row],[Provider Type Description]], PROVIDER_TYPE, 2, FALSE)</f>
        <v>51</v>
      </c>
      <c r="J627" s="3">
        <v>322</v>
      </c>
      <c r="K627" s="3" t="s">
        <v>1126</v>
      </c>
      <c r="L627" s="3">
        <f>VLOOKUP(TRIM(Table1[[#This Row],[Provider Specialty]]) &amp; TRIM(Table1[[#This Row],[Provider Specialty Description]]), SPECIALTY_TYPE, 2, FALSE)</f>
        <v>5</v>
      </c>
      <c r="M627" s="3" t="s">
        <v>18</v>
      </c>
      <c r="N627" s="27" t="s">
        <v>19</v>
      </c>
      <c r="O627" s="38">
        <f>VLOOKUP(TRIM(Table1[[#This Row],[Provider Specialty]]) &amp; TRIM(Table1[[#This Row],[Provider Specialty Description]]), SPECIALTY_TYPE, 2, FALSE)</f>
        <v>5</v>
      </c>
      <c r="P627" s="3" t="str">
        <f>Table1[[#This Row],[Provider Type]] &amp; "+" &amp; Table1[[#This Row],[Provider Type Description]]</f>
        <v>33+Single-Specialty</v>
      </c>
      <c r="Q627" s="7" t="str">
        <f>Table1[[#This Row],[Provider Specialty]] &amp; "+" &amp; Table1[[#This Row],[Provider Specialty Description]]</f>
        <v>322+Internist</v>
      </c>
      <c r="R627" s="7" t="str">
        <f>Table1[[#This Row],[PDMS Specialty Type ID]] &amp; "+" &amp; Table1[[#This Row],[PDMS Provider Type ID]] &amp; "+" &amp;Table1[[#This Row],[TAXONOMY]]</f>
        <v>5+51+207RT0003X</v>
      </c>
      <c r="S6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(9606, 5, 51, N'207RT0003X', N'Internal Medicine - Transplant Hepatology****')</v>
      </c>
    </row>
    <row r="628" spans="1:19" ht="47.25" hidden="1" customHeight="1" x14ac:dyDescent="0.25">
      <c r="A628" s="22" t="s">
        <v>1855</v>
      </c>
      <c r="B628" s="3" t="s">
        <v>1262</v>
      </c>
      <c r="C628" s="3" t="s">
        <v>1429</v>
      </c>
      <c r="D628" s="3" t="s">
        <v>1430</v>
      </c>
      <c r="E628" s="3" t="s">
        <v>1431</v>
      </c>
      <c r="F628" s="3">
        <f>VLOOKUP(Table1[[#This Row],[Column2]], TAXONOMY_TYPE, 2, FALSE)</f>
        <v>9607</v>
      </c>
      <c r="G628" s="3">
        <v>31</v>
      </c>
      <c r="H628" s="8" t="s">
        <v>1432</v>
      </c>
      <c r="I628" s="3">
        <f>VLOOKUP(Table1[[#This Row],[Provider Type]] &amp; Table1[[#This Row],[Provider Type Description]], PROVIDER_TYPE, 2, FALSE)</f>
        <v>113</v>
      </c>
      <c r="J628" s="3">
        <v>322</v>
      </c>
      <c r="K628" s="8" t="s">
        <v>578</v>
      </c>
      <c r="L628" s="8">
        <f>VLOOKUP(TRIM(Table1[[#This Row],[Provider Specialty]]) &amp; TRIM(Table1[[#This Row],[Provider Specialty Description]]), SPECIALTY_TYPE, 2, FALSE)</f>
        <v>5</v>
      </c>
      <c r="M628" s="3" t="s">
        <v>19</v>
      </c>
      <c r="N628" s="27" t="s">
        <v>19</v>
      </c>
      <c r="O628" s="38">
        <f>VLOOKUP(TRIM(Table1[[#This Row],[Provider Specialty]]) &amp; TRIM(Table1[[#This Row],[Provider Specialty Description]]), SPECIALTY_TYPE, 2, FALSE)</f>
        <v>5</v>
      </c>
      <c r="P628" s="3" t="str">
        <f>Table1[[#This Row],[Provider Type]] &amp; "+" &amp; Table1[[#This Row],[Provider Type Description]]</f>
        <v>31+Hpertension Specialist Physician</v>
      </c>
      <c r="Q628" s="7" t="str">
        <f>Table1[[#This Row],[Provider Specialty]] &amp; "+" &amp; Table1[[#This Row],[Provider Specialty Description]]</f>
        <v xml:space="preserve">322+Internist </v>
      </c>
      <c r="R628" s="7" t="str">
        <f>Table1[[#This Row],[PDMS Specialty Type ID]] &amp; "+" &amp; Table1[[#This Row],[PDMS Provider Type ID]] &amp; "+" &amp;Table1[[#This Row],[TAXONOMY]]</f>
        <v>5+113+207RH0005X</v>
      </c>
      <c r="S6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(9607, 5, 113, N'207RH0005X', N'Internal Medicine - Hypertension Specialist')</v>
      </c>
    </row>
    <row r="629" spans="1:19" ht="47.25" hidden="1" customHeight="1" x14ac:dyDescent="0.25">
      <c r="A629" s="22" t="s">
        <v>1854</v>
      </c>
      <c r="B629" s="3" t="s">
        <v>1262</v>
      </c>
      <c r="C629" s="3" t="s">
        <v>1429</v>
      </c>
      <c r="D629" s="3" t="s">
        <v>1430</v>
      </c>
      <c r="E629" s="3" t="s">
        <v>1431</v>
      </c>
      <c r="F629" s="3">
        <f>VLOOKUP(Table1[[#This Row],[Column2]], TAXONOMY_TYPE, 2, FALSE)</f>
        <v>9608</v>
      </c>
      <c r="G629" s="3">
        <v>32</v>
      </c>
      <c r="H629" s="3" t="s">
        <v>1444</v>
      </c>
      <c r="I629" s="3">
        <f>VLOOKUP(Table1[[#This Row],[Provider Type]] &amp; Table1[[#This Row],[Provider Type Description]], PROVIDER_TYPE, 2, FALSE)</f>
        <v>50</v>
      </c>
      <c r="J629" s="3">
        <v>322</v>
      </c>
      <c r="K629" s="8" t="s">
        <v>578</v>
      </c>
      <c r="L629" s="8">
        <f>VLOOKUP(TRIM(Table1[[#This Row],[Provider Specialty]]) &amp; TRIM(Table1[[#This Row],[Provider Specialty Description]]), SPECIALTY_TYPE, 2, FALSE)</f>
        <v>5</v>
      </c>
      <c r="M629" s="3" t="s">
        <v>18</v>
      </c>
      <c r="N629" s="27" t="s">
        <v>19</v>
      </c>
      <c r="O629" s="38">
        <f>VLOOKUP(TRIM(Table1[[#This Row],[Provider Specialty]]) &amp; TRIM(Table1[[#This Row],[Provider Specialty Description]]), SPECIALTY_TYPE, 2, FALSE)</f>
        <v>5</v>
      </c>
      <c r="P629" s="3" t="str">
        <f>Table1[[#This Row],[Provider Type]] &amp; "+" &amp; Table1[[#This Row],[Provider Type Description]]</f>
        <v>32+Multi-Specialty</v>
      </c>
      <c r="Q629" s="7" t="str">
        <f>Table1[[#This Row],[Provider Specialty]] &amp; "+" &amp; Table1[[#This Row],[Provider Specialty Description]]</f>
        <v xml:space="preserve">322+Internist </v>
      </c>
      <c r="R629" s="7" t="str">
        <f>Table1[[#This Row],[PDMS Specialty Type ID]] &amp; "+" &amp; Table1[[#This Row],[PDMS Provider Type ID]] &amp; "+" &amp;Table1[[#This Row],[TAXONOMY]]</f>
        <v>5+50+207RH0005X</v>
      </c>
      <c r="S6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(9608, 5, 50, N'207RH0005X', N'Internal Medicine - Hypertension Specialist')</v>
      </c>
    </row>
    <row r="630" spans="1:19" ht="47.25" hidden="1" customHeight="1" x14ac:dyDescent="0.25">
      <c r="A630" s="22" t="s">
        <v>1854</v>
      </c>
      <c r="B630" s="3" t="s">
        <v>1262</v>
      </c>
      <c r="C630" s="3" t="s">
        <v>1429</v>
      </c>
      <c r="D630" s="3" t="s">
        <v>1430</v>
      </c>
      <c r="E630" s="3" t="s">
        <v>1431</v>
      </c>
      <c r="F630" s="3">
        <f>VLOOKUP(Table1[[#This Row],[Column2]], TAXONOMY_TYPE, 2, FALSE)</f>
        <v>9609</v>
      </c>
      <c r="G630" s="3">
        <v>33</v>
      </c>
      <c r="H630" s="3" t="s">
        <v>1953</v>
      </c>
      <c r="I630" s="3">
        <f>VLOOKUP(Table1[[#This Row],[Provider Type]] &amp; Table1[[#This Row],[Provider Type Description]], PROVIDER_TYPE, 2, FALSE)</f>
        <v>51</v>
      </c>
      <c r="J630" s="3">
        <v>322</v>
      </c>
      <c r="K630" s="8" t="s">
        <v>578</v>
      </c>
      <c r="L630" s="8">
        <f>VLOOKUP(TRIM(Table1[[#This Row],[Provider Specialty]]) &amp; TRIM(Table1[[#This Row],[Provider Specialty Description]]), SPECIALTY_TYPE, 2, FALSE)</f>
        <v>5</v>
      </c>
      <c r="M630" s="3" t="s">
        <v>18</v>
      </c>
      <c r="N630" s="27" t="s">
        <v>19</v>
      </c>
      <c r="O630" s="38">
        <f>VLOOKUP(TRIM(Table1[[#This Row],[Provider Specialty]]) &amp; TRIM(Table1[[#This Row],[Provider Specialty Description]]), SPECIALTY_TYPE, 2, FALSE)</f>
        <v>5</v>
      </c>
      <c r="P630" s="3" t="str">
        <f>Table1[[#This Row],[Provider Type]] &amp; "+" &amp; Table1[[#This Row],[Provider Type Description]]</f>
        <v>33+Single-Specialty</v>
      </c>
      <c r="Q630" s="7" t="str">
        <f>Table1[[#This Row],[Provider Specialty]] &amp; "+" &amp; Table1[[#This Row],[Provider Specialty Description]]</f>
        <v xml:space="preserve">322+Internist </v>
      </c>
      <c r="R630" s="7" t="str">
        <f>Table1[[#This Row],[PDMS Specialty Type ID]] &amp; "+" &amp; Table1[[#This Row],[PDMS Provider Type ID]] &amp; "+" &amp;Table1[[#This Row],[TAXONOMY]]</f>
        <v>5+51+207RH0005X</v>
      </c>
      <c r="S6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(9609, 5, 51, N'207RH0005X', N'Internal Medicine - Hypertension Specialist')</v>
      </c>
    </row>
    <row r="631" spans="1:19" ht="47.25" hidden="1" customHeight="1" x14ac:dyDescent="0.25">
      <c r="A631" s="22" t="s">
        <v>1855</v>
      </c>
      <c r="B631" s="3" t="s">
        <v>988</v>
      </c>
      <c r="C631" s="3" t="s">
        <v>325</v>
      </c>
      <c r="D631" s="3" t="s">
        <v>1039</v>
      </c>
      <c r="E631" s="3" t="s">
        <v>1040</v>
      </c>
      <c r="F631" s="3">
        <f>VLOOKUP(Table1[[#This Row],[Column2]], TAXONOMY_TYPE, 2, FALSE)</f>
        <v>9610</v>
      </c>
      <c r="G631" s="3">
        <v>31</v>
      </c>
      <c r="H631" s="3" t="s">
        <v>991</v>
      </c>
      <c r="I631" s="3">
        <f>VLOOKUP(Table1[[#This Row],[Provider Type]] &amp; Table1[[#This Row],[Provider Type Description]], PROVIDER_TYPE, 2, FALSE)</f>
        <v>114</v>
      </c>
      <c r="J631" s="3">
        <v>323</v>
      </c>
      <c r="K631" s="3" t="s">
        <v>1041</v>
      </c>
      <c r="L631" s="3">
        <f>VLOOKUP(TRIM(Table1[[#This Row],[Provider Specialty]]) &amp; TRIM(Table1[[#This Row],[Provider Specialty Description]]), SPECIALTY_TYPE, 2, FALSE)</f>
        <v>2083</v>
      </c>
      <c r="M631" s="3" t="s">
        <v>18</v>
      </c>
      <c r="N631" s="27" t="s">
        <v>19</v>
      </c>
      <c r="O631" s="38">
        <f>VLOOKUP(TRIM(Table1[[#This Row],[Provider Specialty]]) &amp; TRIM(Table1[[#This Row],[Provider Specialty Description]]), SPECIALTY_TYPE, 2, FALSE)</f>
        <v>2083</v>
      </c>
      <c r="P631" s="3" t="str">
        <f>Table1[[#This Row],[Provider Type]] &amp; "+" &amp; Table1[[#This Row],[Provider Type Description]]</f>
        <v>31+Physician</v>
      </c>
      <c r="Q631" s="7" t="str">
        <f>Table1[[#This Row],[Provider Specialty]] &amp; "+" &amp; Table1[[#This Row],[Provider Specialty Description]]</f>
        <v>323+Neonatologist</v>
      </c>
      <c r="R631" s="7" t="str">
        <f>Table1[[#This Row],[PDMS Specialty Type ID]] &amp; "+" &amp; Table1[[#This Row],[PDMS Provider Type ID]] &amp; "+" &amp;Table1[[#This Row],[TAXONOMY]]</f>
        <v>2083+114+2080N0001X</v>
      </c>
      <c r="S6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(9610, 2083, 114, N'2080N0001X', N'Pediatrics - Neonatal-Perinatal Medicine')</v>
      </c>
    </row>
    <row r="632" spans="1:19" ht="47.25" hidden="1" customHeight="1" x14ac:dyDescent="0.25">
      <c r="A632" s="22" t="s">
        <v>1854</v>
      </c>
      <c r="B632" s="3" t="s">
        <v>988</v>
      </c>
      <c r="C632" s="3" t="s">
        <v>325</v>
      </c>
      <c r="D632" s="3" t="s">
        <v>1039</v>
      </c>
      <c r="E632" s="3" t="s">
        <v>1040</v>
      </c>
      <c r="F632" s="3">
        <f>VLOOKUP(Table1[[#This Row],[Column2]], TAXONOMY_TYPE, 2, FALSE)</f>
        <v>9611</v>
      </c>
      <c r="G632" s="3">
        <v>32</v>
      </c>
      <c r="H632" s="3" t="s">
        <v>1444</v>
      </c>
      <c r="I632" s="3">
        <f>VLOOKUP(Table1[[#This Row],[Provider Type]] &amp; Table1[[#This Row],[Provider Type Description]], PROVIDER_TYPE, 2, FALSE)</f>
        <v>50</v>
      </c>
      <c r="J632" s="3">
        <v>323</v>
      </c>
      <c r="K632" s="3" t="s">
        <v>1041</v>
      </c>
      <c r="L632" s="3">
        <f>VLOOKUP(TRIM(Table1[[#This Row],[Provider Specialty]]) &amp; TRIM(Table1[[#This Row],[Provider Specialty Description]]), SPECIALTY_TYPE, 2, FALSE)</f>
        <v>2083</v>
      </c>
      <c r="M632" s="3" t="s">
        <v>18</v>
      </c>
      <c r="N632" s="27" t="s">
        <v>19</v>
      </c>
      <c r="O632" s="38">
        <f>VLOOKUP(TRIM(Table1[[#This Row],[Provider Specialty]]) &amp; TRIM(Table1[[#This Row],[Provider Specialty Description]]), SPECIALTY_TYPE, 2, FALSE)</f>
        <v>2083</v>
      </c>
      <c r="P632" s="3" t="str">
        <f>Table1[[#This Row],[Provider Type]] &amp; "+" &amp; Table1[[#This Row],[Provider Type Description]]</f>
        <v>32+Multi-Specialty</v>
      </c>
      <c r="Q632" s="7" t="str">
        <f>Table1[[#This Row],[Provider Specialty]] &amp; "+" &amp; Table1[[#This Row],[Provider Specialty Description]]</f>
        <v>323+Neonatologist</v>
      </c>
      <c r="R632" s="7" t="str">
        <f>Table1[[#This Row],[PDMS Specialty Type ID]] &amp; "+" &amp; Table1[[#This Row],[PDMS Provider Type ID]] &amp; "+" &amp;Table1[[#This Row],[TAXONOMY]]</f>
        <v>2083+50+2080N0001X</v>
      </c>
      <c r="S6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(9611, 2083, 50, N'2080N0001X', N'Pediatrics - Neonatal-Perinatal Medicine')</v>
      </c>
    </row>
    <row r="633" spans="1:19" ht="47.25" hidden="1" customHeight="1" x14ac:dyDescent="0.25">
      <c r="A633" s="22" t="s">
        <v>1854</v>
      </c>
      <c r="B633" s="3" t="s">
        <v>988</v>
      </c>
      <c r="C633" s="3" t="s">
        <v>325</v>
      </c>
      <c r="D633" s="3" t="s">
        <v>1039</v>
      </c>
      <c r="E633" s="3" t="s">
        <v>1040</v>
      </c>
      <c r="F633" s="3">
        <f>VLOOKUP(Table1[[#This Row],[Column2]], TAXONOMY_TYPE, 2, FALSE)</f>
        <v>9612</v>
      </c>
      <c r="G633" s="3">
        <v>33</v>
      </c>
      <c r="H633" s="3" t="s">
        <v>1953</v>
      </c>
      <c r="I633" s="3">
        <f>VLOOKUP(Table1[[#This Row],[Provider Type]] &amp; Table1[[#This Row],[Provider Type Description]], PROVIDER_TYPE, 2, FALSE)</f>
        <v>51</v>
      </c>
      <c r="J633" s="3">
        <v>323</v>
      </c>
      <c r="K633" s="3" t="s">
        <v>1041</v>
      </c>
      <c r="L633" s="3">
        <f>VLOOKUP(TRIM(Table1[[#This Row],[Provider Specialty]]) &amp; TRIM(Table1[[#This Row],[Provider Specialty Description]]), SPECIALTY_TYPE, 2, FALSE)</f>
        <v>2083</v>
      </c>
      <c r="M633" s="3" t="s">
        <v>18</v>
      </c>
      <c r="N633" s="27" t="s">
        <v>19</v>
      </c>
      <c r="O633" s="38">
        <f>VLOOKUP(TRIM(Table1[[#This Row],[Provider Specialty]]) &amp; TRIM(Table1[[#This Row],[Provider Specialty Description]]), SPECIALTY_TYPE, 2, FALSE)</f>
        <v>2083</v>
      </c>
      <c r="P633" s="3" t="str">
        <f>Table1[[#This Row],[Provider Type]] &amp; "+" &amp; Table1[[#This Row],[Provider Type Description]]</f>
        <v>33+Single-Specialty</v>
      </c>
      <c r="Q633" s="7" t="str">
        <f>Table1[[#This Row],[Provider Specialty]] &amp; "+" &amp; Table1[[#This Row],[Provider Specialty Description]]</f>
        <v>323+Neonatologist</v>
      </c>
      <c r="R633" s="7" t="str">
        <f>Table1[[#This Row],[PDMS Specialty Type ID]] &amp; "+" &amp; Table1[[#This Row],[PDMS Provider Type ID]] &amp; "+" &amp;Table1[[#This Row],[TAXONOMY]]</f>
        <v>2083+51+2080N0001X</v>
      </c>
      <c r="S6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(9612, 2083, 51, N'2080N0001X', N'Pediatrics - Neonatal-Perinatal Medicine')</v>
      </c>
    </row>
    <row r="634" spans="1:19" ht="47.25" hidden="1" customHeight="1" x14ac:dyDescent="0.25">
      <c r="A634" s="22" t="s">
        <v>1855</v>
      </c>
      <c r="B634" s="3" t="s">
        <v>988</v>
      </c>
      <c r="C634" s="3" t="s">
        <v>999</v>
      </c>
      <c r="D634" s="3" t="s">
        <v>1153</v>
      </c>
      <c r="E634" s="3" t="s">
        <v>1154</v>
      </c>
      <c r="F634" s="3">
        <f>VLOOKUP(Table1[[#This Row],[Column2]], TAXONOMY_TYPE, 2, FALSE)</f>
        <v>9613</v>
      </c>
      <c r="G634" s="3">
        <v>31</v>
      </c>
      <c r="H634" s="3" t="s">
        <v>991</v>
      </c>
      <c r="I634" s="3">
        <f>VLOOKUP(Table1[[#This Row],[Provider Type]] &amp; Table1[[#This Row],[Provider Type Description]], PROVIDER_TYPE, 2, FALSE)</f>
        <v>114</v>
      </c>
      <c r="J634" s="3">
        <v>324</v>
      </c>
      <c r="K634" s="3" t="s">
        <v>1155</v>
      </c>
      <c r="L634" s="3">
        <f>VLOOKUP(TRIM(Table1[[#This Row],[Provider Specialty]]) &amp; TRIM(Table1[[#This Row],[Provider Specialty Description]]), SPECIALTY_TYPE, 2, FALSE)</f>
        <v>2084</v>
      </c>
      <c r="M634" s="3" t="s">
        <v>19</v>
      </c>
      <c r="N634" s="27" t="s">
        <v>19</v>
      </c>
      <c r="O634" s="38">
        <f>VLOOKUP(TRIM(Table1[[#This Row],[Provider Specialty]]) &amp; TRIM(Table1[[#This Row],[Provider Specialty Description]]), SPECIALTY_TYPE, 2, FALSE)</f>
        <v>2084</v>
      </c>
      <c r="P634" s="3" t="str">
        <f>Table1[[#This Row],[Provider Type]] &amp; "+" &amp; Table1[[#This Row],[Provider Type Description]]</f>
        <v>31+Physician</v>
      </c>
      <c r="Q634" s="7" t="str">
        <f>Table1[[#This Row],[Provider Specialty]] &amp; "+" &amp; Table1[[#This Row],[Provider Specialty Description]]</f>
        <v>324+Nephrologist</v>
      </c>
      <c r="R634" s="7" t="str">
        <f>Table1[[#This Row],[PDMS Specialty Type ID]] &amp; "+" &amp; Table1[[#This Row],[PDMS Provider Type ID]] &amp; "+" &amp;Table1[[#This Row],[TAXONOMY]]</f>
        <v>2084+114+207RN0300X</v>
      </c>
      <c r="S6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(9613, 2084, 114, N'207RN0300X', N'Internal Medicine - Nephrology')</v>
      </c>
    </row>
    <row r="635" spans="1:19" ht="47.25" hidden="1" customHeight="1" x14ac:dyDescent="0.25">
      <c r="A635" s="22" t="s">
        <v>1854</v>
      </c>
      <c r="B635" s="3" t="s">
        <v>988</v>
      </c>
      <c r="C635" s="3" t="s">
        <v>999</v>
      </c>
      <c r="D635" s="3" t="s">
        <v>1153</v>
      </c>
      <c r="E635" s="3" t="s">
        <v>1154</v>
      </c>
      <c r="F635" s="3">
        <f>VLOOKUP(Table1[[#This Row],[Column2]], TAXONOMY_TYPE, 2, FALSE)</f>
        <v>9614</v>
      </c>
      <c r="G635" s="3">
        <v>32</v>
      </c>
      <c r="H635" s="3" t="s">
        <v>1444</v>
      </c>
      <c r="I635" s="3">
        <f>VLOOKUP(Table1[[#This Row],[Provider Type]] &amp; Table1[[#This Row],[Provider Type Description]], PROVIDER_TYPE, 2, FALSE)</f>
        <v>50</v>
      </c>
      <c r="J635" s="3">
        <v>324</v>
      </c>
      <c r="K635" s="3" t="s">
        <v>1155</v>
      </c>
      <c r="L635" s="3">
        <f>VLOOKUP(TRIM(Table1[[#This Row],[Provider Specialty]]) &amp; TRIM(Table1[[#This Row],[Provider Specialty Description]]), SPECIALTY_TYPE, 2, FALSE)</f>
        <v>2084</v>
      </c>
      <c r="M635" s="3" t="s">
        <v>18</v>
      </c>
      <c r="N635" s="27" t="s">
        <v>19</v>
      </c>
      <c r="O635" s="38">
        <f>VLOOKUP(TRIM(Table1[[#This Row],[Provider Specialty]]) &amp; TRIM(Table1[[#This Row],[Provider Specialty Description]]), SPECIALTY_TYPE, 2, FALSE)</f>
        <v>2084</v>
      </c>
      <c r="P635" s="3" t="str">
        <f>Table1[[#This Row],[Provider Type]] &amp; "+" &amp; Table1[[#This Row],[Provider Type Description]]</f>
        <v>32+Multi-Specialty</v>
      </c>
      <c r="Q635" s="7" t="str">
        <f>Table1[[#This Row],[Provider Specialty]] &amp; "+" &amp; Table1[[#This Row],[Provider Specialty Description]]</f>
        <v>324+Nephrologist</v>
      </c>
      <c r="R635" s="7" t="str">
        <f>Table1[[#This Row],[PDMS Specialty Type ID]] &amp; "+" &amp; Table1[[#This Row],[PDMS Provider Type ID]] &amp; "+" &amp;Table1[[#This Row],[TAXONOMY]]</f>
        <v>2084+50+207RN0300X</v>
      </c>
      <c r="S6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(9614, 2084, 50, N'207RN0300X', N'Internal Medicine - Nephrology')</v>
      </c>
    </row>
    <row r="636" spans="1:19" ht="47.25" hidden="1" customHeight="1" x14ac:dyDescent="0.25">
      <c r="A636" s="22" t="s">
        <v>1854</v>
      </c>
      <c r="B636" s="3" t="s">
        <v>988</v>
      </c>
      <c r="C636" s="3" t="s">
        <v>999</v>
      </c>
      <c r="D636" s="3" t="s">
        <v>1153</v>
      </c>
      <c r="E636" s="3" t="s">
        <v>1154</v>
      </c>
      <c r="F636" s="3">
        <f>VLOOKUP(Table1[[#This Row],[Column2]], TAXONOMY_TYPE, 2, FALSE)</f>
        <v>9615</v>
      </c>
      <c r="G636" s="3">
        <v>33</v>
      </c>
      <c r="H636" s="3" t="s">
        <v>1953</v>
      </c>
      <c r="I636" s="3">
        <f>VLOOKUP(Table1[[#This Row],[Provider Type]] &amp; Table1[[#This Row],[Provider Type Description]], PROVIDER_TYPE, 2, FALSE)</f>
        <v>51</v>
      </c>
      <c r="J636" s="3">
        <v>324</v>
      </c>
      <c r="K636" s="3" t="s">
        <v>1155</v>
      </c>
      <c r="L636" s="3">
        <f>VLOOKUP(TRIM(Table1[[#This Row],[Provider Specialty]]) &amp; TRIM(Table1[[#This Row],[Provider Specialty Description]]), SPECIALTY_TYPE, 2, FALSE)</f>
        <v>2084</v>
      </c>
      <c r="M636" s="3" t="s">
        <v>18</v>
      </c>
      <c r="N636" s="27" t="s">
        <v>19</v>
      </c>
      <c r="O636" s="38">
        <f>VLOOKUP(TRIM(Table1[[#This Row],[Provider Specialty]]) &amp; TRIM(Table1[[#This Row],[Provider Specialty Description]]), SPECIALTY_TYPE, 2, FALSE)</f>
        <v>2084</v>
      </c>
      <c r="P636" s="3" t="str">
        <f>Table1[[#This Row],[Provider Type]] &amp; "+" &amp; Table1[[#This Row],[Provider Type Description]]</f>
        <v>33+Single-Specialty</v>
      </c>
      <c r="Q636" s="7" t="str">
        <f>Table1[[#This Row],[Provider Specialty]] &amp; "+" &amp; Table1[[#This Row],[Provider Specialty Description]]</f>
        <v>324+Nephrologist</v>
      </c>
      <c r="R636" s="7" t="str">
        <f>Table1[[#This Row],[PDMS Specialty Type ID]] &amp; "+" &amp; Table1[[#This Row],[PDMS Provider Type ID]] &amp; "+" &amp;Table1[[#This Row],[TAXONOMY]]</f>
        <v>2084+51+207RN0300X</v>
      </c>
      <c r="S6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(9615, 2084, 51, N'207RN0300X', N'Internal Medicine - Nephrology')</v>
      </c>
    </row>
    <row r="637" spans="1:19" ht="47.25" hidden="1" customHeight="1" x14ac:dyDescent="0.25">
      <c r="A637" s="22" t="s">
        <v>1855</v>
      </c>
      <c r="B637" s="3" t="s">
        <v>988</v>
      </c>
      <c r="C637" s="3" t="s">
        <v>325</v>
      </c>
      <c r="D637" s="3" t="s">
        <v>1288</v>
      </c>
      <c r="E637" s="3" t="s">
        <v>1289</v>
      </c>
      <c r="F637" s="3">
        <f>VLOOKUP(Table1[[#This Row],[Column2]], TAXONOMY_TYPE, 2, FALSE)</f>
        <v>9616</v>
      </c>
      <c r="G637" s="3">
        <v>31</v>
      </c>
      <c r="H637" s="3" t="s">
        <v>991</v>
      </c>
      <c r="I637" s="3">
        <f>VLOOKUP(Table1[[#This Row],[Provider Type]] &amp; Table1[[#This Row],[Provider Type Description]], PROVIDER_TYPE, 2, FALSE)</f>
        <v>114</v>
      </c>
      <c r="J637" s="3">
        <v>324</v>
      </c>
      <c r="K637" s="3" t="s">
        <v>1155</v>
      </c>
      <c r="L637" s="3">
        <f>VLOOKUP(TRIM(Table1[[#This Row],[Provider Specialty]]) &amp; TRIM(Table1[[#This Row],[Provider Specialty Description]]), SPECIALTY_TYPE, 2, FALSE)</f>
        <v>2084</v>
      </c>
      <c r="M637" s="3" t="s">
        <v>19</v>
      </c>
      <c r="N637" s="27" t="s">
        <v>19</v>
      </c>
      <c r="O637" s="38">
        <f>VLOOKUP(TRIM(Table1[[#This Row],[Provider Specialty]]) &amp; TRIM(Table1[[#This Row],[Provider Specialty Description]]), SPECIALTY_TYPE, 2, FALSE)</f>
        <v>2084</v>
      </c>
      <c r="P637" s="3" t="str">
        <f>Table1[[#This Row],[Provider Type]] &amp; "+" &amp; Table1[[#This Row],[Provider Type Description]]</f>
        <v>31+Physician</v>
      </c>
      <c r="Q637" s="7" t="str">
        <f>Table1[[#This Row],[Provider Specialty]] &amp; "+" &amp; Table1[[#This Row],[Provider Specialty Description]]</f>
        <v>324+Nephrologist</v>
      </c>
      <c r="R637" s="7" t="str">
        <f>Table1[[#This Row],[PDMS Specialty Type ID]] &amp; "+" &amp; Table1[[#This Row],[PDMS Provider Type ID]] &amp; "+" &amp;Table1[[#This Row],[TAXONOMY]]</f>
        <v>2084+114+2080P0210X</v>
      </c>
      <c r="S6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(9616, 2084, 114, N'2080P0210X', N'Pediatrics - Pediatric Nephrology')</v>
      </c>
    </row>
    <row r="638" spans="1:19" ht="47.25" hidden="1" customHeight="1" x14ac:dyDescent="0.25">
      <c r="A638" s="22" t="s">
        <v>1854</v>
      </c>
      <c r="B638" s="3" t="s">
        <v>988</v>
      </c>
      <c r="C638" s="3" t="s">
        <v>325</v>
      </c>
      <c r="D638" s="3" t="s">
        <v>1288</v>
      </c>
      <c r="E638" s="3" t="s">
        <v>1289</v>
      </c>
      <c r="F638" s="3">
        <f>VLOOKUP(Table1[[#This Row],[Column2]], TAXONOMY_TYPE, 2, FALSE)</f>
        <v>9617</v>
      </c>
      <c r="G638" s="3">
        <v>32</v>
      </c>
      <c r="H638" s="3" t="s">
        <v>1444</v>
      </c>
      <c r="I638" s="3">
        <f>VLOOKUP(Table1[[#This Row],[Provider Type]] &amp; Table1[[#This Row],[Provider Type Description]], PROVIDER_TYPE, 2, FALSE)</f>
        <v>50</v>
      </c>
      <c r="J638" s="3">
        <v>324</v>
      </c>
      <c r="K638" s="3" t="s">
        <v>1155</v>
      </c>
      <c r="L638" s="3">
        <f>VLOOKUP(TRIM(Table1[[#This Row],[Provider Specialty]]) &amp; TRIM(Table1[[#This Row],[Provider Specialty Description]]), SPECIALTY_TYPE, 2, FALSE)</f>
        <v>2084</v>
      </c>
      <c r="M638" s="3" t="s">
        <v>18</v>
      </c>
      <c r="N638" s="27" t="s">
        <v>19</v>
      </c>
      <c r="O638" s="38">
        <f>VLOOKUP(TRIM(Table1[[#This Row],[Provider Specialty]]) &amp; TRIM(Table1[[#This Row],[Provider Specialty Description]]), SPECIALTY_TYPE, 2, FALSE)</f>
        <v>2084</v>
      </c>
      <c r="P638" s="3" t="str">
        <f>Table1[[#This Row],[Provider Type]] &amp; "+" &amp; Table1[[#This Row],[Provider Type Description]]</f>
        <v>32+Multi-Specialty</v>
      </c>
      <c r="Q638" s="7" t="str">
        <f>Table1[[#This Row],[Provider Specialty]] &amp; "+" &amp; Table1[[#This Row],[Provider Specialty Description]]</f>
        <v>324+Nephrologist</v>
      </c>
      <c r="R638" s="7" t="str">
        <f>Table1[[#This Row],[PDMS Specialty Type ID]] &amp; "+" &amp; Table1[[#This Row],[PDMS Provider Type ID]] &amp; "+" &amp;Table1[[#This Row],[TAXONOMY]]</f>
        <v>2084+50+2080P0210X</v>
      </c>
      <c r="S6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(9617, 2084, 50, N'2080P0210X', N'Pediatrics - Pediatric Nephrology')</v>
      </c>
    </row>
    <row r="639" spans="1:19" ht="47.25" hidden="1" customHeight="1" x14ac:dyDescent="0.25">
      <c r="A639" s="22" t="s">
        <v>1854</v>
      </c>
      <c r="B639" s="3" t="s">
        <v>988</v>
      </c>
      <c r="C639" s="3" t="s">
        <v>325</v>
      </c>
      <c r="D639" s="3" t="s">
        <v>1288</v>
      </c>
      <c r="E639" s="3" t="s">
        <v>1289</v>
      </c>
      <c r="F639" s="3">
        <f>VLOOKUP(Table1[[#This Row],[Column2]], TAXONOMY_TYPE, 2, FALSE)</f>
        <v>9618</v>
      </c>
      <c r="G639" s="3">
        <v>33</v>
      </c>
      <c r="H639" s="3" t="s">
        <v>1953</v>
      </c>
      <c r="I639" s="3">
        <f>VLOOKUP(Table1[[#This Row],[Provider Type]] &amp; Table1[[#This Row],[Provider Type Description]], PROVIDER_TYPE, 2, FALSE)</f>
        <v>51</v>
      </c>
      <c r="J639" s="3">
        <v>324</v>
      </c>
      <c r="K639" s="3" t="s">
        <v>1155</v>
      </c>
      <c r="L639" s="3">
        <f>VLOOKUP(TRIM(Table1[[#This Row],[Provider Specialty]]) &amp; TRIM(Table1[[#This Row],[Provider Specialty Description]]), SPECIALTY_TYPE, 2, FALSE)</f>
        <v>2084</v>
      </c>
      <c r="M639" s="3" t="s">
        <v>18</v>
      </c>
      <c r="N639" s="27" t="s">
        <v>19</v>
      </c>
      <c r="O639" s="38">
        <f>VLOOKUP(TRIM(Table1[[#This Row],[Provider Specialty]]) &amp; TRIM(Table1[[#This Row],[Provider Specialty Description]]), SPECIALTY_TYPE, 2, FALSE)</f>
        <v>2084</v>
      </c>
      <c r="P639" s="3" t="str">
        <f>Table1[[#This Row],[Provider Type]] &amp; "+" &amp; Table1[[#This Row],[Provider Type Description]]</f>
        <v>33+Single-Specialty</v>
      </c>
      <c r="Q639" s="7" t="str">
        <f>Table1[[#This Row],[Provider Specialty]] &amp; "+" &amp; Table1[[#This Row],[Provider Specialty Description]]</f>
        <v>324+Nephrologist</v>
      </c>
      <c r="R639" s="7" t="str">
        <f>Table1[[#This Row],[PDMS Specialty Type ID]] &amp; "+" &amp; Table1[[#This Row],[PDMS Provider Type ID]] &amp; "+" &amp;Table1[[#This Row],[TAXONOMY]]</f>
        <v>2084+51+2080P0210X</v>
      </c>
      <c r="S6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(9618, 2084, 51, N'2080P0210X', N'Pediatrics - Pediatric Nephrology')</v>
      </c>
    </row>
    <row r="640" spans="1:19" ht="47.25" hidden="1" customHeight="1" x14ac:dyDescent="0.25">
      <c r="A640" s="22" t="s">
        <v>1855</v>
      </c>
      <c r="B640" s="3" t="s">
        <v>988</v>
      </c>
      <c r="C640" s="3" t="s">
        <v>1165</v>
      </c>
      <c r="D640" s="3" t="s">
        <v>1165</v>
      </c>
      <c r="E640" s="3" t="s">
        <v>1166</v>
      </c>
      <c r="F640" s="3">
        <f>VLOOKUP(Table1[[#This Row],[Column2]], TAXONOMY_TYPE, 2, FALSE)</f>
        <v>9619</v>
      </c>
      <c r="G640" s="3">
        <v>31</v>
      </c>
      <c r="H640" s="3" t="s">
        <v>991</v>
      </c>
      <c r="I640" s="3">
        <f>VLOOKUP(Table1[[#This Row],[Provider Type]] &amp; Table1[[#This Row],[Provider Type Description]], PROVIDER_TYPE, 2, FALSE)</f>
        <v>114</v>
      </c>
      <c r="J640" s="3">
        <v>325</v>
      </c>
      <c r="K640" s="3" t="s">
        <v>1167</v>
      </c>
      <c r="L640" s="3">
        <f>VLOOKUP(TRIM(Table1[[#This Row],[Provider Specialty]]) &amp; TRIM(Table1[[#This Row],[Provider Specialty Description]]), SPECIALTY_TYPE, 2, FALSE)</f>
        <v>2085</v>
      </c>
      <c r="M640" s="3" t="s">
        <v>19</v>
      </c>
      <c r="N640" s="27" t="s">
        <v>19</v>
      </c>
      <c r="O640" s="38">
        <f>VLOOKUP(TRIM(Table1[[#This Row],[Provider Specialty]]) &amp; TRIM(Table1[[#This Row],[Provider Specialty Description]]), SPECIALTY_TYPE, 2, FALSE)</f>
        <v>2085</v>
      </c>
      <c r="P640" s="3" t="str">
        <f>Table1[[#This Row],[Provider Type]] &amp; "+" &amp; Table1[[#This Row],[Provider Type Description]]</f>
        <v>31+Physician</v>
      </c>
      <c r="Q640" s="7" t="str">
        <f>Table1[[#This Row],[Provider Specialty]] &amp; "+" &amp; Table1[[#This Row],[Provider Specialty Description]]</f>
        <v>325+Neurological Surgeon</v>
      </c>
      <c r="R640" s="7" t="str">
        <f>Table1[[#This Row],[PDMS Specialty Type ID]] &amp; "+" &amp; Table1[[#This Row],[PDMS Provider Type ID]] &amp; "+" &amp;Table1[[#This Row],[TAXONOMY]]</f>
        <v>2085+114+207T00000X</v>
      </c>
      <c r="S6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(9619, 2085, 114, N'207T00000X', N'Neurological Surgery - Neurological Surgery')</v>
      </c>
    </row>
    <row r="641" spans="1:19" ht="47.25" hidden="1" customHeight="1" x14ac:dyDescent="0.25">
      <c r="A641" s="22" t="s">
        <v>1854</v>
      </c>
      <c r="B641" s="3" t="s">
        <v>988</v>
      </c>
      <c r="C641" s="3" t="s">
        <v>1165</v>
      </c>
      <c r="D641" s="3" t="s">
        <v>1165</v>
      </c>
      <c r="E641" s="3" t="s">
        <v>1166</v>
      </c>
      <c r="F641" s="3">
        <f>VLOOKUP(Table1[[#This Row],[Column2]], TAXONOMY_TYPE, 2, FALSE)</f>
        <v>9620</v>
      </c>
      <c r="G641" s="3">
        <v>32</v>
      </c>
      <c r="H641" s="3" t="s">
        <v>1444</v>
      </c>
      <c r="I641" s="3">
        <f>VLOOKUP(Table1[[#This Row],[Provider Type]] &amp; Table1[[#This Row],[Provider Type Description]], PROVIDER_TYPE, 2, FALSE)</f>
        <v>50</v>
      </c>
      <c r="J641" s="3">
        <v>325</v>
      </c>
      <c r="K641" s="3" t="s">
        <v>1167</v>
      </c>
      <c r="L641" s="3">
        <f>VLOOKUP(TRIM(Table1[[#This Row],[Provider Specialty]]) &amp; TRIM(Table1[[#This Row],[Provider Specialty Description]]), SPECIALTY_TYPE, 2, FALSE)</f>
        <v>2085</v>
      </c>
      <c r="M641" s="3" t="s">
        <v>18</v>
      </c>
      <c r="N641" s="27" t="s">
        <v>19</v>
      </c>
      <c r="O641" s="38">
        <f>VLOOKUP(TRIM(Table1[[#This Row],[Provider Specialty]]) &amp; TRIM(Table1[[#This Row],[Provider Specialty Description]]), SPECIALTY_TYPE, 2, FALSE)</f>
        <v>2085</v>
      </c>
      <c r="P641" s="3" t="str">
        <f>Table1[[#This Row],[Provider Type]] &amp; "+" &amp; Table1[[#This Row],[Provider Type Description]]</f>
        <v>32+Multi-Specialty</v>
      </c>
      <c r="Q641" s="7" t="str">
        <f>Table1[[#This Row],[Provider Specialty]] &amp; "+" &amp; Table1[[#This Row],[Provider Specialty Description]]</f>
        <v>325+Neurological Surgeon</v>
      </c>
      <c r="R641" s="7" t="str">
        <f>Table1[[#This Row],[PDMS Specialty Type ID]] &amp; "+" &amp; Table1[[#This Row],[PDMS Provider Type ID]] &amp; "+" &amp;Table1[[#This Row],[TAXONOMY]]</f>
        <v>2085+50+207T00000X</v>
      </c>
      <c r="S6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(9620, 2085, 50, N'207T00000X', N'Neurological Surgery - Neurological Surgery')</v>
      </c>
    </row>
    <row r="642" spans="1:19" ht="47.25" hidden="1" customHeight="1" x14ac:dyDescent="0.25">
      <c r="A642" s="22" t="s">
        <v>1854</v>
      </c>
      <c r="B642" s="3" t="s">
        <v>988</v>
      </c>
      <c r="C642" s="3" t="s">
        <v>1165</v>
      </c>
      <c r="D642" s="3" t="s">
        <v>1165</v>
      </c>
      <c r="E642" s="3" t="s">
        <v>1166</v>
      </c>
      <c r="F642" s="3">
        <f>VLOOKUP(Table1[[#This Row],[Column2]], TAXONOMY_TYPE, 2, FALSE)</f>
        <v>9621</v>
      </c>
      <c r="G642" s="3">
        <v>33</v>
      </c>
      <c r="H642" s="3" t="s">
        <v>1953</v>
      </c>
      <c r="I642" s="3">
        <f>VLOOKUP(Table1[[#This Row],[Provider Type]] &amp; Table1[[#This Row],[Provider Type Description]], PROVIDER_TYPE, 2, FALSE)</f>
        <v>51</v>
      </c>
      <c r="J642" s="3">
        <v>325</v>
      </c>
      <c r="K642" s="3" t="s">
        <v>1167</v>
      </c>
      <c r="L642" s="3">
        <f>VLOOKUP(TRIM(Table1[[#This Row],[Provider Specialty]]) &amp; TRIM(Table1[[#This Row],[Provider Specialty Description]]), SPECIALTY_TYPE, 2, FALSE)</f>
        <v>2085</v>
      </c>
      <c r="M642" s="3" t="s">
        <v>18</v>
      </c>
      <c r="N642" s="27" t="s">
        <v>19</v>
      </c>
      <c r="O642" s="38">
        <f>VLOOKUP(TRIM(Table1[[#This Row],[Provider Specialty]]) &amp; TRIM(Table1[[#This Row],[Provider Specialty Description]]), SPECIALTY_TYPE, 2, FALSE)</f>
        <v>2085</v>
      </c>
      <c r="P642" s="3" t="str">
        <f>Table1[[#This Row],[Provider Type]] &amp; "+" &amp; Table1[[#This Row],[Provider Type Description]]</f>
        <v>33+Single-Specialty</v>
      </c>
      <c r="Q642" s="7" t="str">
        <f>Table1[[#This Row],[Provider Specialty]] &amp; "+" &amp; Table1[[#This Row],[Provider Specialty Description]]</f>
        <v>325+Neurological Surgeon</v>
      </c>
      <c r="R642" s="7" t="str">
        <f>Table1[[#This Row],[PDMS Specialty Type ID]] &amp; "+" &amp; Table1[[#This Row],[PDMS Provider Type ID]] &amp; "+" &amp;Table1[[#This Row],[TAXONOMY]]</f>
        <v>2085+51+207T00000X</v>
      </c>
      <c r="S6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(9621, 2085, 51, N'207T00000X', N'Neurological Surgery - Neurological Surgery')</v>
      </c>
    </row>
    <row r="643" spans="1:19" ht="47.25" hidden="1" customHeight="1" x14ac:dyDescent="0.25">
      <c r="A643" s="22" t="s">
        <v>1855</v>
      </c>
      <c r="B643" s="3" t="s">
        <v>988</v>
      </c>
      <c r="C643" s="3" t="s">
        <v>1045</v>
      </c>
      <c r="D643" s="3" t="s">
        <v>1305</v>
      </c>
      <c r="E643" s="3" t="s">
        <v>1340</v>
      </c>
      <c r="F643" s="3">
        <f>VLOOKUP(Table1[[#This Row],[Column2]], TAXONOMY_TYPE, 2, FALSE)</f>
        <v>9622</v>
      </c>
      <c r="G643" s="3">
        <v>31</v>
      </c>
      <c r="H643" s="3" t="s">
        <v>991</v>
      </c>
      <c r="I643" s="3">
        <f>VLOOKUP(Table1[[#This Row],[Provider Type]] &amp; Table1[[#This Row],[Provider Type Description]], PROVIDER_TYPE, 2, FALSE)</f>
        <v>114</v>
      </c>
      <c r="J643" s="3">
        <v>326</v>
      </c>
      <c r="K643" s="3" t="s">
        <v>1341</v>
      </c>
      <c r="L643" s="3">
        <f>VLOOKUP(TRIM(Table1[[#This Row],[Provider Specialty]]) &amp; TRIM(Table1[[#This Row],[Provider Specialty Description]]), SPECIALTY_TYPE, 2, FALSE)</f>
        <v>2086</v>
      </c>
      <c r="M643" s="3" t="s">
        <v>19</v>
      </c>
      <c r="N643" s="27" t="s">
        <v>18</v>
      </c>
      <c r="O643" s="38">
        <f>VLOOKUP(TRIM(Table1[[#This Row],[Provider Specialty]]) &amp; TRIM(Table1[[#This Row],[Provider Specialty Description]]), SPECIALTY_TYPE, 2, FALSE)</f>
        <v>2086</v>
      </c>
      <c r="P643" s="3" t="str">
        <f>Table1[[#This Row],[Provider Type]] &amp; "+" &amp; Table1[[#This Row],[Provider Type Description]]</f>
        <v>31+Physician</v>
      </c>
      <c r="Q643" s="7" t="str">
        <f>Table1[[#This Row],[Provider Specialty]] &amp; "+" &amp; Table1[[#This Row],[Provider Specialty Description]]</f>
        <v>326+Neurologist</v>
      </c>
      <c r="R643" s="7" t="str">
        <f>Table1[[#This Row],[PDMS Specialty Type ID]] &amp; "+" &amp; Table1[[#This Row],[PDMS Provider Type ID]] &amp; "+" &amp;Table1[[#This Row],[TAXONOMY]]</f>
        <v>2086+114+2084N0008X</v>
      </c>
      <c r="S6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(9622, 2086, 114, N'2084N0008X', N'Psychiatry &amp; Neurology - - Neuromuscular Medicine****')</v>
      </c>
    </row>
    <row r="644" spans="1:19" ht="47.25" hidden="1" customHeight="1" x14ac:dyDescent="0.25">
      <c r="A644" s="22" t="s">
        <v>1854</v>
      </c>
      <c r="B644" s="3" t="s">
        <v>988</v>
      </c>
      <c r="C644" s="3" t="s">
        <v>1045</v>
      </c>
      <c r="D644" s="3" t="s">
        <v>1305</v>
      </c>
      <c r="E644" s="3" t="s">
        <v>1340</v>
      </c>
      <c r="F644" s="3">
        <f>VLOOKUP(Table1[[#This Row],[Column2]], TAXONOMY_TYPE, 2, FALSE)</f>
        <v>9623</v>
      </c>
      <c r="G644" s="3">
        <v>32</v>
      </c>
      <c r="H644" s="3" t="s">
        <v>1444</v>
      </c>
      <c r="I644" s="3">
        <f>VLOOKUP(Table1[[#This Row],[Provider Type]] &amp; Table1[[#This Row],[Provider Type Description]], PROVIDER_TYPE, 2, FALSE)</f>
        <v>50</v>
      </c>
      <c r="J644" s="3">
        <v>326</v>
      </c>
      <c r="K644" s="3" t="s">
        <v>1341</v>
      </c>
      <c r="L644" s="3">
        <f>VLOOKUP(TRIM(Table1[[#This Row],[Provider Specialty]]) &amp; TRIM(Table1[[#This Row],[Provider Specialty Description]]), SPECIALTY_TYPE, 2, FALSE)</f>
        <v>2086</v>
      </c>
      <c r="M644" s="3" t="s">
        <v>18</v>
      </c>
      <c r="N644" s="27" t="s">
        <v>19</v>
      </c>
      <c r="O644" s="38">
        <f>VLOOKUP(TRIM(Table1[[#This Row],[Provider Specialty]]) &amp; TRIM(Table1[[#This Row],[Provider Specialty Description]]), SPECIALTY_TYPE, 2, FALSE)</f>
        <v>2086</v>
      </c>
      <c r="P644" s="3" t="str">
        <f>Table1[[#This Row],[Provider Type]] &amp; "+" &amp; Table1[[#This Row],[Provider Type Description]]</f>
        <v>32+Multi-Specialty</v>
      </c>
      <c r="Q644" s="7" t="str">
        <f>Table1[[#This Row],[Provider Specialty]] &amp; "+" &amp; Table1[[#This Row],[Provider Specialty Description]]</f>
        <v>326+Neurologist</v>
      </c>
      <c r="R644" s="7" t="str">
        <f>Table1[[#This Row],[PDMS Specialty Type ID]] &amp; "+" &amp; Table1[[#This Row],[PDMS Provider Type ID]] &amp; "+" &amp;Table1[[#This Row],[TAXONOMY]]</f>
        <v>2086+50+2084N0008X</v>
      </c>
      <c r="S6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(9623, 2086, 50, N'2084N0008X', N'Psychiatry &amp; Neurology - - Neuromuscular Medicine****')</v>
      </c>
    </row>
    <row r="645" spans="1:19" ht="47.25" hidden="1" customHeight="1" x14ac:dyDescent="0.25">
      <c r="A645" s="22" t="s">
        <v>1854</v>
      </c>
      <c r="B645" s="3" t="s">
        <v>988</v>
      </c>
      <c r="C645" s="3" t="s">
        <v>1045</v>
      </c>
      <c r="D645" s="3" t="s">
        <v>1305</v>
      </c>
      <c r="E645" s="3" t="s">
        <v>1340</v>
      </c>
      <c r="F645" s="3">
        <f>VLOOKUP(Table1[[#This Row],[Column2]], TAXONOMY_TYPE, 2, FALSE)</f>
        <v>9624</v>
      </c>
      <c r="G645" s="3">
        <v>33</v>
      </c>
      <c r="H645" s="3" t="s">
        <v>1953</v>
      </c>
      <c r="I645" s="3">
        <f>VLOOKUP(Table1[[#This Row],[Provider Type]] &amp; Table1[[#This Row],[Provider Type Description]], PROVIDER_TYPE, 2, FALSE)</f>
        <v>51</v>
      </c>
      <c r="J645" s="3">
        <v>326</v>
      </c>
      <c r="K645" s="3" t="s">
        <v>1341</v>
      </c>
      <c r="L645" s="3">
        <f>VLOOKUP(TRIM(Table1[[#This Row],[Provider Specialty]]) &amp; TRIM(Table1[[#This Row],[Provider Specialty Description]]), SPECIALTY_TYPE, 2, FALSE)</f>
        <v>2086</v>
      </c>
      <c r="M645" s="3" t="s">
        <v>18</v>
      </c>
      <c r="N645" s="27" t="s">
        <v>19</v>
      </c>
      <c r="O645" s="38">
        <f>VLOOKUP(TRIM(Table1[[#This Row],[Provider Specialty]]) &amp; TRIM(Table1[[#This Row],[Provider Specialty Description]]), SPECIALTY_TYPE, 2, FALSE)</f>
        <v>2086</v>
      </c>
      <c r="P645" s="3" t="str">
        <f>Table1[[#This Row],[Provider Type]] &amp; "+" &amp; Table1[[#This Row],[Provider Type Description]]</f>
        <v>33+Single-Specialty</v>
      </c>
      <c r="Q645" s="7" t="str">
        <f>Table1[[#This Row],[Provider Specialty]] &amp; "+" &amp; Table1[[#This Row],[Provider Specialty Description]]</f>
        <v>326+Neurologist</v>
      </c>
      <c r="R645" s="7" t="str">
        <f>Table1[[#This Row],[PDMS Specialty Type ID]] &amp; "+" &amp; Table1[[#This Row],[PDMS Provider Type ID]] &amp; "+" &amp;Table1[[#This Row],[TAXONOMY]]</f>
        <v>2086+51+2084N0008X</v>
      </c>
      <c r="S6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(9624, 2086, 51, N'2084N0008X', N'Psychiatry &amp; Neurology - - Neuromuscular Medicine****')</v>
      </c>
    </row>
    <row r="646" spans="1:19" ht="47.25" hidden="1" customHeight="1" x14ac:dyDescent="0.25">
      <c r="A646" s="22" t="s">
        <v>1855</v>
      </c>
      <c r="B646" s="3" t="s">
        <v>988</v>
      </c>
      <c r="C646" s="3" t="s">
        <v>1045</v>
      </c>
      <c r="D646" s="3" t="s">
        <v>1342</v>
      </c>
      <c r="E646" s="3" t="s">
        <v>1343</v>
      </c>
      <c r="F646" s="3">
        <f>VLOOKUP(Table1[[#This Row],[Column2]], TAXONOMY_TYPE, 2, FALSE)</f>
        <v>9625</v>
      </c>
      <c r="G646" s="3">
        <v>31</v>
      </c>
      <c r="H646" s="3" t="s">
        <v>991</v>
      </c>
      <c r="I646" s="3">
        <f>VLOOKUP(Table1[[#This Row],[Provider Type]] &amp; Table1[[#This Row],[Provider Type Description]], PROVIDER_TYPE, 2, FALSE)</f>
        <v>114</v>
      </c>
      <c r="J646" s="3">
        <v>326</v>
      </c>
      <c r="K646" s="3" t="s">
        <v>1341</v>
      </c>
      <c r="L646" s="3">
        <f>VLOOKUP(TRIM(Table1[[#This Row],[Provider Specialty]]) &amp; TRIM(Table1[[#This Row],[Provider Specialty Description]]), SPECIALTY_TYPE, 2, FALSE)</f>
        <v>2086</v>
      </c>
      <c r="M646" s="3" t="s">
        <v>19</v>
      </c>
      <c r="N646" s="27" t="s">
        <v>19</v>
      </c>
      <c r="O646" s="38">
        <f>VLOOKUP(TRIM(Table1[[#This Row],[Provider Specialty]]) &amp; TRIM(Table1[[#This Row],[Provider Specialty Description]]), SPECIALTY_TYPE, 2, FALSE)</f>
        <v>2086</v>
      </c>
      <c r="P646" s="3" t="str">
        <f>Table1[[#This Row],[Provider Type]] &amp; "+" &amp; Table1[[#This Row],[Provider Type Description]]</f>
        <v>31+Physician</v>
      </c>
      <c r="Q646" s="7" t="str">
        <f>Table1[[#This Row],[Provider Specialty]] &amp; "+" &amp; Table1[[#This Row],[Provider Specialty Description]]</f>
        <v>326+Neurologist</v>
      </c>
      <c r="R646" s="7" t="str">
        <f>Table1[[#This Row],[PDMS Specialty Type ID]] &amp; "+" &amp; Table1[[#This Row],[PDMS Provider Type ID]] &amp; "+" &amp;Table1[[#This Row],[TAXONOMY]]</f>
        <v>2086+114+2084N0400X</v>
      </c>
      <c r="S6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(9625, 2086, 114, N'2084N0400X', N'Psychiatry &amp; Neurology - - Neurology#')</v>
      </c>
    </row>
    <row r="647" spans="1:19" ht="47.25" hidden="1" customHeight="1" x14ac:dyDescent="0.25">
      <c r="A647" s="22" t="s">
        <v>1854</v>
      </c>
      <c r="B647" s="3" t="s">
        <v>988</v>
      </c>
      <c r="C647" s="3" t="s">
        <v>1045</v>
      </c>
      <c r="D647" s="3" t="s">
        <v>1342</v>
      </c>
      <c r="E647" s="3" t="s">
        <v>1343</v>
      </c>
      <c r="F647" s="3">
        <f>VLOOKUP(Table1[[#This Row],[Column2]], TAXONOMY_TYPE, 2, FALSE)</f>
        <v>9626</v>
      </c>
      <c r="G647" s="3">
        <v>32</v>
      </c>
      <c r="H647" s="3" t="s">
        <v>1444</v>
      </c>
      <c r="I647" s="3">
        <f>VLOOKUP(Table1[[#This Row],[Provider Type]] &amp; Table1[[#This Row],[Provider Type Description]], PROVIDER_TYPE, 2, FALSE)</f>
        <v>50</v>
      </c>
      <c r="J647" s="3">
        <v>326</v>
      </c>
      <c r="K647" s="3" t="s">
        <v>1341</v>
      </c>
      <c r="L647" s="3">
        <f>VLOOKUP(TRIM(Table1[[#This Row],[Provider Specialty]]) &amp; TRIM(Table1[[#This Row],[Provider Specialty Description]]), SPECIALTY_TYPE, 2, FALSE)</f>
        <v>2086</v>
      </c>
      <c r="M647" s="3" t="s">
        <v>18</v>
      </c>
      <c r="N647" s="27" t="s">
        <v>19</v>
      </c>
      <c r="O647" s="38">
        <f>VLOOKUP(TRIM(Table1[[#This Row],[Provider Specialty]]) &amp; TRIM(Table1[[#This Row],[Provider Specialty Description]]), SPECIALTY_TYPE, 2, FALSE)</f>
        <v>2086</v>
      </c>
      <c r="P647" s="3" t="str">
        <f>Table1[[#This Row],[Provider Type]] &amp; "+" &amp; Table1[[#This Row],[Provider Type Description]]</f>
        <v>32+Multi-Specialty</v>
      </c>
      <c r="Q647" s="7" t="str">
        <f>Table1[[#This Row],[Provider Specialty]] &amp; "+" &amp; Table1[[#This Row],[Provider Specialty Description]]</f>
        <v>326+Neurologist</v>
      </c>
      <c r="R647" s="7" t="str">
        <f>Table1[[#This Row],[PDMS Specialty Type ID]] &amp; "+" &amp; Table1[[#This Row],[PDMS Provider Type ID]] &amp; "+" &amp;Table1[[#This Row],[TAXONOMY]]</f>
        <v>2086+50+2084N0400X</v>
      </c>
      <c r="S6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(9626, 2086, 50, N'2084N0400X', N'Psychiatry &amp; Neurology - - Neurology#')</v>
      </c>
    </row>
    <row r="648" spans="1:19" ht="47.25" hidden="1" customHeight="1" x14ac:dyDescent="0.25">
      <c r="A648" s="22" t="s">
        <v>1854</v>
      </c>
      <c r="B648" s="3" t="s">
        <v>988</v>
      </c>
      <c r="C648" s="3" t="s">
        <v>1045</v>
      </c>
      <c r="D648" s="3" t="s">
        <v>1342</v>
      </c>
      <c r="E648" s="3" t="s">
        <v>1343</v>
      </c>
      <c r="F648" s="3">
        <f>VLOOKUP(Table1[[#This Row],[Column2]], TAXONOMY_TYPE, 2, FALSE)</f>
        <v>9627</v>
      </c>
      <c r="G648" s="3">
        <v>33</v>
      </c>
      <c r="H648" s="3" t="s">
        <v>1953</v>
      </c>
      <c r="I648" s="3">
        <f>VLOOKUP(Table1[[#This Row],[Provider Type]] &amp; Table1[[#This Row],[Provider Type Description]], PROVIDER_TYPE, 2, FALSE)</f>
        <v>51</v>
      </c>
      <c r="J648" s="3">
        <v>326</v>
      </c>
      <c r="K648" s="3" t="s">
        <v>1341</v>
      </c>
      <c r="L648" s="3">
        <f>VLOOKUP(TRIM(Table1[[#This Row],[Provider Specialty]]) &amp; TRIM(Table1[[#This Row],[Provider Specialty Description]]), SPECIALTY_TYPE, 2, FALSE)</f>
        <v>2086</v>
      </c>
      <c r="M648" s="3" t="s">
        <v>18</v>
      </c>
      <c r="N648" s="27" t="s">
        <v>19</v>
      </c>
      <c r="O648" s="38">
        <f>VLOOKUP(TRIM(Table1[[#This Row],[Provider Specialty]]) &amp; TRIM(Table1[[#This Row],[Provider Specialty Description]]), SPECIALTY_TYPE, 2, FALSE)</f>
        <v>2086</v>
      </c>
      <c r="P648" s="3" t="str">
        <f>Table1[[#This Row],[Provider Type]] &amp; "+" &amp; Table1[[#This Row],[Provider Type Description]]</f>
        <v>33+Single-Specialty</v>
      </c>
      <c r="Q648" s="7" t="str">
        <f>Table1[[#This Row],[Provider Specialty]] &amp; "+" &amp; Table1[[#This Row],[Provider Specialty Description]]</f>
        <v>326+Neurologist</v>
      </c>
      <c r="R648" s="7" t="str">
        <f>Table1[[#This Row],[PDMS Specialty Type ID]] &amp; "+" &amp; Table1[[#This Row],[PDMS Provider Type ID]] &amp; "+" &amp;Table1[[#This Row],[TAXONOMY]]</f>
        <v>2086+51+2084N0400X</v>
      </c>
      <c r="S6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(9627, 2086, 51, N'2084N0400X', N'Psychiatry &amp; Neurology - - Neurology#')</v>
      </c>
    </row>
    <row r="649" spans="1:19" ht="47.25" hidden="1" customHeight="1" x14ac:dyDescent="0.25">
      <c r="A649" s="22" t="s">
        <v>1855</v>
      </c>
      <c r="B649" s="3" t="s">
        <v>988</v>
      </c>
      <c r="C649" s="3" t="s">
        <v>1045</v>
      </c>
      <c r="D649" s="3" t="s">
        <v>1344</v>
      </c>
      <c r="E649" s="3" t="s">
        <v>1345</v>
      </c>
      <c r="F649" s="3">
        <f>VLOOKUP(Table1[[#This Row],[Column2]], TAXONOMY_TYPE, 2, FALSE)</f>
        <v>9628</v>
      </c>
      <c r="G649" s="3">
        <v>31</v>
      </c>
      <c r="H649" s="3" t="s">
        <v>991</v>
      </c>
      <c r="I649" s="3">
        <f>VLOOKUP(Table1[[#This Row],[Provider Type]] &amp; Table1[[#This Row],[Provider Type Description]], PROVIDER_TYPE, 2, FALSE)</f>
        <v>114</v>
      </c>
      <c r="J649" s="3">
        <v>326</v>
      </c>
      <c r="K649" s="3" t="s">
        <v>1341</v>
      </c>
      <c r="L649" s="3">
        <f>VLOOKUP(TRIM(Table1[[#This Row],[Provider Specialty]]) &amp; TRIM(Table1[[#This Row],[Provider Specialty Description]]), SPECIALTY_TYPE, 2, FALSE)</f>
        <v>2086</v>
      </c>
      <c r="M649" s="3" t="s">
        <v>19</v>
      </c>
      <c r="N649" s="27" t="s">
        <v>19</v>
      </c>
      <c r="O649" s="38">
        <f>VLOOKUP(TRIM(Table1[[#This Row],[Provider Specialty]]) &amp; TRIM(Table1[[#This Row],[Provider Specialty Description]]), SPECIALTY_TYPE, 2, FALSE)</f>
        <v>2086</v>
      </c>
      <c r="P649" s="3" t="str">
        <f>Table1[[#This Row],[Provider Type]] &amp; "+" &amp; Table1[[#This Row],[Provider Type Description]]</f>
        <v>31+Physician</v>
      </c>
      <c r="Q649" s="7" t="str">
        <f>Table1[[#This Row],[Provider Specialty]] &amp; "+" &amp; Table1[[#This Row],[Provider Specialty Description]]</f>
        <v>326+Neurologist</v>
      </c>
      <c r="R649" s="7" t="str">
        <f>Table1[[#This Row],[PDMS Specialty Type ID]] &amp; "+" &amp; Table1[[#This Row],[PDMS Provider Type ID]] &amp; "+" &amp;Table1[[#This Row],[TAXONOMY]]</f>
        <v>2086+114+2084N0402X</v>
      </c>
      <c r="S6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(9628, 2086, 114, N'2084N0402X', N'Psychiatry &amp; Neurology - - Neurology with Special Qualifications in Child Neurology#')</v>
      </c>
    </row>
    <row r="650" spans="1:19" ht="47.25" hidden="1" customHeight="1" x14ac:dyDescent="0.25">
      <c r="A650" s="22" t="s">
        <v>1854</v>
      </c>
      <c r="B650" s="3" t="s">
        <v>988</v>
      </c>
      <c r="C650" s="3" t="s">
        <v>1045</v>
      </c>
      <c r="D650" s="3" t="s">
        <v>1344</v>
      </c>
      <c r="E650" s="3" t="s">
        <v>1345</v>
      </c>
      <c r="F650" s="3">
        <f>VLOOKUP(Table1[[#This Row],[Column2]], TAXONOMY_TYPE, 2, FALSE)</f>
        <v>9629</v>
      </c>
      <c r="G650" s="3">
        <v>32</v>
      </c>
      <c r="H650" s="3" t="s">
        <v>1444</v>
      </c>
      <c r="I650" s="3">
        <f>VLOOKUP(Table1[[#This Row],[Provider Type]] &amp; Table1[[#This Row],[Provider Type Description]], PROVIDER_TYPE, 2, FALSE)</f>
        <v>50</v>
      </c>
      <c r="J650" s="3">
        <v>326</v>
      </c>
      <c r="K650" s="3" t="s">
        <v>1341</v>
      </c>
      <c r="L650" s="3">
        <f>VLOOKUP(TRIM(Table1[[#This Row],[Provider Specialty]]) &amp; TRIM(Table1[[#This Row],[Provider Specialty Description]]), SPECIALTY_TYPE, 2, FALSE)</f>
        <v>2086</v>
      </c>
      <c r="M650" s="3" t="s">
        <v>18</v>
      </c>
      <c r="N650" s="27" t="s">
        <v>19</v>
      </c>
      <c r="O650" s="38">
        <f>VLOOKUP(TRIM(Table1[[#This Row],[Provider Specialty]]) &amp; TRIM(Table1[[#This Row],[Provider Specialty Description]]), SPECIALTY_TYPE, 2, FALSE)</f>
        <v>2086</v>
      </c>
      <c r="P650" s="3" t="str">
        <f>Table1[[#This Row],[Provider Type]] &amp; "+" &amp; Table1[[#This Row],[Provider Type Description]]</f>
        <v>32+Multi-Specialty</v>
      </c>
      <c r="Q650" s="7" t="str">
        <f>Table1[[#This Row],[Provider Specialty]] &amp; "+" &amp; Table1[[#This Row],[Provider Specialty Description]]</f>
        <v>326+Neurologist</v>
      </c>
      <c r="R650" s="7" t="str">
        <f>Table1[[#This Row],[PDMS Specialty Type ID]] &amp; "+" &amp; Table1[[#This Row],[PDMS Provider Type ID]] &amp; "+" &amp;Table1[[#This Row],[TAXONOMY]]</f>
        <v>2086+50+2084N0402X</v>
      </c>
      <c r="S6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(9629, 2086, 50, N'2084N0402X', N'Psychiatry &amp; Neurology - - Neurology with Special Qualifications in Child Neurology#')</v>
      </c>
    </row>
    <row r="651" spans="1:19" ht="47.25" hidden="1" customHeight="1" x14ac:dyDescent="0.25">
      <c r="A651" s="22" t="s">
        <v>1854</v>
      </c>
      <c r="B651" s="3" t="s">
        <v>988</v>
      </c>
      <c r="C651" s="3" t="s">
        <v>1045</v>
      </c>
      <c r="D651" s="3" t="s">
        <v>1344</v>
      </c>
      <c r="E651" s="3" t="s">
        <v>1345</v>
      </c>
      <c r="F651" s="3">
        <f>VLOOKUP(Table1[[#This Row],[Column2]], TAXONOMY_TYPE, 2, FALSE)</f>
        <v>9630</v>
      </c>
      <c r="G651" s="3">
        <v>33</v>
      </c>
      <c r="H651" s="3" t="s">
        <v>1953</v>
      </c>
      <c r="I651" s="3">
        <f>VLOOKUP(Table1[[#This Row],[Provider Type]] &amp; Table1[[#This Row],[Provider Type Description]], PROVIDER_TYPE, 2, FALSE)</f>
        <v>51</v>
      </c>
      <c r="J651" s="3">
        <v>326</v>
      </c>
      <c r="K651" s="3" t="s">
        <v>1341</v>
      </c>
      <c r="L651" s="3">
        <f>VLOOKUP(TRIM(Table1[[#This Row],[Provider Specialty]]) &amp; TRIM(Table1[[#This Row],[Provider Specialty Description]]), SPECIALTY_TYPE, 2, FALSE)</f>
        <v>2086</v>
      </c>
      <c r="M651" s="3" t="s">
        <v>18</v>
      </c>
      <c r="N651" s="27" t="s">
        <v>19</v>
      </c>
      <c r="O651" s="38">
        <f>VLOOKUP(TRIM(Table1[[#This Row],[Provider Specialty]]) &amp; TRIM(Table1[[#This Row],[Provider Specialty Description]]), SPECIALTY_TYPE, 2, FALSE)</f>
        <v>2086</v>
      </c>
      <c r="P651" s="3" t="str">
        <f>Table1[[#This Row],[Provider Type]] &amp; "+" &amp; Table1[[#This Row],[Provider Type Description]]</f>
        <v>33+Single-Specialty</v>
      </c>
      <c r="Q651" s="7" t="str">
        <f>Table1[[#This Row],[Provider Specialty]] &amp; "+" &amp; Table1[[#This Row],[Provider Specialty Description]]</f>
        <v>326+Neurologist</v>
      </c>
      <c r="R651" s="7" t="str">
        <f>Table1[[#This Row],[PDMS Specialty Type ID]] &amp; "+" &amp; Table1[[#This Row],[PDMS Provider Type ID]] &amp; "+" &amp;Table1[[#This Row],[TAXONOMY]]</f>
        <v>2086+51+2084N0402X</v>
      </c>
      <c r="S6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(9630, 2086, 51, N'2084N0402X', N'Psychiatry &amp; Neurology - - Neurology with Special Qualifications in Child Neurology#')</v>
      </c>
    </row>
    <row r="652" spans="1:19" ht="47.25" hidden="1" customHeight="1" x14ac:dyDescent="0.25">
      <c r="A652" s="22" t="s">
        <v>1855</v>
      </c>
      <c r="B652" s="3" t="s">
        <v>988</v>
      </c>
      <c r="C652" s="3" t="s">
        <v>1045</v>
      </c>
      <c r="D652" s="3" t="s">
        <v>1346</v>
      </c>
      <c r="E652" s="3" t="s">
        <v>1347</v>
      </c>
      <c r="F652" s="3">
        <f>VLOOKUP(Table1[[#This Row],[Column2]], TAXONOMY_TYPE, 2, FALSE)</f>
        <v>9631</v>
      </c>
      <c r="G652" s="3">
        <v>31</v>
      </c>
      <c r="H652" s="3" t="s">
        <v>991</v>
      </c>
      <c r="I652" s="3">
        <f>VLOOKUP(Table1[[#This Row],[Provider Type]] &amp; Table1[[#This Row],[Provider Type Description]], PROVIDER_TYPE, 2, FALSE)</f>
        <v>114</v>
      </c>
      <c r="J652" s="3">
        <v>326</v>
      </c>
      <c r="K652" s="3" t="s">
        <v>1341</v>
      </c>
      <c r="L652" s="3">
        <f>VLOOKUP(TRIM(Table1[[#This Row],[Provider Specialty]]) &amp; TRIM(Table1[[#This Row],[Provider Specialty Description]]), SPECIALTY_TYPE, 2, FALSE)</f>
        <v>2086</v>
      </c>
      <c r="M652" s="3" t="s">
        <v>19</v>
      </c>
      <c r="N652" s="27" t="s">
        <v>19</v>
      </c>
      <c r="O652" s="38">
        <f>VLOOKUP(TRIM(Table1[[#This Row],[Provider Specialty]]) &amp; TRIM(Table1[[#This Row],[Provider Specialty Description]]), SPECIALTY_TYPE, 2, FALSE)</f>
        <v>2086</v>
      </c>
      <c r="P652" s="3" t="str">
        <f>Table1[[#This Row],[Provider Type]] &amp; "+" &amp; Table1[[#This Row],[Provider Type Description]]</f>
        <v>31+Physician</v>
      </c>
      <c r="Q652" s="7" t="str">
        <f>Table1[[#This Row],[Provider Specialty]] &amp; "+" &amp; Table1[[#This Row],[Provider Specialty Description]]</f>
        <v>326+Neurologist</v>
      </c>
      <c r="R652" s="7" t="str">
        <f>Table1[[#This Row],[PDMS Specialty Type ID]] &amp; "+" &amp; Table1[[#This Row],[PDMS Provider Type ID]] &amp; "+" &amp;Table1[[#This Row],[TAXONOMY]]</f>
        <v>2086+114+2084N0600X</v>
      </c>
      <c r="S6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(9631, 2086, 114, N'2084N0600X', N'Psychiatry &amp; Neurology - - Clinical Neurophysiology#')</v>
      </c>
    </row>
    <row r="653" spans="1:19" ht="47.25" hidden="1" customHeight="1" x14ac:dyDescent="0.25">
      <c r="A653" s="22" t="s">
        <v>1854</v>
      </c>
      <c r="B653" s="3" t="s">
        <v>988</v>
      </c>
      <c r="C653" s="3" t="s">
        <v>1045</v>
      </c>
      <c r="D653" s="3" t="s">
        <v>1346</v>
      </c>
      <c r="E653" s="3" t="s">
        <v>1347</v>
      </c>
      <c r="F653" s="3">
        <f>VLOOKUP(Table1[[#This Row],[Column2]], TAXONOMY_TYPE, 2, FALSE)</f>
        <v>9632</v>
      </c>
      <c r="G653" s="3">
        <v>32</v>
      </c>
      <c r="H653" s="3" t="s">
        <v>1444</v>
      </c>
      <c r="I653" s="3">
        <f>VLOOKUP(Table1[[#This Row],[Provider Type]] &amp; Table1[[#This Row],[Provider Type Description]], PROVIDER_TYPE, 2, FALSE)</f>
        <v>50</v>
      </c>
      <c r="J653" s="3">
        <v>326</v>
      </c>
      <c r="K653" s="3" t="s">
        <v>1341</v>
      </c>
      <c r="L653" s="3">
        <f>VLOOKUP(TRIM(Table1[[#This Row],[Provider Specialty]]) &amp; TRIM(Table1[[#This Row],[Provider Specialty Description]]), SPECIALTY_TYPE, 2, FALSE)</f>
        <v>2086</v>
      </c>
      <c r="M653" s="3" t="s">
        <v>18</v>
      </c>
      <c r="N653" s="27" t="s">
        <v>19</v>
      </c>
      <c r="O653" s="38">
        <f>VLOOKUP(TRIM(Table1[[#This Row],[Provider Specialty]]) &amp; TRIM(Table1[[#This Row],[Provider Specialty Description]]), SPECIALTY_TYPE, 2, FALSE)</f>
        <v>2086</v>
      </c>
      <c r="P653" s="3" t="str">
        <f>Table1[[#This Row],[Provider Type]] &amp; "+" &amp; Table1[[#This Row],[Provider Type Description]]</f>
        <v>32+Multi-Specialty</v>
      </c>
      <c r="Q653" s="7" t="str">
        <f>Table1[[#This Row],[Provider Specialty]] &amp; "+" &amp; Table1[[#This Row],[Provider Specialty Description]]</f>
        <v>326+Neurologist</v>
      </c>
      <c r="R653" s="7" t="str">
        <f>Table1[[#This Row],[PDMS Specialty Type ID]] &amp; "+" &amp; Table1[[#This Row],[PDMS Provider Type ID]] &amp; "+" &amp;Table1[[#This Row],[TAXONOMY]]</f>
        <v>2086+50+2084N0600X</v>
      </c>
      <c r="S6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(9632, 2086, 50, N'2084N0600X', N'Psychiatry &amp; Neurology - - Clinical Neurophysiology#')</v>
      </c>
    </row>
    <row r="654" spans="1:19" ht="47.25" hidden="1" customHeight="1" x14ac:dyDescent="0.25">
      <c r="A654" s="22" t="s">
        <v>1854</v>
      </c>
      <c r="B654" s="3" t="s">
        <v>988</v>
      </c>
      <c r="C654" s="3" t="s">
        <v>1045</v>
      </c>
      <c r="D654" s="3" t="s">
        <v>1346</v>
      </c>
      <c r="E654" s="3" t="s">
        <v>1347</v>
      </c>
      <c r="F654" s="3">
        <f>VLOOKUP(Table1[[#This Row],[Column2]], TAXONOMY_TYPE, 2, FALSE)</f>
        <v>9633</v>
      </c>
      <c r="G654" s="3">
        <v>33</v>
      </c>
      <c r="H654" s="3" t="s">
        <v>1953</v>
      </c>
      <c r="I654" s="3">
        <f>VLOOKUP(Table1[[#This Row],[Provider Type]] &amp; Table1[[#This Row],[Provider Type Description]], PROVIDER_TYPE, 2, FALSE)</f>
        <v>51</v>
      </c>
      <c r="J654" s="3">
        <v>326</v>
      </c>
      <c r="K654" s="3" t="s">
        <v>1341</v>
      </c>
      <c r="L654" s="3">
        <f>VLOOKUP(TRIM(Table1[[#This Row],[Provider Specialty]]) &amp; TRIM(Table1[[#This Row],[Provider Specialty Description]]), SPECIALTY_TYPE, 2, FALSE)</f>
        <v>2086</v>
      </c>
      <c r="M654" s="3" t="s">
        <v>18</v>
      </c>
      <c r="N654" s="27" t="s">
        <v>19</v>
      </c>
      <c r="O654" s="38">
        <f>VLOOKUP(TRIM(Table1[[#This Row],[Provider Specialty]]) &amp; TRIM(Table1[[#This Row],[Provider Specialty Description]]), SPECIALTY_TYPE, 2, FALSE)</f>
        <v>2086</v>
      </c>
      <c r="P654" s="3" t="str">
        <f>Table1[[#This Row],[Provider Type]] &amp; "+" &amp; Table1[[#This Row],[Provider Type Description]]</f>
        <v>33+Single-Specialty</v>
      </c>
      <c r="Q654" s="7" t="str">
        <f>Table1[[#This Row],[Provider Specialty]] &amp; "+" &amp; Table1[[#This Row],[Provider Specialty Description]]</f>
        <v>326+Neurologist</v>
      </c>
      <c r="R654" s="7" t="str">
        <f>Table1[[#This Row],[PDMS Specialty Type ID]] &amp; "+" &amp; Table1[[#This Row],[PDMS Provider Type ID]] &amp; "+" &amp;Table1[[#This Row],[TAXONOMY]]</f>
        <v>2086+51+2084N0600X</v>
      </c>
      <c r="S6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(9633, 2086, 51, N'2084N0600X', N'Psychiatry &amp; Neurology - - Clinical Neurophysiology#')</v>
      </c>
    </row>
    <row r="655" spans="1:19" ht="47.25" hidden="1" customHeight="1" x14ac:dyDescent="0.25">
      <c r="A655" s="22" t="s">
        <v>1855</v>
      </c>
      <c r="B655" s="3" t="s">
        <v>988</v>
      </c>
      <c r="C655" s="3" t="s">
        <v>1045</v>
      </c>
      <c r="D655" s="3" t="s">
        <v>1272</v>
      </c>
      <c r="E655" s="3" t="s">
        <v>1348</v>
      </c>
      <c r="F655" s="3">
        <f>VLOOKUP(Table1[[#This Row],[Column2]], TAXONOMY_TYPE, 2, FALSE)</f>
        <v>9634</v>
      </c>
      <c r="G655" s="3">
        <v>31</v>
      </c>
      <c r="H655" s="3" t="s">
        <v>991</v>
      </c>
      <c r="I655" s="3">
        <f>VLOOKUP(Table1[[#This Row],[Provider Type]] &amp; Table1[[#This Row],[Provider Type Description]], PROVIDER_TYPE, 2, FALSE)</f>
        <v>114</v>
      </c>
      <c r="J655" s="3">
        <v>326</v>
      </c>
      <c r="K655" s="3" t="s">
        <v>1341</v>
      </c>
      <c r="L655" s="3">
        <f>VLOOKUP(TRIM(Table1[[#This Row],[Provider Specialty]]) &amp; TRIM(Table1[[#This Row],[Provider Specialty Description]]), SPECIALTY_TYPE, 2, FALSE)</f>
        <v>2086</v>
      </c>
      <c r="M655" s="3" t="s">
        <v>19</v>
      </c>
      <c r="N655" s="27" t="s">
        <v>19</v>
      </c>
      <c r="O655" s="38">
        <f>VLOOKUP(TRIM(Table1[[#This Row],[Provider Specialty]]) &amp; TRIM(Table1[[#This Row],[Provider Specialty Description]]), SPECIALTY_TYPE, 2, FALSE)</f>
        <v>2086</v>
      </c>
      <c r="P655" s="3" t="str">
        <f>Table1[[#This Row],[Provider Type]] &amp; "+" &amp; Table1[[#This Row],[Provider Type Description]]</f>
        <v>31+Physician</v>
      </c>
      <c r="Q655" s="7" t="str">
        <f>Table1[[#This Row],[Provider Specialty]] &amp; "+" &amp; Table1[[#This Row],[Provider Specialty Description]]</f>
        <v>326+Neurologist</v>
      </c>
      <c r="R655" s="7" t="str">
        <f>Table1[[#This Row],[PDMS Specialty Type ID]] &amp; "+" &amp; Table1[[#This Row],[PDMS Provider Type ID]] &amp; "+" &amp;Table1[[#This Row],[TAXONOMY]]</f>
        <v>2086+114+2084P0005X</v>
      </c>
      <c r="S6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(9634, 2086, 114, N'2084P0005X', N'Psychiatry &amp; Neurology - - Neurodevelopmental Disabilities')</v>
      </c>
    </row>
    <row r="656" spans="1:19" ht="47.25" hidden="1" customHeight="1" x14ac:dyDescent="0.25">
      <c r="A656" s="22" t="s">
        <v>1854</v>
      </c>
      <c r="B656" s="3" t="s">
        <v>988</v>
      </c>
      <c r="C656" s="3" t="s">
        <v>1045</v>
      </c>
      <c r="D656" s="3" t="s">
        <v>1272</v>
      </c>
      <c r="E656" s="3" t="s">
        <v>1348</v>
      </c>
      <c r="F656" s="3">
        <f>VLOOKUP(Table1[[#This Row],[Column2]], TAXONOMY_TYPE, 2, FALSE)</f>
        <v>9635</v>
      </c>
      <c r="G656" s="3">
        <v>32</v>
      </c>
      <c r="H656" s="3" t="s">
        <v>1444</v>
      </c>
      <c r="I656" s="3">
        <f>VLOOKUP(Table1[[#This Row],[Provider Type]] &amp; Table1[[#This Row],[Provider Type Description]], PROVIDER_TYPE, 2, FALSE)</f>
        <v>50</v>
      </c>
      <c r="J656" s="3">
        <v>326</v>
      </c>
      <c r="K656" s="3" t="s">
        <v>1341</v>
      </c>
      <c r="L656" s="3">
        <f>VLOOKUP(TRIM(Table1[[#This Row],[Provider Specialty]]) &amp; TRIM(Table1[[#This Row],[Provider Specialty Description]]), SPECIALTY_TYPE, 2, FALSE)</f>
        <v>2086</v>
      </c>
      <c r="M656" s="3" t="s">
        <v>18</v>
      </c>
      <c r="N656" s="27" t="s">
        <v>19</v>
      </c>
      <c r="O656" s="38">
        <f>VLOOKUP(TRIM(Table1[[#This Row],[Provider Specialty]]) &amp; TRIM(Table1[[#This Row],[Provider Specialty Description]]), SPECIALTY_TYPE, 2, FALSE)</f>
        <v>2086</v>
      </c>
      <c r="P656" s="3" t="str">
        <f>Table1[[#This Row],[Provider Type]] &amp; "+" &amp; Table1[[#This Row],[Provider Type Description]]</f>
        <v>32+Multi-Specialty</v>
      </c>
      <c r="Q656" s="7" t="str">
        <f>Table1[[#This Row],[Provider Specialty]] &amp; "+" &amp; Table1[[#This Row],[Provider Specialty Description]]</f>
        <v>326+Neurologist</v>
      </c>
      <c r="R656" s="7" t="str">
        <f>Table1[[#This Row],[PDMS Specialty Type ID]] &amp; "+" &amp; Table1[[#This Row],[PDMS Provider Type ID]] &amp; "+" &amp;Table1[[#This Row],[TAXONOMY]]</f>
        <v>2086+50+2084P0005X</v>
      </c>
      <c r="S6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(9635, 2086, 50, N'2084P0005X', N'Psychiatry &amp; Neurology - - Neurodevelopmental Disabilities')</v>
      </c>
    </row>
    <row r="657" spans="1:19" ht="47.25" hidden="1" customHeight="1" x14ac:dyDescent="0.25">
      <c r="A657" s="22" t="s">
        <v>1854</v>
      </c>
      <c r="B657" s="3" t="s">
        <v>988</v>
      </c>
      <c r="C657" s="3" t="s">
        <v>1045</v>
      </c>
      <c r="D657" s="3" t="s">
        <v>1272</v>
      </c>
      <c r="E657" s="3" t="s">
        <v>1348</v>
      </c>
      <c r="F657" s="3">
        <f>VLOOKUP(Table1[[#This Row],[Column2]], TAXONOMY_TYPE, 2, FALSE)</f>
        <v>9636</v>
      </c>
      <c r="G657" s="3">
        <v>33</v>
      </c>
      <c r="H657" s="3" t="s">
        <v>1953</v>
      </c>
      <c r="I657" s="3">
        <f>VLOOKUP(Table1[[#This Row],[Provider Type]] &amp; Table1[[#This Row],[Provider Type Description]], PROVIDER_TYPE, 2, FALSE)</f>
        <v>51</v>
      </c>
      <c r="J657" s="3">
        <v>326</v>
      </c>
      <c r="K657" s="3" t="s">
        <v>1341</v>
      </c>
      <c r="L657" s="3">
        <f>VLOOKUP(TRIM(Table1[[#This Row],[Provider Specialty]]) &amp; TRIM(Table1[[#This Row],[Provider Specialty Description]]), SPECIALTY_TYPE, 2, FALSE)</f>
        <v>2086</v>
      </c>
      <c r="M657" s="3" t="s">
        <v>18</v>
      </c>
      <c r="N657" s="27" t="s">
        <v>19</v>
      </c>
      <c r="O657" s="38">
        <f>VLOOKUP(TRIM(Table1[[#This Row],[Provider Specialty]]) &amp; TRIM(Table1[[#This Row],[Provider Specialty Description]]), SPECIALTY_TYPE, 2, FALSE)</f>
        <v>2086</v>
      </c>
      <c r="P657" s="3" t="str">
        <f>Table1[[#This Row],[Provider Type]] &amp; "+" &amp; Table1[[#This Row],[Provider Type Description]]</f>
        <v>33+Single-Specialty</v>
      </c>
      <c r="Q657" s="7" t="str">
        <f>Table1[[#This Row],[Provider Specialty]] &amp; "+" &amp; Table1[[#This Row],[Provider Specialty Description]]</f>
        <v>326+Neurologist</v>
      </c>
      <c r="R657" s="7" t="str">
        <f>Table1[[#This Row],[PDMS Specialty Type ID]] &amp; "+" &amp; Table1[[#This Row],[PDMS Provider Type ID]] &amp; "+" &amp;Table1[[#This Row],[TAXONOMY]]</f>
        <v>2086+51+2084P0005X</v>
      </c>
      <c r="S6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(9636, 2086, 51, N'2084P0005X', N'Psychiatry &amp; Neurology - - Neurodevelopmental Disabilities')</v>
      </c>
    </row>
    <row r="658" spans="1:19" ht="47.25" hidden="1" customHeight="1" x14ac:dyDescent="0.25">
      <c r="A658" s="22" t="s">
        <v>1855</v>
      </c>
      <c r="B658" s="3" t="s">
        <v>988</v>
      </c>
      <c r="C658" s="3" t="s">
        <v>1045</v>
      </c>
      <c r="D658" s="3" t="s">
        <v>1349</v>
      </c>
      <c r="E658" s="3" t="s">
        <v>1350</v>
      </c>
      <c r="F658" s="3">
        <f>VLOOKUP(Table1[[#This Row],[Column2]], TAXONOMY_TYPE, 2, FALSE)</f>
        <v>9637</v>
      </c>
      <c r="G658" s="3">
        <v>31</v>
      </c>
      <c r="H658" s="3" t="s">
        <v>991</v>
      </c>
      <c r="I658" s="3">
        <f>VLOOKUP(Table1[[#This Row],[Provider Type]] &amp; Table1[[#This Row],[Provider Type Description]], PROVIDER_TYPE, 2, FALSE)</f>
        <v>114</v>
      </c>
      <c r="J658" s="3">
        <v>326</v>
      </c>
      <c r="K658" s="3" t="s">
        <v>1341</v>
      </c>
      <c r="L658" s="3">
        <f>VLOOKUP(TRIM(Table1[[#This Row],[Provider Specialty]]) &amp; TRIM(Table1[[#This Row],[Provider Specialty Description]]), SPECIALTY_TYPE, 2, FALSE)</f>
        <v>2086</v>
      </c>
      <c r="M658" s="3" t="s">
        <v>19</v>
      </c>
      <c r="N658" s="27" t="s">
        <v>19</v>
      </c>
      <c r="O658" s="38">
        <f>VLOOKUP(TRIM(Table1[[#This Row],[Provider Specialty]]) &amp; TRIM(Table1[[#This Row],[Provider Specialty Description]]), SPECIALTY_TYPE, 2, FALSE)</f>
        <v>2086</v>
      </c>
      <c r="P658" s="3" t="str">
        <f>Table1[[#This Row],[Provider Type]] &amp; "+" &amp; Table1[[#This Row],[Provider Type Description]]</f>
        <v>31+Physician</v>
      </c>
      <c r="Q658" s="7" t="str">
        <f>Table1[[#This Row],[Provider Specialty]] &amp; "+" &amp; Table1[[#This Row],[Provider Specialty Description]]</f>
        <v>326+Neurologist</v>
      </c>
      <c r="R658" s="7" t="str">
        <f>Table1[[#This Row],[PDMS Specialty Type ID]] &amp; "+" &amp; Table1[[#This Row],[PDMS Provider Type ID]] &amp; "+" &amp;Table1[[#This Row],[TAXONOMY]]</f>
        <v>2086+114+2084P0015X</v>
      </c>
      <c r="S6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(9637, 2086, 114, N'2084P0015X', N'Psychiatry &amp; Neurology - - Psychosomatic Medicine**')</v>
      </c>
    </row>
    <row r="659" spans="1:19" ht="47.25" hidden="1" customHeight="1" x14ac:dyDescent="0.25">
      <c r="A659" s="22" t="s">
        <v>1854</v>
      </c>
      <c r="B659" s="3" t="s">
        <v>988</v>
      </c>
      <c r="C659" s="3" t="s">
        <v>1045</v>
      </c>
      <c r="D659" s="3" t="s">
        <v>1349</v>
      </c>
      <c r="E659" s="3" t="s">
        <v>1350</v>
      </c>
      <c r="F659" s="3">
        <f>VLOOKUP(Table1[[#This Row],[Column2]], TAXONOMY_TYPE, 2, FALSE)</f>
        <v>9638</v>
      </c>
      <c r="G659" s="3">
        <v>32</v>
      </c>
      <c r="H659" s="3" t="s">
        <v>1444</v>
      </c>
      <c r="I659" s="3">
        <f>VLOOKUP(Table1[[#This Row],[Provider Type]] &amp; Table1[[#This Row],[Provider Type Description]], PROVIDER_TYPE, 2, FALSE)</f>
        <v>50</v>
      </c>
      <c r="J659" s="3">
        <v>326</v>
      </c>
      <c r="K659" s="3" t="s">
        <v>1341</v>
      </c>
      <c r="L659" s="3">
        <f>VLOOKUP(TRIM(Table1[[#This Row],[Provider Specialty]]) &amp; TRIM(Table1[[#This Row],[Provider Specialty Description]]), SPECIALTY_TYPE, 2, FALSE)</f>
        <v>2086</v>
      </c>
      <c r="M659" s="3" t="s">
        <v>18</v>
      </c>
      <c r="N659" s="27" t="s">
        <v>19</v>
      </c>
      <c r="O659" s="38">
        <f>VLOOKUP(TRIM(Table1[[#This Row],[Provider Specialty]]) &amp; TRIM(Table1[[#This Row],[Provider Specialty Description]]), SPECIALTY_TYPE, 2, FALSE)</f>
        <v>2086</v>
      </c>
      <c r="P659" s="3" t="str">
        <f>Table1[[#This Row],[Provider Type]] &amp; "+" &amp; Table1[[#This Row],[Provider Type Description]]</f>
        <v>32+Multi-Specialty</v>
      </c>
      <c r="Q659" s="7" t="str">
        <f>Table1[[#This Row],[Provider Specialty]] &amp; "+" &amp; Table1[[#This Row],[Provider Specialty Description]]</f>
        <v>326+Neurologist</v>
      </c>
      <c r="R659" s="7" t="str">
        <f>Table1[[#This Row],[PDMS Specialty Type ID]] &amp; "+" &amp; Table1[[#This Row],[PDMS Provider Type ID]] &amp; "+" &amp;Table1[[#This Row],[TAXONOMY]]</f>
        <v>2086+50+2084P0015X</v>
      </c>
      <c r="S6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(9638, 2086, 50, N'2084P0015X', N'Psychiatry &amp; Neurology - - Psychosomatic Medicine**')</v>
      </c>
    </row>
    <row r="660" spans="1:19" ht="47.25" hidden="1" customHeight="1" x14ac:dyDescent="0.25">
      <c r="A660" s="22" t="s">
        <v>1854</v>
      </c>
      <c r="B660" s="3" t="s">
        <v>988</v>
      </c>
      <c r="C660" s="3" t="s">
        <v>1045</v>
      </c>
      <c r="D660" s="3" t="s">
        <v>1349</v>
      </c>
      <c r="E660" s="3" t="s">
        <v>1350</v>
      </c>
      <c r="F660" s="3">
        <f>VLOOKUP(Table1[[#This Row],[Column2]], TAXONOMY_TYPE, 2, FALSE)</f>
        <v>9639</v>
      </c>
      <c r="G660" s="3">
        <v>33</v>
      </c>
      <c r="H660" s="3" t="s">
        <v>1953</v>
      </c>
      <c r="I660" s="3">
        <f>VLOOKUP(Table1[[#This Row],[Provider Type]] &amp; Table1[[#This Row],[Provider Type Description]], PROVIDER_TYPE, 2, FALSE)</f>
        <v>51</v>
      </c>
      <c r="J660" s="3">
        <v>326</v>
      </c>
      <c r="K660" s="3" t="s">
        <v>1341</v>
      </c>
      <c r="L660" s="3">
        <f>VLOOKUP(TRIM(Table1[[#This Row],[Provider Specialty]]) &amp; TRIM(Table1[[#This Row],[Provider Specialty Description]]), SPECIALTY_TYPE, 2, FALSE)</f>
        <v>2086</v>
      </c>
      <c r="M660" s="3" t="s">
        <v>18</v>
      </c>
      <c r="N660" s="27" t="s">
        <v>19</v>
      </c>
      <c r="O660" s="38">
        <f>VLOOKUP(TRIM(Table1[[#This Row],[Provider Specialty]]) &amp; TRIM(Table1[[#This Row],[Provider Specialty Description]]), SPECIALTY_TYPE, 2, FALSE)</f>
        <v>2086</v>
      </c>
      <c r="P660" s="3" t="str">
        <f>Table1[[#This Row],[Provider Type]] &amp; "+" &amp; Table1[[#This Row],[Provider Type Description]]</f>
        <v>33+Single-Specialty</v>
      </c>
      <c r="Q660" s="7" t="str">
        <f>Table1[[#This Row],[Provider Specialty]] &amp; "+" &amp; Table1[[#This Row],[Provider Specialty Description]]</f>
        <v>326+Neurologist</v>
      </c>
      <c r="R660" s="7" t="str">
        <f>Table1[[#This Row],[PDMS Specialty Type ID]] &amp; "+" &amp; Table1[[#This Row],[PDMS Provider Type ID]] &amp; "+" &amp;Table1[[#This Row],[TAXONOMY]]</f>
        <v>2086+51+2084P0015X</v>
      </c>
      <c r="S6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(9639, 2086, 51, N'2084P0015X', N'Psychiatry &amp; Neurology - - Psychosomatic Medicine**')</v>
      </c>
    </row>
    <row r="661" spans="1:19" ht="47.25" hidden="1" customHeight="1" x14ac:dyDescent="0.25">
      <c r="A661" s="22" t="s">
        <v>1855</v>
      </c>
      <c r="B661" s="3" t="s">
        <v>988</v>
      </c>
      <c r="C661" s="3" t="s">
        <v>1045</v>
      </c>
      <c r="D661" s="3" t="s">
        <v>1311</v>
      </c>
      <c r="E661" s="3" t="s">
        <v>1359</v>
      </c>
      <c r="F661" s="3">
        <f>VLOOKUP(Table1[[#This Row],[Column2]], TAXONOMY_TYPE, 2, FALSE)</f>
        <v>9640</v>
      </c>
      <c r="G661" s="3">
        <v>31</v>
      </c>
      <c r="H661" s="3" t="s">
        <v>991</v>
      </c>
      <c r="I661" s="3">
        <f>VLOOKUP(Table1[[#This Row],[Provider Type]] &amp; Table1[[#This Row],[Provider Type Description]], PROVIDER_TYPE, 2, FALSE)</f>
        <v>114</v>
      </c>
      <c r="J661" s="3">
        <v>326</v>
      </c>
      <c r="K661" s="3" t="s">
        <v>1341</v>
      </c>
      <c r="L661" s="3">
        <f>VLOOKUP(TRIM(Table1[[#This Row],[Provider Specialty]]) &amp; TRIM(Table1[[#This Row],[Provider Specialty Description]]), SPECIALTY_TYPE, 2, FALSE)</f>
        <v>2086</v>
      </c>
      <c r="M661" s="3" t="s">
        <v>19</v>
      </c>
      <c r="N661" s="27" t="s">
        <v>19</v>
      </c>
      <c r="O661" s="38">
        <f>VLOOKUP(TRIM(Table1[[#This Row],[Provider Specialty]]) &amp; TRIM(Table1[[#This Row],[Provider Specialty Description]]), SPECIALTY_TYPE, 2, FALSE)</f>
        <v>2086</v>
      </c>
      <c r="P661" s="3" t="str">
        <f>Table1[[#This Row],[Provider Type]] &amp; "+" &amp; Table1[[#This Row],[Provider Type Description]]</f>
        <v>31+Physician</v>
      </c>
      <c r="Q661" s="7" t="str">
        <f>Table1[[#This Row],[Provider Specialty]] &amp; "+" &amp; Table1[[#This Row],[Provider Specialty Description]]</f>
        <v>326+Neurologist</v>
      </c>
      <c r="R661" s="7" t="str">
        <f>Table1[[#This Row],[PDMS Specialty Type ID]] &amp; "+" &amp; Table1[[#This Row],[PDMS Provider Type ID]] &amp; "+" &amp;Table1[[#This Row],[TAXONOMY]]</f>
        <v>2086+114+2084P2900X</v>
      </c>
      <c r="S6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(9640, 2086, 114, N'2084P2900X', N'Psychiatry &amp; Neurology - - Pain Medicine')</v>
      </c>
    </row>
    <row r="662" spans="1:19" ht="47.25" hidden="1" customHeight="1" x14ac:dyDescent="0.25">
      <c r="A662" s="22" t="s">
        <v>1854</v>
      </c>
      <c r="B662" s="3" t="s">
        <v>988</v>
      </c>
      <c r="C662" s="3" t="s">
        <v>1045</v>
      </c>
      <c r="D662" s="3" t="s">
        <v>1311</v>
      </c>
      <c r="E662" s="3" t="s">
        <v>1359</v>
      </c>
      <c r="F662" s="3">
        <f>VLOOKUP(Table1[[#This Row],[Column2]], TAXONOMY_TYPE, 2, FALSE)</f>
        <v>9641</v>
      </c>
      <c r="G662" s="3">
        <v>32</v>
      </c>
      <c r="H662" s="3" t="s">
        <v>1444</v>
      </c>
      <c r="I662" s="3">
        <f>VLOOKUP(Table1[[#This Row],[Provider Type]] &amp; Table1[[#This Row],[Provider Type Description]], PROVIDER_TYPE, 2, FALSE)</f>
        <v>50</v>
      </c>
      <c r="J662" s="3">
        <v>326</v>
      </c>
      <c r="K662" s="3" t="s">
        <v>1341</v>
      </c>
      <c r="L662" s="3">
        <f>VLOOKUP(TRIM(Table1[[#This Row],[Provider Specialty]]) &amp; TRIM(Table1[[#This Row],[Provider Specialty Description]]), SPECIALTY_TYPE, 2, FALSE)</f>
        <v>2086</v>
      </c>
      <c r="M662" s="3" t="s">
        <v>18</v>
      </c>
      <c r="N662" s="27" t="s">
        <v>19</v>
      </c>
      <c r="O662" s="38">
        <f>VLOOKUP(TRIM(Table1[[#This Row],[Provider Specialty]]) &amp; TRIM(Table1[[#This Row],[Provider Specialty Description]]), SPECIALTY_TYPE, 2, FALSE)</f>
        <v>2086</v>
      </c>
      <c r="P662" s="3" t="str">
        <f>Table1[[#This Row],[Provider Type]] &amp; "+" &amp; Table1[[#This Row],[Provider Type Description]]</f>
        <v>32+Multi-Specialty</v>
      </c>
      <c r="Q662" s="7" t="str">
        <f>Table1[[#This Row],[Provider Specialty]] &amp; "+" &amp; Table1[[#This Row],[Provider Specialty Description]]</f>
        <v>326+Neurologist</v>
      </c>
      <c r="R662" s="7" t="str">
        <f>Table1[[#This Row],[PDMS Specialty Type ID]] &amp; "+" &amp; Table1[[#This Row],[PDMS Provider Type ID]] &amp; "+" &amp;Table1[[#This Row],[TAXONOMY]]</f>
        <v>2086+50+2084P2900X</v>
      </c>
      <c r="S6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(9641, 2086, 50, N'2084P2900X', N'Psychiatry &amp; Neurology - - Pain Medicine')</v>
      </c>
    </row>
    <row r="663" spans="1:19" ht="47.25" hidden="1" customHeight="1" x14ac:dyDescent="0.25">
      <c r="A663" s="22" t="s">
        <v>1854</v>
      </c>
      <c r="B663" s="3" t="s">
        <v>988</v>
      </c>
      <c r="C663" s="3" t="s">
        <v>1045</v>
      </c>
      <c r="D663" s="3" t="s">
        <v>1311</v>
      </c>
      <c r="E663" s="3" t="s">
        <v>1359</v>
      </c>
      <c r="F663" s="3">
        <f>VLOOKUP(Table1[[#This Row],[Column2]], TAXONOMY_TYPE, 2, FALSE)</f>
        <v>9642</v>
      </c>
      <c r="G663" s="3">
        <v>33</v>
      </c>
      <c r="H663" s="3" t="s">
        <v>1953</v>
      </c>
      <c r="I663" s="3">
        <f>VLOOKUP(Table1[[#This Row],[Provider Type]] &amp; Table1[[#This Row],[Provider Type Description]], PROVIDER_TYPE, 2, FALSE)</f>
        <v>51</v>
      </c>
      <c r="J663" s="3">
        <v>326</v>
      </c>
      <c r="K663" s="3" t="s">
        <v>1341</v>
      </c>
      <c r="L663" s="3">
        <f>VLOOKUP(TRIM(Table1[[#This Row],[Provider Specialty]]) &amp; TRIM(Table1[[#This Row],[Provider Specialty Description]]), SPECIALTY_TYPE, 2, FALSE)</f>
        <v>2086</v>
      </c>
      <c r="M663" s="3" t="s">
        <v>18</v>
      </c>
      <c r="N663" s="27" t="s">
        <v>19</v>
      </c>
      <c r="O663" s="38">
        <f>VLOOKUP(TRIM(Table1[[#This Row],[Provider Specialty]]) &amp; TRIM(Table1[[#This Row],[Provider Specialty Description]]), SPECIALTY_TYPE, 2, FALSE)</f>
        <v>2086</v>
      </c>
      <c r="P663" s="3" t="str">
        <f>Table1[[#This Row],[Provider Type]] &amp; "+" &amp; Table1[[#This Row],[Provider Type Description]]</f>
        <v>33+Single-Specialty</v>
      </c>
      <c r="Q663" s="7" t="str">
        <f>Table1[[#This Row],[Provider Specialty]] &amp; "+" &amp; Table1[[#This Row],[Provider Specialty Description]]</f>
        <v>326+Neurologist</v>
      </c>
      <c r="R663" s="7" t="str">
        <f>Table1[[#This Row],[PDMS Specialty Type ID]] &amp; "+" &amp; Table1[[#This Row],[PDMS Provider Type ID]] &amp; "+" &amp;Table1[[#This Row],[TAXONOMY]]</f>
        <v>2086+51+2084P2900X</v>
      </c>
      <c r="S6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(9642, 2086, 51, N'2084P2900X', N'Psychiatry &amp; Neurology - - Pain Medicine')</v>
      </c>
    </row>
    <row r="664" spans="1:19" ht="47.25" hidden="1" customHeight="1" x14ac:dyDescent="0.25">
      <c r="A664" s="22" t="s">
        <v>1855</v>
      </c>
      <c r="B664" s="3" t="s">
        <v>988</v>
      </c>
      <c r="C664" s="3" t="s">
        <v>1045</v>
      </c>
      <c r="D664" s="3" t="s">
        <v>566</v>
      </c>
      <c r="E664" s="3" t="s">
        <v>1360</v>
      </c>
      <c r="F664" s="3">
        <f>VLOOKUP(Table1[[#This Row],[Column2]], TAXONOMY_TYPE, 2, FALSE)</f>
        <v>9643</v>
      </c>
      <c r="G664" s="3">
        <v>31</v>
      </c>
      <c r="H664" s="3" t="s">
        <v>991</v>
      </c>
      <c r="I664" s="3">
        <f>VLOOKUP(Table1[[#This Row],[Provider Type]] &amp; Table1[[#This Row],[Provider Type Description]], PROVIDER_TYPE, 2, FALSE)</f>
        <v>114</v>
      </c>
      <c r="J664" s="3">
        <v>326</v>
      </c>
      <c r="K664" s="3" t="s">
        <v>1341</v>
      </c>
      <c r="L664" s="3">
        <f>VLOOKUP(TRIM(Table1[[#This Row],[Provider Specialty]]) &amp; TRIM(Table1[[#This Row],[Provider Specialty Description]]), SPECIALTY_TYPE, 2, FALSE)</f>
        <v>2086</v>
      </c>
      <c r="M664" s="3" t="s">
        <v>19</v>
      </c>
      <c r="N664" s="27" t="s">
        <v>19</v>
      </c>
      <c r="O664" s="38">
        <f>VLOOKUP(TRIM(Table1[[#This Row],[Provider Specialty]]) &amp; TRIM(Table1[[#This Row],[Provider Specialty Description]]), SPECIALTY_TYPE, 2, FALSE)</f>
        <v>2086</v>
      </c>
      <c r="P664" s="3" t="str">
        <f>Table1[[#This Row],[Provider Type]] &amp; "+" &amp; Table1[[#This Row],[Provider Type Description]]</f>
        <v>31+Physician</v>
      </c>
      <c r="Q664" s="7" t="str">
        <f>Table1[[#This Row],[Provider Specialty]] &amp; "+" &amp; Table1[[#This Row],[Provider Specialty Description]]</f>
        <v>326+Neurologist</v>
      </c>
      <c r="R664" s="7" t="str">
        <f>Table1[[#This Row],[PDMS Specialty Type ID]] &amp; "+" &amp; Table1[[#This Row],[PDMS Provider Type ID]] &amp; "+" &amp;Table1[[#This Row],[TAXONOMY]]</f>
        <v>2086+114+2084S0010X</v>
      </c>
      <c r="S6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(9643, 2086, 114, N'2084S0010X', N'Psychiatry &amp; Neurology - - Sports Medicine')</v>
      </c>
    </row>
    <row r="665" spans="1:19" ht="47.25" hidden="1" customHeight="1" x14ac:dyDescent="0.25">
      <c r="A665" s="22" t="s">
        <v>1854</v>
      </c>
      <c r="B665" s="3" t="s">
        <v>988</v>
      </c>
      <c r="C665" s="3" t="s">
        <v>1045</v>
      </c>
      <c r="D665" s="3" t="s">
        <v>566</v>
      </c>
      <c r="E665" s="3" t="s">
        <v>1360</v>
      </c>
      <c r="F665" s="3">
        <f>VLOOKUP(Table1[[#This Row],[Column2]], TAXONOMY_TYPE, 2, FALSE)</f>
        <v>9644</v>
      </c>
      <c r="G665" s="3">
        <v>32</v>
      </c>
      <c r="H665" s="3" t="s">
        <v>1444</v>
      </c>
      <c r="I665" s="3">
        <f>VLOOKUP(Table1[[#This Row],[Provider Type]] &amp; Table1[[#This Row],[Provider Type Description]], PROVIDER_TYPE, 2, FALSE)</f>
        <v>50</v>
      </c>
      <c r="J665" s="3">
        <v>326</v>
      </c>
      <c r="K665" s="3" t="s">
        <v>1341</v>
      </c>
      <c r="L665" s="3">
        <f>VLOOKUP(TRIM(Table1[[#This Row],[Provider Specialty]]) &amp; TRIM(Table1[[#This Row],[Provider Specialty Description]]), SPECIALTY_TYPE, 2, FALSE)</f>
        <v>2086</v>
      </c>
      <c r="M665" s="3" t="s">
        <v>18</v>
      </c>
      <c r="N665" s="27" t="s">
        <v>19</v>
      </c>
      <c r="O665" s="38">
        <f>VLOOKUP(TRIM(Table1[[#This Row],[Provider Specialty]]) &amp; TRIM(Table1[[#This Row],[Provider Specialty Description]]), SPECIALTY_TYPE, 2, FALSE)</f>
        <v>2086</v>
      </c>
      <c r="P665" s="3" t="str">
        <f>Table1[[#This Row],[Provider Type]] &amp; "+" &amp; Table1[[#This Row],[Provider Type Description]]</f>
        <v>32+Multi-Specialty</v>
      </c>
      <c r="Q665" s="7" t="str">
        <f>Table1[[#This Row],[Provider Specialty]] &amp; "+" &amp; Table1[[#This Row],[Provider Specialty Description]]</f>
        <v>326+Neurologist</v>
      </c>
      <c r="R665" s="7" t="str">
        <f>Table1[[#This Row],[PDMS Specialty Type ID]] &amp; "+" &amp; Table1[[#This Row],[PDMS Provider Type ID]] &amp; "+" &amp;Table1[[#This Row],[TAXONOMY]]</f>
        <v>2086+50+2084S0010X</v>
      </c>
      <c r="S6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(9644, 2086, 50, N'2084S0010X', N'Psychiatry &amp; Neurology - - Sports Medicine')</v>
      </c>
    </row>
    <row r="666" spans="1:19" ht="47.25" hidden="1" customHeight="1" x14ac:dyDescent="0.25">
      <c r="A666" s="22" t="s">
        <v>1854</v>
      </c>
      <c r="B666" s="3" t="s">
        <v>988</v>
      </c>
      <c r="C666" s="3" t="s">
        <v>1045</v>
      </c>
      <c r="D666" s="3" t="s">
        <v>566</v>
      </c>
      <c r="E666" s="3" t="s">
        <v>1360</v>
      </c>
      <c r="F666" s="3">
        <f>VLOOKUP(Table1[[#This Row],[Column2]], TAXONOMY_TYPE, 2, FALSE)</f>
        <v>9645</v>
      </c>
      <c r="G666" s="3">
        <v>33</v>
      </c>
      <c r="H666" s="3" t="s">
        <v>1953</v>
      </c>
      <c r="I666" s="3">
        <f>VLOOKUP(Table1[[#This Row],[Provider Type]] &amp; Table1[[#This Row],[Provider Type Description]], PROVIDER_TYPE, 2, FALSE)</f>
        <v>51</v>
      </c>
      <c r="J666" s="3">
        <v>326</v>
      </c>
      <c r="K666" s="3" t="s">
        <v>1341</v>
      </c>
      <c r="L666" s="3">
        <f>VLOOKUP(TRIM(Table1[[#This Row],[Provider Specialty]]) &amp; TRIM(Table1[[#This Row],[Provider Specialty Description]]), SPECIALTY_TYPE, 2, FALSE)</f>
        <v>2086</v>
      </c>
      <c r="M666" s="3" t="s">
        <v>18</v>
      </c>
      <c r="N666" s="27" t="s">
        <v>19</v>
      </c>
      <c r="O666" s="38">
        <f>VLOOKUP(TRIM(Table1[[#This Row],[Provider Specialty]]) &amp; TRIM(Table1[[#This Row],[Provider Specialty Description]]), SPECIALTY_TYPE, 2, FALSE)</f>
        <v>2086</v>
      </c>
      <c r="P666" s="3" t="str">
        <f>Table1[[#This Row],[Provider Type]] &amp; "+" &amp; Table1[[#This Row],[Provider Type Description]]</f>
        <v>33+Single-Specialty</v>
      </c>
      <c r="Q666" s="7" t="str">
        <f>Table1[[#This Row],[Provider Specialty]] &amp; "+" &amp; Table1[[#This Row],[Provider Specialty Description]]</f>
        <v>326+Neurologist</v>
      </c>
      <c r="R666" s="7" t="str">
        <f>Table1[[#This Row],[PDMS Specialty Type ID]] &amp; "+" &amp; Table1[[#This Row],[PDMS Provider Type ID]] &amp; "+" &amp;Table1[[#This Row],[TAXONOMY]]</f>
        <v>2086+51+2084S0010X</v>
      </c>
      <c r="S6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(9645, 2086, 51, N'2084S0010X', N'Psychiatry &amp; Neurology - - Sports Medicine')</v>
      </c>
    </row>
    <row r="667" spans="1:19" ht="47.25" hidden="1" customHeight="1" x14ac:dyDescent="0.25">
      <c r="A667" s="22" t="s">
        <v>1855</v>
      </c>
      <c r="B667" s="3" t="s">
        <v>988</v>
      </c>
      <c r="C667" s="3" t="s">
        <v>1045</v>
      </c>
      <c r="D667" s="3" t="s">
        <v>1295</v>
      </c>
      <c r="E667" s="3" t="s">
        <v>1361</v>
      </c>
      <c r="F667" s="3">
        <f>VLOOKUP(Table1[[#This Row],[Column2]], TAXONOMY_TYPE, 2, FALSE)</f>
        <v>9646</v>
      </c>
      <c r="G667" s="3">
        <v>31</v>
      </c>
      <c r="H667" s="3" t="s">
        <v>991</v>
      </c>
      <c r="I667" s="3">
        <f>VLOOKUP(Table1[[#This Row],[Provider Type]] &amp; Table1[[#This Row],[Provider Type Description]], PROVIDER_TYPE, 2, FALSE)</f>
        <v>114</v>
      </c>
      <c r="J667" s="3">
        <v>326</v>
      </c>
      <c r="K667" s="3" t="s">
        <v>1341</v>
      </c>
      <c r="L667" s="3">
        <f>VLOOKUP(TRIM(Table1[[#This Row],[Provider Specialty]]) &amp; TRIM(Table1[[#This Row],[Provider Specialty Description]]), SPECIALTY_TYPE, 2, FALSE)</f>
        <v>2086</v>
      </c>
      <c r="M667" s="3" t="s">
        <v>19</v>
      </c>
      <c r="N667" s="27" t="s">
        <v>19</v>
      </c>
      <c r="O667" s="38">
        <f>VLOOKUP(TRIM(Table1[[#This Row],[Provider Specialty]]) &amp; TRIM(Table1[[#This Row],[Provider Specialty Description]]), SPECIALTY_TYPE, 2, FALSE)</f>
        <v>2086</v>
      </c>
      <c r="P667" s="3" t="str">
        <f>Table1[[#This Row],[Provider Type]] &amp; "+" &amp; Table1[[#This Row],[Provider Type Description]]</f>
        <v>31+Physician</v>
      </c>
      <c r="Q667" s="7" t="str">
        <f>Table1[[#This Row],[Provider Specialty]] &amp; "+" &amp; Table1[[#This Row],[Provider Specialty Description]]</f>
        <v>326+Neurologist</v>
      </c>
      <c r="R667" s="7" t="str">
        <f>Table1[[#This Row],[PDMS Specialty Type ID]] &amp; "+" &amp; Table1[[#This Row],[PDMS Provider Type ID]] &amp; "+" &amp;Table1[[#This Row],[TAXONOMY]]</f>
        <v>2086+114+2084S0012X</v>
      </c>
      <c r="S6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(9646, 2086, 114, N'2084S0012X', N'Psychiatry &amp; Neurology - - Sleep Medicine')</v>
      </c>
    </row>
    <row r="668" spans="1:19" ht="47.25" hidden="1" customHeight="1" x14ac:dyDescent="0.25">
      <c r="A668" s="22" t="s">
        <v>1854</v>
      </c>
      <c r="B668" s="3" t="s">
        <v>988</v>
      </c>
      <c r="C668" s="3" t="s">
        <v>1045</v>
      </c>
      <c r="D668" s="3" t="s">
        <v>1295</v>
      </c>
      <c r="E668" s="3" t="s">
        <v>1361</v>
      </c>
      <c r="F668" s="3">
        <f>VLOOKUP(Table1[[#This Row],[Column2]], TAXONOMY_TYPE, 2, FALSE)</f>
        <v>9647</v>
      </c>
      <c r="G668" s="3">
        <v>32</v>
      </c>
      <c r="H668" s="3" t="s">
        <v>1444</v>
      </c>
      <c r="I668" s="3">
        <f>VLOOKUP(Table1[[#This Row],[Provider Type]] &amp; Table1[[#This Row],[Provider Type Description]], PROVIDER_TYPE, 2, FALSE)</f>
        <v>50</v>
      </c>
      <c r="J668" s="3">
        <v>326</v>
      </c>
      <c r="K668" s="3" t="s">
        <v>1341</v>
      </c>
      <c r="L668" s="3">
        <f>VLOOKUP(TRIM(Table1[[#This Row],[Provider Specialty]]) &amp; TRIM(Table1[[#This Row],[Provider Specialty Description]]), SPECIALTY_TYPE, 2, FALSE)</f>
        <v>2086</v>
      </c>
      <c r="M668" s="3" t="s">
        <v>18</v>
      </c>
      <c r="N668" s="27" t="s">
        <v>19</v>
      </c>
      <c r="O668" s="38">
        <f>VLOOKUP(TRIM(Table1[[#This Row],[Provider Specialty]]) &amp; TRIM(Table1[[#This Row],[Provider Specialty Description]]), SPECIALTY_TYPE, 2, FALSE)</f>
        <v>2086</v>
      </c>
      <c r="P668" s="3" t="str">
        <f>Table1[[#This Row],[Provider Type]] &amp; "+" &amp; Table1[[#This Row],[Provider Type Description]]</f>
        <v>32+Multi-Specialty</v>
      </c>
      <c r="Q668" s="7" t="str">
        <f>Table1[[#This Row],[Provider Specialty]] &amp; "+" &amp; Table1[[#This Row],[Provider Specialty Description]]</f>
        <v>326+Neurologist</v>
      </c>
      <c r="R668" s="7" t="str">
        <f>Table1[[#This Row],[PDMS Specialty Type ID]] &amp; "+" &amp; Table1[[#This Row],[PDMS Provider Type ID]] &amp; "+" &amp;Table1[[#This Row],[TAXONOMY]]</f>
        <v>2086+50+2084S0012X</v>
      </c>
      <c r="S6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(9647, 2086, 50, N'2084S0012X', N'Psychiatry &amp; Neurology - - Sleep Medicine')</v>
      </c>
    </row>
    <row r="669" spans="1:19" ht="47.25" hidden="1" customHeight="1" x14ac:dyDescent="0.25">
      <c r="A669" s="22" t="s">
        <v>1854</v>
      </c>
      <c r="B669" s="3" t="s">
        <v>988</v>
      </c>
      <c r="C669" s="3" t="s">
        <v>1045</v>
      </c>
      <c r="D669" s="3" t="s">
        <v>1295</v>
      </c>
      <c r="E669" s="3" t="s">
        <v>1361</v>
      </c>
      <c r="F669" s="3">
        <f>VLOOKUP(Table1[[#This Row],[Column2]], TAXONOMY_TYPE, 2, FALSE)</f>
        <v>9648</v>
      </c>
      <c r="G669" s="3">
        <v>33</v>
      </c>
      <c r="H669" s="3" t="s">
        <v>1953</v>
      </c>
      <c r="I669" s="3">
        <f>VLOOKUP(Table1[[#This Row],[Provider Type]] &amp; Table1[[#This Row],[Provider Type Description]], PROVIDER_TYPE, 2, FALSE)</f>
        <v>51</v>
      </c>
      <c r="J669" s="3">
        <v>326</v>
      </c>
      <c r="K669" s="3" t="s">
        <v>1341</v>
      </c>
      <c r="L669" s="3">
        <f>VLOOKUP(TRIM(Table1[[#This Row],[Provider Specialty]]) &amp; TRIM(Table1[[#This Row],[Provider Specialty Description]]), SPECIALTY_TYPE, 2, FALSE)</f>
        <v>2086</v>
      </c>
      <c r="M669" s="3" t="s">
        <v>18</v>
      </c>
      <c r="N669" s="27" t="s">
        <v>19</v>
      </c>
      <c r="O669" s="38">
        <f>VLOOKUP(TRIM(Table1[[#This Row],[Provider Specialty]]) &amp; TRIM(Table1[[#This Row],[Provider Specialty Description]]), SPECIALTY_TYPE, 2, FALSE)</f>
        <v>2086</v>
      </c>
      <c r="P669" s="3" t="str">
        <f>Table1[[#This Row],[Provider Type]] &amp; "+" &amp; Table1[[#This Row],[Provider Type Description]]</f>
        <v>33+Single-Specialty</v>
      </c>
      <c r="Q669" s="7" t="str">
        <f>Table1[[#This Row],[Provider Specialty]] &amp; "+" &amp; Table1[[#This Row],[Provider Specialty Description]]</f>
        <v>326+Neurologist</v>
      </c>
      <c r="R669" s="7" t="str">
        <f>Table1[[#This Row],[PDMS Specialty Type ID]] &amp; "+" &amp; Table1[[#This Row],[PDMS Provider Type ID]] &amp; "+" &amp;Table1[[#This Row],[TAXONOMY]]</f>
        <v>2086+51+2084S0012X</v>
      </c>
      <c r="S6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(9648, 2086, 51, N'2084S0012X', N'Psychiatry &amp; Neurology - - Sleep Medicine')</v>
      </c>
    </row>
    <row r="670" spans="1:19" ht="47.25" hidden="1" customHeight="1" x14ac:dyDescent="0.25">
      <c r="A670" s="22" t="s">
        <v>1855</v>
      </c>
      <c r="B670" s="3" t="s">
        <v>988</v>
      </c>
      <c r="C670" s="3" t="s">
        <v>1045</v>
      </c>
      <c r="D670" s="3" t="s">
        <v>1362</v>
      </c>
      <c r="E670" s="3" t="s">
        <v>1363</v>
      </c>
      <c r="F670" s="3">
        <f>VLOOKUP(Table1[[#This Row],[Column2]], TAXONOMY_TYPE, 2, FALSE)</f>
        <v>9649</v>
      </c>
      <c r="G670" s="3">
        <v>31</v>
      </c>
      <c r="H670" s="3" t="s">
        <v>991</v>
      </c>
      <c r="I670" s="3">
        <f>VLOOKUP(Table1[[#This Row],[Provider Type]] &amp; Table1[[#This Row],[Provider Type Description]], PROVIDER_TYPE, 2, FALSE)</f>
        <v>114</v>
      </c>
      <c r="J670" s="3">
        <v>326</v>
      </c>
      <c r="K670" s="3" t="s">
        <v>1341</v>
      </c>
      <c r="L670" s="3">
        <f>VLOOKUP(TRIM(Table1[[#This Row],[Provider Specialty]]) &amp; TRIM(Table1[[#This Row],[Provider Specialty Description]]), SPECIALTY_TYPE, 2, FALSE)</f>
        <v>2086</v>
      </c>
      <c r="M670" s="3" t="s">
        <v>19</v>
      </c>
      <c r="N670" s="27" t="s">
        <v>19</v>
      </c>
      <c r="O670" s="38">
        <f>VLOOKUP(TRIM(Table1[[#This Row],[Provider Specialty]]) &amp; TRIM(Table1[[#This Row],[Provider Specialty Description]]), SPECIALTY_TYPE, 2, FALSE)</f>
        <v>2086</v>
      </c>
      <c r="P670" s="3" t="str">
        <f>Table1[[#This Row],[Provider Type]] &amp; "+" &amp; Table1[[#This Row],[Provider Type Description]]</f>
        <v>31+Physician</v>
      </c>
      <c r="Q670" s="7" t="str">
        <f>Table1[[#This Row],[Provider Specialty]] &amp; "+" &amp; Table1[[#This Row],[Provider Specialty Description]]</f>
        <v>326+Neurologist</v>
      </c>
      <c r="R670" s="7" t="str">
        <f>Table1[[#This Row],[PDMS Specialty Type ID]] &amp; "+" &amp; Table1[[#This Row],[PDMS Provider Type ID]] &amp; "+" &amp;Table1[[#This Row],[TAXONOMY]]</f>
        <v>2086+114+2084V0102X</v>
      </c>
      <c r="S6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(9649, 2086, 114, N'2084V0102X', N'Psychiatry &amp; Neurology - - Vascular Neurology#')</v>
      </c>
    </row>
    <row r="671" spans="1:19" ht="47.25" hidden="1" customHeight="1" x14ac:dyDescent="0.25">
      <c r="A671" s="22" t="s">
        <v>1854</v>
      </c>
      <c r="B671" s="3" t="s">
        <v>988</v>
      </c>
      <c r="C671" s="3" t="s">
        <v>1045</v>
      </c>
      <c r="D671" s="3" t="s">
        <v>1362</v>
      </c>
      <c r="E671" s="3" t="s">
        <v>1363</v>
      </c>
      <c r="F671" s="3">
        <f>VLOOKUP(Table1[[#This Row],[Column2]], TAXONOMY_TYPE, 2, FALSE)</f>
        <v>9650</v>
      </c>
      <c r="G671" s="3">
        <v>32</v>
      </c>
      <c r="H671" s="3" t="s">
        <v>1444</v>
      </c>
      <c r="I671" s="3">
        <f>VLOOKUP(Table1[[#This Row],[Provider Type]] &amp; Table1[[#This Row],[Provider Type Description]], PROVIDER_TYPE, 2, FALSE)</f>
        <v>50</v>
      </c>
      <c r="J671" s="3">
        <v>326</v>
      </c>
      <c r="K671" s="3" t="s">
        <v>1341</v>
      </c>
      <c r="L671" s="3">
        <f>VLOOKUP(TRIM(Table1[[#This Row],[Provider Specialty]]) &amp; TRIM(Table1[[#This Row],[Provider Specialty Description]]), SPECIALTY_TYPE, 2, FALSE)</f>
        <v>2086</v>
      </c>
      <c r="M671" s="3" t="s">
        <v>18</v>
      </c>
      <c r="N671" s="27" t="s">
        <v>19</v>
      </c>
      <c r="O671" s="38">
        <f>VLOOKUP(TRIM(Table1[[#This Row],[Provider Specialty]]) &amp; TRIM(Table1[[#This Row],[Provider Specialty Description]]), SPECIALTY_TYPE, 2, FALSE)</f>
        <v>2086</v>
      </c>
      <c r="P671" s="3" t="str">
        <f>Table1[[#This Row],[Provider Type]] &amp; "+" &amp; Table1[[#This Row],[Provider Type Description]]</f>
        <v>32+Multi-Specialty</v>
      </c>
      <c r="Q671" s="7" t="str">
        <f>Table1[[#This Row],[Provider Specialty]] &amp; "+" &amp; Table1[[#This Row],[Provider Specialty Description]]</f>
        <v>326+Neurologist</v>
      </c>
      <c r="R671" s="7" t="str">
        <f>Table1[[#This Row],[PDMS Specialty Type ID]] &amp; "+" &amp; Table1[[#This Row],[PDMS Provider Type ID]] &amp; "+" &amp;Table1[[#This Row],[TAXONOMY]]</f>
        <v>2086+50+2084V0102X</v>
      </c>
      <c r="S6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(9650, 2086, 50, N'2084V0102X', N'Psychiatry &amp; Neurology - - Vascular Neurology#')</v>
      </c>
    </row>
    <row r="672" spans="1:19" ht="47.25" hidden="1" customHeight="1" x14ac:dyDescent="0.25">
      <c r="A672" s="22" t="s">
        <v>1854</v>
      </c>
      <c r="B672" s="3" t="s">
        <v>988</v>
      </c>
      <c r="C672" s="3" t="s">
        <v>1045</v>
      </c>
      <c r="D672" s="3" t="s">
        <v>1362</v>
      </c>
      <c r="E672" s="3" t="s">
        <v>1363</v>
      </c>
      <c r="F672" s="3">
        <f>VLOOKUP(Table1[[#This Row],[Column2]], TAXONOMY_TYPE, 2, FALSE)</f>
        <v>9651</v>
      </c>
      <c r="G672" s="3">
        <v>33</v>
      </c>
      <c r="H672" s="3" t="s">
        <v>1953</v>
      </c>
      <c r="I672" s="3">
        <f>VLOOKUP(Table1[[#This Row],[Provider Type]] &amp; Table1[[#This Row],[Provider Type Description]], PROVIDER_TYPE, 2, FALSE)</f>
        <v>51</v>
      </c>
      <c r="J672" s="3">
        <v>326</v>
      </c>
      <c r="K672" s="3" t="s">
        <v>1341</v>
      </c>
      <c r="L672" s="3">
        <f>VLOOKUP(TRIM(Table1[[#This Row],[Provider Specialty]]) &amp; TRIM(Table1[[#This Row],[Provider Specialty Description]]), SPECIALTY_TYPE, 2, FALSE)</f>
        <v>2086</v>
      </c>
      <c r="M672" s="3" t="s">
        <v>18</v>
      </c>
      <c r="N672" s="27" t="s">
        <v>19</v>
      </c>
      <c r="O672" s="38">
        <f>VLOOKUP(TRIM(Table1[[#This Row],[Provider Specialty]]) &amp; TRIM(Table1[[#This Row],[Provider Specialty Description]]), SPECIALTY_TYPE, 2, FALSE)</f>
        <v>2086</v>
      </c>
      <c r="P672" s="3" t="str">
        <f>Table1[[#This Row],[Provider Type]] &amp; "+" &amp; Table1[[#This Row],[Provider Type Description]]</f>
        <v>33+Single-Specialty</v>
      </c>
      <c r="Q672" s="7" t="str">
        <f>Table1[[#This Row],[Provider Specialty]] &amp; "+" &amp; Table1[[#This Row],[Provider Specialty Description]]</f>
        <v>326+Neurologist</v>
      </c>
      <c r="R672" s="7" t="str">
        <f>Table1[[#This Row],[PDMS Specialty Type ID]] &amp; "+" &amp; Table1[[#This Row],[PDMS Provider Type ID]] &amp; "+" &amp;Table1[[#This Row],[TAXONOMY]]</f>
        <v>2086+51+2084V0102X</v>
      </c>
      <c r="S6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(9651, 2086, 51, N'2084V0102X', N'Psychiatry &amp; Neurology - - Vascular Neurology#')</v>
      </c>
    </row>
    <row r="673" spans="1:19" ht="47.25" hidden="1" customHeight="1" x14ac:dyDescent="0.25">
      <c r="A673" s="22" t="s">
        <v>1855</v>
      </c>
      <c r="B673" s="3" t="s">
        <v>1262</v>
      </c>
      <c r="C673" s="3" t="s">
        <v>1439</v>
      </c>
      <c r="D673" s="3" t="s">
        <v>1440</v>
      </c>
      <c r="E673" s="3" t="s">
        <v>1441</v>
      </c>
      <c r="F673" s="3">
        <f>VLOOKUP(Table1[[#This Row],[Column2]], TAXONOMY_TYPE, 2, FALSE)</f>
        <v>9652</v>
      </c>
      <c r="G673" s="3">
        <v>31</v>
      </c>
      <c r="H673" s="3" t="s">
        <v>991</v>
      </c>
      <c r="I673" s="3">
        <f>VLOOKUP(Table1[[#This Row],[Provider Type]] &amp; Table1[[#This Row],[Provider Type Description]], PROVIDER_TYPE, 2, FALSE)</f>
        <v>114</v>
      </c>
      <c r="J673" s="3">
        <v>326</v>
      </c>
      <c r="K673" s="3" t="s">
        <v>1341</v>
      </c>
      <c r="L673" s="3">
        <f>VLOOKUP(TRIM(Table1[[#This Row],[Provider Specialty]]) &amp; TRIM(Table1[[#This Row],[Provider Specialty Description]]), SPECIALTY_TYPE, 2, FALSE)</f>
        <v>2086</v>
      </c>
      <c r="M673" s="3" t="s">
        <v>19</v>
      </c>
      <c r="N673" s="27" t="s">
        <v>19</v>
      </c>
      <c r="O673" s="38">
        <f>VLOOKUP(TRIM(Table1[[#This Row],[Provider Specialty]]) &amp; TRIM(Table1[[#This Row],[Provider Specialty Description]]), SPECIALTY_TYPE, 2, FALSE)</f>
        <v>2086</v>
      </c>
      <c r="P673" s="3" t="str">
        <f>Table1[[#This Row],[Provider Type]] &amp; "+" &amp; Table1[[#This Row],[Provider Type Description]]</f>
        <v>31+Physician</v>
      </c>
      <c r="Q673" s="7" t="str">
        <f>Table1[[#This Row],[Provider Specialty]] &amp; "+" &amp; Table1[[#This Row],[Provider Specialty Description]]</f>
        <v>326+Neurologist</v>
      </c>
      <c r="R673" s="7" t="str">
        <f>Table1[[#This Row],[PDMS Specialty Type ID]] &amp; "+" &amp; Table1[[#This Row],[PDMS Provider Type ID]] &amp; "+" &amp;Table1[[#This Row],[TAXONOMY]]</f>
        <v>2086+114+2084B0040X</v>
      </c>
      <c r="S6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(9652, 2086, 114, N'2084B0040X', N'Psychiatry &amp; Neurology - Behavioral Neurology &amp; Neuropsychiatry Speciality')</v>
      </c>
    </row>
    <row r="674" spans="1:19" ht="47.25" hidden="1" customHeight="1" x14ac:dyDescent="0.25">
      <c r="A674" s="22" t="s">
        <v>1854</v>
      </c>
      <c r="B674" s="3" t="s">
        <v>1262</v>
      </c>
      <c r="C674" s="3" t="s">
        <v>1439</v>
      </c>
      <c r="D674" s="3" t="s">
        <v>1440</v>
      </c>
      <c r="E674" s="3" t="s">
        <v>1441</v>
      </c>
      <c r="F674" s="3">
        <f>VLOOKUP(Table1[[#This Row],[Column2]], TAXONOMY_TYPE, 2, FALSE)</f>
        <v>9653</v>
      </c>
      <c r="G674" s="3">
        <v>32</v>
      </c>
      <c r="H674" s="3" t="s">
        <v>1444</v>
      </c>
      <c r="I674" s="3">
        <f>VLOOKUP(Table1[[#This Row],[Provider Type]] &amp; Table1[[#This Row],[Provider Type Description]], PROVIDER_TYPE, 2, FALSE)</f>
        <v>50</v>
      </c>
      <c r="J674" s="3">
        <v>326</v>
      </c>
      <c r="K674" s="3" t="s">
        <v>1341</v>
      </c>
      <c r="L674" s="3">
        <f>VLOOKUP(TRIM(Table1[[#This Row],[Provider Specialty]]) &amp; TRIM(Table1[[#This Row],[Provider Specialty Description]]), SPECIALTY_TYPE, 2, FALSE)</f>
        <v>2086</v>
      </c>
      <c r="M674" s="3" t="s">
        <v>18</v>
      </c>
      <c r="N674" s="27" t="s">
        <v>19</v>
      </c>
      <c r="O674" s="38">
        <f>VLOOKUP(TRIM(Table1[[#This Row],[Provider Specialty]]) &amp; TRIM(Table1[[#This Row],[Provider Specialty Description]]), SPECIALTY_TYPE, 2, FALSE)</f>
        <v>2086</v>
      </c>
      <c r="P674" s="3" t="str">
        <f>Table1[[#This Row],[Provider Type]] &amp; "+" &amp; Table1[[#This Row],[Provider Type Description]]</f>
        <v>32+Multi-Specialty</v>
      </c>
      <c r="Q674" s="7" t="str">
        <f>Table1[[#This Row],[Provider Specialty]] &amp; "+" &amp; Table1[[#This Row],[Provider Specialty Description]]</f>
        <v>326+Neurologist</v>
      </c>
      <c r="R674" s="7" t="str">
        <f>Table1[[#This Row],[PDMS Specialty Type ID]] &amp; "+" &amp; Table1[[#This Row],[PDMS Provider Type ID]] &amp; "+" &amp;Table1[[#This Row],[TAXONOMY]]</f>
        <v>2086+50+2084B0040X</v>
      </c>
      <c r="S6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(9653, 2086, 50, N'2084B0040X', N'Psychiatry &amp; Neurology - Behavioral Neurology &amp; Neuropsychiatry Speciality')</v>
      </c>
    </row>
    <row r="675" spans="1:19" ht="47.25" hidden="1" customHeight="1" x14ac:dyDescent="0.25">
      <c r="A675" s="22" t="s">
        <v>1854</v>
      </c>
      <c r="B675" s="3" t="s">
        <v>1262</v>
      </c>
      <c r="C675" s="3" t="s">
        <v>1439</v>
      </c>
      <c r="D675" s="3" t="s">
        <v>1440</v>
      </c>
      <c r="E675" s="3" t="s">
        <v>1441</v>
      </c>
      <c r="F675" s="3">
        <f>VLOOKUP(Table1[[#This Row],[Column2]], TAXONOMY_TYPE, 2, FALSE)</f>
        <v>9654</v>
      </c>
      <c r="G675" s="3">
        <v>33</v>
      </c>
      <c r="H675" s="3" t="s">
        <v>1953</v>
      </c>
      <c r="I675" s="3">
        <f>VLOOKUP(Table1[[#This Row],[Provider Type]] &amp; Table1[[#This Row],[Provider Type Description]], PROVIDER_TYPE, 2, FALSE)</f>
        <v>51</v>
      </c>
      <c r="J675" s="3">
        <v>326</v>
      </c>
      <c r="K675" s="3" t="s">
        <v>1341</v>
      </c>
      <c r="L675" s="3">
        <f>VLOOKUP(TRIM(Table1[[#This Row],[Provider Specialty]]) &amp; TRIM(Table1[[#This Row],[Provider Specialty Description]]), SPECIALTY_TYPE, 2, FALSE)</f>
        <v>2086</v>
      </c>
      <c r="M675" s="3" t="s">
        <v>18</v>
      </c>
      <c r="N675" s="27" t="s">
        <v>19</v>
      </c>
      <c r="O675" s="38">
        <f>VLOOKUP(TRIM(Table1[[#This Row],[Provider Specialty]]) &amp; TRIM(Table1[[#This Row],[Provider Specialty Description]]), SPECIALTY_TYPE, 2, FALSE)</f>
        <v>2086</v>
      </c>
      <c r="P675" s="3" t="str">
        <f>Table1[[#This Row],[Provider Type]] &amp; "+" &amp; Table1[[#This Row],[Provider Type Description]]</f>
        <v>33+Single-Specialty</v>
      </c>
      <c r="Q675" s="7" t="str">
        <f>Table1[[#This Row],[Provider Specialty]] &amp; "+" &amp; Table1[[#This Row],[Provider Specialty Description]]</f>
        <v>326+Neurologist</v>
      </c>
      <c r="R675" s="7" t="str">
        <f>Table1[[#This Row],[PDMS Specialty Type ID]] &amp; "+" &amp; Table1[[#This Row],[PDMS Provider Type ID]] &amp; "+" &amp;Table1[[#This Row],[TAXONOMY]]</f>
        <v>2086+51+2084B0040X</v>
      </c>
      <c r="S6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(9654, 2086, 51, N'2084B0040X', N'Psychiatry &amp; Neurology - Behavioral Neurology &amp; Neuropsychiatry Speciality')</v>
      </c>
    </row>
    <row r="676" spans="1:19" ht="47.25" hidden="1" customHeight="1" x14ac:dyDescent="0.25">
      <c r="A676" s="22" t="s">
        <v>1855</v>
      </c>
      <c r="B676" s="3" t="s">
        <v>988</v>
      </c>
      <c r="C676" s="3" t="s">
        <v>1058</v>
      </c>
      <c r="D676" s="3" t="s">
        <v>1058</v>
      </c>
      <c r="E676" s="3" t="s">
        <v>1059</v>
      </c>
      <c r="F676" s="3">
        <f>VLOOKUP(Table1[[#This Row],[Column2]], TAXONOMY_TYPE, 2, FALSE)</f>
        <v>9655</v>
      </c>
      <c r="G676" s="3">
        <v>31</v>
      </c>
      <c r="H676" s="3" t="s">
        <v>991</v>
      </c>
      <c r="I676" s="3">
        <f>VLOOKUP(Table1[[#This Row],[Provider Type]] &amp; Table1[[#This Row],[Provider Type Description]], PROVIDER_TYPE, 2, FALSE)</f>
        <v>114</v>
      </c>
      <c r="J676" s="3">
        <v>327</v>
      </c>
      <c r="K676" s="3" t="s">
        <v>1060</v>
      </c>
      <c r="L676" s="3">
        <f>VLOOKUP(TRIM(Table1[[#This Row],[Provider Specialty]]) &amp; TRIM(Table1[[#This Row],[Provider Specialty Description]]), SPECIALTY_TYPE, 2, FALSE)</f>
        <v>2087</v>
      </c>
      <c r="M676" s="3" t="s">
        <v>19</v>
      </c>
      <c r="N676" s="27" t="s">
        <v>19</v>
      </c>
      <c r="O676" s="38">
        <f>VLOOKUP(TRIM(Table1[[#This Row],[Provider Specialty]]) &amp; TRIM(Table1[[#This Row],[Provider Specialty Description]]), SPECIALTY_TYPE, 2, FALSE)</f>
        <v>2087</v>
      </c>
      <c r="P676" s="3" t="str">
        <f>Table1[[#This Row],[Provider Type]] &amp; "+" &amp; Table1[[#This Row],[Provider Type Description]]</f>
        <v>31+Physician</v>
      </c>
      <c r="Q676" s="7" t="str">
        <f>Table1[[#This Row],[Provider Specialty]] &amp; "+" &amp; Table1[[#This Row],[Provider Specialty Description]]</f>
        <v>327+Nuclear Medicine Practitioner</v>
      </c>
      <c r="R676" s="7" t="str">
        <f>Table1[[#This Row],[PDMS Specialty Type ID]] &amp; "+" &amp; Table1[[#This Row],[PDMS Provider Type ID]] &amp; "+" &amp;Table1[[#This Row],[TAXONOMY]]</f>
        <v>2087+114+204C00000X</v>
      </c>
      <c r="S6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(9655, 2087, 114, N'204C00000X', N'Neuromusculoskeletal Medicine, Sports Medicine - Neuromusculoskeletal Medicine, Sports Medicine')</v>
      </c>
    </row>
    <row r="677" spans="1:19" ht="47.25" hidden="1" customHeight="1" x14ac:dyDescent="0.25">
      <c r="A677" s="22" t="s">
        <v>1854</v>
      </c>
      <c r="B677" s="3" t="s">
        <v>988</v>
      </c>
      <c r="C677" s="3" t="s">
        <v>1058</v>
      </c>
      <c r="D677" s="3" t="s">
        <v>1058</v>
      </c>
      <c r="E677" s="3" t="s">
        <v>1059</v>
      </c>
      <c r="F677" s="3">
        <f>VLOOKUP(Table1[[#This Row],[Column2]], TAXONOMY_TYPE, 2, FALSE)</f>
        <v>9656</v>
      </c>
      <c r="G677" s="3">
        <v>32</v>
      </c>
      <c r="H677" s="3" t="s">
        <v>1444</v>
      </c>
      <c r="I677" s="3">
        <f>VLOOKUP(Table1[[#This Row],[Provider Type]] &amp; Table1[[#This Row],[Provider Type Description]], PROVIDER_TYPE, 2, FALSE)</f>
        <v>50</v>
      </c>
      <c r="J677" s="3">
        <v>327</v>
      </c>
      <c r="K677" s="3" t="s">
        <v>1060</v>
      </c>
      <c r="L677" s="3">
        <f>VLOOKUP(TRIM(Table1[[#This Row],[Provider Specialty]]) &amp; TRIM(Table1[[#This Row],[Provider Specialty Description]]), SPECIALTY_TYPE, 2, FALSE)</f>
        <v>2087</v>
      </c>
      <c r="M677" s="3" t="s">
        <v>18</v>
      </c>
      <c r="N677" s="27" t="s">
        <v>19</v>
      </c>
      <c r="O677" s="38">
        <f>VLOOKUP(TRIM(Table1[[#This Row],[Provider Specialty]]) &amp; TRIM(Table1[[#This Row],[Provider Specialty Description]]), SPECIALTY_TYPE, 2, FALSE)</f>
        <v>2087</v>
      </c>
      <c r="P677" s="3" t="str">
        <f>Table1[[#This Row],[Provider Type]] &amp; "+" &amp; Table1[[#This Row],[Provider Type Description]]</f>
        <v>32+Multi-Specialty</v>
      </c>
      <c r="Q677" s="7" t="str">
        <f>Table1[[#This Row],[Provider Specialty]] &amp; "+" &amp; Table1[[#This Row],[Provider Specialty Description]]</f>
        <v>327+Nuclear Medicine Practitioner</v>
      </c>
      <c r="R677" s="7" t="str">
        <f>Table1[[#This Row],[PDMS Specialty Type ID]] &amp; "+" &amp; Table1[[#This Row],[PDMS Provider Type ID]] &amp; "+" &amp;Table1[[#This Row],[TAXONOMY]]</f>
        <v>2087+50+204C00000X</v>
      </c>
      <c r="S6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(9656, 2087, 50, N'204C00000X', N'Neuromusculoskeletal Medicine, Sports Medicine - Neuromusculoskeletal Medicine, Sports Medicine')</v>
      </c>
    </row>
    <row r="678" spans="1:19" ht="47.25" hidden="1" customHeight="1" x14ac:dyDescent="0.25">
      <c r="A678" s="22" t="s">
        <v>1854</v>
      </c>
      <c r="B678" s="3" t="s">
        <v>988</v>
      </c>
      <c r="C678" s="3" t="s">
        <v>1058</v>
      </c>
      <c r="D678" s="3" t="s">
        <v>1058</v>
      </c>
      <c r="E678" s="3" t="s">
        <v>1059</v>
      </c>
      <c r="F678" s="3">
        <f>VLOOKUP(Table1[[#This Row],[Column2]], TAXONOMY_TYPE, 2, FALSE)</f>
        <v>9657</v>
      </c>
      <c r="G678" s="3">
        <v>33</v>
      </c>
      <c r="H678" s="3" t="s">
        <v>1953</v>
      </c>
      <c r="I678" s="3">
        <f>VLOOKUP(Table1[[#This Row],[Provider Type]] &amp; Table1[[#This Row],[Provider Type Description]], PROVIDER_TYPE, 2, FALSE)</f>
        <v>51</v>
      </c>
      <c r="J678" s="3">
        <v>327</v>
      </c>
      <c r="K678" s="3" t="s">
        <v>1060</v>
      </c>
      <c r="L678" s="3">
        <f>VLOOKUP(TRIM(Table1[[#This Row],[Provider Specialty]]) &amp; TRIM(Table1[[#This Row],[Provider Specialty Description]]), SPECIALTY_TYPE, 2, FALSE)</f>
        <v>2087</v>
      </c>
      <c r="M678" s="3" t="s">
        <v>18</v>
      </c>
      <c r="N678" s="27" t="s">
        <v>19</v>
      </c>
      <c r="O678" s="38">
        <f>VLOOKUP(TRIM(Table1[[#This Row],[Provider Specialty]]) &amp; TRIM(Table1[[#This Row],[Provider Specialty Description]]), SPECIALTY_TYPE, 2, FALSE)</f>
        <v>2087</v>
      </c>
      <c r="P678" s="3" t="str">
        <f>Table1[[#This Row],[Provider Type]] &amp; "+" &amp; Table1[[#This Row],[Provider Type Description]]</f>
        <v>33+Single-Specialty</v>
      </c>
      <c r="Q678" s="7" t="str">
        <f>Table1[[#This Row],[Provider Specialty]] &amp; "+" &amp; Table1[[#This Row],[Provider Specialty Description]]</f>
        <v>327+Nuclear Medicine Practitioner</v>
      </c>
      <c r="R678" s="7" t="str">
        <f>Table1[[#This Row],[PDMS Specialty Type ID]] &amp; "+" &amp; Table1[[#This Row],[PDMS Provider Type ID]] &amp; "+" &amp;Table1[[#This Row],[TAXONOMY]]</f>
        <v>2087+51+204C00000X</v>
      </c>
      <c r="S6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(9657, 2087, 51, N'204C00000X', N'Neuromusculoskeletal Medicine, Sports Medicine - Neuromusculoskeletal Medicine, Sports Medicine')</v>
      </c>
    </row>
    <row r="679" spans="1:19" ht="47.25" hidden="1" customHeight="1" x14ac:dyDescent="0.25">
      <c r="A679" s="22" t="s">
        <v>1855</v>
      </c>
      <c r="B679" s="3" t="s">
        <v>988</v>
      </c>
      <c r="C679" s="3" t="s">
        <v>1168</v>
      </c>
      <c r="D679" s="3" t="s">
        <v>1168</v>
      </c>
      <c r="E679" s="3" t="s">
        <v>1169</v>
      </c>
      <c r="F679" s="3">
        <f>VLOOKUP(Table1[[#This Row],[Column2]], TAXONOMY_TYPE, 2, FALSE)</f>
        <v>9658</v>
      </c>
      <c r="G679" s="3">
        <v>31</v>
      </c>
      <c r="H679" s="3" t="s">
        <v>991</v>
      </c>
      <c r="I679" s="3">
        <f>VLOOKUP(Table1[[#This Row],[Provider Type]] &amp; Table1[[#This Row],[Provider Type Description]], PROVIDER_TYPE, 2, FALSE)</f>
        <v>114</v>
      </c>
      <c r="J679" s="3">
        <v>327</v>
      </c>
      <c r="K679" s="3" t="s">
        <v>1060</v>
      </c>
      <c r="L679" s="3">
        <f>VLOOKUP(TRIM(Table1[[#This Row],[Provider Specialty]]) &amp; TRIM(Table1[[#This Row],[Provider Specialty Description]]), SPECIALTY_TYPE, 2, FALSE)</f>
        <v>2087</v>
      </c>
      <c r="M679" s="3" t="s">
        <v>19</v>
      </c>
      <c r="N679" s="27" t="s">
        <v>19</v>
      </c>
      <c r="O679" s="38">
        <f>VLOOKUP(TRIM(Table1[[#This Row],[Provider Specialty]]) &amp; TRIM(Table1[[#This Row],[Provider Specialty Description]]), SPECIALTY_TYPE, 2, FALSE)</f>
        <v>2087</v>
      </c>
      <c r="P679" s="3" t="str">
        <f>Table1[[#This Row],[Provider Type]] &amp; "+" &amp; Table1[[#This Row],[Provider Type Description]]</f>
        <v>31+Physician</v>
      </c>
      <c r="Q679" s="7" t="str">
        <f>Table1[[#This Row],[Provider Specialty]] &amp; "+" &amp; Table1[[#This Row],[Provider Specialty Description]]</f>
        <v>327+Nuclear Medicine Practitioner</v>
      </c>
      <c r="R679" s="7" t="str">
        <f>Table1[[#This Row],[PDMS Specialty Type ID]] &amp; "+" &amp; Table1[[#This Row],[PDMS Provider Type ID]] &amp; "+" &amp;Table1[[#This Row],[TAXONOMY]]</f>
        <v>2087+114+207U00000X</v>
      </c>
      <c r="S6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(9658, 2087, 114, N'207U00000X', N'Nuclear Medicine - Nuclear Medicine')</v>
      </c>
    </row>
    <row r="680" spans="1:19" ht="47.25" hidden="1" customHeight="1" x14ac:dyDescent="0.25">
      <c r="A680" s="22" t="s">
        <v>1854</v>
      </c>
      <c r="B680" s="3" t="s">
        <v>988</v>
      </c>
      <c r="C680" s="3" t="s">
        <v>1168</v>
      </c>
      <c r="D680" s="3" t="s">
        <v>1168</v>
      </c>
      <c r="E680" s="3" t="s">
        <v>1169</v>
      </c>
      <c r="F680" s="3">
        <f>VLOOKUP(Table1[[#This Row],[Column2]], TAXONOMY_TYPE, 2, FALSE)</f>
        <v>9659</v>
      </c>
      <c r="G680" s="3">
        <v>32</v>
      </c>
      <c r="H680" s="3" t="s">
        <v>1444</v>
      </c>
      <c r="I680" s="3">
        <f>VLOOKUP(Table1[[#This Row],[Provider Type]] &amp; Table1[[#This Row],[Provider Type Description]], PROVIDER_TYPE, 2, FALSE)</f>
        <v>50</v>
      </c>
      <c r="J680" s="3">
        <v>327</v>
      </c>
      <c r="K680" s="3" t="s">
        <v>1060</v>
      </c>
      <c r="L680" s="3">
        <f>VLOOKUP(TRIM(Table1[[#This Row],[Provider Specialty]]) &amp; TRIM(Table1[[#This Row],[Provider Specialty Description]]), SPECIALTY_TYPE, 2, FALSE)</f>
        <v>2087</v>
      </c>
      <c r="M680" s="3" t="s">
        <v>18</v>
      </c>
      <c r="N680" s="27" t="s">
        <v>19</v>
      </c>
      <c r="O680" s="38">
        <f>VLOOKUP(TRIM(Table1[[#This Row],[Provider Specialty]]) &amp; TRIM(Table1[[#This Row],[Provider Specialty Description]]), SPECIALTY_TYPE, 2, FALSE)</f>
        <v>2087</v>
      </c>
      <c r="P680" s="3" t="str">
        <f>Table1[[#This Row],[Provider Type]] &amp; "+" &amp; Table1[[#This Row],[Provider Type Description]]</f>
        <v>32+Multi-Specialty</v>
      </c>
      <c r="Q680" s="7" t="str">
        <f>Table1[[#This Row],[Provider Specialty]] &amp; "+" &amp; Table1[[#This Row],[Provider Specialty Description]]</f>
        <v>327+Nuclear Medicine Practitioner</v>
      </c>
      <c r="R680" s="7" t="str">
        <f>Table1[[#This Row],[PDMS Specialty Type ID]] &amp; "+" &amp; Table1[[#This Row],[PDMS Provider Type ID]] &amp; "+" &amp;Table1[[#This Row],[TAXONOMY]]</f>
        <v>2087+50+207U00000X</v>
      </c>
      <c r="S6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(9659, 2087, 50, N'207U00000X', N'Nuclear Medicine - Nuclear Medicine')</v>
      </c>
    </row>
    <row r="681" spans="1:19" ht="47.25" hidden="1" customHeight="1" x14ac:dyDescent="0.25">
      <c r="A681" s="22" t="s">
        <v>1854</v>
      </c>
      <c r="B681" s="3" t="s">
        <v>988</v>
      </c>
      <c r="C681" s="3" t="s">
        <v>1168</v>
      </c>
      <c r="D681" s="3" t="s">
        <v>1168</v>
      </c>
      <c r="E681" s="3" t="s">
        <v>1169</v>
      </c>
      <c r="F681" s="3">
        <f>VLOOKUP(Table1[[#This Row],[Column2]], TAXONOMY_TYPE, 2, FALSE)</f>
        <v>9660</v>
      </c>
      <c r="G681" s="3">
        <v>33</v>
      </c>
      <c r="H681" s="3" t="s">
        <v>1953</v>
      </c>
      <c r="I681" s="3">
        <f>VLOOKUP(Table1[[#This Row],[Provider Type]] &amp; Table1[[#This Row],[Provider Type Description]], PROVIDER_TYPE, 2, FALSE)</f>
        <v>51</v>
      </c>
      <c r="J681" s="3">
        <v>327</v>
      </c>
      <c r="K681" s="3" t="s">
        <v>1060</v>
      </c>
      <c r="L681" s="3">
        <f>VLOOKUP(TRIM(Table1[[#This Row],[Provider Specialty]]) &amp; TRIM(Table1[[#This Row],[Provider Specialty Description]]), SPECIALTY_TYPE, 2, FALSE)</f>
        <v>2087</v>
      </c>
      <c r="M681" s="3" t="s">
        <v>18</v>
      </c>
      <c r="N681" s="27" t="s">
        <v>19</v>
      </c>
      <c r="O681" s="38">
        <f>VLOOKUP(TRIM(Table1[[#This Row],[Provider Specialty]]) &amp; TRIM(Table1[[#This Row],[Provider Specialty Description]]), SPECIALTY_TYPE, 2, FALSE)</f>
        <v>2087</v>
      </c>
      <c r="P681" s="3" t="str">
        <f>Table1[[#This Row],[Provider Type]] &amp; "+" &amp; Table1[[#This Row],[Provider Type Description]]</f>
        <v>33+Single-Specialty</v>
      </c>
      <c r="Q681" s="7" t="str">
        <f>Table1[[#This Row],[Provider Specialty]] &amp; "+" &amp; Table1[[#This Row],[Provider Specialty Description]]</f>
        <v>327+Nuclear Medicine Practitioner</v>
      </c>
      <c r="R681" s="7" t="str">
        <f>Table1[[#This Row],[PDMS Specialty Type ID]] &amp; "+" &amp; Table1[[#This Row],[PDMS Provider Type ID]] &amp; "+" &amp;Table1[[#This Row],[TAXONOMY]]</f>
        <v>2087+51+207U00000X</v>
      </c>
      <c r="S6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(9660, 2087, 51, N'207U00000X', N'Nuclear Medicine - Nuclear Medicine')</v>
      </c>
    </row>
    <row r="682" spans="1:19" ht="47.25" hidden="1" customHeight="1" x14ac:dyDescent="0.25">
      <c r="A682" s="22" t="s">
        <v>1855</v>
      </c>
      <c r="B682" s="3" t="s">
        <v>988</v>
      </c>
      <c r="C682" s="3" t="s">
        <v>1168</v>
      </c>
      <c r="D682" s="3" t="s">
        <v>1170</v>
      </c>
      <c r="E682" s="3" t="s">
        <v>1171</v>
      </c>
      <c r="F682" s="3">
        <f>VLOOKUP(Table1[[#This Row],[Column2]], TAXONOMY_TYPE, 2, FALSE)</f>
        <v>9661</v>
      </c>
      <c r="G682" s="3">
        <v>31</v>
      </c>
      <c r="H682" s="3" t="s">
        <v>991</v>
      </c>
      <c r="I682" s="3">
        <f>VLOOKUP(Table1[[#This Row],[Provider Type]] &amp; Table1[[#This Row],[Provider Type Description]], PROVIDER_TYPE, 2, FALSE)</f>
        <v>114</v>
      </c>
      <c r="J682" s="3">
        <v>327</v>
      </c>
      <c r="K682" s="3" t="s">
        <v>1060</v>
      </c>
      <c r="L682" s="3">
        <f>VLOOKUP(TRIM(Table1[[#This Row],[Provider Specialty]]) &amp; TRIM(Table1[[#This Row],[Provider Specialty Description]]), SPECIALTY_TYPE, 2, FALSE)</f>
        <v>2087</v>
      </c>
      <c r="M682" s="3" t="s">
        <v>19</v>
      </c>
      <c r="N682" s="27" t="s">
        <v>19</v>
      </c>
      <c r="O682" s="38">
        <f>VLOOKUP(TRIM(Table1[[#This Row],[Provider Specialty]]) &amp; TRIM(Table1[[#This Row],[Provider Specialty Description]]), SPECIALTY_TYPE, 2, FALSE)</f>
        <v>2087</v>
      </c>
      <c r="P682" s="3" t="str">
        <f>Table1[[#This Row],[Provider Type]] &amp; "+" &amp; Table1[[#This Row],[Provider Type Description]]</f>
        <v>31+Physician</v>
      </c>
      <c r="Q682" s="7" t="str">
        <f>Table1[[#This Row],[Provider Specialty]] &amp; "+" &amp; Table1[[#This Row],[Provider Specialty Description]]</f>
        <v>327+Nuclear Medicine Practitioner</v>
      </c>
      <c r="R682" s="7" t="str">
        <f>Table1[[#This Row],[PDMS Specialty Type ID]] &amp; "+" &amp; Table1[[#This Row],[PDMS Provider Type ID]] &amp; "+" &amp;Table1[[#This Row],[TAXONOMY]]</f>
        <v>2087+114+207UN0901X</v>
      </c>
      <c r="S6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(9661, 2087, 114, N'207UN0901X', N'Nuclear Medicine - Nuclear Cardiology')</v>
      </c>
    </row>
    <row r="683" spans="1:19" ht="47.25" hidden="1" customHeight="1" x14ac:dyDescent="0.25">
      <c r="A683" s="22" t="s">
        <v>1854</v>
      </c>
      <c r="B683" s="3" t="s">
        <v>988</v>
      </c>
      <c r="C683" s="3" t="s">
        <v>1168</v>
      </c>
      <c r="D683" s="3" t="s">
        <v>1170</v>
      </c>
      <c r="E683" s="3" t="s">
        <v>1171</v>
      </c>
      <c r="F683" s="3">
        <f>VLOOKUP(Table1[[#This Row],[Column2]], TAXONOMY_TYPE, 2, FALSE)</f>
        <v>9662</v>
      </c>
      <c r="G683" s="3">
        <v>32</v>
      </c>
      <c r="H683" s="3" t="s">
        <v>1444</v>
      </c>
      <c r="I683" s="3">
        <f>VLOOKUP(Table1[[#This Row],[Provider Type]] &amp; Table1[[#This Row],[Provider Type Description]], PROVIDER_TYPE, 2, FALSE)</f>
        <v>50</v>
      </c>
      <c r="J683" s="3">
        <v>327</v>
      </c>
      <c r="K683" s="3" t="s">
        <v>1060</v>
      </c>
      <c r="L683" s="3">
        <f>VLOOKUP(TRIM(Table1[[#This Row],[Provider Specialty]]) &amp; TRIM(Table1[[#This Row],[Provider Specialty Description]]), SPECIALTY_TYPE, 2, FALSE)</f>
        <v>2087</v>
      </c>
      <c r="M683" s="3" t="s">
        <v>18</v>
      </c>
      <c r="N683" s="27" t="s">
        <v>19</v>
      </c>
      <c r="O683" s="38">
        <f>VLOOKUP(TRIM(Table1[[#This Row],[Provider Specialty]]) &amp; TRIM(Table1[[#This Row],[Provider Specialty Description]]), SPECIALTY_TYPE, 2, FALSE)</f>
        <v>2087</v>
      </c>
      <c r="P683" s="3" t="str">
        <f>Table1[[#This Row],[Provider Type]] &amp; "+" &amp; Table1[[#This Row],[Provider Type Description]]</f>
        <v>32+Multi-Specialty</v>
      </c>
      <c r="Q683" s="7" t="str">
        <f>Table1[[#This Row],[Provider Specialty]] &amp; "+" &amp; Table1[[#This Row],[Provider Specialty Description]]</f>
        <v>327+Nuclear Medicine Practitioner</v>
      </c>
      <c r="R683" s="7" t="str">
        <f>Table1[[#This Row],[PDMS Specialty Type ID]] &amp; "+" &amp; Table1[[#This Row],[PDMS Provider Type ID]] &amp; "+" &amp;Table1[[#This Row],[TAXONOMY]]</f>
        <v>2087+50+207UN0901X</v>
      </c>
      <c r="S6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(9662, 2087, 50, N'207UN0901X', N'Nuclear Medicine - Nuclear Cardiology')</v>
      </c>
    </row>
    <row r="684" spans="1:19" ht="47.25" hidden="1" customHeight="1" x14ac:dyDescent="0.25">
      <c r="A684" s="22" t="s">
        <v>1854</v>
      </c>
      <c r="B684" s="3" t="s">
        <v>988</v>
      </c>
      <c r="C684" s="3" t="s">
        <v>1168</v>
      </c>
      <c r="D684" s="3" t="s">
        <v>1170</v>
      </c>
      <c r="E684" s="3" t="s">
        <v>1171</v>
      </c>
      <c r="F684" s="3">
        <f>VLOOKUP(Table1[[#This Row],[Column2]], TAXONOMY_TYPE, 2, FALSE)</f>
        <v>9663</v>
      </c>
      <c r="G684" s="3">
        <v>33</v>
      </c>
      <c r="H684" s="3" t="s">
        <v>1953</v>
      </c>
      <c r="I684" s="3">
        <f>VLOOKUP(Table1[[#This Row],[Provider Type]] &amp; Table1[[#This Row],[Provider Type Description]], PROVIDER_TYPE, 2, FALSE)</f>
        <v>51</v>
      </c>
      <c r="J684" s="3">
        <v>327</v>
      </c>
      <c r="K684" s="3" t="s">
        <v>1060</v>
      </c>
      <c r="L684" s="3">
        <f>VLOOKUP(TRIM(Table1[[#This Row],[Provider Specialty]]) &amp; TRIM(Table1[[#This Row],[Provider Specialty Description]]), SPECIALTY_TYPE, 2, FALSE)</f>
        <v>2087</v>
      </c>
      <c r="M684" s="3" t="s">
        <v>18</v>
      </c>
      <c r="N684" s="27" t="s">
        <v>19</v>
      </c>
      <c r="O684" s="38">
        <f>VLOOKUP(TRIM(Table1[[#This Row],[Provider Specialty]]) &amp; TRIM(Table1[[#This Row],[Provider Specialty Description]]), SPECIALTY_TYPE, 2, FALSE)</f>
        <v>2087</v>
      </c>
      <c r="P684" s="3" t="str">
        <f>Table1[[#This Row],[Provider Type]] &amp; "+" &amp; Table1[[#This Row],[Provider Type Description]]</f>
        <v>33+Single-Specialty</v>
      </c>
      <c r="Q684" s="7" t="str">
        <f>Table1[[#This Row],[Provider Specialty]] &amp; "+" &amp; Table1[[#This Row],[Provider Specialty Description]]</f>
        <v>327+Nuclear Medicine Practitioner</v>
      </c>
      <c r="R684" s="7" t="str">
        <f>Table1[[#This Row],[PDMS Specialty Type ID]] &amp; "+" &amp; Table1[[#This Row],[PDMS Provider Type ID]] &amp; "+" &amp;Table1[[#This Row],[TAXONOMY]]</f>
        <v>2087+51+207UN0901X</v>
      </c>
      <c r="S6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(9663, 2087, 51, N'207UN0901X', N'Nuclear Medicine - Nuclear Cardiology')</v>
      </c>
    </row>
    <row r="685" spans="1:19" ht="47.25" hidden="1" customHeight="1" x14ac:dyDescent="0.25">
      <c r="A685" s="22" t="s">
        <v>1855</v>
      </c>
      <c r="B685" s="3" t="s">
        <v>988</v>
      </c>
      <c r="C685" s="3" t="s">
        <v>1168</v>
      </c>
      <c r="D685" s="3" t="s">
        <v>1172</v>
      </c>
      <c r="E685" s="3" t="s">
        <v>1173</v>
      </c>
      <c r="F685" s="3">
        <f>VLOOKUP(Table1[[#This Row],[Column2]], TAXONOMY_TYPE, 2, FALSE)</f>
        <v>9664</v>
      </c>
      <c r="G685" s="3">
        <v>31</v>
      </c>
      <c r="H685" s="3" t="s">
        <v>991</v>
      </c>
      <c r="I685" s="3">
        <f>VLOOKUP(Table1[[#This Row],[Provider Type]] &amp; Table1[[#This Row],[Provider Type Description]], PROVIDER_TYPE, 2, FALSE)</f>
        <v>114</v>
      </c>
      <c r="J685" s="3">
        <v>327</v>
      </c>
      <c r="K685" s="3" t="s">
        <v>1060</v>
      </c>
      <c r="L685" s="3">
        <f>VLOOKUP(TRIM(Table1[[#This Row],[Provider Specialty]]) &amp; TRIM(Table1[[#This Row],[Provider Specialty Description]]), SPECIALTY_TYPE, 2, FALSE)</f>
        <v>2087</v>
      </c>
      <c r="M685" s="3" t="s">
        <v>19</v>
      </c>
      <c r="N685" s="27" t="s">
        <v>19</v>
      </c>
      <c r="O685" s="38">
        <f>VLOOKUP(TRIM(Table1[[#This Row],[Provider Specialty]]) &amp; TRIM(Table1[[#This Row],[Provider Specialty Description]]), SPECIALTY_TYPE, 2, FALSE)</f>
        <v>2087</v>
      </c>
      <c r="P685" s="3" t="str">
        <f>Table1[[#This Row],[Provider Type]] &amp; "+" &amp; Table1[[#This Row],[Provider Type Description]]</f>
        <v>31+Physician</v>
      </c>
      <c r="Q685" s="7" t="str">
        <f>Table1[[#This Row],[Provider Specialty]] &amp; "+" &amp; Table1[[#This Row],[Provider Specialty Description]]</f>
        <v>327+Nuclear Medicine Practitioner</v>
      </c>
      <c r="R685" s="7" t="str">
        <f>Table1[[#This Row],[PDMS Specialty Type ID]] &amp; "+" &amp; Table1[[#This Row],[PDMS Provider Type ID]] &amp; "+" &amp;Table1[[#This Row],[TAXONOMY]]</f>
        <v>2087+114+207UN0902X</v>
      </c>
      <c r="S6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(9664, 2087, 114, N'207UN0902X', N'Nuclear Medicine - Nuclear Imaging &amp; Therapy')</v>
      </c>
    </row>
    <row r="686" spans="1:19" ht="47.25" hidden="1" customHeight="1" x14ac:dyDescent="0.25">
      <c r="A686" s="22" t="s">
        <v>1854</v>
      </c>
      <c r="B686" s="3" t="s">
        <v>988</v>
      </c>
      <c r="C686" s="3" t="s">
        <v>1168</v>
      </c>
      <c r="D686" s="3" t="s">
        <v>1172</v>
      </c>
      <c r="E686" s="3" t="s">
        <v>1173</v>
      </c>
      <c r="F686" s="3">
        <f>VLOOKUP(Table1[[#This Row],[Column2]], TAXONOMY_TYPE, 2, FALSE)</f>
        <v>9665</v>
      </c>
      <c r="G686" s="3">
        <v>32</v>
      </c>
      <c r="H686" s="3" t="s">
        <v>1444</v>
      </c>
      <c r="I686" s="3">
        <f>VLOOKUP(Table1[[#This Row],[Provider Type]] &amp; Table1[[#This Row],[Provider Type Description]], PROVIDER_TYPE, 2, FALSE)</f>
        <v>50</v>
      </c>
      <c r="J686" s="3">
        <v>327</v>
      </c>
      <c r="K686" s="3" t="s">
        <v>1060</v>
      </c>
      <c r="L686" s="3">
        <f>VLOOKUP(TRIM(Table1[[#This Row],[Provider Specialty]]) &amp; TRIM(Table1[[#This Row],[Provider Specialty Description]]), SPECIALTY_TYPE, 2, FALSE)</f>
        <v>2087</v>
      </c>
      <c r="M686" s="3" t="s">
        <v>18</v>
      </c>
      <c r="N686" s="27" t="s">
        <v>19</v>
      </c>
      <c r="O686" s="38">
        <f>VLOOKUP(TRIM(Table1[[#This Row],[Provider Specialty]]) &amp; TRIM(Table1[[#This Row],[Provider Specialty Description]]), SPECIALTY_TYPE, 2, FALSE)</f>
        <v>2087</v>
      </c>
      <c r="P686" s="3" t="str">
        <f>Table1[[#This Row],[Provider Type]] &amp; "+" &amp; Table1[[#This Row],[Provider Type Description]]</f>
        <v>32+Multi-Specialty</v>
      </c>
      <c r="Q686" s="7" t="str">
        <f>Table1[[#This Row],[Provider Specialty]] &amp; "+" &amp; Table1[[#This Row],[Provider Specialty Description]]</f>
        <v>327+Nuclear Medicine Practitioner</v>
      </c>
      <c r="R686" s="7" t="str">
        <f>Table1[[#This Row],[PDMS Specialty Type ID]] &amp; "+" &amp; Table1[[#This Row],[PDMS Provider Type ID]] &amp; "+" &amp;Table1[[#This Row],[TAXONOMY]]</f>
        <v>2087+50+207UN0902X</v>
      </c>
      <c r="S6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(9665, 2087, 50, N'207UN0902X', N'Nuclear Medicine - Nuclear Imaging &amp; Therapy')</v>
      </c>
    </row>
    <row r="687" spans="1:19" ht="47.25" hidden="1" customHeight="1" x14ac:dyDescent="0.25">
      <c r="A687" s="22" t="s">
        <v>1854</v>
      </c>
      <c r="B687" s="3" t="s">
        <v>988</v>
      </c>
      <c r="C687" s="3" t="s">
        <v>1168</v>
      </c>
      <c r="D687" s="3" t="s">
        <v>1172</v>
      </c>
      <c r="E687" s="3" t="s">
        <v>1173</v>
      </c>
      <c r="F687" s="3">
        <f>VLOOKUP(Table1[[#This Row],[Column2]], TAXONOMY_TYPE, 2, FALSE)</f>
        <v>9666</v>
      </c>
      <c r="G687" s="3">
        <v>33</v>
      </c>
      <c r="H687" s="3" t="s">
        <v>1953</v>
      </c>
      <c r="I687" s="3">
        <f>VLOOKUP(Table1[[#This Row],[Provider Type]] &amp; Table1[[#This Row],[Provider Type Description]], PROVIDER_TYPE, 2, FALSE)</f>
        <v>51</v>
      </c>
      <c r="J687" s="3">
        <v>327</v>
      </c>
      <c r="K687" s="3" t="s">
        <v>1060</v>
      </c>
      <c r="L687" s="3">
        <f>VLOOKUP(TRIM(Table1[[#This Row],[Provider Specialty]]) &amp; TRIM(Table1[[#This Row],[Provider Specialty Description]]), SPECIALTY_TYPE, 2, FALSE)</f>
        <v>2087</v>
      </c>
      <c r="M687" s="3" t="s">
        <v>18</v>
      </c>
      <c r="N687" s="27" t="s">
        <v>19</v>
      </c>
      <c r="O687" s="38">
        <f>VLOOKUP(TRIM(Table1[[#This Row],[Provider Specialty]]) &amp; TRIM(Table1[[#This Row],[Provider Specialty Description]]), SPECIALTY_TYPE, 2, FALSE)</f>
        <v>2087</v>
      </c>
      <c r="P687" s="3" t="str">
        <f>Table1[[#This Row],[Provider Type]] &amp; "+" &amp; Table1[[#This Row],[Provider Type Description]]</f>
        <v>33+Single-Specialty</v>
      </c>
      <c r="Q687" s="7" t="str">
        <f>Table1[[#This Row],[Provider Specialty]] &amp; "+" &amp; Table1[[#This Row],[Provider Specialty Description]]</f>
        <v>327+Nuclear Medicine Practitioner</v>
      </c>
      <c r="R687" s="7" t="str">
        <f>Table1[[#This Row],[PDMS Specialty Type ID]] &amp; "+" &amp; Table1[[#This Row],[PDMS Provider Type ID]] &amp; "+" &amp;Table1[[#This Row],[TAXONOMY]]</f>
        <v>2087+51+207UN0902X</v>
      </c>
      <c r="S6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(9666, 2087, 51, N'207UN0902X', N'Nuclear Medicine - Nuclear Imaging &amp; Therapy')</v>
      </c>
    </row>
    <row r="688" spans="1:19" ht="47.25" hidden="1" customHeight="1" x14ac:dyDescent="0.25">
      <c r="A688" s="22" t="s">
        <v>1855</v>
      </c>
      <c r="B688" s="3" t="s">
        <v>988</v>
      </c>
      <c r="C688" s="3" t="s">
        <v>1168</v>
      </c>
      <c r="D688" s="3" t="s">
        <v>1174</v>
      </c>
      <c r="E688" s="3" t="s">
        <v>1175</v>
      </c>
      <c r="F688" s="3">
        <f>VLOOKUP(Table1[[#This Row],[Column2]], TAXONOMY_TYPE, 2, FALSE)</f>
        <v>9667</v>
      </c>
      <c r="G688" s="3">
        <v>31</v>
      </c>
      <c r="H688" s="3" t="s">
        <v>991</v>
      </c>
      <c r="I688" s="3">
        <f>VLOOKUP(Table1[[#This Row],[Provider Type]] &amp; Table1[[#This Row],[Provider Type Description]], PROVIDER_TYPE, 2, FALSE)</f>
        <v>114</v>
      </c>
      <c r="J688" s="3">
        <v>327</v>
      </c>
      <c r="K688" s="3" t="s">
        <v>1060</v>
      </c>
      <c r="L688" s="3">
        <f>VLOOKUP(TRIM(Table1[[#This Row],[Provider Specialty]]) &amp; TRIM(Table1[[#This Row],[Provider Specialty Description]]), SPECIALTY_TYPE, 2, FALSE)</f>
        <v>2087</v>
      </c>
      <c r="M688" s="3" t="s">
        <v>19</v>
      </c>
      <c r="N688" s="27" t="s">
        <v>19</v>
      </c>
      <c r="O688" s="38">
        <f>VLOOKUP(TRIM(Table1[[#This Row],[Provider Specialty]]) &amp; TRIM(Table1[[#This Row],[Provider Specialty Description]]), SPECIALTY_TYPE, 2, FALSE)</f>
        <v>2087</v>
      </c>
      <c r="P688" s="3" t="str">
        <f>Table1[[#This Row],[Provider Type]] &amp; "+" &amp; Table1[[#This Row],[Provider Type Description]]</f>
        <v>31+Physician</v>
      </c>
      <c r="Q688" s="7" t="str">
        <f>Table1[[#This Row],[Provider Specialty]] &amp; "+" &amp; Table1[[#This Row],[Provider Specialty Description]]</f>
        <v>327+Nuclear Medicine Practitioner</v>
      </c>
      <c r="R688" s="7" t="str">
        <f>Table1[[#This Row],[PDMS Specialty Type ID]] &amp; "+" &amp; Table1[[#This Row],[PDMS Provider Type ID]] &amp; "+" &amp;Table1[[#This Row],[TAXONOMY]]</f>
        <v>2087+114+207UN0903X</v>
      </c>
      <c r="S6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(9667, 2087, 114, N'207UN0903X', N'Nuclear Medicine - In Vivo &amp; In Vitro Nuclear Medicine')</v>
      </c>
    </row>
    <row r="689" spans="1:19" ht="47.25" hidden="1" customHeight="1" x14ac:dyDescent="0.25">
      <c r="A689" s="22" t="s">
        <v>1854</v>
      </c>
      <c r="B689" s="3" t="s">
        <v>988</v>
      </c>
      <c r="C689" s="3" t="s">
        <v>1168</v>
      </c>
      <c r="D689" s="3" t="s">
        <v>1174</v>
      </c>
      <c r="E689" s="3" t="s">
        <v>1175</v>
      </c>
      <c r="F689" s="3">
        <f>VLOOKUP(Table1[[#This Row],[Column2]], TAXONOMY_TYPE, 2, FALSE)</f>
        <v>9668</v>
      </c>
      <c r="G689" s="3">
        <v>32</v>
      </c>
      <c r="H689" s="3" t="s">
        <v>1444</v>
      </c>
      <c r="I689" s="3">
        <f>VLOOKUP(Table1[[#This Row],[Provider Type]] &amp; Table1[[#This Row],[Provider Type Description]], PROVIDER_TYPE, 2, FALSE)</f>
        <v>50</v>
      </c>
      <c r="J689" s="3">
        <v>327</v>
      </c>
      <c r="K689" s="3" t="s">
        <v>1060</v>
      </c>
      <c r="L689" s="3">
        <f>VLOOKUP(TRIM(Table1[[#This Row],[Provider Specialty]]) &amp; TRIM(Table1[[#This Row],[Provider Specialty Description]]), SPECIALTY_TYPE, 2, FALSE)</f>
        <v>2087</v>
      </c>
      <c r="M689" s="3" t="s">
        <v>18</v>
      </c>
      <c r="N689" s="27" t="s">
        <v>19</v>
      </c>
      <c r="O689" s="38">
        <f>VLOOKUP(TRIM(Table1[[#This Row],[Provider Specialty]]) &amp; TRIM(Table1[[#This Row],[Provider Specialty Description]]), SPECIALTY_TYPE, 2, FALSE)</f>
        <v>2087</v>
      </c>
      <c r="P689" s="3" t="str">
        <f>Table1[[#This Row],[Provider Type]] &amp; "+" &amp; Table1[[#This Row],[Provider Type Description]]</f>
        <v>32+Multi-Specialty</v>
      </c>
      <c r="Q689" s="7" t="str">
        <f>Table1[[#This Row],[Provider Specialty]] &amp; "+" &amp; Table1[[#This Row],[Provider Specialty Description]]</f>
        <v>327+Nuclear Medicine Practitioner</v>
      </c>
      <c r="R689" s="7" t="str">
        <f>Table1[[#This Row],[PDMS Specialty Type ID]] &amp; "+" &amp; Table1[[#This Row],[PDMS Provider Type ID]] &amp; "+" &amp;Table1[[#This Row],[TAXONOMY]]</f>
        <v>2087+50+207UN0903X</v>
      </c>
      <c r="S6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(9668, 2087, 50, N'207UN0903X', N'Nuclear Medicine - In Vivo &amp; In Vitro Nuclear Medicine')</v>
      </c>
    </row>
    <row r="690" spans="1:19" ht="47.25" hidden="1" customHeight="1" x14ac:dyDescent="0.25">
      <c r="A690" s="22" t="s">
        <v>1854</v>
      </c>
      <c r="B690" s="3" t="s">
        <v>988</v>
      </c>
      <c r="C690" s="3" t="s">
        <v>1168</v>
      </c>
      <c r="D690" s="3" t="s">
        <v>1174</v>
      </c>
      <c r="E690" s="3" t="s">
        <v>1175</v>
      </c>
      <c r="F690" s="3">
        <f>VLOOKUP(Table1[[#This Row],[Column2]], TAXONOMY_TYPE, 2, FALSE)</f>
        <v>9669</v>
      </c>
      <c r="G690" s="3">
        <v>33</v>
      </c>
      <c r="H690" s="3" t="s">
        <v>1953</v>
      </c>
      <c r="I690" s="3">
        <f>VLOOKUP(Table1[[#This Row],[Provider Type]] &amp; Table1[[#This Row],[Provider Type Description]], PROVIDER_TYPE, 2, FALSE)</f>
        <v>51</v>
      </c>
      <c r="J690" s="3">
        <v>327</v>
      </c>
      <c r="K690" s="3" t="s">
        <v>1060</v>
      </c>
      <c r="L690" s="3">
        <f>VLOOKUP(TRIM(Table1[[#This Row],[Provider Specialty]]) &amp; TRIM(Table1[[#This Row],[Provider Specialty Description]]), SPECIALTY_TYPE, 2, FALSE)</f>
        <v>2087</v>
      </c>
      <c r="M690" s="3" t="s">
        <v>18</v>
      </c>
      <c r="N690" s="27" t="s">
        <v>19</v>
      </c>
      <c r="O690" s="38">
        <f>VLOOKUP(TRIM(Table1[[#This Row],[Provider Specialty]]) &amp; TRIM(Table1[[#This Row],[Provider Specialty Description]]), SPECIALTY_TYPE, 2, FALSE)</f>
        <v>2087</v>
      </c>
      <c r="P690" s="3" t="str">
        <f>Table1[[#This Row],[Provider Type]] &amp; "+" &amp; Table1[[#This Row],[Provider Type Description]]</f>
        <v>33+Single-Specialty</v>
      </c>
      <c r="Q690" s="7" t="str">
        <f>Table1[[#This Row],[Provider Specialty]] &amp; "+" &amp; Table1[[#This Row],[Provider Specialty Description]]</f>
        <v>327+Nuclear Medicine Practitioner</v>
      </c>
      <c r="R690" s="7" t="str">
        <f>Table1[[#This Row],[PDMS Specialty Type ID]] &amp; "+" &amp; Table1[[#This Row],[PDMS Provider Type ID]] &amp; "+" &amp;Table1[[#This Row],[TAXONOMY]]</f>
        <v>2087+51+207UN0903X</v>
      </c>
      <c r="S6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(9669, 2087, 51, N'207UN0903X', N'Nuclear Medicine - In Vivo &amp; In Vitro Nuclear Medicine')</v>
      </c>
    </row>
    <row r="691" spans="1:19" ht="47.25" hidden="1" customHeight="1" x14ac:dyDescent="0.25">
      <c r="A691" s="22" t="s">
        <v>1855</v>
      </c>
      <c r="B691" s="3" t="s">
        <v>988</v>
      </c>
      <c r="C691" s="3" t="s">
        <v>1032</v>
      </c>
      <c r="D691" s="3" t="s">
        <v>1032</v>
      </c>
      <c r="E691" s="3" t="s">
        <v>1176</v>
      </c>
      <c r="F691" s="3">
        <f>VLOOKUP(Table1[[#This Row],[Column2]], TAXONOMY_TYPE, 2, FALSE)</f>
        <v>9670</v>
      </c>
      <c r="G691" s="3">
        <v>31</v>
      </c>
      <c r="H691" s="3" t="s">
        <v>991</v>
      </c>
      <c r="I691" s="3">
        <f>VLOOKUP(Table1[[#This Row],[Provider Type]] &amp; Table1[[#This Row],[Provider Type Description]], PROVIDER_TYPE, 2, FALSE)</f>
        <v>114</v>
      </c>
      <c r="J691" s="3">
        <v>328</v>
      </c>
      <c r="K691" s="3" t="s">
        <v>1177</v>
      </c>
      <c r="L691" s="3">
        <f>VLOOKUP(TRIM(Table1[[#This Row],[Provider Specialty]]) &amp; TRIM(Table1[[#This Row],[Provider Specialty Description]]), SPECIALTY_TYPE, 2, FALSE)</f>
        <v>2088</v>
      </c>
      <c r="M691" s="3" t="s">
        <v>19</v>
      </c>
      <c r="N691" s="27" t="s">
        <v>19</v>
      </c>
      <c r="O691" s="38">
        <f>VLOOKUP(TRIM(Table1[[#This Row],[Provider Specialty]]) &amp; TRIM(Table1[[#This Row],[Provider Specialty Description]]), SPECIALTY_TYPE, 2, FALSE)</f>
        <v>2088</v>
      </c>
      <c r="P691" s="3" t="str">
        <f>Table1[[#This Row],[Provider Type]] &amp; "+" &amp; Table1[[#This Row],[Provider Type Description]]</f>
        <v>31+Physician</v>
      </c>
      <c r="Q691" s="7" t="str">
        <f>Table1[[#This Row],[Provider Specialty]] &amp; "+" &amp; Table1[[#This Row],[Provider Specialty Description]]</f>
        <v>328+Obstetrician/Gynecologist</v>
      </c>
      <c r="R691" s="7" t="str">
        <f>Table1[[#This Row],[PDMS Specialty Type ID]] &amp; "+" &amp; Table1[[#This Row],[PDMS Provider Type ID]] &amp; "+" &amp;Table1[[#This Row],[TAXONOMY]]</f>
        <v>2088+114+207V00000X</v>
      </c>
      <c r="S6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(9670, 2088, 114, N'207V00000X', N'Obstetrics &amp; Gynecology - Obstetrics &amp; Gynecology')</v>
      </c>
    </row>
    <row r="692" spans="1:19" ht="47.25" hidden="1" customHeight="1" x14ac:dyDescent="0.25">
      <c r="A692" s="22" t="s">
        <v>1854</v>
      </c>
      <c r="B692" s="3" t="s">
        <v>988</v>
      </c>
      <c r="C692" s="3" t="s">
        <v>1032</v>
      </c>
      <c r="D692" s="3" t="s">
        <v>1032</v>
      </c>
      <c r="E692" s="3" t="s">
        <v>1176</v>
      </c>
      <c r="F692" s="3">
        <f>VLOOKUP(Table1[[#This Row],[Column2]], TAXONOMY_TYPE, 2, FALSE)</f>
        <v>9671</v>
      </c>
      <c r="G692" s="3">
        <v>32</v>
      </c>
      <c r="H692" s="3" t="s">
        <v>1444</v>
      </c>
      <c r="I692" s="3">
        <f>VLOOKUP(Table1[[#This Row],[Provider Type]] &amp; Table1[[#This Row],[Provider Type Description]], PROVIDER_TYPE, 2, FALSE)</f>
        <v>50</v>
      </c>
      <c r="J692" s="3">
        <v>328</v>
      </c>
      <c r="K692" s="3" t="s">
        <v>1177</v>
      </c>
      <c r="L692" s="3">
        <f>VLOOKUP(TRIM(Table1[[#This Row],[Provider Specialty]]) &amp; TRIM(Table1[[#This Row],[Provider Specialty Description]]), SPECIALTY_TYPE, 2, FALSE)</f>
        <v>2088</v>
      </c>
      <c r="M692" s="3" t="s">
        <v>18</v>
      </c>
      <c r="N692" s="27" t="s">
        <v>19</v>
      </c>
      <c r="O692" s="38">
        <f>VLOOKUP(TRIM(Table1[[#This Row],[Provider Specialty]]) &amp; TRIM(Table1[[#This Row],[Provider Specialty Description]]), SPECIALTY_TYPE, 2, FALSE)</f>
        <v>2088</v>
      </c>
      <c r="P692" s="3" t="str">
        <f>Table1[[#This Row],[Provider Type]] &amp; "+" &amp; Table1[[#This Row],[Provider Type Description]]</f>
        <v>32+Multi-Specialty</v>
      </c>
      <c r="Q692" s="7" t="str">
        <f>Table1[[#This Row],[Provider Specialty]] &amp; "+" &amp; Table1[[#This Row],[Provider Specialty Description]]</f>
        <v>328+Obstetrician/Gynecologist</v>
      </c>
      <c r="R692" s="7" t="str">
        <f>Table1[[#This Row],[PDMS Specialty Type ID]] &amp; "+" &amp; Table1[[#This Row],[PDMS Provider Type ID]] &amp; "+" &amp;Table1[[#This Row],[TAXONOMY]]</f>
        <v>2088+50+207V00000X</v>
      </c>
      <c r="S6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(9671, 2088, 50, N'207V00000X', N'Obstetrics &amp; Gynecology - Obstetrics &amp; Gynecology')</v>
      </c>
    </row>
    <row r="693" spans="1:19" ht="47.25" hidden="1" customHeight="1" x14ac:dyDescent="0.25">
      <c r="A693" s="22" t="s">
        <v>1854</v>
      </c>
      <c r="B693" s="3" t="s">
        <v>988</v>
      </c>
      <c r="C693" s="3" t="s">
        <v>1032</v>
      </c>
      <c r="D693" s="3" t="s">
        <v>1032</v>
      </c>
      <c r="E693" s="3" t="s">
        <v>1176</v>
      </c>
      <c r="F693" s="3">
        <f>VLOOKUP(Table1[[#This Row],[Column2]], TAXONOMY_TYPE, 2, FALSE)</f>
        <v>9672</v>
      </c>
      <c r="G693" s="3">
        <v>33</v>
      </c>
      <c r="H693" s="3" t="s">
        <v>1953</v>
      </c>
      <c r="I693" s="3">
        <f>VLOOKUP(Table1[[#This Row],[Provider Type]] &amp; Table1[[#This Row],[Provider Type Description]], PROVIDER_TYPE, 2, FALSE)</f>
        <v>51</v>
      </c>
      <c r="J693" s="3">
        <v>328</v>
      </c>
      <c r="K693" s="3" t="s">
        <v>1177</v>
      </c>
      <c r="L693" s="3">
        <f>VLOOKUP(TRIM(Table1[[#This Row],[Provider Specialty]]) &amp; TRIM(Table1[[#This Row],[Provider Specialty Description]]), SPECIALTY_TYPE, 2, FALSE)</f>
        <v>2088</v>
      </c>
      <c r="M693" s="3" t="s">
        <v>18</v>
      </c>
      <c r="N693" s="27" t="s">
        <v>19</v>
      </c>
      <c r="O693" s="38">
        <f>VLOOKUP(TRIM(Table1[[#This Row],[Provider Specialty]]) &amp; TRIM(Table1[[#This Row],[Provider Specialty Description]]), SPECIALTY_TYPE, 2, FALSE)</f>
        <v>2088</v>
      </c>
      <c r="P693" s="3" t="str">
        <f>Table1[[#This Row],[Provider Type]] &amp; "+" &amp; Table1[[#This Row],[Provider Type Description]]</f>
        <v>33+Single-Specialty</v>
      </c>
      <c r="Q693" s="7" t="str">
        <f>Table1[[#This Row],[Provider Specialty]] &amp; "+" &amp; Table1[[#This Row],[Provider Specialty Description]]</f>
        <v>328+Obstetrician/Gynecologist</v>
      </c>
      <c r="R693" s="7" t="str">
        <f>Table1[[#This Row],[PDMS Specialty Type ID]] &amp; "+" &amp; Table1[[#This Row],[PDMS Provider Type ID]] &amp; "+" &amp;Table1[[#This Row],[TAXONOMY]]</f>
        <v>2088+51+207V00000X</v>
      </c>
      <c r="S6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(9672, 2088, 51, N'207V00000X', N'Obstetrics &amp; Gynecology - Obstetrics &amp; Gynecology')</v>
      </c>
    </row>
    <row r="694" spans="1:19" ht="47.25" hidden="1" customHeight="1" x14ac:dyDescent="0.25">
      <c r="A694" s="22" t="s">
        <v>1855</v>
      </c>
      <c r="B694" s="3" t="s">
        <v>988</v>
      </c>
      <c r="C694" s="3" t="s">
        <v>1032</v>
      </c>
      <c r="D694" s="3" t="s">
        <v>1178</v>
      </c>
      <c r="E694" s="3" t="s">
        <v>1179</v>
      </c>
      <c r="F694" s="3">
        <f>VLOOKUP(Table1[[#This Row],[Column2]], TAXONOMY_TYPE, 2, FALSE)</f>
        <v>9673</v>
      </c>
      <c r="G694" s="3">
        <v>31</v>
      </c>
      <c r="H694" s="3" t="s">
        <v>991</v>
      </c>
      <c r="I694" s="3">
        <f>VLOOKUP(Table1[[#This Row],[Provider Type]] &amp; Table1[[#This Row],[Provider Type Description]], PROVIDER_TYPE, 2, FALSE)</f>
        <v>114</v>
      </c>
      <c r="J694" s="3">
        <v>328</v>
      </c>
      <c r="K694" s="3" t="s">
        <v>1177</v>
      </c>
      <c r="L694" s="3">
        <f>VLOOKUP(TRIM(Table1[[#This Row],[Provider Specialty]]) &amp; TRIM(Table1[[#This Row],[Provider Specialty Description]]), SPECIALTY_TYPE, 2, FALSE)</f>
        <v>2088</v>
      </c>
      <c r="M694" s="3" t="s">
        <v>19</v>
      </c>
      <c r="N694" s="27" t="s">
        <v>18</v>
      </c>
      <c r="O694" s="38">
        <f>VLOOKUP(TRIM(Table1[[#This Row],[Provider Specialty]]) &amp; TRIM(Table1[[#This Row],[Provider Specialty Description]]), SPECIALTY_TYPE, 2, FALSE)</f>
        <v>2088</v>
      </c>
      <c r="P694" s="3" t="str">
        <f>Table1[[#This Row],[Provider Type]] &amp; "+" &amp; Table1[[#This Row],[Provider Type Description]]</f>
        <v>31+Physician</v>
      </c>
      <c r="Q694" s="7" t="str">
        <f>Table1[[#This Row],[Provider Specialty]] &amp; "+" &amp; Table1[[#This Row],[Provider Specialty Description]]</f>
        <v>328+Obstetrician/Gynecologist</v>
      </c>
      <c r="R694" s="7" t="str">
        <f>Table1[[#This Row],[PDMS Specialty Type ID]] &amp; "+" &amp; Table1[[#This Row],[PDMS Provider Type ID]] &amp; "+" &amp;Table1[[#This Row],[TAXONOMY]]</f>
        <v>2088+114+207VB0002X</v>
      </c>
      <c r="S6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(9673, 2088, 114, N'207VB0002X', N'Obstetrics &amp; Gynecology - Bariatric Medicine****')</v>
      </c>
    </row>
    <row r="695" spans="1:19" ht="47.25" hidden="1" customHeight="1" x14ac:dyDescent="0.25">
      <c r="A695" s="22" t="s">
        <v>1854</v>
      </c>
      <c r="B695" s="3" t="s">
        <v>988</v>
      </c>
      <c r="C695" s="3" t="s">
        <v>1032</v>
      </c>
      <c r="D695" s="3" t="s">
        <v>1178</v>
      </c>
      <c r="E695" s="3" t="s">
        <v>1179</v>
      </c>
      <c r="F695" s="3">
        <f>VLOOKUP(Table1[[#This Row],[Column2]], TAXONOMY_TYPE, 2, FALSE)</f>
        <v>9674</v>
      </c>
      <c r="G695" s="3">
        <v>32</v>
      </c>
      <c r="H695" s="3" t="s">
        <v>1444</v>
      </c>
      <c r="I695" s="3">
        <f>VLOOKUP(Table1[[#This Row],[Provider Type]] &amp; Table1[[#This Row],[Provider Type Description]], PROVIDER_TYPE, 2, FALSE)</f>
        <v>50</v>
      </c>
      <c r="J695" s="3">
        <v>328</v>
      </c>
      <c r="K695" s="3" t="s">
        <v>1177</v>
      </c>
      <c r="L695" s="3">
        <f>VLOOKUP(TRIM(Table1[[#This Row],[Provider Specialty]]) &amp; TRIM(Table1[[#This Row],[Provider Specialty Description]]), SPECIALTY_TYPE, 2, FALSE)</f>
        <v>2088</v>
      </c>
      <c r="M695" s="3" t="s">
        <v>18</v>
      </c>
      <c r="N695" s="27" t="s">
        <v>19</v>
      </c>
      <c r="O695" s="38">
        <f>VLOOKUP(TRIM(Table1[[#This Row],[Provider Specialty]]) &amp; TRIM(Table1[[#This Row],[Provider Specialty Description]]), SPECIALTY_TYPE, 2, FALSE)</f>
        <v>2088</v>
      </c>
      <c r="P695" s="3" t="str">
        <f>Table1[[#This Row],[Provider Type]] &amp; "+" &amp; Table1[[#This Row],[Provider Type Description]]</f>
        <v>32+Multi-Specialty</v>
      </c>
      <c r="Q695" s="7" t="str">
        <f>Table1[[#This Row],[Provider Specialty]] &amp; "+" &amp; Table1[[#This Row],[Provider Specialty Description]]</f>
        <v>328+Obstetrician/Gynecologist</v>
      </c>
      <c r="R695" s="7" t="str">
        <f>Table1[[#This Row],[PDMS Specialty Type ID]] &amp; "+" &amp; Table1[[#This Row],[PDMS Provider Type ID]] &amp; "+" &amp;Table1[[#This Row],[TAXONOMY]]</f>
        <v>2088+50+207VB0002X</v>
      </c>
      <c r="S6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(9674, 2088, 50, N'207VB0002X', N'Obstetrics &amp; Gynecology - Bariatric Medicine****')</v>
      </c>
    </row>
    <row r="696" spans="1:19" ht="47.25" hidden="1" customHeight="1" x14ac:dyDescent="0.25">
      <c r="A696" s="22" t="s">
        <v>1854</v>
      </c>
      <c r="B696" s="3" t="s">
        <v>988</v>
      </c>
      <c r="C696" s="3" t="s">
        <v>1032</v>
      </c>
      <c r="D696" s="3" t="s">
        <v>1178</v>
      </c>
      <c r="E696" s="3" t="s">
        <v>1179</v>
      </c>
      <c r="F696" s="3">
        <f>VLOOKUP(Table1[[#This Row],[Column2]], TAXONOMY_TYPE, 2, FALSE)</f>
        <v>9675</v>
      </c>
      <c r="G696" s="3">
        <v>33</v>
      </c>
      <c r="H696" s="3" t="s">
        <v>1953</v>
      </c>
      <c r="I696" s="3">
        <f>VLOOKUP(Table1[[#This Row],[Provider Type]] &amp; Table1[[#This Row],[Provider Type Description]], PROVIDER_TYPE, 2, FALSE)</f>
        <v>51</v>
      </c>
      <c r="J696" s="3">
        <v>328</v>
      </c>
      <c r="K696" s="3" t="s">
        <v>1177</v>
      </c>
      <c r="L696" s="3">
        <f>VLOOKUP(TRIM(Table1[[#This Row],[Provider Specialty]]) &amp; TRIM(Table1[[#This Row],[Provider Specialty Description]]), SPECIALTY_TYPE, 2, FALSE)</f>
        <v>2088</v>
      </c>
      <c r="M696" s="3" t="s">
        <v>18</v>
      </c>
      <c r="N696" s="27" t="s">
        <v>19</v>
      </c>
      <c r="O696" s="38">
        <f>VLOOKUP(TRIM(Table1[[#This Row],[Provider Specialty]]) &amp; TRIM(Table1[[#This Row],[Provider Specialty Description]]), SPECIALTY_TYPE, 2, FALSE)</f>
        <v>2088</v>
      </c>
      <c r="P696" s="3" t="str">
        <f>Table1[[#This Row],[Provider Type]] &amp; "+" &amp; Table1[[#This Row],[Provider Type Description]]</f>
        <v>33+Single-Specialty</v>
      </c>
      <c r="Q696" s="7" t="str">
        <f>Table1[[#This Row],[Provider Specialty]] &amp; "+" &amp; Table1[[#This Row],[Provider Specialty Description]]</f>
        <v>328+Obstetrician/Gynecologist</v>
      </c>
      <c r="R696" s="7" t="str">
        <f>Table1[[#This Row],[PDMS Specialty Type ID]] &amp; "+" &amp; Table1[[#This Row],[PDMS Provider Type ID]] &amp; "+" &amp;Table1[[#This Row],[TAXONOMY]]</f>
        <v>2088+51+207VB0002X</v>
      </c>
      <c r="S6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(9675, 2088, 51, N'207VB0002X', N'Obstetrics &amp; Gynecology - Bariatric Medicine****')</v>
      </c>
    </row>
    <row r="697" spans="1:19" ht="47.25" hidden="1" customHeight="1" x14ac:dyDescent="0.25">
      <c r="A697" s="22" t="s">
        <v>1855</v>
      </c>
      <c r="B697" s="3" t="s">
        <v>988</v>
      </c>
      <c r="C697" s="3" t="s">
        <v>1032</v>
      </c>
      <c r="D697" s="3" t="s">
        <v>1078</v>
      </c>
      <c r="E697" s="3" t="s">
        <v>1180</v>
      </c>
      <c r="F697" s="3">
        <f>VLOOKUP(Table1[[#This Row],[Column2]], TAXONOMY_TYPE, 2, FALSE)</f>
        <v>9676</v>
      </c>
      <c r="G697" s="3">
        <v>31</v>
      </c>
      <c r="H697" s="3" t="s">
        <v>991</v>
      </c>
      <c r="I697" s="3">
        <f>VLOOKUP(Table1[[#This Row],[Provider Type]] &amp; Table1[[#This Row],[Provider Type Description]], PROVIDER_TYPE, 2, FALSE)</f>
        <v>114</v>
      </c>
      <c r="J697" s="3">
        <v>328</v>
      </c>
      <c r="K697" s="3" t="s">
        <v>1177</v>
      </c>
      <c r="L697" s="3">
        <f>VLOOKUP(TRIM(Table1[[#This Row],[Provider Specialty]]) &amp; TRIM(Table1[[#This Row],[Provider Specialty Description]]), SPECIALTY_TYPE, 2, FALSE)</f>
        <v>2088</v>
      </c>
      <c r="M697" s="3" t="s">
        <v>19</v>
      </c>
      <c r="N697" s="27" t="s">
        <v>19</v>
      </c>
      <c r="O697" s="38">
        <f>VLOOKUP(TRIM(Table1[[#This Row],[Provider Specialty]]) &amp; TRIM(Table1[[#This Row],[Provider Specialty Description]]), SPECIALTY_TYPE, 2, FALSE)</f>
        <v>2088</v>
      </c>
      <c r="P697" s="3" t="str">
        <f>Table1[[#This Row],[Provider Type]] &amp; "+" &amp; Table1[[#This Row],[Provider Type Description]]</f>
        <v>31+Physician</v>
      </c>
      <c r="Q697" s="7" t="str">
        <f>Table1[[#This Row],[Provider Specialty]] &amp; "+" &amp; Table1[[#This Row],[Provider Specialty Description]]</f>
        <v>328+Obstetrician/Gynecologist</v>
      </c>
      <c r="R697" s="7" t="str">
        <f>Table1[[#This Row],[PDMS Specialty Type ID]] &amp; "+" &amp; Table1[[#This Row],[PDMS Provider Type ID]] &amp; "+" &amp;Table1[[#This Row],[TAXONOMY]]</f>
        <v>2088+114+207VC0200X</v>
      </c>
      <c r="S6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(9676, 2088, 114, N'207VC0200X', N'Obstetrics &amp; Gynecology - Critical Care Medicine')</v>
      </c>
    </row>
    <row r="698" spans="1:19" ht="47.25" hidden="1" customHeight="1" x14ac:dyDescent="0.25">
      <c r="A698" s="22" t="s">
        <v>1854</v>
      </c>
      <c r="B698" s="3" t="s">
        <v>988</v>
      </c>
      <c r="C698" s="3" t="s">
        <v>1032</v>
      </c>
      <c r="D698" s="3" t="s">
        <v>1078</v>
      </c>
      <c r="E698" s="3" t="s">
        <v>1180</v>
      </c>
      <c r="F698" s="3">
        <f>VLOOKUP(Table1[[#This Row],[Column2]], TAXONOMY_TYPE, 2, FALSE)</f>
        <v>9677</v>
      </c>
      <c r="G698" s="3">
        <v>32</v>
      </c>
      <c r="H698" s="3" t="s">
        <v>1444</v>
      </c>
      <c r="I698" s="3">
        <f>VLOOKUP(Table1[[#This Row],[Provider Type]] &amp; Table1[[#This Row],[Provider Type Description]], PROVIDER_TYPE, 2, FALSE)</f>
        <v>50</v>
      </c>
      <c r="J698" s="3">
        <v>328</v>
      </c>
      <c r="K698" s="3" t="s">
        <v>1177</v>
      </c>
      <c r="L698" s="3">
        <f>VLOOKUP(TRIM(Table1[[#This Row],[Provider Specialty]]) &amp; TRIM(Table1[[#This Row],[Provider Specialty Description]]), SPECIALTY_TYPE, 2, FALSE)</f>
        <v>2088</v>
      </c>
      <c r="M698" s="3" t="s">
        <v>18</v>
      </c>
      <c r="N698" s="27" t="s">
        <v>19</v>
      </c>
      <c r="O698" s="38">
        <f>VLOOKUP(TRIM(Table1[[#This Row],[Provider Specialty]]) &amp; TRIM(Table1[[#This Row],[Provider Specialty Description]]), SPECIALTY_TYPE, 2, FALSE)</f>
        <v>2088</v>
      </c>
      <c r="P698" s="3" t="str">
        <f>Table1[[#This Row],[Provider Type]] &amp; "+" &amp; Table1[[#This Row],[Provider Type Description]]</f>
        <v>32+Multi-Specialty</v>
      </c>
      <c r="Q698" s="7" t="str">
        <f>Table1[[#This Row],[Provider Specialty]] &amp; "+" &amp; Table1[[#This Row],[Provider Specialty Description]]</f>
        <v>328+Obstetrician/Gynecologist</v>
      </c>
      <c r="R698" s="7" t="str">
        <f>Table1[[#This Row],[PDMS Specialty Type ID]] &amp; "+" &amp; Table1[[#This Row],[PDMS Provider Type ID]] &amp; "+" &amp;Table1[[#This Row],[TAXONOMY]]</f>
        <v>2088+50+207VC0200X</v>
      </c>
      <c r="S6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(9677, 2088, 50, N'207VC0200X', N'Obstetrics &amp; Gynecology - Critical Care Medicine')</v>
      </c>
    </row>
    <row r="699" spans="1:19" ht="47.25" hidden="1" customHeight="1" x14ac:dyDescent="0.25">
      <c r="A699" s="22" t="s">
        <v>1854</v>
      </c>
      <c r="B699" s="3" t="s">
        <v>988</v>
      </c>
      <c r="C699" s="3" t="s">
        <v>1032</v>
      </c>
      <c r="D699" s="3" t="s">
        <v>1078</v>
      </c>
      <c r="E699" s="3" t="s">
        <v>1180</v>
      </c>
      <c r="F699" s="3">
        <f>VLOOKUP(Table1[[#This Row],[Column2]], TAXONOMY_TYPE, 2, FALSE)</f>
        <v>9678</v>
      </c>
      <c r="G699" s="3">
        <v>33</v>
      </c>
      <c r="H699" s="3" t="s">
        <v>1953</v>
      </c>
      <c r="I699" s="3">
        <f>VLOOKUP(Table1[[#This Row],[Provider Type]] &amp; Table1[[#This Row],[Provider Type Description]], PROVIDER_TYPE, 2, FALSE)</f>
        <v>51</v>
      </c>
      <c r="J699" s="3">
        <v>328</v>
      </c>
      <c r="K699" s="3" t="s">
        <v>1177</v>
      </c>
      <c r="L699" s="3">
        <f>VLOOKUP(TRIM(Table1[[#This Row],[Provider Specialty]]) &amp; TRIM(Table1[[#This Row],[Provider Specialty Description]]), SPECIALTY_TYPE, 2, FALSE)</f>
        <v>2088</v>
      </c>
      <c r="M699" s="3" t="s">
        <v>18</v>
      </c>
      <c r="N699" s="27" t="s">
        <v>19</v>
      </c>
      <c r="O699" s="38">
        <f>VLOOKUP(TRIM(Table1[[#This Row],[Provider Specialty]]) &amp; TRIM(Table1[[#This Row],[Provider Specialty Description]]), SPECIALTY_TYPE, 2, FALSE)</f>
        <v>2088</v>
      </c>
      <c r="P699" s="3" t="str">
        <f>Table1[[#This Row],[Provider Type]] &amp; "+" &amp; Table1[[#This Row],[Provider Type Description]]</f>
        <v>33+Single-Specialty</v>
      </c>
      <c r="Q699" s="7" t="str">
        <f>Table1[[#This Row],[Provider Specialty]] &amp; "+" &amp; Table1[[#This Row],[Provider Specialty Description]]</f>
        <v>328+Obstetrician/Gynecologist</v>
      </c>
      <c r="R699" s="7" t="str">
        <f>Table1[[#This Row],[PDMS Specialty Type ID]] &amp; "+" &amp; Table1[[#This Row],[PDMS Provider Type ID]] &amp; "+" &amp;Table1[[#This Row],[TAXONOMY]]</f>
        <v>2088+51+207VC0200X</v>
      </c>
      <c r="S6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(9678, 2088, 51, N'207VC0200X', N'Obstetrics &amp; Gynecology - Critical Care Medicine')</v>
      </c>
    </row>
    <row r="700" spans="1:19" ht="47.25" hidden="1" customHeight="1" x14ac:dyDescent="0.25">
      <c r="A700" s="22" t="s">
        <v>1855</v>
      </c>
      <c r="B700" s="3" t="s">
        <v>988</v>
      </c>
      <c r="C700" s="3" t="s">
        <v>1032</v>
      </c>
      <c r="D700" s="3" t="s">
        <v>1181</v>
      </c>
      <c r="E700" s="3" t="s">
        <v>1182</v>
      </c>
      <c r="F700" s="3">
        <f>VLOOKUP(Table1[[#This Row],[Column2]], TAXONOMY_TYPE, 2, FALSE)</f>
        <v>9679</v>
      </c>
      <c r="G700" s="3">
        <v>31</v>
      </c>
      <c r="H700" s="3" t="s">
        <v>991</v>
      </c>
      <c r="I700" s="3">
        <f>VLOOKUP(Table1[[#This Row],[Provider Type]] &amp; Table1[[#This Row],[Provider Type Description]], PROVIDER_TYPE, 2, FALSE)</f>
        <v>114</v>
      </c>
      <c r="J700" s="3">
        <v>328</v>
      </c>
      <c r="K700" s="3" t="s">
        <v>1177</v>
      </c>
      <c r="L700" s="3">
        <f>VLOOKUP(TRIM(Table1[[#This Row],[Provider Specialty]]) &amp; TRIM(Table1[[#This Row],[Provider Specialty Description]]), SPECIALTY_TYPE, 2, FALSE)</f>
        <v>2088</v>
      </c>
      <c r="M700" s="3" t="s">
        <v>19</v>
      </c>
      <c r="N700" s="27" t="s">
        <v>19</v>
      </c>
      <c r="O700" s="38">
        <f>VLOOKUP(TRIM(Table1[[#This Row],[Provider Specialty]]) &amp; TRIM(Table1[[#This Row],[Provider Specialty Description]]), SPECIALTY_TYPE, 2, FALSE)</f>
        <v>2088</v>
      </c>
      <c r="P700" s="3" t="str">
        <f>Table1[[#This Row],[Provider Type]] &amp; "+" &amp; Table1[[#This Row],[Provider Type Description]]</f>
        <v>31+Physician</v>
      </c>
      <c r="Q700" s="7" t="str">
        <f>Table1[[#This Row],[Provider Specialty]] &amp; "+" &amp; Table1[[#This Row],[Provider Specialty Description]]</f>
        <v>328+Obstetrician/Gynecologist</v>
      </c>
      <c r="R700" s="7" t="str">
        <f>Table1[[#This Row],[PDMS Specialty Type ID]] &amp; "+" &amp; Table1[[#This Row],[PDMS Provider Type ID]] &amp; "+" &amp;Table1[[#This Row],[TAXONOMY]]</f>
        <v>2088+114+207VE0102X</v>
      </c>
      <c r="S7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(9679, 2088, 114, N'207VE0102X', N'Obstetrics &amp; Gynecology - Reproductive Endocrinology')</v>
      </c>
    </row>
    <row r="701" spans="1:19" ht="47.25" hidden="1" customHeight="1" x14ac:dyDescent="0.25">
      <c r="A701" s="22" t="s">
        <v>1854</v>
      </c>
      <c r="B701" s="3" t="s">
        <v>988</v>
      </c>
      <c r="C701" s="3" t="s">
        <v>1032</v>
      </c>
      <c r="D701" s="3" t="s">
        <v>1181</v>
      </c>
      <c r="E701" s="3" t="s">
        <v>1182</v>
      </c>
      <c r="F701" s="3">
        <f>VLOOKUP(Table1[[#This Row],[Column2]], TAXONOMY_TYPE, 2, FALSE)</f>
        <v>9680</v>
      </c>
      <c r="G701" s="3">
        <v>32</v>
      </c>
      <c r="H701" s="3" t="s">
        <v>1444</v>
      </c>
      <c r="I701" s="3">
        <f>VLOOKUP(Table1[[#This Row],[Provider Type]] &amp; Table1[[#This Row],[Provider Type Description]], PROVIDER_TYPE, 2, FALSE)</f>
        <v>50</v>
      </c>
      <c r="J701" s="3">
        <v>328</v>
      </c>
      <c r="K701" s="3" t="s">
        <v>1177</v>
      </c>
      <c r="L701" s="3">
        <f>VLOOKUP(TRIM(Table1[[#This Row],[Provider Specialty]]) &amp; TRIM(Table1[[#This Row],[Provider Specialty Description]]), SPECIALTY_TYPE, 2, FALSE)</f>
        <v>2088</v>
      </c>
      <c r="M701" s="3" t="s">
        <v>18</v>
      </c>
      <c r="N701" s="27" t="s">
        <v>19</v>
      </c>
      <c r="O701" s="38">
        <f>VLOOKUP(TRIM(Table1[[#This Row],[Provider Specialty]]) &amp; TRIM(Table1[[#This Row],[Provider Specialty Description]]), SPECIALTY_TYPE, 2, FALSE)</f>
        <v>2088</v>
      </c>
      <c r="P701" s="3" t="str">
        <f>Table1[[#This Row],[Provider Type]] &amp; "+" &amp; Table1[[#This Row],[Provider Type Description]]</f>
        <v>32+Multi-Specialty</v>
      </c>
      <c r="Q701" s="7" t="str">
        <f>Table1[[#This Row],[Provider Specialty]] &amp; "+" &amp; Table1[[#This Row],[Provider Specialty Description]]</f>
        <v>328+Obstetrician/Gynecologist</v>
      </c>
      <c r="R701" s="7" t="str">
        <f>Table1[[#This Row],[PDMS Specialty Type ID]] &amp; "+" &amp; Table1[[#This Row],[PDMS Provider Type ID]] &amp; "+" &amp;Table1[[#This Row],[TAXONOMY]]</f>
        <v>2088+50+207VE0102X</v>
      </c>
      <c r="S7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(9680, 2088, 50, N'207VE0102X', N'Obstetrics &amp; Gynecology - Reproductive Endocrinology')</v>
      </c>
    </row>
    <row r="702" spans="1:19" ht="47.25" hidden="1" customHeight="1" x14ac:dyDescent="0.25">
      <c r="A702" s="22" t="s">
        <v>1854</v>
      </c>
      <c r="B702" s="3" t="s">
        <v>988</v>
      </c>
      <c r="C702" s="3" t="s">
        <v>1032</v>
      </c>
      <c r="D702" s="3" t="s">
        <v>1181</v>
      </c>
      <c r="E702" s="3" t="s">
        <v>1182</v>
      </c>
      <c r="F702" s="3">
        <f>VLOOKUP(Table1[[#This Row],[Column2]], TAXONOMY_TYPE, 2, FALSE)</f>
        <v>9681</v>
      </c>
      <c r="G702" s="3">
        <v>33</v>
      </c>
      <c r="H702" s="3" t="s">
        <v>1953</v>
      </c>
      <c r="I702" s="3">
        <f>VLOOKUP(Table1[[#This Row],[Provider Type]] &amp; Table1[[#This Row],[Provider Type Description]], PROVIDER_TYPE, 2, FALSE)</f>
        <v>51</v>
      </c>
      <c r="J702" s="3">
        <v>328</v>
      </c>
      <c r="K702" s="3" t="s">
        <v>1177</v>
      </c>
      <c r="L702" s="3">
        <f>VLOOKUP(TRIM(Table1[[#This Row],[Provider Specialty]]) &amp; TRIM(Table1[[#This Row],[Provider Specialty Description]]), SPECIALTY_TYPE, 2, FALSE)</f>
        <v>2088</v>
      </c>
      <c r="M702" s="3" t="s">
        <v>18</v>
      </c>
      <c r="N702" s="27" t="s">
        <v>19</v>
      </c>
      <c r="O702" s="38">
        <f>VLOOKUP(TRIM(Table1[[#This Row],[Provider Specialty]]) &amp; TRIM(Table1[[#This Row],[Provider Specialty Description]]), SPECIALTY_TYPE, 2, FALSE)</f>
        <v>2088</v>
      </c>
      <c r="P702" s="3" t="str">
        <f>Table1[[#This Row],[Provider Type]] &amp; "+" &amp; Table1[[#This Row],[Provider Type Description]]</f>
        <v>33+Single-Specialty</v>
      </c>
      <c r="Q702" s="7" t="str">
        <f>Table1[[#This Row],[Provider Specialty]] &amp; "+" &amp; Table1[[#This Row],[Provider Specialty Description]]</f>
        <v>328+Obstetrician/Gynecologist</v>
      </c>
      <c r="R702" s="7" t="str">
        <f>Table1[[#This Row],[PDMS Specialty Type ID]] &amp; "+" &amp; Table1[[#This Row],[PDMS Provider Type ID]] &amp; "+" &amp;Table1[[#This Row],[TAXONOMY]]</f>
        <v>2088+51+207VE0102X</v>
      </c>
      <c r="S7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(9681, 2088, 51, N'207VE0102X', N'Obstetrics &amp; Gynecology - Reproductive Endocrinology')</v>
      </c>
    </row>
    <row r="703" spans="1:19" ht="47.25" hidden="1" customHeight="1" x14ac:dyDescent="0.25">
      <c r="A703" s="22" t="s">
        <v>1855</v>
      </c>
      <c r="B703" s="3" t="s">
        <v>988</v>
      </c>
      <c r="C703" s="3" t="s">
        <v>1032</v>
      </c>
      <c r="D703" s="3" t="s">
        <v>1080</v>
      </c>
      <c r="E703" s="3" t="s">
        <v>1186</v>
      </c>
      <c r="F703" s="3">
        <f>VLOOKUP(Table1[[#This Row],[Column2]], TAXONOMY_TYPE, 2, FALSE)</f>
        <v>9682</v>
      </c>
      <c r="G703" s="3">
        <v>31</v>
      </c>
      <c r="H703" s="3" t="s">
        <v>991</v>
      </c>
      <c r="I703" s="3">
        <f>VLOOKUP(Table1[[#This Row],[Provider Type]] &amp; Table1[[#This Row],[Provider Type Description]], PROVIDER_TYPE, 2, FALSE)</f>
        <v>114</v>
      </c>
      <c r="J703" s="3">
        <v>328</v>
      </c>
      <c r="K703" s="3" t="s">
        <v>1177</v>
      </c>
      <c r="L703" s="3">
        <f>VLOOKUP(TRIM(Table1[[#This Row],[Provider Specialty]]) &amp; TRIM(Table1[[#This Row],[Provider Specialty Description]]), SPECIALTY_TYPE, 2, FALSE)</f>
        <v>2088</v>
      </c>
      <c r="M703" s="3" t="s">
        <v>19</v>
      </c>
      <c r="N703" s="27" t="s">
        <v>19</v>
      </c>
      <c r="O703" s="38">
        <f>VLOOKUP(TRIM(Table1[[#This Row],[Provider Specialty]]) &amp; TRIM(Table1[[#This Row],[Provider Specialty Description]]), SPECIALTY_TYPE, 2, FALSE)</f>
        <v>2088</v>
      </c>
      <c r="P703" s="3" t="str">
        <f>Table1[[#This Row],[Provider Type]] &amp; "+" &amp; Table1[[#This Row],[Provider Type Description]]</f>
        <v>31+Physician</v>
      </c>
      <c r="Q703" s="7" t="str">
        <f>Table1[[#This Row],[Provider Specialty]] &amp; "+" &amp; Table1[[#This Row],[Provider Specialty Description]]</f>
        <v>328+Obstetrician/Gynecologist</v>
      </c>
      <c r="R703" s="7" t="str">
        <f>Table1[[#This Row],[PDMS Specialty Type ID]] &amp; "+" &amp; Table1[[#This Row],[PDMS Provider Type ID]] &amp; "+" &amp;Table1[[#This Row],[TAXONOMY]]</f>
        <v>2088+114+207VH0002X</v>
      </c>
      <c r="S7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(9682, 2088, 114, N'207VH0002X', N'Obstetrics &amp; Gynecology - Hospice and Palliative Medicine**')</v>
      </c>
    </row>
    <row r="704" spans="1:19" ht="47.25" hidden="1" customHeight="1" x14ac:dyDescent="0.25">
      <c r="A704" s="22" t="s">
        <v>1854</v>
      </c>
      <c r="B704" s="3" t="s">
        <v>988</v>
      </c>
      <c r="C704" s="3" t="s">
        <v>1032</v>
      </c>
      <c r="D704" s="3" t="s">
        <v>1080</v>
      </c>
      <c r="E704" s="3" t="s">
        <v>1186</v>
      </c>
      <c r="F704" s="3">
        <f>VLOOKUP(Table1[[#This Row],[Column2]], TAXONOMY_TYPE, 2, FALSE)</f>
        <v>9683</v>
      </c>
      <c r="G704" s="3">
        <v>32</v>
      </c>
      <c r="H704" s="3" t="s">
        <v>1444</v>
      </c>
      <c r="I704" s="3">
        <f>VLOOKUP(Table1[[#This Row],[Provider Type]] &amp; Table1[[#This Row],[Provider Type Description]], PROVIDER_TYPE, 2, FALSE)</f>
        <v>50</v>
      </c>
      <c r="J704" s="3">
        <v>328</v>
      </c>
      <c r="K704" s="3" t="s">
        <v>1177</v>
      </c>
      <c r="L704" s="3">
        <f>VLOOKUP(TRIM(Table1[[#This Row],[Provider Specialty]]) &amp; TRIM(Table1[[#This Row],[Provider Specialty Description]]), SPECIALTY_TYPE, 2, FALSE)</f>
        <v>2088</v>
      </c>
      <c r="M704" s="3" t="s">
        <v>18</v>
      </c>
      <c r="N704" s="27" t="s">
        <v>19</v>
      </c>
      <c r="O704" s="38">
        <f>VLOOKUP(TRIM(Table1[[#This Row],[Provider Specialty]]) &amp; TRIM(Table1[[#This Row],[Provider Specialty Description]]), SPECIALTY_TYPE, 2, FALSE)</f>
        <v>2088</v>
      </c>
      <c r="P704" s="3" t="str">
        <f>Table1[[#This Row],[Provider Type]] &amp; "+" &amp; Table1[[#This Row],[Provider Type Description]]</f>
        <v>32+Multi-Specialty</v>
      </c>
      <c r="Q704" s="7" t="str">
        <f>Table1[[#This Row],[Provider Specialty]] &amp; "+" &amp; Table1[[#This Row],[Provider Specialty Description]]</f>
        <v>328+Obstetrician/Gynecologist</v>
      </c>
      <c r="R704" s="7" t="str">
        <f>Table1[[#This Row],[PDMS Specialty Type ID]] &amp; "+" &amp; Table1[[#This Row],[PDMS Provider Type ID]] &amp; "+" &amp;Table1[[#This Row],[TAXONOMY]]</f>
        <v>2088+50+207VH0002X</v>
      </c>
      <c r="S7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(9683, 2088, 50, N'207VH0002X', N'Obstetrics &amp; Gynecology - Hospice and Palliative Medicine**')</v>
      </c>
    </row>
    <row r="705" spans="1:19" ht="47.25" hidden="1" customHeight="1" x14ac:dyDescent="0.25">
      <c r="A705" s="22" t="s">
        <v>1854</v>
      </c>
      <c r="B705" s="3" t="s">
        <v>988</v>
      </c>
      <c r="C705" s="3" t="s">
        <v>1032</v>
      </c>
      <c r="D705" s="3" t="s">
        <v>1080</v>
      </c>
      <c r="E705" s="3" t="s">
        <v>1186</v>
      </c>
      <c r="F705" s="3">
        <f>VLOOKUP(Table1[[#This Row],[Column2]], TAXONOMY_TYPE, 2, FALSE)</f>
        <v>9684</v>
      </c>
      <c r="G705" s="3">
        <v>33</v>
      </c>
      <c r="H705" s="3" t="s">
        <v>1953</v>
      </c>
      <c r="I705" s="3">
        <f>VLOOKUP(Table1[[#This Row],[Provider Type]] &amp; Table1[[#This Row],[Provider Type Description]], PROVIDER_TYPE, 2, FALSE)</f>
        <v>51</v>
      </c>
      <c r="J705" s="3">
        <v>328</v>
      </c>
      <c r="K705" s="3" t="s">
        <v>1177</v>
      </c>
      <c r="L705" s="3">
        <f>VLOOKUP(TRIM(Table1[[#This Row],[Provider Specialty]]) &amp; TRIM(Table1[[#This Row],[Provider Specialty Description]]), SPECIALTY_TYPE, 2, FALSE)</f>
        <v>2088</v>
      </c>
      <c r="M705" s="3" t="s">
        <v>18</v>
      </c>
      <c r="N705" s="27" t="s">
        <v>19</v>
      </c>
      <c r="O705" s="38">
        <f>VLOOKUP(TRIM(Table1[[#This Row],[Provider Specialty]]) &amp; TRIM(Table1[[#This Row],[Provider Specialty Description]]), SPECIALTY_TYPE, 2, FALSE)</f>
        <v>2088</v>
      </c>
      <c r="P705" s="3" t="str">
        <f>Table1[[#This Row],[Provider Type]] &amp; "+" &amp; Table1[[#This Row],[Provider Type Description]]</f>
        <v>33+Single-Specialty</v>
      </c>
      <c r="Q705" s="7" t="str">
        <f>Table1[[#This Row],[Provider Specialty]] &amp; "+" &amp; Table1[[#This Row],[Provider Specialty Description]]</f>
        <v>328+Obstetrician/Gynecologist</v>
      </c>
      <c r="R705" s="7" t="str">
        <f>Table1[[#This Row],[PDMS Specialty Type ID]] &amp; "+" &amp; Table1[[#This Row],[PDMS Provider Type ID]] &amp; "+" &amp;Table1[[#This Row],[TAXONOMY]]</f>
        <v>2088+51+207VH0002X</v>
      </c>
      <c r="S7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(9684, 2088, 51, N'207VH0002X', N'Obstetrics &amp; Gynecology - Hospice and Palliative Medicine**')</v>
      </c>
    </row>
    <row r="706" spans="1:19" ht="47.25" hidden="1" customHeight="1" x14ac:dyDescent="0.25">
      <c r="A706" s="22" t="s">
        <v>1855</v>
      </c>
      <c r="B706" s="3" t="s">
        <v>1262</v>
      </c>
      <c r="C706" s="3" t="s">
        <v>331</v>
      </c>
      <c r="D706" s="3" t="s">
        <v>1437</v>
      </c>
      <c r="E706" s="3" t="s">
        <v>1438</v>
      </c>
      <c r="F706" s="3">
        <f>VLOOKUP(Table1[[#This Row],[Column2]], TAXONOMY_TYPE, 2, FALSE)</f>
        <v>9685</v>
      </c>
      <c r="G706" s="3">
        <v>31</v>
      </c>
      <c r="H706" s="3" t="s">
        <v>991</v>
      </c>
      <c r="I706" s="3">
        <f>VLOOKUP(Table1[[#This Row],[Provider Type]] &amp; Table1[[#This Row],[Provider Type Description]], PROVIDER_TYPE, 2, FALSE)</f>
        <v>114</v>
      </c>
      <c r="J706" s="3">
        <v>328</v>
      </c>
      <c r="K706" s="3" t="s">
        <v>1177</v>
      </c>
      <c r="L706" s="3">
        <f>VLOOKUP(TRIM(Table1[[#This Row],[Provider Specialty]]) &amp; TRIM(Table1[[#This Row],[Provider Specialty Description]]), SPECIALTY_TYPE, 2, FALSE)</f>
        <v>2088</v>
      </c>
      <c r="M706" s="3" t="s">
        <v>19</v>
      </c>
      <c r="N706" s="27" t="s">
        <v>19</v>
      </c>
      <c r="O706" s="38">
        <f>VLOOKUP(TRIM(Table1[[#This Row],[Provider Specialty]]) &amp; TRIM(Table1[[#This Row],[Provider Specialty Description]]), SPECIALTY_TYPE, 2, FALSE)</f>
        <v>2088</v>
      </c>
      <c r="P706" s="3" t="str">
        <f>Table1[[#This Row],[Provider Type]] &amp; "+" &amp; Table1[[#This Row],[Provider Type Description]]</f>
        <v>31+Physician</v>
      </c>
      <c r="Q706" s="7" t="str">
        <f>Table1[[#This Row],[Provider Specialty]] &amp; "+" &amp; Table1[[#This Row],[Provider Specialty Description]]</f>
        <v>328+Obstetrician/Gynecologist</v>
      </c>
      <c r="R706" s="7" t="str">
        <f>Table1[[#This Row],[PDMS Specialty Type ID]] &amp; "+" &amp; Table1[[#This Row],[PDMS Provider Type ID]] &amp; "+" &amp;Table1[[#This Row],[TAXONOMY]]</f>
        <v>2088+114+207VF0040X</v>
      </c>
      <c r="S7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(9685, 2088, 114, N'207VF0040X', N'Obstetrics &amp; Gynecology - Female Pelvic Medicine and Reconstructive Surgery')</v>
      </c>
    </row>
    <row r="707" spans="1:19" ht="47.25" hidden="1" customHeight="1" x14ac:dyDescent="0.25">
      <c r="A707" s="22" t="s">
        <v>1854</v>
      </c>
      <c r="B707" s="3" t="s">
        <v>1262</v>
      </c>
      <c r="C707" s="3" t="s">
        <v>331</v>
      </c>
      <c r="D707" s="3" t="s">
        <v>1437</v>
      </c>
      <c r="E707" s="3" t="s">
        <v>1438</v>
      </c>
      <c r="F707" s="3">
        <f>VLOOKUP(Table1[[#This Row],[Column2]], TAXONOMY_TYPE, 2, FALSE)</f>
        <v>9686</v>
      </c>
      <c r="G707" s="3">
        <v>32</v>
      </c>
      <c r="H707" s="3" t="s">
        <v>1444</v>
      </c>
      <c r="I707" s="3">
        <f>VLOOKUP(Table1[[#This Row],[Provider Type]] &amp; Table1[[#This Row],[Provider Type Description]], PROVIDER_TYPE, 2, FALSE)</f>
        <v>50</v>
      </c>
      <c r="J707" s="3">
        <v>328</v>
      </c>
      <c r="K707" s="3" t="s">
        <v>1177</v>
      </c>
      <c r="L707" s="3">
        <f>VLOOKUP(TRIM(Table1[[#This Row],[Provider Specialty]]) &amp; TRIM(Table1[[#This Row],[Provider Specialty Description]]), SPECIALTY_TYPE, 2, FALSE)</f>
        <v>2088</v>
      </c>
      <c r="M707" s="3" t="s">
        <v>18</v>
      </c>
      <c r="N707" s="27" t="s">
        <v>19</v>
      </c>
      <c r="O707" s="38">
        <f>VLOOKUP(TRIM(Table1[[#This Row],[Provider Specialty]]) &amp; TRIM(Table1[[#This Row],[Provider Specialty Description]]), SPECIALTY_TYPE, 2, FALSE)</f>
        <v>2088</v>
      </c>
      <c r="P707" s="3" t="str">
        <f>Table1[[#This Row],[Provider Type]] &amp; "+" &amp; Table1[[#This Row],[Provider Type Description]]</f>
        <v>32+Multi-Specialty</v>
      </c>
      <c r="Q707" s="7" t="str">
        <f>Table1[[#This Row],[Provider Specialty]] &amp; "+" &amp; Table1[[#This Row],[Provider Specialty Description]]</f>
        <v>328+Obstetrician/Gynecologist</v>
      </c>
      <c r="R707" s="7" t="str">
        <f>Table1[[#This Row],[PDMS Specialty Type ID]] &amp; "+" &amp; Table1[[#This Row],[PDMS Provider Type ID]] &amp; "+" &amp;Table1[[#This Row],[TAXONOMY]]</f>
        <v>2088+50+207VF0040X</v>
      </c>
      <c r="S7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(9686, 2088, 50, N'207VF0040X', N'Obstetrics &amp; Gynecology - Female Pelvic Medicine and Reconstructive Surgery')</v>
      </c>
    </row>
    <row r="708" spans="1:19" ht="47.25" hidden="1" customHeight="1" x14ac:dyDescent="0.25">
      <c r="A708" s="22" t="s">
        <v>1854</v>
      </c>
      <c r="B708" s="3" t="s">
        <v>1262</v>
      </c>
      <c r="C708" s="3" t="s">
        <v>331</v>
      </c>
      <c r="D708" s="3" t="s">
        <v>1437</v>
      </c>
      <c r="E708" s="3" t="s">
        <v>1438</v>
      </c>
      <c r="F708" s="3">
        <f>VLOOKUP(Table1[[#This Row],[Column2]], TAXONOMY_TYPE, 2, FALSE)</f>
        <v>9687</v>
      </c>
      <c r="G708" s="3">
        <v>33</v>
      </c>
      <c r="H708" s="3" t="s">
        <v>1953</v>
      </c>
      <c r="I708" s="3">
        <f>VLOOKUP(Table1[[#This Row],[Provider Type]] &amp; Table1[[#This Row],[Provider Type Description]], PROVIDER_TYPE, 2, FALSE)</f>
        <v>51</v>
      </c>
      <c r="J708" s="3">
        <v>328</v>
      </c>
      <c r="K708" s="3" t="s">
        <v>1177</v>
      </c>
      <c r="L708" s="3">
        <f>VLOOKUP(TRIM(Table1[[#This Row],[Provider Specialty]]) &amp; TRIM(Table1[[#This Row],[Provider Specialty Description]]), SPECIALTY_TYPE, 2, FALSE)</f>
        <v>2088</v>
      </c>
      <c r="M708" s="3" t="s">
        <v>18</v>
      </c>
      <c r="N708" s="27" t="s">
        <v>19</v>
      </c>
      <c r="O708" s="38">
        <f>VLOOKUP(TRIM(Table1[[#This Row],[Provider Specialty]]) &amp; TRIM(Table1[[#This Row],[Provider Specialty Description]]), SPECIALTY_TYPE, 2, FALSE)</f>
        <v>2088</v>
      </c>
      <c r="P708" s="3" t="str">
        <f>Table1[[#This Row],[Provider Type]] &amp; "+" &amp; Table1[[#This Row],[Provider Type Description]]</f>
        <v>33+Single-Specialty</v>
      </c>
      <c r="Q708" s="7" t="str">
        <f>Table1[[#This Row],[Provider Specialty]] &amp; "+" &amp; Table1[[#This Row],[Provider Specialty Description]]</f>
        <v>328+Obstetrician/Gynecologist</v>
      </c>
      <c r="R708" s="7" t="str">
        <f>Table1[[#This Row],[PDMS Specialty Type ID]] &amp; "+" &amp; Table1[[#This Row],[PDMS Provider Type ID]] &amp; "+" &amp;Table1[[#This Row],[TAXONOMY]]</f>
        <v>2088+51+207VF0040X</v>
      </c>
      <c r="S7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(9687, 2088, 51, N'207VF0040X', N'Obstetrics &amp; Gynecology - Female Pelvic Medicine and Reconstructive Surgery')</v>
      </c>
    </row>
    <row r="709" spans="1:19" ht="47.25" hidden="1" customHeight="1" x14ac:dyDescent="0.25">
      <c r="A709" s="22" t="s">
        <v>1855</v>
      </c>
      <c r="B709" s="3" t="s">
        <v>988</v>
      </c>
      <c r="C709" s="3" t="s">
        <v>999</v>
      </c>
      <c r="D709" s="3" t="s">
        <v>1007</v>
      </c>
      <c r="E709" s="3" t="s">
        <v>1008</v>
      </c>
      <c r="F709" s="3">
        <f>VLOOKUP(Table1[[#This Row],[Column2]], TAXONOMY_TYPE, 2, FALSE)</f>
        <v>9688</v>
      </c>
      <c r="G709" s="3">
        <v>31</v>
      </c>
      <c r="H709" s="3" t="s">
        <v>991</v>
      </c>
      <c r="I709" s="3">
        <f>VLOOKUP(Table1[[#This Row],[Provider Type]] &amp; Table1[[#This Row],[Provider Type Description]], PROVIDER_TYPE, 2, FALSE)</f>
        <v>114</v>
      </c>
      <c r="J709" s="3">
        <v>329</v>
      </c>
      <c r="K709" s="3" t="s">
        <v>1009</v>
      </c>
      <c r="L709" s="3">
        <f>VLOOKUP(TRIM(Table1[[#This Row],[Provider Specialty]]) &amp; TRIM(Table1[[#This Row],[Provider Specialty Description]]), SPECIALTY_TYPE, 2, FALSE)</f>
        <v>2089</v>
      </c>
      <c r="M709" s="3" t="s">
        <v>18</v>
      </c>
      <c r="N709" s="27" t="s">
        <v>19</v>
      </c>
      <c r="O709" s="38">
        <f>VLOOKUP(TRIM(Table1[[#This Row],[Provider Specialty]]) &amp; TRIM(Table1[[#This Row],[Provider Specialty Description]]), SPECIALTY_TYPE, 2, FALSE)</f>
        <v>2089</v>
      </c>
      <c r="P709" s="3" t="str">
        <f>Table1[[#This Row],[Provider Type]] &amp; "+" &amp; Table1[[#This Row],[Provider Type Description]]</f>
        <v>31+Physician</v>
      </c>
      <c r="Q709" s="7" t="str">
        <f>Table1[[#This Row],[Provider Specialty]] &amp; "+" &amp; Table1[[#This Row],[Provider Specialty Description]]</f>
        <v>329+Oncologist (including Hematology)</v>
      </c>
      <c r="R709" s="7" t="str">
        <f>Table1[[#This Row],[PDMS Specialty Type ID]] &amp; "+" &amp; Table1[[#This Row],[PDMS Provider Type ID]] &amp; "+" &amp;Table1[[#This Row],[TAXONOMY]]</f>
        <v>2089+114+207RH0003X</v>
      </c>
      <c r="S7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(9688, 2089, 114, N'207RH0003X', N'Internal Medicine - Hematology &amp; Oncology')</v>
      </c>
    </row>
    <row r="710" spans="1:19" ht="47.25" hidden="1" customHeight="1" x14ac:dyDescent="0.25">
      <c r="A710" s="22" t="s">
        <v>1854</v>
      </c>
      <c r="B710" s="3" t="s">
        <v>988</v>
      </c>
      <c r="C710" s="3" t="s">
        <v>999</v>
      </c>
      <c r="D710" s="3" t="s">
        <v>1007</v>
      </c>
      <c r="E710" s="3" t="s">
        <v>1008</v>
      </c>
      <c r="F710" s="3">
        <f>VLOOKUP(Table1[[#This Row],[Column2]], TAXONOMY_TYPE, 2, FALSE)</f>
        <v>9689</v>
      </c>
      <c r="G710" s="3">
        <v>32</v>
      </c>
      <c r="H710" s="3" t="s">
        <v>1444</v>
      </c>
      <c r="I710" s="3">
        <f>VLOOKUP(Table1[[#This Row],[Provider Type]] &amp; Table1[[#This Row],[Provider Type Description]], PROVIDER_TYPE, 2, FALSE)</f>
        <v>50</v>
      </c>
      <c r="J710" s="3">
        <v>329</v>
      </c>
      <c r="K710" s="3" t="s">
        <v>1009</v>
      </c>
      <c r="L710" s="3">
        <f>VLOOKUP(TRIM(Table1[[#This Row],[Provider Specialty]]) &amp; TRIM(Table1[[#This Row],[Provider Specialty Description]]), SPECIALTY_TYPE, 2, FALSE)</f>
        <v>2089</v>
      </c>
      <c r="M710" s="3" t="s">
        <v>18</v>
      </c>
      <c r="N710" s="27" t="s">
        <v>19</v>
      </c>
      <c r="O710" s="38">
        <f>VLOOKUP(TRIM(Table1[[#This Row],[Provider Specialty]]) &amp; TRIM(Table1[[#This Row],[Provider Specialty Description]]), SPECIALTY_TYPE, 2, FALSE)</f>
        <v>2089</v>
      </c>
      <c r="P710" s="3" t="str">
        <f>Table1[[#This Row],[Provider Type]] &amp; "+" &amp; Table1[[#This Row],[Provider Type Description]]</f>
        <v>32+Multi-Specialty</v>
      </c>
      <c r="Q710" s="7" t="str">
        <f>Table1[[#This Row],[Provider Specialty]] &amp; "+" &amp; Table1[[#This Row],[Provider Specialty Description]]</f>
        <v>329+Oncologist (including Hematology)</v>
      </c>
      <c r="R710" s="7" t="str">
        <f>Table1[[#This Row],[PDMS Specialty Type ID]] &amp; "+" &amp; Table1[[#This Row],[PDMS Provider Type ID]] &amp; "+" &amp;Table1[[#This Row],[TAXONOMY]]</f>
        <v>2089+50+207RH0003X</v>
      </c>
      <c r="S7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(9689, 2089, 50, N'207RH0003X', N'Internal Medicine - Hematology &amp; Oncology')</v>
      </c>
    </row>
    <row r="711" spans="1:19" ht="47.25" hidden="1" customHeight="1" x14ac:dyDescent="0.25">
      <c r="A711" s="22" t="s">
        <v>1854</v>
      </c>
      <c r="B711" s="3" t="s">
        <v>988</v>
      </c>
      <c r="C711" s="3" t="s">
        <v>999</v>
      </c>
      <c r="D711" s="3" t="s">
        <v>1007</v>
      </c>
      <c r="E711" s="3" t="s">
        <v>1008</v>
      </c>
      <c r="F711" s="3">
        <f>VLOOKUP(Table1[[#This Row],[Column2]], TAXONOMY_TYPE, 2, FALSE)</f>
        <v>9690</v>
      </c>
      <c r="G711" s="3">
        <v>33</v>
      </c>
      <c r="H711" s="3" t="s">
        <v>1953</v>
      </c>
      <c r="I711" s="3">
        <f>VLOOKUP(Table1[[#This Row],[Provider Type]] &amp; Table1[[#This Row],[Provider Type Description]], PROVIDER_TYPE, 2, FALSE)</f>
        <v>51</v>
      </c>
      <c r="J711" s="3">
        <v>329</v>
      </c>
      <c r="K711" s="3" t="s">
        <v>1009</v>
      </c>
      <c r="L711" s="3">
        <f>VLOOKUP(TRIM(Table1[[#This Row],[Provider Specialty]]) &amp; TRIM(Table1[[#This Row],[Provider Specialty Description]]), SPECIALTY_TYPE, 2, FALSE)</f>
        <v>2089</v>
      </c>
      <c r="M711" s="3" t="s">
        <v>18</v>
      </c>
      <c r="N711" s="27" t="s">
        <v>19</v>
      </c>
      <c r="O711" s="38">
        <f>VLOOKUP(TRIM(Table1[[#This Row],[Provider Specialty]]) &amp; TRIM(Table1[[#This Row],[Provider Specialty Description]]), SPECIALTY_TYPE, 2, FALSE)</f>
        <v>2089</v>
      </c>
      <c r="P711" s="3" t="str">
        <f>Table1[[#This Row],[Provider Type]] &amp; "+" &amp; Table1[[#This Row],[Provider Type Description]]</f>
        <v>33+Single-Specialty</v>
      </c>
      <c r="Q711" s="7" t="str">
        <f>Table1[[#This Row],[Provider Specialty]] &amp; "+" &amp; Table1[[#This Row],[Provider Specialty Description]]</f>
        <v>329+Oncologist (including Hematology)</v>
      </c>
      <c r="R711" s="7" t="str">
        <f>Table1[[#This Row],[PDMS Specialty Type ID]] &amp; "+" &amp; Table1[[#This Row],[PDMS Provider Type ID]] &amp; "+" &amp;Table1[[#This Row],[TAXONOMY]]</f>
        <v>2089+51+207RH0003X</v>
      </c>
      <c r="S7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(9690, 2089, 51, N'207RH0003X', N'Internal Medicine - Hematology &amp; Oncology')</v>
      </c>
    </row>
    <row r="712" spans="1:19" ht="47.25" hidden="1" customHeight="1" x14ac:dyDescent="0.25">
      <c r="A712" s="22" t="s">
        <v>1855</v>
      </c>
      <c r="B712" s="3" t="s">
        <v>988</v>
      </c>
      <c r="C712" s="3" t="s">
        <v>1192</v>
      </c>
      <c r="D712" s="3" t="s">
        <v>1192</v>
      </c>
      <c r="E712" s="3" t="s">
        <v>1193</v>
      </c>
      <c r="F712" s="3">
        <f>VLOOKUP(Table1[[#This Row],[Column2]], TAXONOMY_TYPE, 2, FALSE)</f>
        <v>9691</v>
      </c>
      <c r="G712" s="3">
        <v>31</v>
      </c>
      <c r="H712" s="3" t="s">
        <v>991</v>
      </c>
      <c r="I712" s="3">
        <f>VLOOKUP(Table1[[#This Row],[Provider Type]] &amp; Table1[[#This Row],[Provider Type Description]], PROVIDER_TYPE, 2, FALSE)</f>
        <v>114</v>
      </c>
      <c r="J712" s="3">
        <v>330</v>
      </c>
      <c r="K712" s="3" t="s">
        <v>1194</v>
      </c>
      <c r="L712" s="3">
        <f>VLOOKUP(TRIM(Table1[[#This Row],[Provider Specialty]]) &amp; TRIM(Table1[[#This Row],[Provider Specialty Description]]), SPECIALTY_TYPE, 2, FALSE)</f>
        <v>2090</v>
      </c>
      <c r="M712" s="3" t="s">
        <v>19</v>
      </c>
      <c r="N712" s="27" t="s">
        <v>19</v>
      </c>
      <c r="O712" s="38">
        <f>VLOOKUP(TRIM(Table1[[#This Row],[Provider Specialty]]) &amp; TRIM(Table1[[#This Row],[Provider Specialty Description]]), SPECIALTY_TYPE, 2, FALSE)</f>
        <v>2090</v>
      </c>
      <c r="P712" s="3" t="str">
        <f>Table1[[#This Row],[Provider Type]] &amp; "+" &amp; Table1[[#This Row],[Provider Type Description]]</f>
        <v>31+Physician</v>
      </c>
      <c r="Q712" s="7" t="str">
        <f>Table1[[#This Row],[Provider Specialty]] &amp; "+" &amp; Table1[[#This Row],[Provider Specialty Description]]</f>
        <v>330+Opthamologist</v>
      </c>
      <c r="R712" s="7" t="str">
        <f>Table1[[#This Row],[PDMS Specialty Type ID]] &amp; "+" &amp; Table1[[#This Row],[PDMS Provider Type ID]] &amp; "+" &amp;Table1[[#This Row],[TAXONOMY]]</f>
        <v>2090+114+207W00000X</v>
      </c>
      <c r="S7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(9691, 2090, 114, N'207W00000X', N'Ophthalmology - Ophthalmology')</v>
      </c>
    </row>
    <row r="713" spans="1:19" ht="47.25" hidden="1" customHeight="1" x14ac:dyDescent="0.25">
      <c r="A713" s="22" t="s">
        <v>1854</v>
      </c>
      <c r="B713" s="3" t="s">
        <v>988</v>
      </c>
      <c r="C713" s="3" t="s">
        <v>1192</v>
      </c>
      <c r="D713" s="3" t="s">
        <v>1192</v>
      </c>
      <c r="E713" s="3" t="s">
        <v>1193</v>
      </c>
      <c r="F713" s="3">
        <f>VLOOKUP(Table1[[#This Row],[Column2]], TAXONOMY_TYPE, 2, FALSE)</f>
        <v>9692</v>
      </c>
      <c r="G713" s="3">
        <v>32</v>
      </c>
      <c r="H713" s="3" t="s">
        <v>1444</v>
      </c>
      <c r="I713" s="3">
        <f>VLOOKUP(Table1[[#This Row],[Provider Type]] &amp; Table1[[#This Row],[Provider Type Description]], PROVIDER_TYPE, 2, FALSE)</f>
        <v>50</v>
      </c>
      <c r="J713" s="3">
        <v>330</v>
      </c>
      <c r="K713" s="3" t="s">
        <v>1194</v>
      </c>
      <c r="L713" s="3">
        <f>VLOOKUP(TRIM(Table1[[#This Row],[Provider Specialty]]) &amp; TRIM(Table1[[#This Row],[Provider Specialty Description]]), SPECIALTY_TYPE, 2, FALSE)</f>
        <v>2090</v>
      </c>
      <c r="M713" s="3" t="s">
        <v>18</v>
      </c>
      <c r="N713" s="27" t="s">
        <v>19</v>
      </c>
      <c r="O713" s="38">
        <f>VLOOKUP(TRIM(Table1[[#This Row],[Provider Specialty]]) &amp; TRIM(Table1[[#This Row],[Provider Specialty Description]]), SPECIALTY_TYPE, 2, FALSE)</f>
        <v>2090</v>
      </c>
      <c r="P713" s="3" t="str">
        <f>Table1[[#This Row],[Provider Type]] &amp; "+" &amp; Table1[[#This Row],[Provider Type Description]]</f>
        <v>32+Multi-Specialty</v>
      </c>
      <c r="Q713" s="7" t="str">
        <f>Table1[[#This Row],[Provider Specialty]] &amp; "+" &amp; Table1[[#This Row],[Provider Specialty Description]]</f>
        <v>330+Opthamologist</v>
      </c>
      <c r="R713" s="7" t="str">
        <f>Table1[[#This Row],[PDMS Specialty Type ID]] &amp; "+" &amp; Table1[[#This Row],[PDMS Provider Type ID]] &amp; "+" &amp;Table1[[#This Row],[TAXONOMY]]</f>
        <v>2090+50+207W00000X</v>
      </c>
      <c r="S7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(9692, 2090, 50, N'207W00000X', N'Ophthalmology - Ophthalmology')</v>
      </c>
    </row>
    <row r="714" spans="1:19" ht="47.25" hidden="1" customHeight="1" x14ac:dyDescent="0.25">
      <c r="A714" s="22" t="s">
        <v>1854</v>
      </c>
      <c r="B714" s="3" t="s">
        <v>988</v>
      </c>
      <c r="C714" s="3" t="s">
        <v>1192</v>
      </c>
      <c r="D714" s="3" t="s">
        <v>1192</v>
      </c>
      <c r="E714" s="3" t="s">
        <v>1193</v>
      </c>
      <c r="F714" s="3">
        <f>VLOOKUP(Table1[[#This Row],[Column2]], TAXONOMY_TYPE, 2, FALSE)</f>
        <v>9693</v>
      </c>
      <c r="G714" s="3">
        <v>33</v>
      </c>
      <c r="H714" s="3" t="s">
        <v>1953</v>
      </c>
      <c r="I714" s="3">
        <f>VLOOKUP(Table1[[#This Row],[Provider Type]] &amp; Table1[[#This Row],[Provider Type Description]], PROVIDER_TYPE, 2, FALSE)</f>
        <v>51</v>
      </c>
      <c r="J714" s="3">
        <v>330</v>
      </c>
      <c r="K714" s="3" t="s">
        <v>1194</v>
      </c>
      <c r="L714" s="3">
        <f>VLOOKUP(TRIM(Table1[[#This Row],[Provider Specialty]]) &amp; TRIM(Table1[[#This Row],[Provider Specialty Description]]), SPECIALTY_TYPE, 2, FALSE)</f>
        <v>2090</v>
      </c>
      <c r="M714" s="3" t="s">
        <v>18</v>
      </c>
      <c r="N714" s="27" t="s">
        <v>19</v>
      </c>
      <c r="O714" s="38">
        <f>VLOOKUP(TRIM(Table1[[#This Row],[Provider Specialty]]) &amp; TRIM(Table1[[#This Row],[Provider Specialty Description]]), SPECIALTY_TYPE, 2, FALSE)</f>
        <v>2090</v>
      </c>
      <c r="P714" s="3" t="str">
        <f>Table1[[#This Row],[Provider Type]] &amp; "+" &amp; Table1[[#This Row],[Provider Type Description]]</f>
        <v>33+Single-Specialty</v>
      </c>
      <c r="Q714" s="7" t="str">
        <f>Table1[[#This Row],[Provider Specialty]] &amp; "+" &amp; Table1[[#This Row],[Provider Specialty Description]]</f>
        <v>330+Opthamologist</v>
      </c>
      <c r="R714" s="7" t="str">
        <f>Table1[[#This Row],[PDMS Specialty Type ID]] &amp; "+" &amp; Table1[[#This Row],[PDMS Provider Type ID]] &amp; "+" &amp;Table1[[#This Row],[TAXONOMY]]</f>
        <v>2090+51+207W00000X</v>
      </c>
      <c r="S7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(9693, 2090, 51, N'207W00000X', N'Ophthalmology - Ophthalmology')</v>
      </c>
    </row>
    <row r="715" spans="1:19" ht="47.25" hidden="1" customHeight="1" x14ac:dyDescent="0.25">
      <c r="A715" s="22" t="s">
        <v>1855</v>
      </c>
      <c r="B715" s="3" t="s">
        <v>988</v>
      </c>
      <c r="C715" s="3" t="s">
        <v>1195</v>
      </c>
      <c r="D715" s="3" t="s">
        <v>1195</v>
      </c>
      <c r="E715" s="3" t="s">
        <v>1196</v>
      </c>
      <c r="F715" s="3">
        <f>VLOOKUP(Table1[[#This Row],[Column2]], TAXONOMY_TYPE, 2, FALSE)</f>
        <v>9694</v>
      </c>
      <c r="G715" s="3">
        <v>31</v>
      </c>
      <c r="H715" s="3" t="s">
        <v>991</v>
      </c>
      <c r="I715" s="3">
        <f>VLOOKUP(Table1[[#This Row],[Provider Type]] &amp; Table1[[#This Row],[Provider Type Description]], PROVIDER_TYPE, 2, FALSE)</f>
        <v>114</v>
      </c>
      <c r="J715" s="3">
        <v>331</v>
      </c>
      <c r="K715" s="3" t="s">
        <v>1197</v>
      </c>
      <c r="L715" s="3">
        <f>VLOOKUP(TRIM(Table1[[#This Row],[Provider Specialty]]) &amp; TRIM(Table1[[#This Row],[Provider Specialty Description]]), SPECIALTY_TYPE, 2, FALSE)</f>
        <v>2091</v>
      </c>
      <c r="M715" s="3" t="s">
        <v>19</v>
      </c>
      <c r="N715" s="27" t="s">
        <v>19</v>
      </c>
      <c r="O715" s="38">
        <f>VLOOKUP(TRIM(Table1[[#This Row],[Provider Specialty]]) &amp; TRIM(Table1[[#This Row],[Provider Specialty Description]]), SPECIALTY_TYPE, 2, FALSE)</f>
        <v>2091</v>
      </c>
      <c r="P715" s="3" t="str">
        <f>Table1[[#This Row],[Provider Type]] &amp; "+" &amp; Table1[[#This Row],[Provider Type Description]]</f>
        <v>31+Physician</v>
      </c>
      <c r="Q715" s="7" t="str">
        <f>Table1[[#This Row],[Provider Specialty]] &amp; "+" &amp; Table1[[#This Row],[Provider Specialty Description]]</f>
        <v>331+Orthopedic Surgeon</v>
      </c>
      <c r="R715" s="7" t="str">
        <f>Table1[[#This Row],[PDMS Specialty Type ID]] &amp; "+" &amp; Table1[[#This Row],[PDMS Provider Type ID]] &amp; "+" &amp;Table1[[#This Row],[TAXONOMY]]</f>
        <v>2091+114+207X00000X</v>
      </c>
      <c r="S7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(9694, 2091, 114, N'207X00000X', N'Orthopaedic Surgery - Orthopaedic Surgery')</v>
      </c>
    </row>
    <row r="716" spans="1:19" ht="47.25" hidden="1" customHeight="1" x14ac:dyDescent="0.25">
      <c r="A716" s="22" t="s">
        <v>1854</v>
      </c>
      <c r="B716" s="3" t="s">
        <v>988</v>
      </c>
      <c r="C716" s="3" t="s">
        <v>1195</v>
      </c>
      <c r="D716" s="3" t="s">
        <v>1195</v>
      </c>
      <c r="E716" s="3" t="s">
        <v>1196</v>
      </c>
      <c r="F716" s="3">
        <f>VLOOKUP(Table1[[#This Row],[Column2]], TAXONOMY_TYPE, 2, FALSE)</f>
        <v>9695</v>
      </c>
      <c r="G716" s="3">
        <v>32</v>
      </c>
      <c r="H716" s="3" t="s">
        <v>1444</v>
      </c>
      <c r="I716" s="3">
        <f>VLOOKUP(Table1[[#This Row],[Provider Type]] &amp; Table1[[#This Row],[Provider Type Description]], PROVIDER_TYPE, 2, FALSE)</f>
        <v>50</v>
      </c>
      <c r="J716" s="3">
        <v>331</v>
      </c>
      <c r="K716" s="3" t="s">
        <v>1197</v>
      </c>
      <c r="L716" s="3">
        <f>VLOOKUP(TRIM(Table1[[#This Row],[Provider Specialty]]) &amp; TRIM(Table1[[#This Row],[Provider Specialty Description]]), SPECIALTY_TYPE, 2, FALSE)</f>
        <v>2091</v>
      </c>
      <c r="M716" s="3" t="s">
        <v>18</v>
      </c>
      <c r="N716" s="27" t="s">
        <v>19</v>
      </c>
      <c r="O716" s="38">
        <f>VLOOKUP(TRIM(Table1[[#This Row],[Provider Specialty]]) &amp; TRIM(Table1[[#This Row],[Provider Specialty Description]]), SPECIALTY_TYPE, 2, FALSE)</f>
        <v>2091</v>
      </c>
      <c r="P716" s="3" t="str">
        <f>Table1[[#This Row],[Provider Type]] &amp; "+" &amp; Table1[[#This Row],[Provider Type Description]]</f>
        <v>32+Multi-Specialty</v>
      </c>
      <c r="Q716" s="7" t="str">
        <f>Table1[[#This Row],[Provider Specialty]] &amp; "+" &amp; Table1[[#This Row],[Provider Specialty Description]]</f>
        <v>331+Orthopedic Surgeon</v>
      </c>
      <c r="R716" s="7" t="str">
        <f>Table1[[#This Row],[PDMS Specialty Type ID]] &amp; "+" &amp; Table1[[#This Row],[PDMS Provider Type ID]] &amp; "+" &amp;Table1[[#This Row],[TAXONOMY]]</f>
        <v>2091+50+207X00000X</v>
      </c>
      <c r="S7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(9695, 2091, 50, N'207X00000X', N'Orthopaedic Surgery - Orthopaedic Surgery')</v>
      </c>
    </row>
    <row r="717" spans="1:19" ht="47.25" hidden="1" customHeight="1" x14ac:dyDescent="0.25">
      <c r="A717" s="22" t="s">
        <v>1854</v>
      </c>
      <c r="B717" s="3" t="s">
        <v>988</v>
      </c>
      <c r="C717" s="3" t="s">
        <v>1195</v>
      </c>
      <c r="D717" s="3" t="s">
        <v>1195</v>
      </c>
      <c r="E717" s="3" t="s">
        <v>1196</v>
      </c>
      <c r="F717" s="3">
        <f>VLOOKUP(Table1[[#This Row],[Column2]], TAXONOMY_TYPE, 2, FALSE)</f>
        <v>9696</v>
      </c>
      <c r="G717" s="3">
        <v>33</v>
      </c>
      <c r="H717" s="3" t="s">
        <v>1953</v>
      </c>
      <c r="I717" s="3">
        <f>VLOOKUP(Table1[[#This Row],[Provider Type]] &amp; Table1[[#This Row],[Provider Type Description]], PROVIDER_TYPE, 2, FALSE)</f>
        <v>51</v>
      </c>
      <c r="J717" s="3">
        <v>331</v>
      </c>
      <c r="K717" s="3" t="s">
        <v>1197</v>
      </c>
      <c r="L717" s="3">
        <f>VLOOKUP(TRIM(Table1[[#This Row],[Provider Specialty]]) &amp; TRIM(Table1[[#This Row],[Provider Specialty Description]]), SPECIALTY_TYPE, 2, FALSE)</f>
        <v>2091</v>
      </c>
      <c r="M717" s="3" t="s">
        <v>18</v>
      </c>
      <c r="N717" s="27" t="s">
        <v>19</v>
      </c>
      <c r="O717" s="38">
        <f>VLOOKUP(TRIM(Table1[[#This Row],[Provider Specialty]]) &amp; TRIM(Table1[[#This Row],[Provider Specialty Description]]), SPECIALTY_TYPE, 2, FALSE)</f>
        <v>2091</v>
      </c>
      <c r="P717" s="3" t="str">
        <f>Table1[[#This Row],[Provider Type]] &amp; "+" &amp; Table1[[#This Row],[Provider Type Description]]</f>
        <v>33+Single-Specialty</v>
      </c>
      <c r="Q717" s="7" t="str">
        <f>Table1[[#This Row],[Provider Specialty]] &amp; "+" &amp; Table1[[#This Row],[Provider Specialty Description]]</f>
        <v>331+Orthopedic Surgeon</v>
      </c>
      <c r="R717" s="7" t="str">
        <f>Table1[[#This Row],[PDMS Specialty Type ID]] &amp; "+" &amp; Table1[[#This Row],[PDMS Provider Type ID]] &amp; "+" &amp;Table1[[#This Row],[TAXONOMY]]</f>
        <v>2091+51+207X00000X</v>
      </c>
      <c r="S7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(9696, 2091, 51, N'207X00000X', N'Orthopaedic Surgery - Orthopaedic Surgery')</v>
      </c>
    </row>
    <row r="718" spans="1:19" ht="47.25" hidden="1" customHeight="1" x14ac:dyDescent="0.25">
      <c r="A718" s="22" t="s">
        <v>1855</v>
      </c>
      <c r="B718" s="3" t="s">
        <v>988</v>
      </c>
      <c r="C718" s="3" t="s">
        <v>1195</v>
      </c>
      <c r="D718" s="3" t="s">
        <v>1198</v>
      </c>
      <c r="E718" s="3" t="s">
        <v>1199</v>
      </c>
      <c r="F718" s="3">
        <f>VLOOKUP(Table1[[#This Row],[Column2]], TAXONOMY_TYPE, 2, FALSE)</f>
        <v>9697</v>
      </c>
      <c r="G718" s="3">
        <v>31</v>
      </c>
      <c r="H718" s="3" t="s">
        <v>991</v>
      </c>
      <c r="I718" s="3">
        <f>VLOOKUP(Table1[[#This Row],[Provider Type]] &amp; Table1[[#This Row],[Provider Type Description]], PROVIDER_TYPE, 2, FALSE)</f>
        <v>114</v>
      </c>
      <c r="J718" s="3">
        <v>331</v>
      </c>
      <c r="K718" s="3" t="s">
        <v>1197</v>
      </c>
      <c r="L718" s="3">
        <f>VLOOKUP(TRIM(Table1[[#This Row],[Provider Specialty]]) &amp; TRIM(Table1[[#This Row],[Provider Specialty Description]]), SPECIALTY_TYPE, 2, FALSE)</f>
        <v>2091</v>
      </c>
      <c r="M718" s="3" t="s">
        <v>19</v>
      </c>
      <c r="N718" s="27" t="s">
        <v>19</v>
      </c>
      <c r="O718" s="38">
        <f>VLOOKUP(TRIM(Table1[[#This Row],[Provider Specialty]]) &amp; TRIM(Table1[[#This Row],[Provider Specialty Description]]), SPECIALTY_TYPE, 2, FALSE)</f>
        <v>2091</v>
      </c>
      <c r="P718" s="3" t="str">
        <f>Table1[[#This Row],[Provider Type]] &amp; "+" &amp; Table1[[#This Row],[Provider Type Description]]</f>
        <v>31+Physician</v>
      </c>
      <c r="Q718" s="7" t="str">
        <f>Table1[[#This Row],[Provider Specialty]] &amp; "+" &amp; Table1[[#This Row],[Provider Specialty Description]]</f>
        <v>331+Orthopedic Surgeon</v>
      </c>
      <c r="R718" s="7" t="str">
        <f>Table1[[#This Row],[PDMS Specialty Type ID]] &amp; "+" &amp; Table1[[#This Row],[PDMS Provider Type ID]] &amp; "+" &amp;Table1[[#This Row],[TAXONOMY]]</f>
        <v>2091+114+207XP3100X</v>
      </c>
      <c r="S7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(9697, 2091, 114, N'207XP3100X', N'Orthopaedic Surgery - Pediatric Orthopaedic Surgery')</v>
      </c>
    </row>
    <row r="719" spans="1:19" ht="47.25" hidden="1" customHeight="1" x14ac:dyDescent="0.25">
      <c r="A719" s="22" t="s">
        <v>1854</v>
      </c>
      <c r="B719" s="3" t="s">
        <v>988</v>
      </c>
      <c r="C719" s="3" t="s">
        <v>1195</v>
      </c>
      <c r="D719" s="3" t="s">
        <v>1198</v>
      </c>
      <c r="E719" s="3" t="s">
        <v>1199</v>
      </c>
      <c r="F719" s="3">
        <f>VLOOKUP(Table1[[#This Row],[Column2]], TAXONOMY_TYPE, 2, FALSE)</f>
        <v>9698</v>
      </c>
      <c r="G719" s="3">
        <v>32</v>
      </c>
      <c r="H719" s="3" t="s">
        <v>1444</v>
      </c>
      <c r="I719" s="3">
        <f>VLOOKUP(Table1[[#This Row],[Provider Type]] &amp; Table1[[#This Row],[Provider Type Description]], PROVIDER_TYPE, 2, FALSE)</f>
        <v>50</v>
      </c>
      <c r="J719" s="3">
        <v>331</v>
      </c>
      <c r="K719" s="3" t="s">
        <v>1197</v>
      </c>
      <c r="L719" s="3">
        <f>VLOOKUP(TRIM(Table1[[#This Row],[Provider Specialty]]) &amp; TRIM(Table1[[#This Row],[Provider Specialty Description]]), SPECIALTY_TYPE, 2, FALSE)</f>
        <v>2091</v>
      </c>
      <c r="M719" s="3" t="s">
        <v>18</v>
      </c>
      <c r="N719" s="27" t="s">
        <v>19</v>
      </c>
      <c r="O719" s="38">
        <f>VLOOKUP(TRIM(Table1[[#This Row],[Provider Specialty]]) &amp; TRIM(Table1[[#This Row],[Provider Specialty Description]]), SPECIALTY_TYPE, 2, FALSE)</f>
        <v>2091</v>
      </c>
      <c r="P719" s="3" t="str">
        <f>Table1[[#This Row],[Provider Type]] &amp; "+" &amp; Table1[[#This Row],[Provider Type Description]]</f>
        <v>32+Multi-Specialty</v>
      </c>
      <c r="Q719" s="7" t="str">
        <f>Table1[[#This Row],[Provider Specialty]] &amp; "+" &amp; Table1[[#This Row],[Provider Specialty Description]]</f>
        <v>331+Orthopedic Surgeon</v>
      </c>
      <c r="R719" s="7" t="str">
        <f>Table1[[#This Row],[PDMS Specialty Type ID]] &amp; "+" &amp; Table1[[#This Row],[PDMS Provider Type ID]] &amp; "+" &amp;Table1[[#This Row],[TAXONOMY]]</f>
        <v>2091+50+207XP3100X</v>
      </c>
      <c r="S7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(9698, 2091, 50, N'207XP3100X', N'Orthopaedic Surgery - Pediatric Orthopaedic Surgery')</v>
      </c>
    </row>
    <row r="720" spans="1:19" ht="47.25" hidden="1" customHeight="1" x14ac:dyDescent="0.25">
      <c r="A720" s="22" t="s">
        <v>1854</v>
      </c>
      <c r="B720" s="3" t="s">
        <v>988</v>
      </c>
      <c r="C720" s="3" t="s">
        <v>1195</v>
      </c>
      <c r="D720" s="3" t="s">
        <v>1198</v>
      </c>
      <c r="E720" s="3" t="s">
        <v>1199</v>
      </c>
      <c r="F720" s="3">
        <f>VLOOKUP(Table1[[#This Row],[Column2]], TAXONOMY_TYPE, 2, FALSE)</f>
        <v>9699</v>
      </c>
      <c r="G720" s="3">
        <v>33</v>
      </c>
      <c r="H720" s="3" t="s">
        <v>1953</v>
      </c>
      <c r="I720" s="3">
        <f>VLOOKUP(Table1[[#This Row],[Provider Type]] &amp; Table1[[#This Row],[Provider Type Description]], PROVIDER_TYPE, 2, FALSE)</f>
        <v>51</v>
      </c>
      <c r="J720" s="3">
        <v>331</v>
      </c>
      <c r="K720" s="3" t="s">
        <v>1197</v>
      </c>
      <c r="L720" s="3">
        <f>VLOOKUP(TRIM(Table1[[#This Row],[Provider Specialty]]) &amp; TRIM(Table1[[#This Row],[Provider Specialty Description]]), SPECIALTY_TYPE, 2, FALSE)</f>
        <v>2091</v>
      </c>
      <c r="M720" s="3" t="s">
        <v>18</v>
      </c>
      <c r="N720" s="27" t="s">
        <v>19</v>
      </c>
      <c r="O720" s="38">
        <f>VLOOKUP(TRIM(Table1[[#This Row],[Provider Specialty]]) &amp; TRIM(Table1[[#This Row],[Provider Specialty Description]]), SPECIALTY_TYPE, 2, FALSE)</f>
        <v>2091</v>
      </c>
      <c r="P720" s="3" t="str">
        <f>Table1[[#This Row],[Provider Type]] &amp; "+" &amp; Table1[[#This Row],[Provider Type Description]]</f>
        <v>33+Single-Specialty</v>
      </c>
      <c r="Q720" s="7" t="str">
        <f>Table1[[#This Row],[Provider Specialty]] &amp; "+" &amp; Table1[[#This Row],[Provider Specialty Description]]</f>
        <v>331+Orthopedic Surgeon</v>
      </c>
      <c r="R720" s="7" t="str">
        <f>Table1[[#This Row],[PDMS Specialty Type ID]] &amp; "+" &amp; Table1[[#This Row],[PDMS Provider Type ID]] &amp; "+" &amp;Table1[[#This Row],[TAXONOMY]]</f>
        <v>2091+51+207XP3100X</v>
      </c>
      <c r="S7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(9699, 2091, 51, N'207XP3100X', N'Orthopaedic Surgery - Pediatric Orthopaedic Surgery')</v>
      </c>
    </row>
    <row r="721" spans="1:19" ht="47.25" hidden="1" customHeight="1" x14ac:dyDescent="0.25">
      <c r="A721" s="22" t="s">
        <v>1855</v>
      </c>
      <c r="B721" s="3" t="s">
        <v>988</v>
      </c>
      <c r="C721" s="3" t="s">
        <v>1195</v>
      </c>
      <c r="D721" s="3" t="s">
        <v>1203</v>
      </c>
      <c r="E721" s="3" t="s">
        <v>1204</v>
      </c>
      <c r="F721" s="3">
        <f>VLOOKUP(Table1[[#This Row],[Column2]], TAXONOMY_TYPE, 2, FALSE)</f>
        <v>9700</v>
      </c>
      <c r="G721" s="3">
        <v>31</v>
      </c>
      <c r="H721" s="3" t="s">
        <v>991</v>
      </c>
      <c r="I721" s="3">
        <f>VLOOKUP(Table1[[#This Row],[Provider Type]] &amp; Table1[[#This Row],[Provider Type Description]], PROVIDER_TYPE, 2, FALSE)</f>
        <v>114</v>
      </c>
      <c r="J721" s="3">
        <v>331</v>
      </c>
      <c r="K721" s="3" t="s">
        <v>1197</v>
      </c>
      <c r="L721" s="3">
        <f>VLOOKUP(TRIM(Table1[[#This Row],[Provider Specialty]]) &amp; TRIM(Table1[[#This Row],[Provider Specialty Description]]), SPECIALTY_TYPE, 2, FALSE)</f>
        <v>2091</v>
      </c>
      <c r="M721" s="3" t="s">
        <v>19</v>
      </c>
      <c r="N721" s="27" t="s">
        <v>19</v>
      </c>
      <c r="O721" s="38">
        <f>VLOOKUP(TRIM(Table1[[#This Row],[Provider Specialty]]) &amp; TRIM(Table1[[#This Row],[Provider Specialty Description]]), SPECIALTY_TYPE, 2, FALSE)</f>
        <v>2091</v>
      </c>
      <c r="P721" s="3" t="str">
        <f>Table1[[#This Row],[Provider Type]] &amp; "+" &amp; Table1[[#This Row],[Provider Type Description]]</f>
        <v>31+Physician</v>
      </c>
      <c r="Q721" s="7" t="str">
        <f>Table1[[#This Row],[Provider Specialty]] &amp; "+" &amp; Table1[[#This Row],[Provider Specialty Description]]</f>
        <v>331+Orthopedic Surgeon</v>
      </c>
      <c r="R721" s="7" t="str">
        <f>Table1[[#This Row],[PDMS Specialty Type ID]] &amp; "+" &amp; Table1[[#This Row],[PDMS Provider Type ID]] &amp; "+" &amp;Table1[[#This Row],[TAXONOMY]]</f>
        <v>2091+114+207XS0114X</v>
      </c>
      <c r="S7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(9700, 2091, 114, N'207XS0114X', N'Orthopaedic Surgery - Adult Reconstructive Orthopaedic Surgery')</v>
      </c>
    </row>
    <row r="722" spans="1:19" ht="47.25" hidden="1" customHeight="1" x14ac:dyDescent="0.25">
      <c r="A722" s="22" t="s">
        <v>1854</v>
      </c>
      <c r="B722" s="3" t="s">
        <v>988</v>
      </c>
      <c r="C722" s="3" t="s">
        <v>1195</v>
      </c>
      <c r="D722" s="3" t="s">
        <v>1203</v>
      </c>
      <c r="E722" s="3" t="s">
        <v>1204</v>
      </c>
      <c r="F722" s="3">
        <f>VLOOKUP(Table1[[#This Row],[Column2]], TAXONOMY_TYPE, 2, FALSE)</f>
        <v>9701</v>
      </c>
      <c r="G722" s="3">
        <v>32</v>
      </c>
      <c r="H722" s="3" t="s">
        <v>1444</v>
      </c>
      <c r="I722" s="3">
        <f>VLOOKUP(Table1[[#This Row],[Provider Type]] &amp; Table1[[#This Row],[Provider Type Description]], PROVIDER_TYPE, 2, FALSE)</f>
        <v>50</v>
      </c>
      <c r="J722" s="3">
        <v>331</v>
      </c>
      <c r="K722" s="3" t="s">
        <v>1197</v>
      </c>
      <c r="L722" s="3">
        <f>VLOOKUP(TRIM(Table1[[#This Row],[Provider Specialty]]) &amp; TRIM(Table1[[#This Row],[Provider Specialty Description]]), SPECIALTY_TYPE, 2, FALSE)</f>
        <v>2091</v>
      </c>
      <c r="M722" s="3" t="s">
        <v>18</v>
      </c>
      <c r="N722" s="27" t="s">
        <v>19</v>
      </c>
      <c r="O722" s="38">
        <f>VLOOKUP(TRIM(Table1[[#This Row],[Provider Specialty]]) &amp; TRIM(Table1[[#This Row],[Provider Specialty Description]]), SPECIALTY_TYPE, 2, FALSE)</f>
        <v>2091</v>
      </c>
      <c r="P722" s="3" t="str">
        <f>Table1[[#This Row],[Provider Type]] &amp; "+" &amp; Table1[[#This Row],[Provider Type Description]]</f>
        <v>32+Multi-Specialty</v>
      </c>
      <c r="Q722" s="7" t="str">
        <f>Table1[[#This Row],[Provider Specialty]] &amp; "+" &amp; Table1[[#This Row],[Provider Specialty Description]]</f>
        <v>331+Orthopedic Surgeon</v>
      </c>
      <c r="R722" s="7" t="str">
        <f>Table1[[#This Row],[PDMS Specialty Type ID]] &amp; "+" &amp; Table1[[#This Row],[PDMS Provider Type ID]] &amp; "+" &amp;Table1[[#This Row],[TAXONOMY]]</f>
        <v>2091+50+207XS0114X</v>
      </c>
      <c r="S7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(9701, 2091, 50, N'207XS0114X', N'Orthopaedic Surgery - Adult Reconstructive Orthopaedic Surgery')</v>
      </c>
    </row>
    <row r="723" spans="1:19" ht="47.25" hidden="1" customHeight="1" x14ac:dyDescent="0.25">
      <c r="A723" s="22" t="s">
        <v>1854</v>
      </c>
      <c r="B723" s="3" t="s">
        <v>988</v>
      </c>
      <c r="C723" s="3" t="s">
        <v>1195</v>
      </c>
      <c r="D723" s="3" t="s">
        <v>1203</v>
      </c>
      <c r="E723" s="3" t="s">
        <v>1204</v>
      </c>
      <c r="F723" s="3">
        <f>VLOOKUP(Table1[[#This Row],[Column2]], TAXONOMY_TYPE, 2, FALSE)</f>
        <v>9702</v>
      </c>
      <c r="G723" s="3">
        <v>33</v>
      </c>
      <c r="H723" s="3" t="s">
        <v>1953</v>
      </c>
      <c r="I723" s="3">
        <f>VLOOKUP(Table1[[#This Row],[Provider Type]] &amp; Table1[[#This Row],[Provider Type Description]], PROVIDER_TYPE, 2, FALSE)</f>
        <v>51</v>
      </c>
      <c r="J723" s="3">
        <v>331</v>
      </c>
      <c r="K723" s="3" t="s">
        <v>1197</v>
      </c>
      <c r="L723" s="3">
        <f>VLOOKUP(TRIM(Table1[[#This Row],[Provider Specialty]]) &amp; TRIM(Table1[[#This Row],[Provider Specialty Description]]), SPECIALTY_TYPE, 2, FALSE)</f>
        <v>2091</v>
      </c>
      <c r="M723" s="3" t="s">
        <v>18</v>
      </c>
      <c r="N723" s="27" t="s">
        <v>19</v>
      </c>
      <c r="O723" s="38">
        <f>VLOOKUP(TRIM(Table1[[#This Row],[Provider Specialty]]) &amp; TRIM(Table1[[#This Row],[Provider Specialty Description]]), SPECIALTY_TYPE, 2, FALSE)</f>
        <v>2091</v>
      </c>
      <c r="P723" s="3" t="str">
        <f>Table1[[#This Row],[Provider Type]] &amp; "+" &amp; Table1[[#This Row],[Provider Type Description]]</f>
        <v>33+Single-Specialty</v>
      </c>
      <c r="Q723" s="7" t="str">
        <f>Table1[[#This Row],[Provider Specialty]] &amp; "+" &amp; Table1[[#This Row],[Provider Specialty Description]]</f>
        <v>331+Orthopedic Surgeon</v>
      </c>
      <c r="R723" s="7" t="str">
        <f>Table1[[#This Row],[PDMS Specialty Type ID]] &amp; "+" &amp; Table1[[#This Row],[PDMS Provider Type ID]] &amp; "+" &amp;Table1[[#This Row],[TAXONOMY]]</f>
        <v>2091+51+207XS0114X</v>
      </c>
      <c r="S7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(9702, 2091, 51, N'207XS0114X', N'Orthopaedic Surgery - Adult Reconstructive Orthopaedic Surgery')</v>
      </c>
    </row>
    <row r="724" spans="1:19" ht="47.25" hidden="1" customHeight="1" x14ac:dyDescent="0.25">
      <c r="A724" s="22" t="s">
        <v>1855</v>
      </c>
      <c r="B724" s="3" t="s">
        <v>988</v>
      </c>
      <c r="C724" s="3" t="s">
        <v>1195</v>
      </c>
      <c r="D724" s="3" t="s">
        <v>1205</v>
      </c>
      <c r="E724" s="3" t="s">
        <v>1206</v>
      </c>
      <c r="F724" s="3">
        <f>VLOOKUP(Table1[[#This Row],[Column2]], TAXONOMY_TYPE, 2, FALSE)</f>
        <v>9703</v>
      </c>
      <c r="G724" s="3">
        <v>31</v>
      </c>
      <c r="H724" s="3" t="s">
        <v>991</v>
      </c>
      <c r="I724" s="3">
        <f>VLOOKUP(Table1[[#This Row],[Provider Type]] &amp; Table1[[#This Row],[Provider Type Description]], PROVIDER_TYPE, 2, FALSE)</f>
        <v>114</v>
      </c>
      <c r="J724" s="3">
        <v>331</v>
      </c>
      <c r="K724" s="3" t="s">
        <v>1197</v>
      </c>
      <c r="L724" s="3">
        <f>VLOOKUP(TRIM(Table1[[#This Row],[Provider Specialty]]) &amp; TRIM(Table1[[#This Row],[Provider Specialty Description]]), SPECIALTY_TYPE, 2, FALSE)</f>
        <v>2091</v>
      </c>
      <c r="M724" s="3" t="s">
        <v>19</v>
      </c>
      <c r="N724" s="27" t="s">
        <v>19</v>
      </c>
      <c r="O724" s="38">
        <f>VLOOKUP(TRIM(Table1[[#This Row],[Provider Specialty]]) &amp; TRIM(Table1[[#This Row],[Provider Specialty Description]]), SPECIALTY_TYPE, 2, FALSE)</f>
        <v>2091</v>
      </c>
      <c r="P724" s="3" t="str">
        <f>Table1[[#This Row],[Provider Type]] &amp; "+" &amp; Table1[[#This Row],[Provider Type Description]]</f>
        <v>31+Physician</v>
      </c>
      <c r="Q724" s="7" t="str">
        <f>Table1[[#This Row],[Provider Specialty]] &amp; "+" &amp; Table1[[#This Row],[Provider Specialty Description]]</f>
        <v>331+Orthopedic Surgeon</v>
      </c>
      <c r="R724" s="7" t="str">
        <f>Table1[[#This Row],[PDMS Specialty Type ID]] &amp; "+" &amp; Table1[[#This Row],[PDMS Provider Type ID]] &amp; "+" &amp;Table1[[#This Row],[TAXONOMY]]</f>
        <v>2091+114+207XS0117X</v>
      </c>
      <c r="S7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(9703, 2091, 114, N'207XS0117X', N'Orthopaedic Surgery - Orthopaedic Surgery of the Spine')</v>
      </c>
    </row>
    <row r="725" spans="1:19" ht="47.25" hidden="1" customHeight="1" x14ac:dyDescent="0.25">
      <c r="A725" s="22" t="s">
        <v>1854</v>
      </c>
      <c r="B725" s="3" t="s">
        <v>988</v>
      </c>
      <c r="C725" s="3" t="s">
        <v>1195</v>
      </c>
      <c r="D725" s="3" t="s">
        <v>1205</v>
      </c>
      <c r="E725" s="3" t="s">
        <v>1206</v>
      </c>
      <c r="F725" s="3">
        <f>VLOOKUP(Table1[[#This Row],[Column2]], TAXONOMY_TYPE, 2, FALSE)</f>
        <v>9704</v>
      </c>
      <c r="G725" s="3">
        <v>32</v>
      </c>
      <c r="H725" s="3" t="s">
        <v>1444</v>
      </c>
      <c r="I725" s="3">
        <f>VLOOKUP(Table1[[#This Row],[Provider Type]] &amp; Table1[[#This Row],[Provider Type Description]], PROVIDER_TYPE, 2, FALSE)</f>
        <v>50</v>
      </c>
      <c r="J725" s="3">
        <v>331</v>
      </c>
      <c r="K725" s="3" t="s">
        <v>1197</v>
      </c>
      <c r="L725" s="3">
        <f>VLOOKUP(TRIM(Table1[[#This Row],[Provider Specialty]]) &amp; TRIM(Table1[[#This Row],[Provider Specialty Description]]), SPECIALTY_TYPE, 2, FALSE)</f>
        <v>2091</v>
      </c>
      <c r="M725" s="3" t="s">
        <v>18</v>
      </c>
      <c r="N725" s="27" t="s">
        <v>19</v>
      </c>
      <c r="O725" s="38">
        <f>VLOOKUP(TRIM(Table1[[#This Row],[Provider Specialty]]) &amp; TRIM(Table1[[#This Row],[Provider Specialty Description]]), SPECIALTY_TYPE, 2, FALSE)</f>
        <v>2091</v>
      </c>
      <c r="P725" s="3" t="str">
        <f>Table1[[#This Row],[Provider Type]] &amp; "+" &amp; Table1[[#This Row],[Provider Type Description]]</f>
        <v>32+Multi-Specialty</v>
      </c>
      <c r="Q725" s="7" t="str">
        <f>Table1[[#This Row],[Provider Specialty]] &amp; "+" &amp; Table1[[#This Row],[Provider Specialty Description]]</f>
        <v>331+Orthopedic Surgeon</v>
      </c>
      <c r="R725" s="7" t="str">
        <f>Table1[[#This Row],[PDMS Specialty Type ID]] &amp; "+" &amp; Table1[[#This Row],[PDMS Provider Type ID]] &amp; "+" &amp;Table1[[#This Row],[TAXONOMY]]</f>
        <v>2091+50+207XS0117X</v>
      </c>
      <c r="S7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(9704, 2091, 50, N'207XS0117X', N'Orthopaedic Surgery - Orthopaedic Surgery of the Spine')</v>
      </c>
    </row>
    <row r="726" spans="1:19" ht="47.25" hidden="1" customHeight="1" x14ac:dyDescent="0.25">
      <c r="A726" s="22" t="s">
        <v>1854</v>
      </c>
      <c r="B726" s="3" t="s">
        <v>988</v>
      </c>
      <c r="C726" s="3" t="s">
        <v>1195</v>
      </c>
      <c r="D726" s="3" t="s">
        <v>1205</v>
      </c>
      <c r="E726" s="3" t="s">
        <v>1206</v>
      </c>
      <c r="F726" s="3">
        <f>VLOOKUP(Table1[[#This Row],[Column2]], TAXONOMY_TYPE, 2, FALSE)</f>
        <v>9705</v>
      </c>
      <c r="G726" s="3">
        <v>33</v>
      </c>
      <c r="H726" s="3" t="s">
        <v>1953</v>
      </c>
      <c r="I726" s="3">
        <f>VLOOKUP(Table1[[#This Row],[Provider Type]] &amp; Table1[[#This Row],[Provider Type Description]], PROVIDER_TYPE, 2, FALSE)</f>
        <v>51</v>
      </c>
      <c r="J726" s="3">
        <v>331</v>
      </c>
      <c r="K726" s="3" t="s">
        <v>1197</v>
      </c>
      <c r="L726" s="3">
        <f>VLOOKUP(TRIM(Table1[[#This Row],[Provider Specialty]]) &amp; TRIM(Table1[[#This Row],[Provider Specialty Description]]), SPECIALTY_TYPE, 2, FALSE)</f>
        <v>2091</v>
      </c>
      <c r="M726" s="3" t="s">
        <v>18</v>
      </c>
      <c r="N726" s="27" t="s">
        <v>19</v>
      </c>
      <c r="O726" s="38">
        <f>VLOOKUP(TRIM(Table1[[#This Row],[Provider Specialty]]) &amp; TRIM(Table1[[#This Row],[Provider Specialty Description]]), SPECIALTY_TYPE, 2, FALSE)</f>
        <v>2091</v>
      </c>
      <c r="P726" s="3" t="str">
        <f>Table1[[#This Row],[Provider Type]] &amp; "+" &amp; Table1[[#This Row],[Provider Type Description]]</f>
        <v>33+Single-Specialty</v>
      </c>
      <c r="Q726" s="7" t="str">
        <f>Table1[[#This Row],[Provider Specialty]] &amp; "+" &amp; Table1[[#This Row],[Provider Specialty Description]]</f>
        <v>331+Orthopedic Surgeon</v>
      </c>
      <c r="R726" s="7" t="str">
        <f>Table1[[#This Row],[PDMS Specialty Type ID]] &amp; "+" &amp; Table1[[#This Row],[PDMS Provider Type ID]] &amp; "+" &amp;Table1[[#This Row],[TAXONOMY]]</f>
        <v>2091+51+207XS0117X</v>
      </c>
      <c r="S7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(9705, 2091, 51, N'207XS0117X', N'Orthopaedic Surgery - Orthopaedic Surgery of the Spine')</v>
      </c>
    </row>
    <row r="727" spans="1:19" ht="47.25" hidden="1" customHeight="1" x14ac:dyDescent="0.25">
      <c r="A727" s="22" t="s">
        <v>1855</v>
      </c>
      <c r="B727" s="3" t="s">
        <v>988</v>
      </c>
      <c r="C727" s="3" t="s">
        <v>1195</v>
      </c>
      <c r="D727" s="3" t="s">
        <v>1207</v>
      </c>
      <c r="E727" s="3" t="s">
        <v>1208</v>
      </c>
      <c r="F727" s="3">
        <f>VLOOKUP(Table1[[#This Row],[Column2]], TAXONOMY_TYPE, 2, FALSE)</f>
        <v>9706</v>
      </c>
      <c r="G727" s="3">
        <v>31</v>
      </c>
      <c r="H727" s="3" t="s">
        <v>991</v>
      </c>
      <c r="I727" s="3">
        <f>VLOOKUP(Table1[[#This Row],[Provider Type]] &amp; Table1[[#This Row],[Provider Type Description]], PROVIDER_TYPE, 2, FALSE)</f>
        <v>114</v>
      </c>
      <c r="J727" s="3">
        <v>331</v>
      </c>
      <c r="K727" s="3" t="s">
        <v>1197</v>
      </c>
      <c r="L727" s="3">
        <f>VLOOKUP(TRIM(Table1[[#This Row],[Provider Specialty]]) &amp; TRIM(Table1[[#This Row],[Provider Specialty Description]]), SPECIALTY_TYPE, 2, FALSE)</f>
        <v>2091</v>
      </c>
      <c r="M727" s="3" t="s">
        <v>19</v>
      </c>
      <c r="N727" s="27" t="s">
        <v>19</v>
      </c>
      <c r="O727" s="38">
        <f>VLOOKUP(TRIM(Table1[[#This Row],[Provider Specialty]]) &amp; TRIM(Table1[[#This Row],[Provider Specialty Description]]), SPECIALTY_TYPE, 2, FALSE)</f>
        <v>2091</v>
      </c>
      <c r="P727" s="3" t="str">
        <f>Table1[[#This Row],[Provider Type]] &amp; "+" &amp; Table1[[#This Row],[Provider Type Description]]</f>
        <v>31+Physician</v>
      </c>
      <c r="Q727" s="7" t="str">
        <f>Table1[[#This Row],[Provider Specialty]] &amp; "+" &amp; Table1[[#This Row],[Provider Specialty Description]]</f>
        <v>331+Orthopedic Surgeon</v>
      </c>
      <c r="R727" s="7" t="str">
        <f>Table1[[#This Row],[PDMS Specialty Type ID]] &amp; "+" &amp; Table1[[#This Row],[PDMS Provider Type ID]] &amp; "+" &amp;Table1[[#This Row],[TAXONOMY]]</f>
        <v>2091+114+207XX0004X</v>
      </c>
      <c r="S7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(9706, 2091, 114, N'207XX0004X', N'Orthopaedic Surgery - Foot and Ankle Orthopaedics')</v>
      </c>
    </row>
    <row r="728" spans="1:19" ht="47.25" hidden="1" customHeight="1" x14ac:dyDescent="0.25">
      <c r="A728" s="22" t="s">
        <v>1854</v>
      </c>
      <c r="B728" s="3" t="s">
        <v>988</v>
      </c>
      <c r="C728" s="3" t="s">
        <v>1195</v>
      </c>
      <c r="D728" s="3" t="s">
        <v>1207</v>
      </c>
      <c r="E728" s="3" t="s">
        <v>1208</v>
      </c>
      <c r="F728" s="3">
        <f>VLOOKUP(Table1[[#This Row],[Column2]], TAXONOMY_TYPE, 2, FALSE)</f>
        <v>9707</v>
      </c>
      <c r="G728" s="3">
        <v>32</v>
      </c>
      <c r="H728" s="3" t="s">
        <v>1444</v>
      </c>
      <c r="I728" s="3">
        <f>VLOOKUP(Table1[[#This Row],[Provider Type]] &amp; Table1[[#This Row],[Provider Type Description]], PROVIDER_TYPE, 2, FALSE)</f>
        <v>50</v>
      </c>
      <c r="J728" s="3">
        <v>331</v>
      </c>
      <c r="K728" s="3" t="s">
        <v>1197</v>
      </c>
      <c r="L728" s="3">
        <f>VLOOKUP(TRIM(Table1[[#This Row],[Provider Specialty]]) &amp; TRIM(Table1[[#This Row],[Provider Specialty Description]]), SPECIALTY_TYPE, 2, FALSE)</f>
        <v>2091</v>
      </c>
      <c r="M728" s="3" t="s">
        <v>18</v>
      </c>
      <c r="N728" s="27" t="s">
        <v>19</v>
      </c>
      <c r="O728" s="38">
        <f>VLOOKUP(TRIM(Table1[[#This Row],[Provider Specialty]]) &amp; TRIM(Table1[[#This Row],[Provider Specialty Description]]), SPECIALTY_TYPE, 2, FALSE)</f>
        <v>2091</v>
      </c>
      <c r="P728" s="3" t="str">
        <f>Table1[[#This Row],[Provider Type]] &amp; "+" &amp; Table1[[#This Row],[Provider Type Description]]</f>
        <v>32+Multi-Specialty</v>
      </c>
      <c r="Q728" s="7" t="str">
        <f>Table1[[#This Row],[Provider Specialty]] &amp; "+" &amp; Table1[[#This Row],[Provider Specialty Description]]</f>
        <v>331+Orthopedic Surgeon</v>
      </c>
      <c r="R728" s="7" t="str">
        <f>Table1[[#This Row],[PDMS Specialty Type ID]] &amp; "+" &amp; Table1[[#This Row],[PDMS Provider Type ID]] &amp; "+" &amp;Table1[[#This Row],[TAXONOMY]]</f>
        <v>2091+50+207XX0004X</v>
      </c>
      <c r="S7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(9707, 2091, 50, N'207XX0004X', N'Orthopaedic Surgery - Foot and Ankle Orthopaedics')</v>
      </c>
    </row>
    <row r="729" spans="1:19" ht="47.25" hidden="1" customHeight="1" x14ac:dyDescent="0.25">
      <c r="A729" s="22" t="s">
        <v>1854</v>
      </c>
      <c r="B729" s="3" t="s">
        <v>988</v>
      </c>
      <c r="C729" s="3" t="s">
        <v>1195</v>
      </c>
      <c r="D729" s="3" t="s">
        <v>1207</v>
      </c>
      <c r="E729" s="3" t="s">
        <v>1208</v>
      </c>
      <c r="F729" s="3">
        <f>VLOOKUP(Table1[[#This Row],[Column2]], TAXONOMY_TYPE, 2, FALSE)</f>
        <v>9708</v>
      </c>
      <c r="G729" s="3">
        <v>33</v>
      </c>
      <c r="H729" s="3" t="s">
        <v>1953</v>
      </c>
      <c r="I729" s="3">
        <f>VLOOKUP(Table1[[#This Row],[Provider Type]] &amp; Table1[[#This Row],[Provider Type Description]], PROVIDER_TYPE, 2, FALSE)</f>
        <v>51</v>
      </c>
      <c r="J729" s="3">
        <v>331</v>
      </c>
      <c r="K729" s="3" t="s">
        <v>1197</v>
      </c>
      <c r="L729" s="3">
        <f>VLOOKUP(TRIM(Table1[[#This Row],[Provider Specialty]]) &amp; TRIM(Table1[[#This Row],[Provider Specialty Description]]), SPECIALTY_TYPE, 2, FALSE)</f>
        <v>2091</v>
      </c>
      <c r="M729" s="3" t="s">
        <v>18</v>
      </c>
      <c r="N729" s="27" t="s">
        <v>19</v>
      </c>
      <c r="O729" s="38">
        <f>VLOOKUP(TRIM(Table1[[#This Row],[Provider Specialty]]) &amp; TRIM(Table1[[#This Row],[Provider Specialty Description]]), SPECIALTY_TYPE, 2, FALSE)</f>
        <v>2091</v>
      </c>
      <c r="P729" s="3" t="str">
        <f>Table1[[#This Row],[Provider Type]] &amp; "+" &amp; Table1[[#This Row],[Provider Type Description]]</f>
        <v>33+Single-Specialty</v>
      </c>
      <c r="Q729" s="7" t="str">
        <f>Table1[[#This Row],[Provider Specialty]] &amp; "+" &amp; Table1[[#This Row],[Provider Specialty Description]]</f>
        <v>331+Orthopedic Surgeon</v>
      </c>
      <c r="R729" s="7" t="str">
        <f>Table1[[#This Row],[PDMS Specialty Type ID]] &amp; "+" &amp; Table1[[#This Row],[PDMS Provider Type ID]] &amp; "+" &amp;Table1[[#This Row],[TAXONOMY]]</f>
        <v>2091+51+207XX0004X</v>
      </c>
      <c r="S7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(9708, 2091, 51, N'207XX0004X', N'Orthopaedic Surgery - Foot and Ankle Orthopaedics')</v>
      </c>
    </row>
    <row r="730" spans="1:19" ht="47.25" hidden="1" customHeight="1" x14ac:dyDescent="0.25">
      <c r="A730" s="22" t="s">
        <v>1855</v>
      </c>
      <c r="B730" s="3" t="s">
        <v>988</v>
      </c>
      <c r="C730" s="3" t="s">
        <v>1195</v>
      </c>
      <c r="D730" s="3" t="s">
        <v>1159</v>
      </c>
      <c r="E730" s="3" t="s">
        <v>1209</v>
      </c>
      <c r="F730" s="3">
        <f>VLOOKUP(Table1[[#This Row],[Column2]], TAXONOMY_TYPE, 2, FALSE)</f>
        <v>9709</v>
      </c>
      <c r="G730" s="3">
        <v>31</v>
      </c>
      <c r="H730" s="3" t="s">
        <v>991</v>
      </c>
      <c r="I730" s="3">
        <f>VLOOKUP(Table1[[#This Row],[Provider Type]] &amp; Table1[[#This Row],[Provider Type Description]], PROVIDER_TYPE, 2, FALSE)</f>
        <v>114</v>
      </c>
      <c r="J730" s="3">
        <v>331</v>
      </c>
      <c r="K730" s="3" t="s">
        <v>1197</v>
      </c>
      <c r="L730" s="3">
        <f>VLOOKUP(TRIM(Table1[[#This Row],[Provider Specialty]]) &amp; TRIM(Table1[[#This Row],[Provider Specialty Description]]), SPECIALTY_TYPE, 2, FALSE)</f>
        <v>2091</v>
      </c>
      <c r="M730" s="3" t="s">
        <v>19</v>
      </c>
      <c r="N730" s="27" t="s">
        <v>19</v>
      </c>
      <c r="O730" s="38">
        <f>VLOOKUP(TRIM(Table1[[#This Row],[Provider Specialty]]) &amp; TRIM(Table1[[#This Row],[Provider Specialty Description]]), SPECIALTY_TYPE, 2, FALSE)</f>
        <v>2091</v>
      </c>
      <c r="P730" s="3" t="str">
        <f>Table1[[#This Row],[Provider Type]] &amp; "+" &amp; Table1[[#This Row],[Provider Type Description]]</f>
        <v>31+Physician</v>
      </c>
      <c r="Q730" s="7" t="str">
        <f>Table1[[#This Row],[Provider Specialty]] &amp; "+" &amp; Table1[[#This Row],[Provider Specialty Description]]</f>
        <v>331+Orthopedic Surgeon</v>
      </c>
      <c r="R730" s="7" t="str">
        <f>Table1[[#This Row],[PDMS Specialty Type ID]] &amp; "+" &amp; Table1[[#This Row],[PDMS Provider Type ID]] &amp; "+" &amp;Table1[[#This Row],[TAXONOMY]]</f>
        <v>2091+114+207XX0005X</v>
      </c>
      <c r="S7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(9709, 2091, 114, N'207XX0005X', N'Orthopaedic Surgery - Sports Medicine')</v>
      </c>
    </row>
    <row r="731" spans="1:19" ht="47.25" hidden="1" customHeight="1" x14ac:dyDescent="0.25">
      <c r="A731" s="22" t="s">
        <v>1854</v>
      </c>
      <c r="B731" s="3" t="s">
        <v>988</v>
      </c>
      <c r="C731" s="3" t="s">
        <v>1195</v>
      </c>
      <c r="D731" s="3" t="s">
        <v>1159</v>
      </c>
      <c r="E731" s="3" t="s">
        <v>1209</v>
      </c>
      <c r="F731" s="3">
        <f>VLOOKUP(Table1[[#This Row],[Column2]], TAXONOMY_TYPE, 2, FALSE)</f>
        <v>9710</v>
      </c>
      <c r="G731" s="3">
        <v>32</v>
      </c>
      <c r="H731" s="3" t="s">
        <v>1444</v>
      </c>
      <c r="I731" s="3">
        <f>VLOOKUP(Table1[[#This Row],[Provider Type]] &amp; Table1[[#This Row],[Provider Type Description]], PROVIDER_TYPE, 2, FALSE)</f>
        <v>50</v>
      </c>
      <c r="J731" s="3">
        <v>331</v>
      </c>
      <c r="K731" s="3" t="s">
        <v>1197</v>
      </c>
      <c r="L731" s="3">
        <f>VLOOKUP(TRIM(Table1[[#This Row],[Provider Specialty]]) &amp; TRIM(Table1[[#This Row],[Provider Specialty Description]]), SPECIALTY_TYPE, 2, FALSE)</f>
        <v>2091</v>
      </c>
      <c r="M731" s="3" t="s">
        <v>18</v>
      </c>
      <c r="N731" s="27" t="s">
        <v>19</v>
      </c>
      <c r="O731" s="38">
        <f>VLOOKUP(TRIM(Table1[[#This Row],[Provider Specialty]]) &amp; TRIM(Table1[[#This Row],[Provider Specialty Description]]), SPECIALTY_TYPE, 2, FALSE)</f>
        <v>2091</v>
      </c>
      <c r="P731" s="3" t="str">
        <f>Table1[[#This Row],[Provider Type]] &amp; "+" &amp; Table1[[#This Row],[Provider Type Description]]</f>
        <v>32+Multi-Specialty</v>
      </c>
      <c r="Q731" s="7" t="str">
        <f>Table1[[#This Row],[Provider Specialty]] &amp; "+" &amp; Table1[[#This Row],[Provider Specialty Description]]</f>
        <v>331+Orthopedic Surgeon</v>
      </c>
      <c r="R731" s="7" t="str">
        <f>Table1[[#This Row],[PDMS Specialty Type ID]] &amp; "+" &amp; Table1[[#This Row],[PDMS Provider Type ID]] &amp; "+" &amp;Table1[[#This Row],[TAXONOMY]]</f>
        <v>2091+50+207XX0005X</v>
      </c>
      <c r="S7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(9710, 2091, 50, N'207XX0005X', N'Orthopaedic Surgery - Sports Medicine')</v>
      </c>
    </row>
    <row r="732" spans="1:19" ht="47.25" hidden="1" customHeight="1" x14ac:dyDescent="0.25">
      <c r="A732" s="22" t="s">
        <v>1854</v>
      </c>
      <c r="B732" s="3" t="s">
        <v>988</v>
      </c>
      <c r="C732" s="3" t="s">
        <v>1195</v>
      </c>
      <c r="D732" s="3" t="s">
        <v>1159</v>
      </c>
      <c r="E732" s="3" t="s">
        <v>1209</v>
      </c>
      <c r="F732" s="3">
        <f>VLOOKUP(Table1[[#This Row],[Column2]], TAXONOMY_TYPE, 2, FALSE)</f>
        <v>9711</v>
      </c>
      <c r="G732" s="3">
        <v>33</v>
      </c>
      <c r="H732" s="3" t="s">
        <v>1953</v>
      </c>
      <c r="I732" s="3">
        <f>VLOOKUP(Table1[[#This Row],[Provider Type]] &amp; Table1[[#This Row],[Provider Type Description]], PROVIDER_TYPE, 2, FALSE)</f>
        <v>51</v>
      </c>
      <c r="J732" s="3">
        <v>331</v>
      </c>
      <c r="K732" s="3" t="s">
        <v>1197</v>
      </c>
      <c r="L732" s="3">
        <f>VLOOKUP(TRIM(Table1[[#This Row],[Provider Specialty]]) &amp; TRIM(Table1[[#This Row],[Provider Specialty Description]]), SPECIALTY_TYPE, 2, FALSE)</f>
        <v>2091</v>
      </c>
      <c r="M732" s="3" t="s">
        <v>18</v>
      </c>
      <c r="N732" s="27" t="s">
        <v>19</v>
      </c>
      <c r="O732" s="38">
        <f>VLOOKUP(TRIM(Table1[[#This Row],[Provider Specialty]]) &amp; TRIM(Table1[[#This Row],[Provider Specialty Description]]), SPECIALTY_TYPE, 2, FALSE)</f>
        <v>2091</v>
      </c>
      <c r="P732" s="3" t="str">
        <f>Table1[[#This Row],[Provider Type]] &amp; "+" &amp; Table1[[#This Row],[Provider Type Description]]</f>
        <v>33+Single-Specialty</v>
      </c>
      <c r="Q732" s="7" t="str">
        <f>Table1[[#This Row],[Provider Specialty]] &amp; "+" &amp; Table1[[#This Row],[Provider Specialty Description]]</f>
        <v>331+Orthopedic Surgeon</v>
      </c>
      <c r="R732" s="7" t="str">
        <f>Table1[[#This Row],[PDMS Specialty Type ID]] &amp; "+" &amp; Table1[[#This Row],[PDMS Provider Type ID]] &amp; "+" &amp;Table1[[#This Row],[TAXONOMY]]</f>
        <v>2091+51+207XX0005X</v>
      </c>
      <c r="S7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(9711, 2091, 51, N'207XX0005X', N'Orthopaedic Surgery - Sports Medicine')</v>
      </c>
    </row>
    <row r="733" spans="1:19" ht="47.25" hidden="1" customHeight="1" x14ac:dyDescent="0.25">
      <c r="A733" s="22" t="s">
        <v>1855</v>
      </c>
      <c r="B733" s="3" t="s">
        <v>988</v>
      </c>
      <c r="C733" s="3" t="s">
        <v>1195</v>
      </c>
      <c r="D733" s="3" t="s">
        <v>1210</v>
      </c>
      <c r="E733" s="3" t="s">
        <v>1211</v>
      </c>
      <c r="F733" s="3">
        <f>VLOOKUP(Table1[[#This Row],[Column2]], TAXONOMY_TYPE, 2, FALSE)</f>
        <v>9712</v>
      </c>
      <c r="G733" s="3">
        <v>31</v>
      </c>
      <c r="H733" s="3" t="s">
        <v>991</v>
      </c>
      <c r="I733" s="3">
        <f>VLOOKUP(Table1[[#This Row],[Provider Type]] &amp; Table1[[#This Row],[Provider Type Description]], PROVIDER_TYPE, 2, FALSE)</f>
        <v>114</v>
      </c>
      <c r="J733" s="3">
        <v>331</v>
      </c>
      <c r="K733" s="3" t="s">
        <v>1197</v>
      </c>
      <c r="L733" s="3">
        <f>VLOOKUP(TRIM(Table1[[#This Row],[Provider Specialty]]) &amp; TRIM(Table1[[#This Row],[Provider Specialty Description]]), SPECIALTY_TYPE, 2, FALSE)</f>
        <v>2091</v>
      </c>
      <c r="M733" s="3" t="s">
        <v>19</v>
      </c>
      <c r="N733" s="27" t="s">
        <v>19</v>
      </c>
      <c r="O733" s="38">
        <f>VLOOKUP(TRIM(Table1[[#This Row],[Provider Specialty]]) &amp; TRIM(Table1[[#This Row],[Provider Specialty Description]]), SPECIALTY_TYPE, 2, FALSE)</f>
        <v>2091</v>
      </c>
      <c r="P733" s="3" t="str">
        <f>Table1[[#This Row],[Provider Type]] &amp; "+" &amp; Table1[[#This Row],[Provider Type Description]]</f>
        <v>31+Physician</v>
      </c>
      <c r="Q733" s="7" t="str">
        <f>Table1[[#This Row],[Provider Specialty]] &amp; "+" &amp; Table1[[#This Row],[Provider Specialty Description]]</f>
        <v>331+Orthopedic Surgeon</v>
      </c>
      <c r="R733" s="7" t="str">
        <f>Table1[[#This Row],[PDMS Specialty Type ID]] &amp; "+" &amp; Table1[[#This Row],[PDMS Provider Type ID]] &amp; "+" &amp;Table1[[#This Row],[TAXONOMY]]</f>
        <v>2091+114+207XX0801X</v>
      </c>
      <c r="S7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(9712, 2091, 114, N'207XX0801X', N'Orthopaedic Surgery - Orthopaedic Trauma')</v>
      </c>
    </row>
    <row r="734" spans="1:19" ht="47.25" hidden="1" customHeight="1" x14ac:dyDescent="0.25">
      <c r="A734" s="22" t="s">
        <v>1854</v>
      </c>
      <c r="B734" s="3" t="s">
        <v>988</v>
      </c>
      <c r="C734" s="3" t="s">
        <v>1195</v>
      </c>
      <c r="D734" s="3" t="s">
        <v>1210</v>
      </c>
      <c r="E734" s="3" t="s">
        <v>1211</v>
      </c>
      <c r="F734" s="3">
        <f>VLOOKUP(Table1[[#This Row],[Column2]], TAXONOMY_TYPE, 2, FALSE)</f>
        <v>9713</v>
      </c>
      <c r="G734" s="3">
        <v>32</v>
      </c>
      <c r="H734" s="3" t="s">
        <v>1444</v>
      </c>
      <c r="I734" s="3">
        <f>VLOOKUP(Table1[[#This Row],[Provider Type]] &amp; Table1[[#This Row],[Provider Type Description]], PROVIDER_TYPE, 2, FALSE)</f>
        <v>50</v>
      </c>
      <c r="J734" s="3">
        <v>331</v>
      </c>
      <c r="K734" s="3" t="s">
        <v>1197</v>
      </c>
      <c r="L734" s="3">
        <f>VLOOKUP(TRIM(Table1[[#This Row],[Provider Specialty]]) &amp; TRIM(Table1[[#This Row],[Provider Specialty Description]]), SPECIALTY_TYPE, 2, FALSE)</f>
        <v>2091</v>
      </c>
      <c r="M734" s="3" t="s">
        <v>18</v>
      </c>
      <c r="N734" s="27" t="s">
        <v>19</v>
      </c>
      <c r="O734" s="38">
        <f>VLOOKUP(TRIM(Table1[[#This Row],[Provider Specialty]]) &amp; TRIM(Table1[[#This Row],[Provider Specialty Description]]), SPECIALTY_TYPE, 2, FALSE)</f>
        <v>2091</v>
      </c>
      <c r="P734" s="3" t="str">
        <f>Table1[[#This Row],[Provider Type]] &amp; "+" &amp; Table1[[#This Row],[Provider Type Description]]</f>
        <v>32+Multi-Specialty</v>
      </c>
      <c r="Q734" s="7" t="str">
        <f>Table1[[#This Row],[Provider Specialty]] &amp; "+" &amp; Table1[[#This Row],[Provider Specialty Description]]</f>
        <v>331+Orthopedic Surgeon</v>
      </c>
      <c r="R734" s="7" t="str">
        <f>Table1[[#This Row],[PDMS Specialty Type ID]] &amp; "+" &amp; Table1[[#This Row],[PDMS Provider Type ID]] &amp; "+" &amp;Table1[[#This Row],[TAXONOMY]]</f>
        <v>2091+50+207XX0801X</v>
      </c>
      <c r="S7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(9713, 2091, 50, N'207XX0801X', N'Orthopaedic Surgery - Orthopaedic Trauma')</v>
      </c>
    </row>
    <row r="735" spans="1:19" ht="47.25" hidden="1" customHeight="1" x14ac:dyDescent="0.25">
      <c r="A735" s="22" t="s">
        <v>1854</v>
      </c>
      <c r="B735" s="3" t="s">
        <v>988</v>
      </c>
      <c r="C735" s="3" t="s">
        <v>1195</v>
      </c>
      <c r="D735" s="3" t="s">
        <v>1210</v>
      </c>
      <c r="E735" s="3" t="s">
        <v>1211</v>
      </c>
      <c r="F735" s="3">
        <f>VLOOKUP(Table1[[#This Row],[Column2]], TAXONOMY_TYPE, 2, FALSE)</f>
        <v>9714</v>
      </c>
      <c r="G735" s="3">
        <v>33</v>
      </c>
      <c r="H735" s="3" t="s">
        <v>1953</v>
      </c>
      <c r="I735" s="3">
        <f>VLOOKUP(Table1[[#This Row],[Provider Type]] &amp; Table1[[#This Row],[Provider Type Description]], PROVIDER_TYPE, 2, FALSE)</f>
        <v>51</v>
      </c>
      <c r="J735" s="3">
        <v>331</v>
      </c>
      <c r="K735" s="3" t="s">
        <v>1197</v>
      </c>
      <c r="L735" s="3">
        <f>VLOOKUP(TRIM(Table1[[#This Row],[Provider Specialty]]) &amp; TRIM(Table1[[#This Row],[Provider Specialty Description]]), SPECIALTY_TYPE, 2, FALSE)</f>
        <v>2091</v>
      </c>
      <c r="M735" s="3" t="s">
        <v>18</v>
      </c>
      <c r="N735" s="27" t="s">
        <v>19</v>
      </c>
      <c r="O735" s="38">
        <f>VLOOKUP(TRIM(Table1[[#This Row],[Provider Specialty]]) &amp; TRIM(Table1[[#This Row],[Provider Specialty Description]]), SPECIALTY_TYPE, 2, FALSE)</f>
        <v>2091</v>
      </c>
      <c r="P735" s="3" t="str">
        <f>Table1[[#This Row],[Provider Type]] &amp; "+" &amp; Table1[[#This Row],[Provider Type Description]]</f>
        <v>33+Single-Specialty</v>
      </c>
      <c r="Q735" s="7" t="str">
        <f>Table1[[#This Row],[Provider Specialty]] &amp; "+" &amp; Table1[[#This Row],[Provider Specialty Description]]</f>
        <v>331+Orthopedic Surgeon</v>
      </c>
      <c r="R735" s="7" t="str">
        <f>Table1[[#This Row],[PDMS Specialty Type ID]] &amp; "+" &amp; Table1[[#This Row],[PDMS Provider Type ID]] &amp; "+" &amp;Table1[[#This Row],[TAXONOMY]]</f>
        <v>2091+51+207XX0801X</v>
      </c>
      <c r="S7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(9714, 2091, 51, N'207XX0801X', N'Orthopaedic Surgery - Orthopaedic Trauma')</v>
      </c>
    </row>
    <row r="736" spans="1:19" ht="47.25" hidden="1" customHeight="1" x14ac:dyDescent="0.25">
      <c r="A736" s="22" t="s">
        <v>1855</v>
      </c>
      <c r="B736" s="3" t="s">
        <v>988</v>
      </c>
      <c r="C736" s="3" t="s">
        <v>1212</v>
      </c>
      <c r="D736" s="3" t="s">
        <v>1212</v>
      </c>
      <c r="E736" s="3" t="s">
        <v>1213</v>
      </c>
      <c r="F736" s="3">
        <f>VLOOKUP(Table1[[#This Row],[Column2]], TAXONOMY_TYPE, 2, FALSE)</f>
        <v>9715</v>
      </c>
      <c r="G736" s="3">
        <v>31</v>
      </c>
      <c r="H736" s="3" t="s">
        <v>991</v>
      </c>
      <c r="I736" s="3">
        <f>VLOOKUP(Table1[[#This Row],[Provider Type]] &amp; Table1[[#This Row],[Provider Type Description]], PROVIDER_TYPE, 2, FALSE)</f>
        <v>114</v>
      </c>
      <c r="J736" s="3">
        <v>332</v>
      </c>
      <c r="K736" s="3" t="s">
        <v>1214</v>
      </c>
      <c r="L736" s="3">
        <f>VLOOKUP(TRIM(Table1[[#This Row],[Provider Specialty]]) &amp; TRIM(Table1[[#This Row],[Provider Specialty Description]]), SPECIALTY_TYPE, 2, FALSE)</f>
        <v>2092</v>
      </c>
      <c r="M736" s="3" t="s">
        <v>19</v>
      </c>
      <c r="N736" s="27" t="s">
        <v>19</v>
      </c>
      <c r="O736" s="38">
        <f>VLOOKUP(TRIM(Table1[[#This Row],[Provider Specialty]]) &amp; TRIM(Table1[[#This Row],[Provider Specialty Description]]), SPECIALTY_TYPE, 2, FALSE)</f>
        <v>2092</v>
      </c>
      <c r="P736" s="3" t="str">
        <f>Table1[[#This Row],[Provider Type]] &amp; "+" &amp; Table1[[#This Row],[Provider Type Description]]</f>
        <v>31+Physician</v>
      </c>
      <c r="Q736" s="7" t="str">
        <f>Table1[[#This Row],[Provider Specialty]] &amp; "+" &amp; Table1[[#This Row],[Provider Specialty Description]]</f>
        <v>332+Otologist, Laryngologist, Rhinologist</v>
      </c>
      <c r="R736" s="7" t="str">
        <f>Table1[[#This Row],[PDMS Specialty Type ID]] &amp; "+" &amp; Table1[[#This Row],[PDMS Provider Type ID]] &amp; "+" &amp;Table1[[#This Row],[TAXONOMY]]</f>
        <v>2092+114+207Y00000X</v>
      </c>
      <c r="S7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(9715, 2092, 114, N'207Y00000X', N'Otolaryngology - Otolaryngology')</v>
      </c>
    </row>
    <row r="737" spans="1:19" ht="47.25" hidden="1" customHeight="1" x14ac:dyDescent="0.25">
      <c r="A737" s="22" t="s">
        <v>1854</v>
      </c>
      <c r="B737" s="3" t="s">
        <v>988</v>
      </c>
      <c r="C737" s="3" t="s">
        <v>1212</v>
      </c>
      <c r="D737" s="3" t="s">
        <v>1212</v>
      </c>
      <c r="E737" s="3" t="s">
        <v>1213</v>
      </c>
      <c r="F737" s="3">
        <f>VLOOKUP(Table1[[#This Row],[Column2]], TAXONOMY_TYPE, 2, FALSE)</f>
        <v>9716</v>
      </c>
      <c r="G737" s="3">
        <v>32</v>
      </c>
      <c r="H737" s="3" t="s">
        <v>1444</v>
      </c>
      <c r="I737" s="3">
        <f>VLOOKUP(Table1[[#This Row],[Provider Type]] &amp; Table1[[#This Row],[Provider Type Description]], PROVIDER_TYPE, 2, FALSE)</f>
        <v>50</v>
      </c>
      <c r="J737" s="3">
        <v>332</v>
      </c>
      <c r="K737" s="3" t="s">
        <v>1214</v>
      </c>
      <c r="L737" s="3">
        <f>VLOOKUP(TRIM(Table1[[#This Row],[Provider Specialty]]) &amp; TRIM(Table1[[#This Row],[Provider Specialty Description]]), SPECIALTY_TYPE, 2, FALSE)</f>
        <v>2092</v>
      </c>
      <c r="M737" s="3" t="s">
        <v>18</v>
      </c>
      <c r="N737" s="27" t="s">
        <v>19</v>
      </c>
      <c r="O737" s="38">
        <f>VLOOKUP(TRIM(Table1[[#This Row],[Provider Specialty]]) &amp; TRIM(Table1[[#This Row],[Provider Specialty Description]]), SPECIALTY_TYPE, 2, FALSE)</f>
        <v>2092</v>
      </c>
      <c r="P737" s="3" t="str">
        <f>Table1[[#This Row],[Provider Type]] &amp; "+" &amp; Table1[[#This Row],[Provider Type Description]]</f>
        <v>32+Multi-Specialty</v>
      </c>
      <c r="Q737" s="7" t="str">
        <f>Table1[[#This Row],[Provider Specialty]] &amp; "+" &amp; Table1[[#This Row],[Provider Specialty Description]]</f>
        <v>332+Otologist, Laryngologist, Rhinologist</v>
      </c>
      <c r="R737" s="7" t="str">
        <f>Table1[[#This Row],[PDMS Specialty Type ID]] &amp; "+" &amp; Table1[[#This Row],[PDMS Provider Type ID]] &amp; "+" &amp;Table1[[#This Row],[TAXONOMY]]</f>
        <v>2092+50+207Y00000X</v>
      </c>
      <c r="S7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(9716, 2092, 50, N'207Y00000X', N'Otolaryngology - Otolaryngology')</v>
      </c>
    </row>
    <row r="738" spans="1:19" ht="47.25" hidden="1" customHeight="1" x14ac:dyDescent="0.25">
      <c r="A738" s="22" t="s">
        <v>1854</v>
      </c>
      <c r="B738" s="3" t="s">
        <v>988</v>
      </c>
      <c r="C738" s="3" t="s">
        <v>1212</v>
      </c>
      <c r="D738" s="3" t="s">
        <v>1212</v>
      </c>
      <c r="E738" s="3" t="s">
        <v>1213</v>
      </c>
      <c r="F738" s="3">
        <f>VLOOKUP(Table1[[#This Row],[Column2]], TAXONOMY_TYPE, 2, FALSE)</f>
        <v>9717</v>
      </c>
      <c r="G738" s="3">
        <v>33</v>
      </c>
      <c r="H738" s="3" t="s">
        <v>1953</v>
      </c>
      <c r="I738" s="3">
        <f>VLOOKUP(Table1[[#This Row],[Provider Type]] &amp; Table1[[#This Row],[Provider Type Description]], PROVIDER_TYPE, 2, FALSE)</f>
        <v>51</v>
      </c>
      <c r="J738" s="3">
        <v>332</v>
      </c>
      <c r="K738" s="3" t="s">
        <v>1214</v>
      </c>
      <c r="L738" s="3">
        <f>VLOOKUP(TRIM(Table1[[#This Row],[Provider Specialty]]) &amp; TRIM(Table1[[#This Row],[Provider Specialty Description]]), SPECIALTY_TYPE, 2, FALSE)</f>
        <v>2092</v>
      </c>
      <c r="M738" s="3" t="s">
        <v>18</v>
      </c>
      <c r="N738" s="27" t="s">
        <v>19</v>
      </c>
      <c r="O738" s="38">
        <f>VLOOKUP(TRIM(Table1[[#This Row],[Provider Specialty]]) &amp; TRIM(Table1[[#This Row],[Provider Specialty Description]]), SPECIALTY_TYPE, 2, FALSE)</f>
        <v>2092</v>
      </c>
      <c r="P738" s="3" t="str">
        <f>Table1[[#This Row],[Provider Type]] &amp; "+" &amp; Table1[[#This Row],[Provider Type Description]]</f>
        <v>33+Single-Specialty</v>
      </c>
      <c r="Q738" s="7" t="str">
        <f>Table1[[#This Row],[Provider Specialty]] &amp; "+" &amp; Table1[[#This Row],[Provider Specialty Description]]</f>
        <v>332+Otologist, Laryngologist, Rhinologist</v>
      </c>
      <c r="R738" s="7" t="str">
        <f>Table1[[#This Row],[PDMS Specialty Type ID]] &amp; "+" &amp; Table1[[#This Row],[PDMS Provider Type ID]] &amp; "+" &amp;Table1[[#This Row],[TAXONOMY]]</f>
        <v>2092+51+207Y00000X</v>
      </c>
      <c r="S7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(9717, 2092, 51, N'207Y00000X', N'Otolaryngology - Otolaryngology')</v>
      </c>
    </row>
    <row r="739" spans="1:19" ht="47.25" hidden="1" customHeight="1" x14ac:dyDescent="0.25">
      <c r="A739" s="22" t="s">
        <v>1855</v>
      </c>
      <c r="B739" s="3" t="s">
        <v>988</v>
      </c>
      <c r="C739" s="3" t="s">
        <v>1212</v>
      </c>
      <c r="D739" s="3" t="s">
        <v>1215</v>
      </c>
      <c r="E739" s="3" t="s">
        <v>1216</v>
      </c>
      <c r="F739" s="3">
        <f>VLOOKUP(Table1[[#This Row],[Column2]], TAXONOMY_TYPE, 2, FALSE)</f>
        <v>9718</v>
      </c>
      <c r="G739" s="3">
        <v>31</v>
      </c>
      <c r="H739" s="3" t="s">
        <v>991</v>
      </c>
      <c r="I739" s="3">
        <f>VLOOKUP(Table1[[#This Row],[Provider Type]] &amp; Table1[[#This Row],[Provider Type Description]], PROVIDER_TYPE, 2, FALSE)</f>
        <v>114</v>
      </c>
      <c r="J739" s="3">
        <v>332</v>
      </c>
      <c r="K739" s="3" t="s">
        <v>1214</v>
      </c>
      <c r="L739" s="3">
        <f>VLOOKUP(TRIM(Table1[[#This Row],[Provider Specialty]]) &amp; TRIM(Table1[[#This Row],[Provider Specialty Description]]), SPECIALTY_TYPE, 2, FALSE)</f>
        <v>2092</v>
      </c>
      <c r="M739" s="3" t="s">
        <v>19</v>
      </c>
      <c r="N739" s="27" t="s">
        <v>19</v>
      </c>
      <c r="O739" s="38">
        <f>VLOOKUP(TRIM(Table1[[#This Row],[Provider Specialty]]) &amp; TRIM(Table1[[#This Row],[Provider Specialty Description]]), SPECIALTY_TYPE, 2, FALSE)</f>
        <v>2092</v>
      </c>
      <c r="P739" s="3" t="str">
        <f>Table1[[#This Row],[Provider Type]] &amp; "+" &amp; Table1[[#This Row],[Provider Type Description]]</f>
        <v>31+Physician</v>
      </c>
      <c r="Q739" s="7" t="str">
        <f>Table1[[#This Row],[Provider Specialty]] &amp; "+" &amp; Table1[[#This Row],[Provider Specialty Description]]</f>
        <v>332+Otologist, Laryngologist, Rhinologist</v>
      </c>
      <c r="R739" s="7" t="str">
        <f>Table1[[#This Row],[PDMS Specialty Type ID]] &amp; "+" &amp; Table1[[#This Row],[PDMS Provider Type ID]] &amp; "+" &amp;Table1[[#This Row],[TAXONOMY]]</f>
        <v>2092+114+207YP0228X</v>
      </c>
      <c r="S7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(9718, 2092, 114, N'207YP0228X', N'Otolaryngology - Pediatric Otolaryngology')</v>
      </c>
    </row>
    <row r="740" spans="1:19" ht="47.25" hidden="1" customHeight="1" x14ac:dyDescent="0.25">
      <c r="A740" s="22" t="s">
        <v>1854</v>
      </c>
      <c r="B740" s="3" t="s">
        <v>988</v>
      </c>
      <c r="C740" s="3" t="s">
        <v>1212</v>
      </c>
      <c r="D740" s="3" t="s">
        <v>1215</v>
      </c>
      <c r="E740" s="3" t="s">
        <v>1216</v>
      </c>
      <c r="F740" s="3">
        <f>VLOOKUP(Table1[[#This Row],[Column2]], TAXONOMY_TYPE, 2, FALSE)</f>
        <v>9719</v>
      </c>
      <c r="G740" s="3">
        <v>32</v>
      </c>
      <c r="H740" s="3" t="s">
        <v>1444</v>
      </c>
      <c r="I740" s="3">
        <f>VLOOKUP(Table1[[#This Row],[Provider Type]] &amp; Table1[[#This Row],[Provider Type Description]], PROVIDER_TYPE, 2, FALSE)</f>
        <v>50</v>
      </c>
      <c r="J740" s="3">
        <v>332</v>
      </c>
      <c r="K740" s="3" t="s">
        <v>1214</v>
      </c>
      <c r="L740" s="3">
        <f>VLOOKUP(TRIM(Table1[[#This Row],[Provider Specialty]]) &amp; TRIM(Table1[[#This Row],[Provider Specialty Description]]), SPECIALTY_TYPE, 2, FALSE)</f>
        <v>2092</v>
      </c>
      <c r="M740" s="3" t="s">
        <v>18</v>
      </c>
      <c r="N740" s="27" t="s">
        <v>19</v>
      </c>
      <c r="O740" s="38">
        <f>VLOOKUP(TRIM(Table1[[#This Row],[Provider Specialty]]) &amp; TRIM(Table1[[#This Row],[Provider Specialty Description]]), SPECIALTY_TYPE, 2, FALSE)</f>
        <v>2092</v>
      </c>
      <c r="P740" s="3" t="str">
        <f>Table1[[#This Row],[Provider Type]] &amp; "+" &amp; Table1[[#This Row],[Provider Type Description]]</f>
        <v>32+Multi-Specialty</v>
      </c>
      <c r="Q740" s="7" t="str">
        <f>Table1[[#This Row],[Provider Specialty]] &amp; "+" &amp; Table1[[#This Row],[Provider Specialty Description]]</f>
        <v>332+Otologist, Laryngologist, Rhinologist</v>
      </c>
      <c r="R740" s="7" t="str">
        <f>Table1[[#This Row],[PDMS Specialty Type ID]] &amp; "+" &amp; Table1[[#This Row],[PDMS Provider Type ID]] &amp; "+" &amp;Table1[[#This Row],[TAXONOMY]]</f>
        <v>2092+50+207YP0228X</v>
      </c>
      <c r="S7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(9719, 2092, 50, N'207YP0228X', N'Otolaryngology - Pediatric Otolaryngology')</v>
      </c>
    </row>
    <row r="741" spans="1:19" ht="47.25" hidden="1" customHeight="1" x14ac:dyDescent="0.25">
      <c r="A741" s="22" t="s">
        <v>1854</v>
      </c>
      <c r="B741" s="3" t="s">
        <v>988</v>
      </c>
      <c r="C741" s="3" t="s">
        <v>1212</v>
      </c>
      <c r="D741" s="3" t="s">
        <v>1215</v>
      </c>
      <c r="E741" s="3" t="s">
        <v>1216</v>
      </c>
      <c r="F741" s="3">
        <f>VLOOKUP(Table1[[#This Row],[Column2]], TAXONOMY_TYPE, 2, FALSE)</f>
        <v>9720</v>
      </c>
      <c r="G741" s="3">
        <v>33</v>
      </c>
      <c r="H741" s="3" t="s">
        <v>1953</v>
      </c>
      <c r="I741" s="3">
        <f>VLOOKUP(Table1[[#This Row],[Provider Type]] &amp; Table1[[#This Row],[Provider Type Description]], PROVIDER_TYPE, 2, FALSE)</f>
        <v>51</v>
      </c>
      <c r="J741" s="3">
        <v>332</v>
      </c>
      <c r="K741" s="3" t="s">
        <v>1214</v>
      </c>
      <c r="L741" s="3">
        <f>VLOOKUP(TRIM(Table1[[#This Row],[Provider Specialty]]) &amp; TRIM(Table1[[#This Row],[Provider Specialty Description]]), SPECIALTY_TYPE, 2, FALSE)</f>
        <v>2092</v>
      </c>
      <c r="M741" s="3" t="s">
        <v>18</v>
      </c>
      <c r="N741" s="27" t="s">
        <v>19</v>
      </c>
      <c r="O741" s="38">
        <f>VLOOKUP(TRIM(Table1[[#This Row],[Provider Specialty]]) &amp; TRIM(Table1[[#This Row],[Provider Specialty Description]]), SPECIALTY_TYPE, 2, FALSE)</f>
        <v>2092</v>
      </c>
      <c r="P741" s="3" t="str">
        <f>Table1[[#This Row],[Provider Type]] &amp; "+" &amp; Table1[[#This Row],[Provider Type Description]]</f>
        <v>33+Single-Specialty</v>
      </c>
      <c r="Q741" s="7" t="str">
        <f>Table1[[#This Row],[Provider Specialty]] &amp; "+" &amp; Table1[[#This Row],[Provider Specialty Description]]</f>
        <v>332+Otologist, Laryngologist, Rhinologist</v>
      </c>
      <c r="R741" s="7" t="str">
        <f>Table1[[#This Row],[PDMS Specialty Type ID]] &amp; "+" &amp; Table1[[#This Row],[PDMS Provider Type ID]] &amp; "+" &amp;Table1[[#This Row],[TAXONOMY]]</f>
        <v>2092+51+207YP0228X</v>
      </c>
      <c r="S7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(9720, 2092, 51, N'207YP0228X', N'Otolaryngology - Pediatric Otolaryngology')</v>
      </c>
    </row>
    <row r="742" spans="1:19" ht="47.25" hidden="1" customHeight="1" x14ac:dyDescent="0.25">
      <c r="A742" s="22" t="s">
        <v>1855</v>
      </c>
      <c r="B742" s="3" t="s">
        <v>988</v>
      </c>
      <c r="C742" s="3" t="s">
        <v>1212</v>
      </c>
      <c r="D742" s="3" t="s">
        <v>1217</v>
      </c>
      <c r="E742" s="3" t="s">
        <v>1218</v>
      </c>
      <c r="F742" s="3">
        <f>VLOOKUP(Table1[[#This Row],[Column2]], TAXONOMY_TYPE, 2, FALSE)</f>
        <v>9721</v>
      </c>
      <c r="G742" s="3">
        <v>31</v>
      </c>
      <c r="H742" s="3" t="s">
        <v>991</v>
      </c>
      <c r="I742" s="3">
        <f>VLOOKUP(Table1[[#This Row],[Provider Type]] &amp; Table1[[#This Row],[Provider Type Description]], PROVIDER_TYPE, 2, FALSE)</f>
        <v>114</v>
      </c>
      <c r="J742" s="3">
        <v>332</v>
      </c>
      <c r="K742" s="3" t="s">
        <v>1214</v>
      </c>
      <c r="L742" s="3">
        <f>VLOOKUP(TRIM(Table1[[#This Row],[Provider Specialty]]) &amp; TRIM(Table1[[#This Row],[Provider Specialty Description]]), SPECIALTY_TYPE, 2, FALSE)</f>
        <v>2092</v>
      </c>
      <c r="M742" s="3" t="s">
        <v>19</v>
      </c>
      <c r="N742" s="27" t="s">
        <v>19</v>
      </c>
      <c r="O742" s="38">
        <f>VLOOKUP(TRIM(Table1[[#This Row],[Provider Specialty]]) &amp; TRIM(Table1[[#This Row],[Provider Specialty Description]]), SPECIALTY_TYPE, 2, FALSE)</f>
        <v>2092</v>
      </c>
      <c r="P742" s="3" t="str">
        <f>Table1[[#This Row],[Provider Type]] &amp; "+" &amp; Table1[[#This Row],[Provider Type Description]]</f>
        <v>31+Physician</v>
      </c>
      <c r="Q742" s="7" t="str">
        <f>Table1[[#This Row],[Provider Specialty]] &amp; "+" &amp; Table1[[#This Row],[Provider Specialty Description]]</f>
        <v>332+Otologist, Laryngologist, Rhinologist</v>
      </c>
      <c r="R742" s="7" t="str">
        <f>Table1[[#This Row],[PDMS Specialty Type ID]] &amp; "+" &amp; Table1[[#This Row],[PDMS Provider Type ID]] &amp; "+" &amp;Table1[[#This Row],[TAXONOMY]]</f>
        <v>2092+114+207YS0012X</v>
      </c>
      <c r="S7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(9721, 2092, 114, N'207YS0012X', N'Otolaryngology - Sleep Medicine ')</v>
      </c>
    </row>
    <row r="743" spans="1:19" ht="47.25" hidden="1" customHeight="1" x14ac:dyDescent="0.25">
      <c r="A743" s="22" t="s">
        <v>1854</v>
      </c>
      <c r="B743" s="3" t="s">
        <v>988</v>
      </c>
      <c r="C743" s="3" t="s">
        <v>1212</v>
      </c>
      <c r="D743" s="3" t="s">
        <v>1217</v>
      </c>
      <c r="E743" s="3" t="s">
        <v>1218</v>
      </c>
      <c r="F743" s="3">
        <f>VLOOKUP(Table1[[#This Row],[Column2]], TAXONOMY_TYPE, 2, FALSE)</f>
        <v>9722</v>
      </c>
      <c r="G743" s="3">
        <v>32</v>
      </c>
      <c r="H743" s="3" t="s">
        <v>1444</v>
      </c>
      <c r="I743" s="3">
        <f>VLOOKUP(Table1[[#This Row],[Provider Type]] &amp; Table1[[#This Row],[Provider Type Description]], PROVIDER_TYPE, 2, FALSE)</f>
        <v>50</v>
      </c>
      <c r="J743" s="3">
        <v>332</v>
      </c>
      <c r="K743" s="3" t="s">
        <v>1214</v>
      </c>
      <c r="L743" s="3">
        <f>VLOOKUP(TRIM(Table1[[#This Row],[Provider Specialty]]) &amp; TRIM(Table1[[#This Row],[Provider Specialty Description]]), SPECIALTY_TYPE, 2, FALSE)</f>
        <v>2092</v>
      </c>
      <c r="M743" s="3" t="s">
        <v>18</v>
      </c>
      <c r="N743" s="27" t="s">
        <v>19</v>
      </c>
      <c r="O743" s="38">
        <f>VLOOKUP(TRIM(Table1[[#This Row],[Provider Specialty]]) &amp; TRIM(Table1[[#This Row],[Provider Specialty Description]]), SPECIALTY_TYPE, 2, FALSE)</f>
        <v>2092</v>
      </c>
      <c r="P743" s="3" t="str">
        <f>Table1[[#This Row],[Provider Type]] &amp; "+" &amp; Table1[[#This Row],[Provider Type Description]]</f>
        <v>32+Multi-Specialty</v>
      </c>
      <c r="Q743" s="7" t="str">
        <f>Table1[[#This Row],[Provider Specialty]] &amp; "+" &amp; Table1[[#This Row],[Provider Specialty Description]]</f>
        <v>332+Otologist, Laryngologist, Rhinologist</v>
      </c>
      <c r="R743" s="7" t="str">
        <f>Table1[[#This Row],[PDMS Specialty Type ID]] &amp; "+" &amp; Table1[[#This Row],[PDMS Provider Type ID]] &amp; "+" &amp;Table1[[#This Row],[TAXONOMY]]</f>
        <v>2092+50+207YS0012X</v>
      </c>
      <c r="S7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(9722, 2092, 50, N'207YS0012X', N'Otolaryngology - Sleep Medicine ')</v>
      </c>
    </row>
    <row r="744" spans="1:19" ht="47.25" hidden="1" customHeight="1" x14ac:dyDescent="0.25">
      <c r="A744" s="22" t="s">
        <v>1854</v>
      </c>
      <c r="B744" s="3" t="s">
        <v>988</v>
      </c>
      <c r="C744" s="3" t="s">
        <v>1212</v>
      </c>
      <c r="D744" s="3" t="s">
        <v>1217</v>
      </c>
      <c r="E744" s="3" t="s">
        <v>1218</v>
      </c>
      <c r="F744" s="3">
        <f>VLOOKUP(Table1[[#This Row],[Column2]], TAXONOMY_TYPE, 2, FALSE)</f>
        <v>9723</v>
      </c>
      <c r="G744" s="3">
        <v>33</v>
      </c>
      <c r="H744" s="3" t="s">
        <v>1953</v>
      </c>
      <c r="I744" s="3">
        <f>VLOOKUP(Table1[[#This Row],[Provider Type]] &amp; Table1[[#This Row],[Provider Type Description]], PROVIDER_TYPE, 2, FALSE)</f>
        <v>51</v>
      </c>
      <c r="J744" s="3">
        <v>332</v>
      </c>
      <c r="K744" s="3" t="s">
        <v>1214</v>
      </c>
      <c r="L744" s="3">
        <f>VLOOKUP(TRIM(Table1[[#This Row],[Provider Specialty]]) &amp; TRIM(Table1[[#This Row],[Provider Specialty Description]]), SPECIALTY_TYPE, 2, FALSE)</f>
        <v>2092</v>
      </c>
      <c r="M744" s="3" t="s">
        <v>18</v>
      </c>
      <c r="N744" s="27" t="s">
        <v>19</v>
      </c>
      <c r="O744" s="38">
        <f>VLOOKUP(TRIM(Table1[[#This Row],[Provider Specialty]]) &amp; TRIM(Table1[[#This Row],[Provider Specialty Description]]), SPECIALTY_TYPE, 2, FALSE)</f>
        <v>2092</v>
      </c>
      <c r="P744" s="3" t="str">
        <f>Table1[[#This Row],[Provider Type]] &amp; "+" &amp; Table1[[#This Row],[Provider Type Description]]</f>
        <v>33+Single-Specialty</v>
      </c>
      <c r="Q744" s="7" t="str">
        <f>Table1[[#This Row],[Provider Specialty]] &amp; "+" &amp; Table1[[#This Row],[Provider Specialty Description]]</f>
        <v>332+Otologist, Laryngologist, Rhinologist</v>
      </c>
      <c r="R744" s="7" t="str">
        <f>Table1[[#This Row],[PDMS Specialty Type ID]] &amp; "+" &amp; Table1[[#This Row],[PDMS Provider Type ID]] &amp; "+" &amp;Table1[[#This Row],[TAXONOMY]]</f>
        <v>2092+51+207YS0012X</v>
      </c>
      <c r="S7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(9723, 2092, 51, N'207YS0012X', N'Otolaryngology - Sleep Medicine ')</v>
      </c>
    </row>
    <row r="745" spans="1:19" ht="47.25" hidden="1" customHeight="1" x14ac:dyDescent="0.25">
      <c r="A745" s="22" t="s">
        <v>1855</v>
      </c>
      <c r="B745" s="3" t="s">
        <v>988</v>
      </c>
      <c r="C745" s="3" t="s">
        <v>1212</v>
      </c>
      <c r="D745" s="3" t="s">
        <v>1224</v>
      </c>
      <c r="E745" s="3" t="s">
        <v>1225</v>
      </c>
      <c r="F745" s="3">
        <f>VLOOKUP(Table1[[#This Row],[Column2]], TAXONOMY_TYPE, 2, FALSE)</f>
        <v>9724</v>
      </c>
      <c r="G745" s="3">
        <v>31</v>
      </c>
      <c r="H745" s="3" t="s">
        <v>991</v>
      </c>
      <c r="I745" s="3">
        <f>VLOOKUP(Table1[[#This Row],[Provider Type]] &amp; Table1[[#This Row],[Provider Type Description]], PROVIDER_TYPE, 2, FALSE)</f>
        <v>114</v>
      </c>
      <c r="J745" s="3">
        <v>332</v>
      </c>
      <c r="K745" s="3" t="s">
        <v>1214</v>
      </c>
      <c r="L745" s="3">
        <f>VLOOKUP(TRIM(Table1[[#This Row],[Provider Specialty]]) &amp; TRIM(Table1[[#This Row],[Provider Specialty Description]]), SPECIALTY_TYPE, 2, FALSE)</f>
        <v>2092</v>
      </c>
      <c r="M745" s="3" t="s">
        <v>19</v>
      </c>
      <c r="N745" s="27" t="s">
        <v>19</v>
      </c>
      <c r="O745" s="38">
        <f>VLOOKUP(TRIM(Table1[[#This Row],[Provider Specialty]]) &amp; TRIM(Table1[[#This Row],[Provider Specialty Description]]), SPECIALTY_TYPE, 2, FALSE)</f>
        <v>2092</v>
      </c>
      <c r="P745" s="3" t="str">
        <f>Table1[[#This Row],[Provider Type]] &amp; "+" &amp; Table1[[#This Row],[Provider Type Description]]</f>
        <v>31+Physician</v>
      </c>
      <c r="Q745" s="7" t="str">
        <f>Table1[[#This Row],[Provider Specialty]] &amp; "+" &amp; Table1[[#This Row],[Provider Specialty Description]]</f>
        <v>332+Otologist, Laryngologist, Rhinologist</v>
      </c>
      <c r="R745" s="7" t="str">
        <f>Table1[[#This Row],[PDMS Specialty Type ID]] &amp; "+" &amp; Table1[[#This Row],[PDMS Provider Type ID]] &amp; "+" &amp;Table1[[#This Row],[TAXONOMY]]</f>
        <v>2092+114+207YX0602X</v>
      </c>
      <c r="S7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(9724, 2092, 114, N'207YX0602X', N'Otolaryngology - Otolaryngic Allergy')</v>
      </c>
    </row>
    <row r="746" spans="1:19" ht="47.25" hidden="1" customHeight="1" x14ac:dyDescent="0.25">
      <c r="A746" s="22" t="s">
        <v>1854</v>
      </c>
      <c r="B746" s="3" t="s">
        <v>988</v>
      </c>
      <c r="C746" s="3" t="s">
        <v>1212</v>
      </c>
      <c r="D746" s="3" t="s">
        <v>1224</v>
      </c>
      <c r="E746" s="3" t="s">
        <v>1225</v>
      </c>
      <c r="F746" s="3">
        <f>VLOOKUP(Table1[[#This Row],[Column2]], TAXONOMY_TYPE, 2, FALSE)</f>
        <v>9725</v>
      </c>
      <c r="G746" s="3">
        <v>32</v>
      </c>
      <c r="H746" s="3" t="s">
        <v>1444</v>
      </c>
      <c r="I746" s="3">
        <f>VLOOKUP(Table1[[#This Row],[Provider Type]] &amp; Table1[[#This Row],[Provider Type Description]], PROVIDER_TYPE, 2, FALSE)</f>
        <v>50</v>
      </c>
      <c r="J746" s="3">
        <v>333</v>
      </c>
      <c r="K746" s="3" t="s">
        <v>1214</v>
      </c>
      <c r="L746" s="3">
        <f>VLOOKUP(TRIM(Table1[[#This Row],[Provider Specialty]]) &amp; TRIM(Table1[[#This Row],[Provider Specialty Description]]), SPECIALTY_TYPE, 2, FALSE)</f>
        <v>2250</v>
      </c>
      <c r="M746" s="3" t="s">
        <v>18</v>
      </c>
      <c r="N746" s="27" t="s">
        <v>19</v>
      </c>
      <c r="O746" s="38">
        <f>VLOOKUP(TRIM(Table1[[#This Row],[Provider Specialty]]) &amp; TRIM(Table1[[#This Row],[Provider Specialty Description]]), SPECIALTY_TYPE, 2, FALSE)</f>
        <v>2250</v>
      </c>
      <c r="P746" s="3" t="str">
        <f>Table1[[#This Row],[Provider Type]] &amp; "+" &amp; Table1[[#This Row],[Provider Type Description]]</f>
        <v>32+Multi-Specialty</v>
      </c>
      <c r="Q746" s="7" t="str">
        <f>Table1[[#This Row],[Provider Specialty]] &amp; "+" &amp; Table1[[#This Row],[Provider Specialty Description]]</f>
        <v>333+Otologist, Laryngologist, Rhinologist</v>
      </c>
      <c r="R746" s="7" t="str">
        <f>Table1[[#This Row],[PDMS Specialty Type ID]] &amp; "+" &amp; Table1[[#This Row],[PDMS Provider Type ID]] &amp; "+" &amp;Table1[[#This Row],[TAXONOMY]]</f>
        <v>2250+50+207YX0602X</v>
      </c>
      <c r="S7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(9725, 2250, 50, N'207YX0602X', N'Otolaryngology - Otolaryngic Allergy')</v>
      </c>
    </row>
    <row r="747" spans="1:19" ht="47.25" hidden="1" customHeight="1" x14ac:dyDescent="0.25">
      <c r="A747" s="22" t="s">
        <v>1854</v>
      </c>
      <c r="B747" s="3" t="s">
        <v>988</v>
      </c>
      <c r="C747" s="3" t="s">
        <v>1212</v>
      </c>
      <c r="D747" s="3" t="s">
        <v>1224</v>
      </c>
      <c r="E747" s="3" t="s">
        <v>1225</v>
      </c>
      <c r="F747" s="3">
        <f>VLOOKUP(Table1[[#This Row],[Column2]], TAXONOMY_TYPE, 2, FALSE)</f>
        <v>9726</v>
      </c>
      <c r="G747" s="3">
        <v>33</v>
      </c>
      <c r="H747" s="3" t="s">
        <v>1953</v>
      </c>
      <c r="I747" s="3">
        <f>VLOOKUP(Table1[[#This Row],[Provider Type]] &amp; Table1[[#This Row],[Provider Type Description]], PROVIDER_TYPE, 2, FALSE)</f>
        <v>51</v>
      </c>
      <c r="J747" s="3">
        <v>334</v>
      </c>
      <c r="K747" s="3" t="s">
        <v>1214</v>
      </c>
      <c r="L747" s="3">
        <f>VLOOKUP(TRIM(Table1[[#This Row],[Provider Specialty]]) &amp; TRIM(Table1[[#This Row],[Provider Specialty Description]]), SPECIALTY_TYPE, 2, FALSE)</f>
        <v>2260</v>
      </c>
      <c r="M747" s="3" t="s">
        <v>18</v>
      </c>
      <c r="N747" s="27" t="s">
        <v>19</v>
      </c>
      <c r="O747" s="38">
        <f>VLOOKUP(TRIM(Table1[[#This Row],[Provider Specialty]]) &amp; TRIM(Table1[[#This Row],[Provider Specialty Description]]), SPECIALTY_TYPE, 2, FALSE)</f>
        <v>2260</v>
      </c>
      <c r="P747" s="3" t="str">
        <f>Table1[[#This Row],[Provider Type]] &amp; "+" &amp; Table1[[#This Row],[Provider Type Description]]</f>
        <v>33+Single-Specialty</v>
      </c>
      <c r="Q747" s="7" t="str">
        <f>Table1[[#This Row],[Provider Specialty]] &amp; "+" &amp; Table1[[#This Row],[Provider Specialty Description]]</f>
        <v>334+Otologist, Laryngologist, Rhinologist</v>
      </c>
      <c r="R747" s="7" t="str">
        <f>Table1[[#This Row],[PDMS Specialty Type ID]] &amp; "+" &amp; Table1[[#This Row],[PDMS Provider Type ID]] &amp; "+" &amp;Table1[[#This Row],[TAXONOMY]]</f>
        <v>2260+51+207YX0602X</v>
      </c>
      <c r="S7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(9726, 2260, 51, N'207YX0602X', N'Otolaryngology - Otolaryngic Allergy')</v>
      </c>
    </row>
    <row r="748" spans="1:19" ht="47.25" hidden="1" customHeight="1" x14ac:dyDescent="0.25">
      <c r="A748" s="22" t="s">
        <v>1855</v>
      </c>
      <c r="B748" s="3" t="s">
        <v>988</v>
      </c>
      <c r="C748" s="3" t="s">
        <v>1212</v>
      </c>
      <c r="D748" s="3" t="s">
        <v>1226</v>
      </c>
      <c r="E748" s="3" t="s">
        <v>1227</v>
      </c>
      <c r="F748" s="3">
        <f>VLOOKUP(Table1[[#This Row],[Column2]], TAXONOMY_TYPE, 2, FALSE)</f>
        <v>9727</v>
      </c>
      <c r="G748" s="3">
        <v>31</v>
      </c>
      <c r="H748" s="3" t="s">
        <v>991</v>
      </c>
      <c r="I748" s="3">
        <f>VLOOKUP(Table1[[#This Row],[Provider Type]] &amp; Table1[[#This Row],[Provider Type Description]], PROVIDER_TYPE, 2, FALSE)</f>
        <v>114</v>
      </c>
      <c r="J748" s="3">
        <v>332</v>
      </c>
      <c r="K748" s="3" t="s">
        <v>1214</v>
      </c>
      <c r="L748" s="3">
        <f>VLOOKUP(TRIM(Table1[[#This Row],[Provider Specialty]]) &amp; TRIM(Table1[[#This Row],[Provider Specialty Description]]), SPECIALTY_TYPE, 2, FALSE)</f>
        <v>2092</v>
      </c>
      <c r="M748" s="3" t="s">
        <v>19</v>
      </c>
      <c r="N748" s="27" t="s">
        <v>19</v>
      </c>
      <c r="O748" s="38">
        <f>VLOOKUP(TRIM(Table1[[#This Row],[Provider Specialty]]) &amp; TRIM(Table1[[#This Row],[Provider Specialty Description]]), SPECIALTY_TYPE, 2, FALSE)</f>
        <v>2092</v>
      </c>
      <c r="P748" s="3" t="str">
        <f>Table1[[#This Row],[Provider Type]] &amp; "+" &amp; Table1[[#This Row],[Provider Type Description]]</f>
        <v>31+Physician</v>
      </c>
      <c r="Q748" s="7" t="str">
        <f>Table1[[#This Row],[Provider Specialty]] &amp; "+" &amp; Table1[[#This Row],[Provider Specialty Description]]</f>
        <v>332+Otologist, Laryngologist, Rhinologist</v>
      </c>
      <c r="R748" s="7" t="str">
        <f>Table1[[#This Row],[PDMS Specialty Type ID]] &amp; "+" &amp; Table1[[#This Row],[PDMS Provider Type ID]] &amp; "+" &amp;Table1[[#This Row],[TAXONOMY]]</f>
        <v>2092+114+207YX0901X</v>
      </c>
      <c r="S7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(9727, 2092, 114, N'207YX0901X', N'Otolaryngology - Otology &amp; Neurotology')</v>
      </c>
    </row>
    <row r="749" spans="1:19" ht="47.25" hidden="1" customHeight="1" x14ac:dyDescent="0.25">
      <c r="A749" s="22" t="s">
        <v>1854</v>
      </c>
      <c r="B749" s="3" t="s">
        <v>988</v>
      </c>
      <c r="C749" s="3" t="s">
        <v>1212</v>
      </c>
      <c r="D749" s="3" t="s">
        <v>1226</v>
      </c>
      <c r="E749" s="3" t="s">
        <v>1227</v>
      </c>
      <c r="F749" s="3">
        <f>VLOOKUP(Table1[[#This Row],[Column2]], TAXONOMY_TYPE, 2, FALSE)</f>
        <v>9728</v>
      </c>
      <c r="G749" s="3">
        <v>32</v>
      </c>
      <c r="H749" s="3" t="s">
        <v>1444</v>
      </c>
      <c r="I749" s="3">
        <f>VLOOKUP(Table1[[#This Row],[Provider Type]] &amp; Table1[[#This Row],[Provider Type Description]], PROVIDER_TYPE, 2, FALSE)</f>
        <v>50</v>
      </c>
      <c r="J749" s="3">
        <v>332</v>
      </c>
      <c r="K749" s="3" t="s">
        <v>1214</v>
      </c>
      <c r="L749" s="3">
        <f>VLOOKUP(TRIM(Table1[[#This Row],[Provider Specialty]]) &amp; TRIM(Table1[[#This Row],[Provider Specialty Description]]), SPECIALTY_TYPE, 2, FALSE)</f>
        <v>2092</v>
      </c>
      <c r="M749" s="3" t="s">
        <v>18</v>
      </c>
      <c r="N749" s="27" t="s">
        <v>19</v>
      </c>
      <c r="O749" s="38">
        <f>VLOOKUP(TRIM(Table1[[#This Row],[Provider Specialty]]) &amp; TRIM(Table1[[#This Row],[Provider Specialty Description]]), SPECIALTY_TYPE, 2, FALSE)</f>
        <v>2092</v>
      </c>
      <c r="P749" s="3" t="str">
        <f>Table1[[#This Row],[Provider Type]] &amp; "+" &amp; Table1[[#This Row],[Provider Type Description]]</f>
        <v>32+Multi-Specialty</v>
      </c>
      <c r="Q749" s="7" t="str">
        <f>Table1[[#This Row],[Provider Specialty]] &amp; "+" &amp; Table1[[#This Row],[Provider Specialty Description]]</f>
        <v>332+Otologist, Laryngologist, Rhinologist</v>
      </c>
      <c r="R749" s="7" t="str">
        <f>Table1[[#This Row],[PDMS Specialty Type ID]] &amp; "+" &amp; Table1[[#This Row],[PDMS Provider Type ID]] &amp; "+" &amp;Table1[[#This Row],[TAXONOMY]]</f>
        <v>2092+50+207YX0901X</v>
      </c>
      <c r="S7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(9728, 2092, 50, N'207YX0901X', N'Otolaryngology - Otology &amp; Neurotology')</v>
      </c>
    </row>
    <row r="750" spans="1:19" ht="47.25" hidden="1" customHeight="1" x14ac:dyDescent="0.25">
      <c r="A750" s="22" t="s">
        <v>1854</v>
      </c>
      <c r="B750" s="3" t="s">
        <v>988</v>
      </c>
      <c r="C750" s="3" t="s">
        <v>1212</v>
      </c>
      <c r="D750" s="3" t="s">
        <v>1226</v>
      </c>
      <c r="E750" s="3" t="s">
        <v>1227</v>
      </c>
      <c r="F750" s="3">
        <f>VLOOKUP(Table1[[#This Row],[Column2]], TAXONOMY_TYPE, 2, FALSE)</f>
        <v>9729</v>
      </c>
      <c r="G750" s="3">
        <v>33</v>
      </c>
      <c r="H750" s="3" t="s">
        <v>1953</v>
      </c>
      <c r="I750" s="3">
        <f>VLOOKUP(Table1[[#This Row],[Provider Type]] &amp; Table1[[#This Row],[Provider Type Description]], PROVIDER_TYPE, 2, FALSE)</f>
        <v>51</v>
      </c>
      <c r="J750" s="3">
        <v>332</v>
      </c>
      <c r="K750" s="3" t="s">
        <v>1214</v>
      </c>
      <c r="L750" s="3">
        <f>VLOOKUP(TRIM(Table1[[#This Row],[Provider Specialty]]) &amp; TRIM(Table1[[#This Row],[Provider Specialty Description]]), SPECIALTY_TYPE, 2, FALSE)</f>
        <v>2092</v>
      </c>
      <c r="M750" s="3" t="s">
        <v>18</v>
      </c>
      <c r="N750" s="27" t="s">
        <v>19</v>
      </c>
      <c r="O750" s="38">
        <f>VLOOKUP(TRIM(Table1[[#This Row],[Provider Specialty]]) &amp; TRIM(Table1[[#This Row],[Provider Specialty Description]]), SPECIALTY_TYPE, 2, FALSE)</f>
        <v>2092</v>
      </c>
      <c r="P750" s="3" t="str">
        <f>Table1[[#This Row],[Provider Type]] &amp; "+" &amp; Table1[[#This Row],[Provider Type Description]]</f>
        <v>33+Single-Specialty</v>
      </c>
      <c r="Q750" s="7" t="str">
        <f>Table1[[#This Row],[Provider Specialty]] &amp; "+" &amp; Table1[[#This Row],[Provider Specialty Description]]</f>
        <v>332+Otologist, Laryngologist, Rhinologist</v>
      </c>
      <c r="R750" s="7" t="str">
        <f>Table1[[#This Row],[PDMS Specialty Type ID]] &amp; "+" &amp; Table1[[#This Row],[PDMS Provider Type ID]] &amp; "+" &amp;Table1[[#This Row],[TAXONOMY]]</f>
        <v>2092+51+207YX0901X</v>
      </c>
      <c r="S7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(9729, 2092, 51, N'207YX0901X', N'Otolaryngology - Otology &amp; Neurotology')</v>
      </c>
    </row>
    <row r="751" spans="1:19" ht="47.25" hidden="1" customHeight="1" x14ac:dyDescent="0.25">
      <c r="A751" s="22" t="s">
        <v>1855</v>
      </c>
      <c r="B751" s="3" t="s">
        <v>988</v>
      </c>
      <c r="C751" s="3" t="s">
        <v>1055</v>
      </c>
      <c r="D751" s="3" t="s">
        <v>1055</v>
      </c>
      <c r="E751" s="3" t="s">
        <v>1056</v>
      </c>
      <c r="F751" s="3">
        <f>VLOOKUP(Table1[[#This Row],[Column2]], TAXONOMY_TYPE, 2, FALSE)</f>
        <v>9730</v>
      </c>
      <c r="G751" s="3">
        <v>31</v>
      </c>
      <c r="H751" s="3" t="s">
        <v>991</v>
      </c>
      <c r="I751" s="3">
        <f>VLOOKUP(Table1[[#This Row],[Provider Type]] &amp; Table1[[#This Row],[Provider Type Description]], PROVIDER_TYPE, 2, FALSE)</f>
        <v>114</v>
      </c>
      <c r="J751" s="3">
        <v>333</v>
      </c>
      <c r="K751" s="3" t="s">
        <v>1057</v>
      </c>
      <c r="L751" s="3">
        <f>VLOOKUP(TRIM(Table1[[#This Row],[Provider Specialty]]) &amp; TRIM(Table1[[#This Row],[Provider Specialty Description]]), SPECIALTY_TYPE, 2, FALSE)</f>
        <v>2093</v>
      </c>
      <c r="M751" s="3" t="s">
        <v>19</v>
      </c>
      <c r="N751" s="27" t="s">
        <v>19</v>
      </c>
      <c r="O751" s="38">
        <f>VLOOKUP(TRIM(Table1[[#This Row],[Provider Specialty]]) &amp; TRIM(Table1[[#This Row],[Provider Specialty Description]]), SPECIALTY_TYPE, 2, FALSE)</f>
        <v>2093</v>
      </c>
      <c r="P751" s="3" t="str">
        <f>Table1[[#This Row],[Provider Type]] &amp; "+" &amp; Table1[[#This Row],[Provider Type Description]]</f>
        <v>31+Physician</v>
      </c>
      <c r="Q751" s="7" t="str">
        <f>Table1[[#This Row],[Provider Specialty]] &amp; "+" &amp; Table1[[#This Row],[Provider Specialty Description]]</f>
        <v>333+Pathologist</v>
      </c>
      <c r="R751" s="7" t="str">
        <f>Table1[[#This Row],[PDMS Specialty Type ID]] &amp; "+" &amp; Table1[[#This Row],[PDMS Provider Type ID]] &amp; "+" &amp;Table1[[#This Row],[TAXONOMY]]</f>
        <v>2093+114+202C00000X</v>
      </c>
      <c r="S7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(9730, 2093, 114, N'202C00000X', N'Independent Medical Examiner**  - Independent Medical Examiner** ')</v>
      </c>
    </row>
    <row r="752" spans="1:19" ht="47.25" hidden="1" customHeight="1" x14ac:dyDescent="0.25">
      <c r="A752" s="22" t="s">
        <v>1854</v>
      </c>
      <c r="B752" s="3" t="s">
        <v>988</v>
      </c>
      <c r="C752" s="3" t="s">
        <v>1055</v>
      </c>
      <c r="D752" s="3" t="s">
        <v>1055</v>
      </c>
      <c r="E752" s="3" t="s">
        <v>1056</v>
      </c>
      <c r="F752" s="3">
        <f>VLOOKUP(Table1[[#This Row],[Column2]], TAXONOMY_TYPE, 2, FALSE)</f>
        <v>9731</v>
      </c>
      <c r="G752" s="3">
        <v>32</v>
      </c>
      <c r="H752" s="3" t="s">
        <v>1444</v>
      </c>
      <c r="I752" s="3">
        <f>VLOOKUP(Table1[[#This Row],[Provider Type]] &amp; Table1[[#This Row],[Provider Type Description]], PROVIDER_TYPE, 2, FALSE)</f>
        <v>50</v>
      </c>
      <c r="J752" s="3">
        <v>333</v>
      </c>
      <c r="K752" s="3" t="s">
        <v>1057</v>
      </c>
      <c r="L752" s="3">
        <f>VLOOKUP(TRIM(Table1[[#This Row],[Provider Specialty]]) &amp; TRIM(Table1[[#This Row],[Provider Specialty Description]]), SPECIALTY_TYPE, 2, FALSE)</f>
        <v>2093</v>
      </c>
      <c r="M752" s="3" t="s">
        <v>18</v>
      </c>
      <c r="N752" s="27" t="s">
        <v>19</v>
      </c>
      <c r="O752" s="38">
        <f>VLOOKUP(TRIM(Table1[[#This Row],[Provider Specialty]]) &amp; TRIM(Table1[[#This Row],[Provider Specialty Description]]), SPECIALTY_TYPE, 2, FALSE)</f>
        <v>2093</v>
      </c>
      <c r="P752" s="3" t="str">
        <f>Table1[[#This Row],[Provider Type]] &amp; "+" &amp; Table1[[#This Row],[Provider Type Description]]</f>
        <v>32+Multi-Specialty</v>
      </c>
      <c r="Q752" s="7" t="str">
        <f>Table1[[#This Row],[Provider Specialty]] &amp; "+" &amp; Table1[[#This Row],[Provider Specialty Description]]</f>
        <v>333+Pathologist</v>
      </c>
      <c r="R752" s="7" t="str">
        <f>Table1[[#This Row],[PDMS Specialty Type ID]] &amp; "+" &amp; Table1[[#This Row],[PDMS Provider Type ID]] &amp; "+" &amp;Table1[[#This Row],[TAXONOMY]]</f>
        <v>2093+50+202C00000X</v>
      </c>
      <c r="S7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(9731, 2093, 50, N'202C00000X', N'Independent Medical Examiner**  - Independent Medical Examiner** ')</v>
      </c>
    </row>
    <row r="753" spans="1:19" ht="47.25" hidden="1" customHeight="1" x14ac:dyDescent="0.25">
      <c r="A753" s="22" t="s">
        <v>1854</v>
      </c>
      <c r="B753" s="3" t="s">
        <v>988</v>
      </c>
      <c r="C753" s="3" t="s">
        <v>1055</v>
      </c>
      <c r="D753" s="3" t="s">
        <v>1055</v>
      </c>
      <c r="E753" s="3" t="s">
        <v>1056</v>
      </c>
      <c r="F753" s="3">
        <f>VLOOKUP(Table1[[#This Row],[Column2]], TAXONOMY_TYPE, 2, FALSE)</f>
        <v>9732</v>
      </c>
      <c r="G753" s="3">
        <v>33</v>
      </c>
      <c r="H753" s="3" t="s">
        <v>1953</v>
      </c>
      <c r="I753" s="3">
        <f>VLOOKUP(Table1[[#This Row],[Provider Type]] &amp; Table1[[#This Row],[Provider Type Description]], PROVIDER_TYPE, 2, FALSE)</f>
        <v>51</v>
      </c>
      <c r="J753" s="3">
        <v>333</v>
      </c>
      <c r="K753" s="3" t="s">
        <v>1057</v>
      </c>
      <c r="L753" s="3">
        <f>VLOOKUP(TRIM(Table1[[#This Row],[Provider Specialty]]) &amp; TRIM(Table1[[#This Row],[Provider Specialty Description]]), SPECIALTY_TYPE, 2, FALSE)</f>
        <v>2093</v>
      </c>
      <c r="M753" s="3" t="s">
        <v>18</v>
      </c>
      <c r="N753" s="27" t="s">
        <v>19</v>
      </c>
      <c r="O753" s="38">
        <f>VLOOKUP(TRIM(Table1[[#This Row],[Provider Specialty]]) &amp; TRIM(Table1[[#This Row],[Provider Specialty Description]]), SPECIALTY_TYPE, 2, FALSE)</f>
        <v>2093</v>
      </c>
      <c r="P753" s="3" t="str">
        <f>Table1[[#This Row],[Provider Type]] &amp; "+" &amp; Table1[[#This Row],[Provider Type Description]]</f>
        <v>33+Single-Specialty</v>
      </c>
      <c r="Q753" s="7" t="str">
        <f>Table1[[#This Row],[Provider Specialty]] &amp; "+" &amp; Table1[[#This Row],[Provider Specialty Description]]</f>
        <v>333+Pathologist</v>
      </c>
      <c r="R753" s="7" t="str">
        <f>Table1[[#This Row],[PDMS Specialty Type ID]] &amp; "+" &amp; Table1[[#This Row],[PDMS Provider Type ID]] &amp; "+" &amp;Table1[[#This Row],[TAXONOMY]]</f>
        <v>2093+51+202C00000X</v>
      </c>
      <c r="S7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(9732, 2093, 51, N'202C00000X', N'Independent Medical Examiner**  - Independent Medical Examiner** ')</v>
      </c>
    </row>
    <row r="754" spans="1:19" ht="47.25" hidden="1" customHeight="1" x14ac:dyDescent="0.25">
      <c r="A754" s="22" t="s">
        <v>1855</v>
      </c>
      <c r="B754" s="3" t="s">
        <v>988</v>
      </c>
      <c r="C754" s="3" t="s">
        <v>1036</v>
      </c>
      <c r="D754" s="3" t="s">
        <v>1230</v>
      </c>
      <c r="E754" s="3" t="s">
        <v>1231</v>
      </c>
      <c r="F754" s="3">
        <f>VLOOKUP(Table1[[#This Row],[Column2]], TAXONOMY_TYPE, 2, FALSE)</f>
        <v>9733</v>
      </c>
      <c r="G754" s="3">
        <v>31</v>
      </c>
      <c r="H754" s="3" t="s">
        <v>991</v>
      </c>
      <c r="I754" s="3">
        <f>VLOOKUP(Table1[[#This Row],[Provider Type]] &amp; Table1[[#This Row],[Provider Type Description]], PROVIDER_TYPE, 2, FALSE)</f>
        <v>114</v>
      </c>
      <c r="J754" s="3">
        <v>333</v>
      </c>
      <c r="K754" s="3" t="s">
        <v>1057</v>
      </c>
      <c r="L754" s="3">
        <f>VLOOKUP(TRIM(Table1[[#This Row],[Provider Specialty]]) &amp; TRIM(Table1[[#This Row],[Provider Specialty Description]]), SPECIALTY_TYPE, 2, FALSE)</f>
        <v>2093</v>
      </c>
      <c r="M754" s="3" t="s">
        <v>19</v>
      </c>
      <c r="N754" s="27" t="s">
        <v>19</v>
      </c>
      <c r="O754" s="38">
        <f>VLOOKUP(TRIM(Table1[[#This Row],[Provider Specialty]]) &amp; TRIM(Table1[[#This Row],[Provider Specialty Description]]), SPECIALTY_TYPE, 2, FALSE)</f>
        <v>2093</v>
      </c>
      <c r="P754" s="3" t="str">
        <f>Table1[[#This Row],[Provider Type]] &amp; "+" &amp; Table1[[#This Row],[Provider Type Description]]</f>
        <v>31+Physician</v>
      </c>
      <c r="Q754" s="7" t="str">
        <f>Table1[[#This Row],[Provider Specialty]] &amp; "+" &amp; Table1[[#This Row],[Provider Specialty Description]]</f>
        <v>333+Pathologist</v>
      </c>
      <c r="R754" s="7" t="str">
        <f>Table1[[#This Row],[PDMS Specialty Type ID]] &amp; "+" &amp; Table1[[#This Row],[PDMS Provider Type ID]] &amp; "+" &amp;Table1[[#This Row],[TAXONOMY]]</f>
        <v>2093+114+207ZB0001X</v>
      </c>
      <c r="S7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(9733, 2093, 114, N'207ZB0001X', N'Pathology - - Blood Banking &amp; Transfusion Medicine')</v>
      </c>
    </row>
    <row r="755" spans="1:19" ht="47.25" hidden="1" customHeight="1" x14ac:dyDescent="0.25">
      <c r="A755" s="22" t="s">
        <v>1854</v>
      </c>
      <c r="B755" s="3" t="s">
        <v>988</v>
      </c>
      <c r="C755" s="3" t="s">
        <v>1036</v>
      </c>
      <c r="D755" s="3" t="s">
        <v>1230</v>
      </c>
      <c r="E755" s="3" t="s">
        <v>1231</v>
      </c>
      <c r="F755" s="3">
        <f>VLOOKUP(Table1[[#This Row],[Column2]], TAXONOMY_TYPE, 2, FALSE)</f>
        <v>9734</v>
      </c>
      <c r="G755" s="3">
        <v>32</v>
      </c>
      <c r="H755" s="3" t="s">
        <v>1444</v>
      </c>
      <c r="I755" s="3">
        <f>VLOOKUP(Table1[[#This Row],[Provider Type]] &amp; Table1[[#This Row],[Provider Type Description]], PROVIDER_TYPE, 2, FALSE)</f>
        <v>50</v>
      </c>
      <c r="J755" s="3">
        <v>333</v>
      </c>
      <c r="K755" s="3" t="s">
        <v>1057</v>
      </c>
      <c r="L755" s="3">
        <f>VLOOKUP(TRIM(Table1[[#This Row],[Provider Specialty]]) &amp; TRIM(Table1[[#This Row],[Provider Specialty Description]]), SPECIALTY_TYPE, 2, FALSE)</f>
        <v>2093</v>
      </c>
      <c r="M755" s="3" t="s">
        <v>18</v>
      </c>
      <c r="N755" s="27" t="s">
        <v>19</v>
      </c>
      <c r="O755" s="38">
        <f>VLOOKUP(TRIM(Table1[[#This Row],[Provider Specialty]]) &amp; TRIM(Table1[[#This Row],[Provider Specialty Description]]), SPECIALTY_TYPE, 2, FALSE)</f>
        <v>2093</v>
      </c>
      <c r="P755" s="3" t="str">
        <f>Table1[[#This Row],[Provider Type]] &amp; "+" &amp; Table1[[#This Row],[Provider Type Description]]</f>
        <v>32+Multi-Specialty</v>
      </c>
      <c r="Q755" s="7" t="str">
        <f>Table1[[#This Row],[Provider Specialty]] &amp; "+" &amp; Table1[[#This Row],[Provider Specialty Description]]</f>
        <v>333+Pathologist</v>
      </c>
      <c r="R755" s="7" t="str">
        <f>Table1[[#This Row],[PDMS Specialty Type ID]] &amp; "+" &amp; Table1[[#This Row],[PDMS Provider Type ID]] &amp; "+" &amp;Table1[[#This Row],[TAXONOMY]]</f>
        <v>2093+50+207ZB0001X</v>
      </c>
      <c r="S7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(9734, 2093, 50, N'207ZB0001X', N'Pathology - - Blood Banking &amp; Transfusion Medicine')</v>
      </c>
    </row>
    <row r="756" spans="1:19" ht="47.25" hidden="1" customHeight="1" x14ac:dyDescent="0.25">
      <c r="A756" s="22" t="s">
        <v>1854</v>
      </c>
      <c r="B756" s="3" t="s">
        <v>988</v>
      </c>
      <c r="C756" s="3" t="s">
        <v>1036</v>
      </c>
      <c r="D756" s="3" t="s">
        <v>1230</v>
      </c>
      <c r="E756" s="3" t="s">
        <v>1231</v>
      </c>
      <c r="F756" s="3">
        <f>VLOOKUP(Table1[[#This Row],[Column2]], TAXONOMY_TYPE, 2, FALSE)</f>
        <v>9735</v>
      </c>
      <c r="G756" s="3">
        <v>33</v>
      </c>
      <c r="H756" s="3" t="s">
        <v>1953</v>
      </c>
      <c r="I756" s="3">
        <f>VLOOKUP(Table1[[#This Row],[Provider Type]] &amp; Table1[[#This Row],[Provider Type Description]], PROVIDER_TYPE, 2, FALSE)</f>
        <v>51</v>
      </c>
      <c r="J756" s="3">
        <v>333</v>
      </c>
      <c r="K756" s="3" t="s">
        <v>1057</v>
      </c>
      <c r="L756" s="3">
        <f>VLOOKUP(TRIM(Table1[[#This Row],[Provider Specialty]]) &amp; TRIM(Table1[[#This Row],[Provider Specialty Description]]), SPECIALTY_TYPE, 2, FALSE)</f>
        <v>2093</v>
      </c>
      <c r="M756" s="3" t="s">
        <v>18</v>
      </c>
      <c r="N756" s="27" t="s">
        <v>19</v>
      </c>
      <c r="O756" s="38">
        <f>VLOOKUP(TRIM(Table1[[#This Row],[Provider Specialty]]) &amp; TRIM(Table1[[#This Row],[Provider Specialty Description]]), SPECIALTY_TYPE, 2, FALSE)</f>
        <v>2093</v>
      </c>
      <c r="P756" s="3" t="str">
        <f>Table1[[#This Row],[Provider Type]] &amp; "+" &amp; Table1[[#This Row],[Provider Type Description]]</f>
        <v>33+Single-Specialty</v>
      </c>
      <c r="Q756" s="7" t="str">
        <f>Table1[[#This Row],[Provider Specialty]] &amp; "+" &amp; Table1[[#This Row],[Provider Specialty Description]]</f>
        <v>333+Pathologist</v>
      </c>
      <c r="R756" s="7" t="str">
        <f>Table1[[#This Row],[PDMS Specialty Type ID]] &amp; "+" &amp; Table1[[#This Row],[PDMS Provider Type ID]] &amp; "+" &amp;Table1[[#This Row],[TAXONOMY]]</f>
        <v>2093+51+207ZB0001X</v>
      </c>
      <c r="S7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(9735, 2093, 51, N'207ZB0001X', N'Pathology - - Blood Banking &amp; Transfusion Medicine')</v>
      </c>
    </row>
    <row r="757" spans="1:19" ht="47.25" hidden="1" customHeight="1" x14ac:dyDescent="0.25">
      <c r="A757" s="22" t="s">
        <v>1855</v>
      </c>
      <c r="B757" s="3" t="s">
        <v>988</v>
      </c>
      <c r="C757" s="3" t="s">
        <v>1036</v>
      </c>
      <c r="D757" s="3" t="s">
        <v>1235</v>
      </c>
      <c r="E757" s="3" t="s">
        <v>1236</v>
      </c>
      <c r="F757" s="3">
        <f>VLOOKUP(Table1[[#This Row],[Column2]], TAXONOMY_TYPE, 2, FALSE)</f>
        <v>9736</v>
      </c>
      <c r="G757" s="3">
        <v>31</v>
      </c>
      <c r="H757" s="3" t="s">
        <v>991</v>
      </c>
      <c r="I757" s="3">
        <f>VLOOKUP(Table1[[#This Row],[Provider Type]] &amp; Table1[[#This Row],[Provider Type Description]], PROVIDER_TYPE, 2, FALSE)</f>
        <v>114</v>
      </c>
      <c r="J757" s="3">
        <v>333</v>
      </c>
      <c r="K757" s="3" t="s">
        <v>1057</v>
      </c>
      <c r="L757" s="3">
        <f>VLOOKUP(TRIM(Table1[[#This Row],[Provider Specialty]]) &amp; TRIM(Table1[[#This Row],[Provider Specialty Description]]), SPECIALTY_TYPE, 2, FALSE)</f>
        <v>2093</v>
      </c>
      <c r="M757" s="3" t="s">
        <v>19</v>
      </c>
      <c r="N757" s="27" t="s">
        <v>19</v>
      </c>
      <c r="O757" s="38">
        <f>VLOOKUP(TRIM(Table1[[#This Row],[Provider Specialty]]) &amp; TRIM(Table1[[#This Row],[Provider Specialty Description]]), SPECIALTY_TYPE, 2, FALSE)</f>
        <v>2093</v>
      </c>
      <c r="P757" s="3" t="str">
        <f>Table1[[#This Row],[Provider Type]] &amp; "+" &amp; Table1[[#This Row],[Provider Type Description]]</f>
        <v>31+Physician</v>
      </c>
      <c r="Q757" s="7" t="str">
        <f>Table1[[#This Row],[Provider Specialty]] &amp; "+" &amp; Table1[[#This Row],[Provider Specialty Description]]</f>
        <v>333+Pathologist</v>
      </c>
      <c r="R757" s="7" t="str">
        <f>Table1[[#This Row],[PDMS Specialty Type ID]] &amp; "+" &amp; Table1[[#This Row],[PDMS Provider Type ID]] &amp; "+" &amp;Table1[[#This Row],[TAXONOMY]]</f>
        <v>2093+114+207ZC0500X</v>
      </c>
      <c r="S7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(9736, 2093, 114, N'207ZC0500X', N'Pathology - - Cytopathology')</v>
      </c>
    </row>
    <row r="758" spans="1:19" ht="47.25" hidden="1" customHeight="1" x14ac:dyDescent="0.25">
      <c r="A758" s="22" t="s">
        <v>1854</v>
      </c>
      <c r="B758" s="3" t="s">
        <v>988</v>
      </c>
      <c r="C758" s="3" t="s">
        <v>1036</v>
      </c>
      <c r="D758" s="3" t="s">
        <v>1235</v>
      </c>
      <c r="E758" s="3" t="s">
        <v>1236</v>
      </c>
      <c r="F758" s="3">
        <f>VLOOKUP(Table1[[#This Row],[Column2]], TAXONOMY_TYPE, 2, FALSE)</f>
        <v>9737</v>
      </c>
      <c r="G758" s="3">
        <v>32</v>
      </c>
      <c r="H758" s="3" t="s">
        <v>1444</v>
      </c>
      <c r="I758" s="3">
        <f>VLOOKUP(Table1[[#This Row],[Provider Type]] &amp; Table1[[#This Row],[Provider Type Description]], PROVIDER_TYPE, 2, FALSE)</f>
        <v>50</v>
      </c>
      <c r="J758" s="3">
        <v>333</v>
      </c>
      <c r="K758" s="3" t="s">
        <v>1057</v>
      </c>
      <c r="L758" s="3">
        <f>VLOOKUP(TRIM(Table1[[#This Row],[Provider Specialty]]) &amp; TRIM(Table1[[#This Row],[Provider Specialty Description]]), SPECIALTY_TYPE, 2, FALSE)</f>
        <v>2093</v>
      </c>
      <c r="M758" s="3" t="s">
        <v>18</v>
      </c>
      <c r="N758" s="27" t="s">
        <v>19</v>
      </c>
      <c r="O758" s="38">
        <f>VLOOKUP(TRIM(Table1[[#This Row],[Provider Specialty]]) &amp; TRIM(Table1[[#This Row],[Provider Specialty Description]]), SPECIALTY_TYPE, 2, FALSE)</f>
        <v>2093</v>
      </c>
      <c r="P758" s="3" t="str">
        <f>Table1[[#This Row],[Provider Type]] &amp; "+" &amp; Table1[[#This Row],[Provider Type Description]]</f>
        <v>32+Multi-Specialty</v>
      </c>
      <c r="Q758" s="7" t="str">
        <f>Table1[[#This Row],[Provider Specialty]] &amp; "+" &amp; Table1[[#This Row],[Provider Specialty Description]]</f>
        <v>333+Pathologist</v>
      </c>
      <c r="R758" s="7" t="str">
        <f>Table1[[#This Row],[PDMS Specialty Type ID]] &amp; "+" &amp; Table1[[#This Row],[PDMS Provider Type ID]] &amp; "+" &amp;Table1[[#This Row],[TAXONOMY]]</f>
        <v>2093+50+207ZC0500X</v>
      </c>
      <c r="S7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(9737, 2093, 50, N'207ZC0500X', N'Pathology - - Cytopathology')</v>
      </c>
    </row>
    <row r="759" spans="1:19" ht="47.25" hidden="1" customHeight="1" x14ac:dyDescent="0.25">
      <c r="A759" s="22" t="s">
        <v>1854</v>
      </c>
      <c r="B759" s="3" t="s">
        <v>988</v>
      </c>
      <c r="C759" s="3" t="s">
        <v>1036</v>
      </c>
      <c r="D759" s="3" t="s">
        <v>1235</v>
      </c>
      <c r="E759" s="3" t="s">
        <v>1236</v>
      </c>
      <c r="F759" s="3">
        <f>VLOOKUP(Table1[[#This Row],[Column2]], TAXONOMY_TYPE, 2, FALSE)</f>
        <v>9738</v>
      </c>
      <c r="G759" s="3">
        <v>33</v>
      </c>
      <c r="H759" s="3" t="s">
        <v>1953</v>
      </c>
      <c r="I759" s="3">
        <f>VLOOKUP(Table1[[#This Row],[Provider Type]] &amp; Table1[[#This Row],[Provider Type Description]], PROVIDER_TYPE, 2, FALSE)</f>
        <v>51</v>
      </c>
      <c r="J759" s="3">
        <v>333</v>
      </c>
      <c r="K759" s="3" t="s">
        <v>1057</v>
      </c>
      <c r="L759" s="3">
        <f>VLOOKUP(TRIM(Table1[[#This Row],[Provider Specialty]]) &amp; TRIM(Table1[[#This Row],[Provider Specialty Description]]), SPECIALTY_TYPE, 2, FALSE)</f>
        <v>2093</v>
      </c>
      <c r="M759" s="3" t="s">
        <v>18</v>
      </c>
      <c r="N759" s="27" t="s">
        <v>19</v>
      </c>
      <c r="O759" s="38">
        <f>VLOOKUP(TRIM(Table1[[#This Row],[Provider Specialty]]) &amp; TRIM(Table1[[#This Row],[Provider Specialty Description]]), SPECIALTY_TYPE, 2, FALSE)</f>
        <v>2093</v>
      </c>
      <c r="P759" s="3" t="str">
        <f>Table1[[#This Row],[Provider Type]] &amp; "+" &amp; Table1[[#This Row],[Provider Type Description]]</f>
        <v>33+Single-Specialty</v>
      </c>
      <c r="Q759" s="7" t="str">
        <f>Table1[[#This Row],[Provider Specialty]] &amp; "+" &amp; Table1[[#This Row],[Provider Specialty Description]]</f>
        <v>333+Pathologist</v>
      </c>
      <c r="R759" s="7" t="str">
        <f>Table1[[#This Row],[PDMS Specialty Type ID]] &amp; "+" &amp; Table1[[#This Row],[PDMS Provider Type ID]] &amp; "+" &amp;Table1[[#This Row],[TAXONOMY]]</f>
        <v>2093+51+207ZC0500X</v>
      </c>
      <c r="S7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(9738, 2093, 51, N'207ZC0500X', N'Pathology - - Cytopathology')</v>
      </c>
    </row>
    <row r="760" spans="1:19" ht="47.25" hidden="1" customHeight="1" x14ac:dyDescent="0.25">
      <c r="A760" s="22" t="s">
        <v>1855</v>
      </c>
      <c r="B760" s="3" t="s">
        <v>988</v>
      </c>
      <c r="C760" s="3" t="s">
        <v>1036</v>
      </c>
      <c r="D760" s="3" t="s">
        <v>1237</v>
      </c>
      <c r="E760" s="3" t="s">
        <v>1238</v>
      </c>
      <c r="F760" s="3">
        <f>VLOOKUP(Table1[[#This Row],[Column2]], TAXONOMY_TYPE, 2, FALSE)</f>
        <v>9739</v>
      </c>
      <c r="G760" s="3">
        <v>31</v>
      </c>
      <c r="H760" s="3" t="s">
        <v>991</v>
      </c>
      <c r="I760" s="3">
        <f>VLOOKUP(Table1[[#This Row],[Provider Type]] &amp; Table1[[#This Row],[Provider Type Description]], PROVIDER_TYPE, 2, FALSE)</f>
        <v>114</v>
      </c>
      <c r="J760" s="3">
        <v>333</v>
      </c>
      <c r="K760" s="3" t="s">
        <v>1057</v>
      </c>
      <c r="L760" s="3">
        <f>VLOOKUP(TRIM(Table1[[#This Row],[Provider Specialty]]) &amp; TRIM(Table1[[#This Row],[Provider Specialty Description]]), SPECIALTY_TYPE, 2, FALSE)</f>
        <v>2093</v>
      </c>
      <c r="M760" s="3" t="s">
        <v>19</v>
      </c>
      <c r="N760" s="27" t="s">
        <v>19</v>
      </c>
      <c r="O760" s="38">
        <f>VLOOKUP(TRIM(Table1[[#This Row],[Provider Specialty]]) &amp; TRIM(Table1[[#This Row],[Provider Specialty Description]]), SPECIALTY_TYPE, 2, FALSE)</f>
        <v>2093</v>
      </c>
      <c r="P760" s="3" t="str">
        <f>Table1[[#This Row],[Provider Type]] &amp; "+" &amp; Table1[[#This Row],[Provider Type Description]]</f>
        <v>31+Physician</v>
      </c>
      <c r="Q760" s="7" t="str">
        <f>Table1[[#This Row],[Provider Specialty]] &amp; "+" &amp; Table1[[#This Row],[Provider Specialty Description]]</f>
        <v>333+Pathologist</v>
      </c>
      <c r="R760" s="7" t="str">
        <f>Table1[[#This Row],[PDMS Specialty Type ID]] &amp; "+" &amp; Table1[[#This Row],[PDMS Provider Type ID]] &amp; "+" &amp;Table1[[#This Row],[TAXONOMY]]</f>
        <v>2093+114+207ZD0900X</v>
      </c>
      <c r="S7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(9739, 2093, 114, N'207ZD0900X', N'Pathology - - Dermatopathology')</v>
      </c>
    </row>
    <row r="761" spans="1:19" ht="47.25" hidden="1" customHeight="1" x14ac:dyDescent="0.25">
      <c r="A761" s="22" t="s">
        <v>1854</v>
      </c>
      <c r="B761" s="3" t="s">
        <v>988</v>
      </c>
      <c r="C761" s="3" t="s">
        <v>1036</v>
      </c>
      <c r="D761" s="3" t="s">
        <v>1237</v>
      </c>
      <c r="E761" s="3" t="s">
        <v>1238</v>
      </c>
      <c r="F761" s="3">
        <f>VLOOKUP(Table1[[#This Row],[Column2]], TAXONOMY_TYPE, 2, FALSE)</f>
        <v>9740</v>
      </c>
      <c r="G761" s="3">
        <v>32</v>
      </c>
      <c r="H761" s="3" t="s">
        <v>1444</v>
      </c>
      <c r="I761" s="3">
        <f>VLOOKUP(Table1[[#This Row],[Provider Type]] &amp; Table1[[#This Row],[Provider Type Description]], PROVIDER_TYPE, 2, FALSE)</f>
        <v>50</v>
      </c>
      <c r="J761" s="3">
        <v>333</v>
      </c>
      <c r="K761" s="3" t="s">
        <v>1057</v>
      </c>
      <c r="L761" s="3">
        <f>VLOOKUP(TRIM(Table1[[#This Row],[Provider Specialty]]) &amp; TRIM(Table1[[#This Row],[Provider Specialty Description]]), SPECIALTY_TYPE, 2, FALSE)</f>
        <v>2093</v>
      </c>
      <c r="M761" s="3" t="s">
        <v>18</v>
      </c>
      <c r="N761" s="27" t="s">
        <v>19</v>
      </c>
      <c r="O761" s="38">
        <f>VLOOKUP(TRIM(Table1[[#This Row],[Provider Specialty]]) &amp; TRIM(Table1[[#This Row],[Provider Specialty Description]]), SPECIALTY_TYPE, 2, FALSE)</f>
        <v>2093</v>
      </c>
      <c r="P761" s="3" t="str">
        <f>Table1[[#This Row],[Provider Type]] &amp; "+" &amp; Table1[[#This Row],[Provider Type Description]]</f>
        <v>32+Multi-Specialty</v>
      </c>
      <c r="Q761" s="7" t="str">
        <f>Table1[[#This Row],[Provider Specialty]] &amp; "+" &amp; Table1[[#This Row],[Provider Specialty Description]]</f>
        <v>333+Pathologist</v>
      </c>
      <c r="R761" s="7" t="str">
        <f>Table1[[#This Row],[PDMS Specialty Type ID]] &amp; "+" &amp; Table1[[#This Row],[PDMS Provider Type ID]] &amp; "+" &amp;Table1[[#This Row],[TAXONOMY]]</f>
        <v>2093+50+207ZD0900X</v>
      </c>
      <c r="S7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(9740, 2093, 50, N'207ZD0900X', N'Pathology - - Dermatopathology')</v>
      </c>
    </row>
    <row r="762" spans="1:19" ht="47.25" hidden="1" customHeight="1" x14ac:dyDescent="0.25">
      <c r="A762" s="22" t="s">
        <v>1854</v>
      </c>
      <c r="B762" s="3" t="s">
        <v>988</v>
      </c>
      <c r="C762" s="3" t="s">
        <v>1036</v>
      </c>
      <c r="D762" s="3" t="s">
        <v>1237</v>
      </c>
      <c r="E762" s="3" t="s">
        <v>1238</v>
      </c>
      <c r="F762" s="3">
        <f>VLOOKUP(Table1[[#This Row],[Column2]], TAXONOMY_TYPE, 2, FALSE)</f>
        <v>9741</v>
      </c>
      <c r="G762" s="3">
        <v>33</v>
      </c>
      <c r="H762" s="3" t="s">
        <v>1953</v>
      </c>
      <c r="I762" s="3">
        <f>VLOOKUP(Table1[[#This Row],[Provider Type]] &amp; Table1[[#This Row],[Provider Type Description]], PROVIDER_TYPE, 2, FALSE)</f>
        <v>51</v>
      </c>
      <c r="J762" s="3">
        <v>333</v>
      </c>
      <c r="K762" s="3" t="s">
        <v>1057</v>
      </c>
      <c r="L762" s="3">
        <f>VLOOKUP(TRIM(Table1[[#This Row],[Provider Specialty]]) &amp; TRIM(Table1[[#This Row],[Provider Specialty Description]]), SPECIALTY_TYPE, 2, FALSE)</f>
        <v>2093</v>
      </c>
      <c r="M762" s="3" t="s">
        <v>18</v>
      </c>
      <c r="N762" s="27" t="s">
        <v>19</v>
      </c>
      <c r="O762" s="38">
        <f>VLOOKUP(TRIM(Table1[[#This Row],[Provider Specialty]]) &amp; TRIM(Table1[[#This Row],[Provider Specialty Description]]), SPECIALTY_TYPE, 2, FALSE)</f>
        <v>2093</v>
      </c>
      <c r="P762" s="3" t="str">
        <f>Table1[[#This Row],[Provider Type]] &amp; "+" &amp; Table1[[#This Row],[Provider Type Description]]</f>
        <v>33+Single-Specialty</v>
      </c>
      <c r="Q762" s="7" t="str">
        <f>Table1[[#This Row],[Provider Specialty]] &amp; "+" &amp; Table1[[#This Row],[Provider Specialty Description]]</f>
        <v>333+Pathologist</v>
      </c>
      <c r="R762" s="7" t="str">
        <f>Table1[[#This Row],[PDMS Specialty Type ID]] &amp; "+" &amp; Table1[[#This Row],[PDMS Provider Type ID]] &amp; "+" &amp;Table1[[#This Row],[TAXONOMY]]</f>
        <v>2093+51+207ZD0900X</v>
      </c>
      <c r="S7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(9741, 2093, 51, N'207ZD0900X', N'Pathology - - Dermatopathology')</v>
      </c>
    </row>
    <row r="763" spans="1:19" ht="47.25" hidden="1" customHeight="1" x14ac:dyDescent="0.25">
      <c r="A763" s="22" t="s">
        <v>1855</v>
      </c>
      <c r="B763" s="3" t="s">
        <v>988</v>
      </c>
      <c r="C763" s="3" t="s">
        <v>1036</v>
      </c>
      <c r="D763" s="3" t="s">
        <v>1239</v>
      </c>
      <c r="E763" s="3" t="s">
        <v>1240</v>
      </c>
      <c r="F763" s="3">
        <f>VLOOKUP(Table1[[#This Row],[Column2]], TAXONOMY_TYPE, 2, FALSE)</f>
        <v>9742</v>
      </c>
      <c r="G763" s="3">
        <v>31</v>
      </c>
      <c r="H763" s="3" t="s">
        <v>991</v>
      </c>
      <c r="I763" s="3">
        <f>VLOOKUP(Table1[[#This Row],[Provider Type]] &amp; Table1[[#This Row],[Provider Type Description]], PROVIDER_TYPE, 2, FALSE)</f>
        <v>114</v>
      </c>
      <c r="J763" s="3">
        <v>333</v>
      </c>
      <c r="K763" s="3" t="s">
        <v>1057</v>
      </c>
      <c r="L763" s="3">
        <f>VLOOKUP(TRIM(Table1[[#This Row],[Provider Specialty]]) &amp; TRIM(Table1[[#This Row],[Provider Specialty Description]]), SPECIALTY_TYPE, 2, FALSE)</f>
        <v>2093</v>
      </c>
      <c r="M763" s="3" t="s">
        <v>19</v>
      </c>
      <c r="N763" s="27" t="s">
        <v>19</v>
      </c>
      <c r="O763" s="38">
        <f>VLOOKUP(TRIM(Table1[[#This Row],[Provider Specialty]]) &amp; TRIM(Table1[[#This Row],[Provider Specialty Description]]), SPECIALTY_TYPE, 2, FALSE)</f>
        <v>2093</v>
      </c>
      <c r="P763" s="3" t="str">
        <f>Table1[[#This Row],[Provider Type]] &amp; "+" &amp; Table1[[#This Row],[Provider Type Description]]</f>
        <v>31+Physician</v>
      </c>
      <c r="Q763" s="7" t="str">
        <f>Table1[[#This Row],[Provider Specialty]] &amp; "+" &amp; Table1[[#This Row],[Provider Specialty Description]]</f>
        <v>333+Pathologist</v>
      </c>
      <c r="R763" s="7" t="str">
        <f>Table1[[#This Row],[PDMS Specialty Type ID]] &amp; "+" &amp; Table1[[#This Row],[PDMS Provider Type ID]] &amp; "+" &amp;Table1[[#This Row],[TAXONOMY]]</f>
        <v>2093+114+207ZF0201X</v>
      </c>
      <c r="S7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(9742, 2093, 114, N'207ZF0201X', N'Pathology - - Forensic Pathology')</v>
      </c>
    </row>
    <row r="764" spans="1:19" ht="47.25" hidden="1" customHeight="1" x14ac:dyDescent="0.25">
      <c r="A764" s="22" t="s">
        <v>1854</v>
      </c>
      <c r="B764" s="3" t="s">
        <v>988</v>
      </c>
      <c r="C764" s="3" t="s">
        <v>1036</v>
      </c>
      <c r="D764" s="3" t="s">
        <v>1239</v>
      </c>
      <c r="E764" s="3" t="s">
        <v>1240</v>
      </c>
      <c r="F764" s="3">
        <f>VLOOKUP(Table1[[#This Row],[Column2]], TAXONOMY_TYPE, 2, FALSE)</f>
        <v>9743</v>
      </c>
      <c r="G764" s="3">
        <v>32</v>
      </c>
      <c r="H764" s="3" t="s">
        <v>1444</v>
      </c>
      <c r="I764" s="3">
        <f>VLOOKUP(Table1[[#This Row],[Provider Type]] &amp; Table1[[#This Row],[Provider Type Description]], PROVIDER_TYPE, 2, FALSE)</f>
        <v>50</v>
      </c>
      <c r="J764" s="3">
        <v>333</v>
      </c>
      <c r="K764" s="3" t="s">
        <v>1057</v>
      </c>
      <c r="L764" s="3">
        <f>VLOOKUP(TRIM(Table1[[#This Row],[Provider Specialty]]) &amp; TRIM(Table1[[#This Row],[Provider Specialty Description]]), SPECIALTY_TYPE, 2, FALSE)</f>
        <v>2093</v>
      </c>
      <c r="M764" s="3" t="s">
        <v>18</v>
      </c>
      <c r="N764" s="27" t="s">
        <v>19</v>
      </c>
      <c r="O764" s="38">
        <f>VLOOKUP(TRIM(Table1[[#This Row],[Provider Specialty]]) &amp; TRIM(Table1[[#This Row],[Provider Specialty Description]]), SPECIALTY_TYPE, 2, FALSE)</f>
        <v>2093</v>
      </c>
      <c r="P764" s="3" t="str">
        <f>Table1[[#This Row],[Provider Type]] &amp; "+" &amp; Table1[[#This Row],[Provider Type Description]]</f>
        <v>32+Multi-Specialty</v>
      </c>
      <c r="Q764" s="7" t="str">
        <f>Table1[[#This Row],[Provider Specialty]] &amp; "+" &amp; Table1[[#This Row],[Provider Specialty Description]]</f>
        <v>333+Pathologist</v>
      </c>
      <c r="R764" s="7" t="str">
        <f>Table1[[#This Row],[PDMS Specialty Type ID]] &amp; "+" &amp; Table1[[#This Row],[PDMS Provider Type ID]] &amp; "+" &amp;Table1[[#This Row],[TAXONOMY]]</f>
        <v>2093+50+207ZF0201X</v>
      </c>
      <c r="S7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(9743, 2093, 50, N'207ZF0201X', N'Pathology - - Forensic Pathology')</v>
      </c>
    </row>
    <row r="765" spans="1:19" ht="47.25" hidden="1" customHeight="1" x14ac:dyDescent="0.25">
      <c r="A765" s="22" t="s">
        <v>1854</v>
      </c>
      <c r="B765" s="3" t="s">
        <v>988</v>
      </c>
      <c r="C765" s="3" t="s">
        <v>1036</v>
      </c>
      <c r="D765" s="3" t="s">
        <v>1239</v>
      </c>
      <c r="E765" s="3" t="s">
        <v>1240</v>
      </c>
      <c r="F765" s="3">
        <f>VLOOKUP(Table1[[#This Row],[Column2]], TAXONOMY_TYPE, 2, FALSE)</f>
        <v>9744</v>
      </c>
      <c r="G765" s="3">
        <v>33</v>
      </c>
      <c r="H765" s="3" t="s">
        <v>1953</v>
      </c>
      <c r="I765" s="3">
        <f>VLOOKUP(Table1[[#This Row],[Provider Type]] &amp; Table1[[#This Row],[Provider Type Description]], PROVIDER_TYPE, 2, FALSE)</f>
        <v>51</v>
      </c>
      <c r="J765" s="3">
        <v>333</v>
      </c>
      <c r="K765" s="3" t="s">
        <v>1057</v>
      </c>
      <c r="L765" s="3">
        <f>VLOOKUP(TRIM(Table1[[#This Row],[Provider Specialty]]) &amp; TRIM(Table1[[#This Row],[Provider Specialty Description]]), SPECIALTY_TYPE, 2, FALSE)</f>
        <v>2093</v>
      </c>
      <c r="M765" s="3" t="s">
        <v>18</v>
      </c>
      <c r="N765" s="27" t="s">
        <v>19</v>
      </c>
      <c r="O765" s="38">
        <f>VLOOKUP(TRIM(Table1[[#This Row],[Provider Specialty]]) &amp; TRIM(Table1[[#This Row],[Provider Specialty Description]]), SPECIALTY_TYPE, 2, FALSE)</f>
        <v>2093</v>
      </c>
      <c r="P765" s="3" t="str">
        <f>Table1[[#This Row],[Provider Type]] &amp; "+" &amp; Table1[[#This Row],[Provider Type Description]]</f>
        <v>33+Single-Specialty</v>
      </c>
      <c r="Q765" s="7" t="str">
        <f>Table1[[#This Row],[Provider Specialty]] &amp; "+" &amp; Table1[[#This Row],[Provider Specialty Description]]</f>
        <v>333+Pathologist</v>
      </c>
      <c r="R765" s="7" t="str">
        <f>Table1[[#This Row],[PDMS Specialty Type ID]] &amp; "+" &amp; Table1[[#This Row],[PDMS Provider Type ID]] &amp; "+" &amp;Table1[[#This Row],[TAXONOMY]]</f>
        <v>2093+51+207ZF0201X</v>
      </c>
      <c r="S7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(9744, 2093, 51, N'207ZF0201X', N'Pathology - - Forensic Pathology')</v>
      </c>
    </row>
    <row r="766" spans="1:19" ht="47.25" hidden="1" customHeight="1" x14ac:dyDescent="0.25">
      <c r="A766" s="22" t="s">
        <v>1855</v>
      </c>
      <c r="B766" s="3" t="s">
        <v>988</v>
      </c>
      <c r="C766" s="3" t="s">
        <v>1036</v>
      </c>
      <c r="D766" s="3" t="s">
        <v>1241</v>
      </c>
      <c r="E766" s="3" t="s">
        <v>1242</v>
      </c>
      <c r="F766" s="3">
        <f>VLOOKUP(Table1[[#This Row],[Column2]], TAXONOMY_TYPE, 2, FALSE)</f>
        <v>9745</v>
      </c>
      <c r="G766" s="3">
        <v>31</v>
      </c>
      <c r="H766" s="3" t="s">
        <v>991</v>
      </c>
      <c r="I766" s="3">
        <f>VLOOKUP(Table1[[#This Row],[Provider Type]] &amp; Table1[[#This Row],[Provider Type Description]], PROVIDER_TYPE, 2, FALSE)</f>
        <v>114</v>
      </c>
      <c r="J766" s="3">
        <v>333</v>
      </c>
      <c r="K766" s="3" t="s">
        <v>1057</v>
      </c>
      <c r="L766" s="3">
        <f>VLOOKUP(TRIM(Table1[[#This Row],[Provider Specialty]]) &amp; TRIM(Table1[[#This Row],[Provider Specialty Description]]), SPECIALTY_TYPE, 2, FALSE)</f>
        <v>2093</v>
      </c>
      <c r="M766" s="3" t="s">
        <v>19</v>
      </c>
      <c r="N766" s="27" t="s">
        <v>19</v>
      </c>
      <c r="O766" s="38">
        <f>VLOOKUP(TRIM(Table1[[#This Row],[Provider Specialty]]) &amp; TRIM(Table1[[#This Row],[Provider Specialty Description]]), SPECIALTY_TYPE, 2, FALSE)</f>
        <v>2093</v>
      </c>
      <c r="P766" s="3" t="str">
        <f>Table1[[#This Row],[Provider Type]] &amp; "+" &amp; Table1[[#This Row],[Provider Type Description]]</f>
        <v>31+Physician</v>
      </c>
      <c r="Q766" s="7" t="str">
        <f>Table1[[#This Row],[Provider Specialty]] &amp; "+" &amp; Table1[[#This Row],[Provider Specialty Description]]</f>
        <v>333+Pathologist</v>
      </c>
      <c r="R766" s="7" t="str">
        <f>Table1[[#This Row],[PDMS Specialty Type ID]] &amp; "+" &amp; Table1[[#This Row],[PDMS Provider Type ID]] &amp; "+" &amp;Table1[[#This Row],[TAXONOMY]]</f>
        <v>2093+114+207ZI0100X</v>
      </c>
      <c r="S7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(9745, 2093, 114, N'207ZI0100X', N'Pathology - - Immunopathology')</v>
      </c>
    </row>
    <row r="767" spans="1:19" ht="47.25" hidden="1" customHeight="1" x14ac:dyDescent="0.25">
      <c r="A767" s="22" t="s">
        <v>1854</v>
      </c>
      <c r="B767" s="3" t="s">
        <v>988</v>
      </c>
      <c r="C767" s="3" t="s">
        <v>1036</v>
      </c>
      <c r="D767" s="3" t="s">
        <v>1241</v>
      </c>
      <c r="E767" s="3" t="s">
        <v>1242</v>
      </c>
      <c r="F767" s="3">
        <f>VLOOKUP(Table1[[#This Row],[Column2]], TAXONOMY_TYPE, 2, FALSE)</f>
        <v>9746</v>
      </c>
      <c r="G767" s="3">
        <v>32</v>
      </c>
      <c r="H767" s="3" t="s">
        <v>1444</v>
      </c>
      <c r="I767" s="3">
        <f>VLOOKUP(Table1[[#This Row],[Provider Type]] &amp; Table1[[#This Row],[Provider Type Description]], PROVIDER_TYPE, 2, FALSE)</f>
        <v>50</v>
      </c>
      <c r="J767" s="3">
        <v>333</v>
      </c>
      <c r="K767" s="3" t="s">
        <v>1057</v>
      </c>
      <c r="L767" s="3">
        <f>VLOOKUP(TRIM(Table1[[#This Row],[Provider Specialty]]) &amp; TRIM(Table1[[#This Row],[Provider Specialty Description]]), SPECIALTY_TYPE, 2, FALSE)</f>
        <v>2093</v>
      </c>
      <c r="M767" s="3" t="s">
        <v>18</v>
      </c>
      <c r="N767" s="27" t="s">
        <v>19</v>
      </c>
      <c r="O767" s="38">
        <f>VLOOKUP(TRIM(Table1[[#This Row],[Provider Specialty]]) &amp; TRIM(Table1[[#This Row],[Provider Specialty Description]]), SPECIALTY_TYPE, 2, FALSE)</f>
        <v>2093</v>
      </c>
      <c r="P767" s="3" t="str">
        <f>Table1[[#This Row],[Provider Type]] &amp; "+" &amp; Table1[[#This Row],[Provider Type Description]]</f>
        <v>32+Multi-Specialty</v>
      </c>
      <c r="Q767" s="7" t="str">
        <f>Table1[[#This Row],[Provider Specialty]] &amp; "+" &amp; Table1[[#This Row],[Provider Specialty Description]]</f>
        <v>333+Pathologist</v>
      </c>
      <c r="R767" s="7" t="str">
        <f>Table1[[#This Row],[PDMS Specialty Type ID]] &amp; "+" &amp; Table1[[#This Row],[PDMS Provider Type ID]] &amp; "+" &amp;Table1[[#This Row],[TAXONOMY]]</f>
        <v>2093+50+207ZI0100X</v>
      </c>
      <c r="S7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(9746, 2093, 50, N'207ZI0100X', N'Pathology - - Immunopathology')</v>
      </c>
    </row>
    <row r="768" spans="1:19" ht="47.25" hidden="1" customHeight="1" x14ac:dyDescent="0.25">
      <c r="A768" s="22" t="s">
        <v>1854</v>
      </c>
      <c r="B768" s="3" t="s">
        <v>988</v>
      </c>
      <c r="C768" s="3" t="s">
        <v>1036</v>
      </c>
      <c r="D768" s="3" t="s">
        <v>1241</v>
      </c>
      <c r="E768" s="3" t="s">
        <v>1242</v>
      </c>
      <c r="F768" s="3">
        <f>VLOOKUP(Table1[[#This Row],[Column2]], TAXONOMY_TYPE, 2, FALSE)</f>
        <v>9747</v>
      </c>
      <c r="G768" s="3">
        <v>33</v>
      </c>
      <c r="H768" s="3" t="s">
        <v>1953</v>
      </c>
      <c r="I768" s="3">
        <f>VLOOKUP(Table1[[#This Row],[Provider Type]] &amp; Table1[[#This Row],[Provider Type Description]], PROVIDER_TYPE, 2, FALSE)</f>
        <v>51</v>
      </c>
      <c r="J768" s="3">
        <v>333</v>
      </c>
      <c r="K768" s="3" t="s">
        <v>1057</v>
      </c>
      <c r="L768" s="3">
        <f>VLOOKUP(TRIM(Table1[[#This Row],[Provider Specialty]]) &amp; TRIM(Table1[[#This Row],[Provider Specialty Description]]), SPECIALTY_TYPE, 2, FALSE)</f>
        <v>2093</v>
      </c>
      <c r="M768" s="3" t="s">
        <v>18</v>
      </c>
      <c r="N768" s="27" t="s">
        <v>19</v>
      </c>
      <c r="O768" s="38">
        <f>VLOOKUP(TRIM(Table1[[#This Row],[Provider Specialty]]) &amp; TRIM(Table1[[#This Row],[Provider Specialty Description]]), SPECIALTY_TYPE, 2, FALSE)</f>
        <v>2093</v>
      </c>
      <c r="P768" s="3" t="str">
        <f>Table1[[#This Row],[Provider Type]] &amp; "+" &amp; Table1[[#This Row],[Provider Type Description]]</f>
        <v>33+Single-Specialty</v>
      </c>
      <c r="Q768" s="7" t="str">
        <f>Table1[[#This Row],[Provider Specialty]] &amp; "+" &amp; Table1[[#This Row],[Provider Specialty Description]]</f>
        <v>333+Pathologist</v>
      </c>
      <c r="R768" s="7" t="str">
        <f>Table1[[#This Row],[PDMS Specialty Type ID]] &amp; "+" &amp; Table1[[#This Row],[PDMS Provider Type ID]] &amp; "+" &amp;Table1[[#This Row],[TAXONOMY]]</f>
        <v>2093+51+207ZI0100X</v>
      </c>
      <c r="S7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(9747, 2093, 51, N'207ZI0100X', N'Pathology - - Immunopathology')</v>
      </c>
    </row>
    <row r="769" spans="1:19" ht="47.25" hidden="1" customHeight="1" x14ac:dyDescent="0.25">
      <c r="A769" s="22" t="s">
        <v>1855</v>
      </c>
      <c r="B769" s="3" t="s">
        <v>988</v>
      </c>
      <c r="C769" s="3" t="s">
        <v>1036</v>
      </c>
      <c r="D769" s="3" t="s">
        <v>1243</v>
      </c>
      <c r="E769" s="3" t="s">
        <v>1244</v>
      </c>
      <c r="F769" s="3">
        <f>VLOOKUP(Table1[[#This Row],[Column2]], TAXONOMY_TYPE, 2, FALSE)</f>
        <v>9748</v>
      </c>
      <c r="G769" s="3">
        <v>31</v>
      </c>
      <c r="H769" s="3" t="s">
        <v>991</v>
      </c>
      <c r="I769" s="3">
        <f>VLOOKUP(Table1[[#This Row],[Provider Type]] &amp; Table1[[#This Row],[Provider Type Description]], PROVIDER_TYPE, 2, FALSE)</f>
        <v>114</v>
      </c>
      <c r="J769" s="3">
        <v>333</v>
      </c>
      <c r="K769" s="3" t="s">
        <v>1057</v>
      </c>
      <c r="L769" s="3">
        <f>VLOOKUP(TRIM(Table1[[#This Row],[Provider Specialty]]) &amp; TRIM(Table1[[#This Row],[Provider Specialty Description]]), SPECIALTY_TYPE, 2, FALSE)</f>
        <v>2093</v>
      </c>
      <c r="M769" s="3" t="s">
        <v>19</v>
      </c>
      <c r="N769" s="27" t="s">
        <v>19</v>
      </c>
      <c r="O769" s="38">
        <f>VLOOKUP(TRIM(Table1[[#This Row],[Provider Specialty]]) &amp; TRIM(Table1[[#This Row],[Provider Specialty Description]]), SPECIALTY_TYPE, 2, FALSE)</f>
        <v>2093</v>
      </c>
      <c r="P769" s="3" t="str">
        <f>Table1[[#This Row],[Provider Type]] &amp; "+" &amp; Table1[[#This Row],[Provider Type Description]]</f>
        <v>31+Physician</v>
      </c>
      <c r="Q769" s="7" t="str">
        <f>Table1[[#This Row],[Provider Specialty]] &amp; "+" &amp; Table1[[#This Row],[Provider Specialty Description]]</f>
        <v>333+Pathologist</v>
      </c>
      <c r="R769" s="7" t="str">
        <f>Table1[[#This Row],[PDMS Specialty Type ID]] &amp; "+" &amp; Table1[[#This Row],[PDMS Provider Type ID]] &amp; "+" &amp;Table1[[#This Row],[TAXONOMY]]</f>
        <v>2093+114+207ZM0300X</v>
      </c>
      <c r="S7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(9748, 2093, 114, N'207ZM0300X', N'Pathology - - Medical Microbiology')</v>
      </c>
    </row>
    <row r="770" spans="1:19" ht="47.25" hidden="1" customHeight="1" x14ac:dyDescent="0.25">
      <c r="A770" s="22" t="s">
        <v>1854</v>
      </c>
      <c r="B770" s="3" t="s">
        <v>988</v>
      </c>
      <c r="C770" s="3" t="s">
        <v>1036</v>
      </c>
      <c r="D770" s="3" t="s">
        <v>1243</v>
      </c>
      <c r="E770" s="3" t="s">
        <v>1244</v>
      </c>
      <c r="F770" s="3">
        <f>VLOOKUP(Table1[[#This Row],[Column2]], TAXONOMY_TYPE, 2, FALSE)</f>
        <v>9749</v>
      </c>
      <c r="G770" s="3">
        <v>32</v>
      </c>
      <c r="H770" s="3" t="s">
        <v>1444</v>
      </c>
      <c r="I770" s="3">
        <f>VLOOKUP(Table1[[#This Row],[Provider Type]] &amp; Table1[[#This Row],[Provider Type Description]], PROVIDER_TYPE, 2, FALSE)</f>
        <v>50</v>
      </c>
      <c r="J770" s="3">
        <v>333</v>
      </c>
      <c r="K770" s="3" t="s">
        <v>1057</v>
      </c>
      <c r="L770" s="3">
        <f>VLOOKUP(TRIM(Table1[[#This Row],[Provider Specialty]]) &amp; TRIM(Table1[[#This Row],[Provider Specialty Description]]), SPECIALTY_TYPE, 2, FALSE)</f>
        <v>2093</v>
      </c>
      <c r="M770" s="3" t="s">
        <v>18</v>
      </c>
      <c r="N770" s="27" t="s">
        <v>19</v>
      </c>
      <c r="O770" s="38">
        <f>VLOOKUP(TRIM(Table1[[#This Row],[Provider Specialty]]) &amp; TRIM(Table1[[#This Row],[Provider Specialty Description]]), SPECIALTY_TYPE, 2, FALSE)</f>
        <v>2093</v>
      </c>
      <c r="P770" s="3" t="str">
        <f>Table1[[#This Row],[Provider Type]] &amp; "+" &amp; Table1[[#This Row],[Provider Type Description]]</f>
        <v>32+Multi-Specialty</v>
      </c>
      <c r="Q770" s="7" t="str">
        <f>Table1[[#This Row],[Provider Specialty]] &amp; "+" &amp; Table1[[#This Row],[Provider Specialty Description]]</f>
        <v>333+Pathologist</v>
      </c>
      <c r="R770" s="7" t="str">
        <f>Table1[[#This Row],[PDMS Specialty Type ID]] &amp; "+" &amp; Table1[[#This Row],[PDMS Provider Type ID]] &amp; "+" &amp;Table1[[#This Row],[TAXONOMY]]</f>
        <v>2093+50+207ZM0300X</v>
      </c>
      <c r="S7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(9749, 2093, 50, N'207ZM0300X', N'Pathology - - Medical Microbiology')</v>
      </c>
    </row>
    <row r="771" spans="1:19" ht="47.25" hidden="1" customHeight="1" x14ac:dyDescent="0.25">
      <c r="A771" s="22" t="s">
        <v>1854</v>
      </c>
      <c r="B771" s="3" t="s">
        <v>988</v>
      </c>
      <c r="C771" s="3" t="s">
        <v>1036</v>
      </c>
      <c r="D771" s="3" t="s">
        <v>1243</v>
      </c>
      <c r="E771" s="3" t="s">
        <v>1244</v>
      </c>
      <c r="F771" s="3">
        <f>VLOOKUP(Table1[[#This Row],[Column2]], TAXONOMY_TYPE, 2, FALSE)</f>
        <v>9750</v>
      </c>
      <c r="G771" s="3">
        <v>33</v>
      </c>
      <c r="H771" s="3" t="s">
        <v>1953</v>
      </c>
      <c r="I771" s="3">
        <f>VLOOKUP(Table1[[#This Row],[Provider Type]] &amp; Table1[[#This Row],[Provider Type Description]], PROVIDER_TYPE, 2, FALSE)</f>
        <v>51</v>
      </c>
      <c r="J771" s="3">
        <v>333</v>
      </c>
      <c r="K771" s="3" t="s">
        <v>1057</v>
      </c>
      <c r="L771" s="3">
        <f>VLOOKUP(TRIM(Table1[[#This Row],[Provider Specialty]]) &amp; TRIM(Table1[[#This Row],[Provider Specialty Description]]), SPECIALTY_TYPE, 2, FALSE)</f>
        <v>2093</v>
      </c>
      <c r="M771" s="3" t="s">
        <v>18</v>
      </c>
      <c r="N771" s="27" t="s">
        <v>19</v>
      </c>
      <c r="O771" s="38">
        <f>VLOOKUP(TRIM(Table1[[#This Row],[Provider Specialty]]) &amp; TRIM(Table1[[#This Row],[Provider Specialty Description]]), SPECIALTY_TYPE, 2, FALSE)</f>
        <v>2093</v>
      </c>
      <c r="P771" s="3" t="str">
        <f>Table1[[#This Row],[Provider Type]] &amp; "+" &amp; Table1[[#This Row],[Provider Type Description]]</f>
        <v>33+Single-Specialty</v>
      </c>
      <c r="Q771" s="7" t="str">
        <f>Table1[[#This Row],[Provider Specialty]] &amp; "+" &amp; Table1[[#This Row],[Provider Specialty Description]]</f>
        <v>333+Pathologist</v>
      </c>
      <c r="R771" s="7" t="str">
        <f>Table1[[#This Row],[PDMS Specialty Type ID]] &amp; "+" &amp; Table1[[#This Row],[PDMS Provider Type ID]] &amp; "+" &amp;Table1[[#This Row],[TAXONOMY]]</f>
        <v>2093+51+207ZM0300X</v>
      </c>
      <c r="S7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(9750, 2093, 51, N'207ZM0300X', N'Pathology - - Medical Microbiology')</v>
      </c>
    </row>
    <row r="772" spans="1:19" ht="47.25" hidden="1" customHeight="1" x14ac:dyDescent="0.25">
      <c r="A772" s="22" t="s">
        <v>1855</v>
      </c>
      <c r="B772" s="3" t="s">
        <v>988</v>
      </c>
      <c r="C772" s="3" t="s">
        <v>1036</v>
      </c>
      <c r="D772" s="3" t="s">
        <v>1245</v>
      </c>
      <c r="E772" s="3" t="s">
        <v>1246</v>
      </c>
      <c r="F772" s="3">
        <f>VLOOKUP(Table1[[#This Row],[Column2]], TAXONOMY_TYPE, 2, FALSE)</f>
        <v>9751</v>
      </c>
      <c r="G772" s="3">
        <v>31</v>
      </c>
      <c r="H772" s="3" t="s">
        <v>991</v>
      </c>
      <c r="I772" s="3">
        <f>VLOOKUP(Table1[[#This Row],[Provider Type]] &amp; Table1[[#This Row],[Provider Type Description]], PROVIDER_TYPE, 2, FALSE)</f>
        <v>114</v>
      </c>
      <c r="J772" s="3">
        <v>333</v>
      </c>
      <c r="K772" s="3" t="s">
        <v>1057</v>
      </c>
      <c r="L772" s="3">
        <f>VLOOKUP(TRIM(Table1[[#This Row],[Provider Specialty]]) &amp; TRIM(Table1[[#This Row],[Provider Specialty Description]]), SPECIALTY_TYPE, 2, FALSE)</f>
        <v>2093</v>
      </c>
      <c r="M772" s="3" t="s">
        <v>19</v>
      </c>
      <c r="N772" s="27" t="s">
        <v>19</v>
      </c>
      <c r="O772" s="38">
        <f>VLOOKUP(TRIM(Table1[[#This Row],[Provider Specialty]]) &amp; TRIM(Table1[[#This Row],[Provider Specialty Description]]), SPECIALTY_TYPE, 2, FALSE)</f>
        <v>2093</v>
      </c>
      <c r="P772" s="3" t="str">
        <f>Table1[[#This Row],[Provider Type]] &amp; "+" &amp; Table1[[#This Row],[Provider Type Description]]</f>
        <v>31+Physician</v>
      </c>
      <c r="Q772" s="7" t="str">
        <f>Table1[[#This Row],[Provider Specialty]] &amp; "+" &amp; Table1[[#This Row],[Provider Specialty Description]]</f>
        <v>333+Pathologist</v>
      </c>
      <c r="R772" s="7" t="str">
        <f>Table1[[#This Row],[PDMS Specialty Type ID]] &amp; "+" &amp; Table1[[#This Row],[PDMS Provider Type ID]] &amp; "+" &amp;Table1[[#This Row],[TAXONOMY]]</f>
        <v>2093+114+207ZN0500X</v>
      </c>
      <c r="S7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(9751, 2093, 114, N'207ZN0500X', N'Pathology - - Neuropathology')</v>
      </c>
    </row>
    <row r="773" spans="1:19" ht="47.25" hidden="1" customHeight="1" x14ac:dyDescent="0.25">
      <c r="A773" s="22" t="s">
        <v>1854</v>
      </c>
      <c r="B773" s="3" t="s">
        <v>988</v>
      </c>
      <c r="C773" s="3" t="s">
        <v>1036</v>
      </c>
      <c r="D773" s="3" t="s">
        <v>1245</v>
      </c>
      <c r="E773" s="3" t="s">
        <v>1246</v>
      </c>
      <c r="F773" s="3">
        <f>VLOOKUP(Table1[[#This Row],[Column2]], TAXONOMY_TYPE, 2, FALSE)</f>
        <v>9752</v>
      </c>
      <c r="G773" s="3">
        <v>32</v>
      </c>
      <c r="H773" s="3" t="s">
        <v>1444</v>
      </c>
      <c r="I773" s="3">
        <f>VLOOKUP(Table1[[#This Row],[Provider Type]] &amp; Table1[[#This Row],[Provider Type Description]], PROVIDER_TYPE, 2, FALSE)</f>
        <v>50</v>
      </c>
      <c r="J773" s="3">
        <v>333</v>
      </c>
      <c r="K773" s="3" t="s">
        <v>1057</v>
      </c>
      <c r="L773" s="3">
        <f>VLOOKUP(TRIM(Table1[[#This Row],[Provider Specialty]]) &amp; TRIM(Table1[[#This Row],[Provider Specialty Description]]), SPECIALTY_TYPE, 2, FALSE)</f>
        <v>2093</v>
      </c>
      <c r="M773" s="3" t="s">
        <v>18</v>
      </c>
      <c r="N773" s="27" t="s">
        <v>19</v>
      </c>
      <c r="O773" s="38">
        <f>VLOOKUP(TRIM(Table1[[#This Row],[Provider Specialty]]) &amp; TRIM(Table1[[#This Row],[Provider Specialty Description]]), SPECIALTY_TYPE, 2, FALSE)</f>
        <v>2093</v>
      </c>
      <c r="P773" s="3" t="str">
        <f>Table1[[#This Row],[Provider Type]] &amp; "+" &amp; Table1[[#This Row],[Provider Type Description]]</f>
        <v>32+Multi-Specialty</v>
      </c>
      <c r="Q773" s="7" t="str">
        <f>Table1[[#This Row],[Provider Specialty]] &amp; "+" &amp; Table1[[#This Row],[Provider Specialty Description]]</f>
        <v>333+Pathologist</v>
      </c>
      <c r="R773" s="7" t="str">
        <f>Table1[[#This Row],[PDMS Specialty Type ID]] &amp; "+" &amp; Table1[[#This Row],[PDMS Provider Type ID]] &amp; "+" &amp;Table1[[#This Row],[TAXONOMY]]</f>
        <v>2093+50+207ZN0500X</v>
      </c>
      <c r="S7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(9752, 2093, 50, N'207ZN0500X', N'Pathology - - Neuropathology')</v>
      </c>
    </row>
    <row r="774" spans="1:19" ht="47.25" hidden="1" customHeight="1" x14ac:dyDescent="0.25">
      <c r="A774" s="22" t="s">
        <v>1854</v>
      </c>
      <c r="B774" s="3" t="s">
        <v>988</v>
      </c>
      <c r="C774" s="3" t="s">
        <v>1036</v>
      </c>
      <c r="D774" s="3" t="s">
        <v>1245</v>
      </c>
      <c r="E774" s="3" t="s">
        <v>1246</v>
      </c>
      <c r="F774" s="3">
        <f>VLOOKUP(Table1[[#This Row],[Column2]], TAXONOMY_TYPE, 2, FALSE)</f>
        <v>9753</v>
      </c>
      <c r="G774" s="3">
        <v>33</v>
      </c>
      <c r="H774" s="3" t="s">
        <v>1953</v>
      </c>
      <c r="I774" s="3">
        <f>VLOOKUP(Table1[[#This Row],[Provider Type]] &amp; Table1[[#This Row],[Provider Type Description]], PROVIDER_TYPE, 2, FALSE)</f>
        <v>51</v>
      </c>
      <c r="J774" s="3">
        <v>333</v>
      </c>
      <c r="K774" s="3" t="s">
        <v>1057</v>
      </c>
      <c r="L774" s="3">
        <f>VLOOKUP(TRIM(Table1[[#This Row],[Provider Specialty]]) &amp; TRIM(Table1[[#This Row],[Provider Specialty Description]]), SPECIALTY_TYPE, 2, FALSE)</f>
        <v>2093</v>
      </c>
      <c r="M774" s="3" t="s">
        <v>18</v>
      </c>
      <c r="N774" s="27" t="s">
        <v>19</v>
      </c>
      <c r="O774" s="38">
        <f>VLOOKUP(TRIM(Table1[[#This Row],[Provider Specialty]]) &amp; TRIM(Table1[[#This Row],[Provider Specialty Description]]), SPECIALTY_TYPE, 2, FALSE)</f>
        <v>2093</v>
      </c>
      <c r="P774" s="3" t="str">
        <f>Table1[[#This Row],[Provider Type]] &amp; "+" &amp; Table1[[#This Row],[Provider Type Description]]</f>
        <v>33+Single-Specialty</v>
      </c>
      <c r="Q774" s="7" t="str">
        <f>Table1[[#This Row],[Provider Specialty]] &amp; "+" &amp; Table1[[#This Row],[Provider Specialty Description]]</f>
        <v>333+Pathologist</v>
      </c>
      <c r="R774" s="7" t="str">
        <f>Table1[[#This Row],[PDMS Specialty Type ID]] &amp; "+" &amp; Table1[[#This Row],[PDMS Provider Type ID]] &amp; "+" &amp;Table1[[#This Row],[TAXONOMY]]</f>
        <v>2093+51+207ZN0500X</v>
      </c>
      <c r="S7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(9753, 2093, 51, N'207ZN0500X', N'Pathology - - Neuropathology')</v>
      </c>
    </row>
    <row r="775" spans="1:19" ht="47.25" hidden="1" customHeight="1" x14ac:dyDescent="0.25">
      <c r="A775" s="22" t="s">
        <v>1855</v>
      </c>
      <c r="B775" s="3" t="s">
        <v>988</v>
      </c>
      <c r="C775" s="3" t="s">
        <v>1036</v>
      </c>
      <c r="D775" s="3" t="s">
        <v>1247</v>
      </c>
      <c r="E775" s="3" t="s">
        <v>1248</v>
      </c>
      <c r="F775" s="3">
        <f>VLOOKUP(Table1[[#This Row],[Column2]], TAXONOMY_TYPE, 2, FALSE)</f>
        <v>9754</v>
      </c>
      <c r="G775" s="3">
        <v>31</v>
      </c>
      <c r="H775" s="3" t="s">
        <v>991</v>
      </c>
      <c r="I775" s="3">
        <f>VLOOKUP(Table1[[#This Row],[Provider Type]] &amp; Table1[[#This Row],[Provider Type Description]], PROVIDER_TYPE, 2, FALSE)</f>
        <v>114</v>
      </c>
      <c r="J775" s="3">
        <v>333</v>
      </c>
      <c r="K775" s="3" t="s">
        <v>1057</v>
      </c>
      <c r="L775" s="3">
        <f>VLOOKUP(TRIM(Table1[[#This Row],[Provider Specialty]]) &amp; TRIM(Table1[[#This Row],[Provider Specialty Description]]), SPECIALTY_TYPE, 2, FALSE)</f>
        <v>2093</v>
      </c>
      <c r="M775" s="3" t="s">
        <v>19</v>
      </c>
      <c r="N775" s="27" t="s">
        <v>19</v>
      </c>
      <c r="O775" s="38">
        <f>VLOOKUP(TRIM(Table1[[#This Row],[Provider Specialty]]) &amp; TRIM(Table1[[#This Row],[Provider Specialty Description]]), SPECIALTY_TYPE, 2, FALSE)</f>
        <v>2093</v>
      </c>
      <c r="P775" s="3" t="str">
        <f>Table1[[#This Row],[Provider Type]] &amp; "+" &amp; Table1[[#This Row],[Provider Type Description]]</f>
        <v>31+Physician</v>
      </c>
      <c r="Q775" s="7" t="str">
        <f>Table1[[#This Row],[Provider Specialty]] &amp; "+" &amp; Table1[[#This Row],[Provider Specialty Description]]</f>
        <v>333+Pathologist</v>
      </c>
      <c r="R775" s="7" t="str">
        <f>Table1[[#This Row],[PDMS Specialty Type ID]] &amp; "+" &amp; Table1[[#This Row],[PDMS Provider Type ID]] &amp; "+" &amp;Table1[[#This Row],[TAXONOMY]]</f>
        <v>2093+114+207ZP0007X</v>
      </c>
      <c r="S7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(9754, 2093, 114, N'207ZP0007X', N'Pathology - - Molecular Genetic Pathology')</v>
      </c>
    </row>
    <row r="776" spans="1:19" ht="47.25" hidden="1" customHeight="1" x14ac:dyDescent="0.25">
      <c r="A776" s="22" t="s">
        <v>1854</v>
      </c>
      <c r="B776" s="3" t="s">
        <v>988</v>
      </c>
      <c r="C776" s="3" t="s">
        <v>1036</v>
      </c>
      <c r="D776" s="3" t="s">
        <v>1247</v>
      </c>
      <c r="E776" s="3" t="s">
        <v>1248</v>
      </c>
      <c r="F776" s="3">
        <f>VLOOKUP(Table1[[#This Row],[Column2]], TAXONOMY_TYPE, 2, FALSE)</f>
        <v>9755</v>
      </c>
      <c r="G776" s="3">
        <v>32</v>
      </c>
      <c r="H776" s="3" t="s">
        <v>1444</v>
      </c>
      <c r="I776" s="3">
        <f>VLOOKUP(Table1[[#This Row],[Provider Type]] &amp; Table1[[#This Row],[Provider Type Description]], PROVIDER_TYPE, 2, FALSE)</f>
        <v>50</v>
      </c>
      <c r="J776" s="3">
        <v>333</v>
      </c>
      <c r="K776" s="3" t="s">
        <v>1057</v>
      </c>
      <c r="L776" s="3">
        <f>VLOOKUP(TRIM(Table1[[#This Row],[Provider Specialty]]) &amp; TRIM(Table1[[#This Row],[Provider Specialty Description]]), SPECIALTY_TYPE, 2, FALSE)</f>
        <v>2093</v>
      </c>
      <c r="M776" s="3" t="s">
        <v>18</v>
      </c>
      <c r="N776" s="27" t="s">
        <v>19</v>
      </c>
      <c r="O776" s="38">
        <f>VLOOKUP(TRIM(Table1[[#This Row],[Provider Specialty]]) &amp; TRIM(Table1[[#This Row],[Provider Specialty Description]]), SPECIALTY_TYPE, 2, FALSE)</f>
        <v>2093</v>
      </c>
      <c r="P776" s="3" t="str">
        <f>Table1[[#This Row],[Provider Type]] &amp; "+" &amp; Table1[[#This Row],[Provider Type Description]]</f>
        <v>32+Multi-Specialty</v>
      </c>
      <c r="Q776" s="7" t="str">
        <f>Table1[[#This Row],[Provider Specialty]] &amp; "+" &amp; Table1[[#This Row],[Provider Specialty Description]]</f>
        <v>333+Pathologist</v>
      </c>
      <c r="R776" s="7" t="str">
        <f>Table1[[#This Row],[PDMS Specialty Type ID]] &amp; "+" &amp; Table1[[#This Row],[PDMS Provider Type ID]] &amp; "+" &amp;Table1[[#This Row],[TAXONOMY]]</f>
        <v>2093+50+207ZP0007X</v>
      </c>
      <c r="S7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(9755, 2093, 50, N'207ZP0007X', N'Pathology - - Molecular Genetic Pathology')</v>
      </c>
    </row>
    <row r="777" spans="1:19" ht="47.25" hidden="1" customHeight="1" x14ac:dyDescent="0.25">
      <c r="A777" s="22" t="s">
        <v>1854</v>
      </c>
      <c r="B777" s="3" t="s">
        <v>988</v>
      </c>
      <c r="C777" s="3" t="s">
        <v>1036</v>
      </c>
      <c r="D777" s="3" t="s">
        <v>1247</v>
      </c>
      <c r="E777" s="3" t="s">
        <v>1248</v>
      </c>
      <c r="F777" s="3">
        <f>VLOOKUP(Table1[[#This Row],[Column2]], TAXONOMY_TYPE, 2, FALSE)</f>
        <v>9756</v>
      </c>
      <c r="G777" s="3">
        <v>33</v>
      </c>
      <c r="H777" s="3" t="s">
        <v>1953</v>
      </c>
      <c r="I777" s="3">
        <f>VLOOKUP(Table1[[#This Row],[Provider Type]] &amp; Table1[[#This Row],[Provider Type Description]], PROVIDER_TYPE, 2, FALSE)</f>
        <v>51</v>
      </c>
      <c r="J777" s="3">
        <v>333</v>
      </c>
      <c r="K777" s="3" t="s">
        <v>1057</v>
      </c>
      <c r="L777" s="3">
        <f>VLOOKUP(TRIM(Table1[[#This Row],[Provider Specialty]]) &amp; TRIM(Table1[[#This Row],[Provider Specialty Description]]), SPECIALTY_TYPE, 2, FALSE)</f>
        <v>2093</v>
      </c>
      <c r="M777" s="3" t="s">
        <v>18</v>
      </c>
      <c r="N777" s="27" t="s">
        <v>19</v>
      </c>
      <c r="O777" s="38">
        <f>VLOOKUP(TRIM(Table1[[#This Row],[Provider Specialty]]) &amp; TRIM(Table1[[#This Row],[Provider Specialty Description]]), SPECIALTY_TYPE, 2, FALSE)</f>
        <v>2093</v>
      </c>
      <c r="P777" s="3" t="str">
        <f>Table1[[#This Row],[Provider Type]] &amp; "+" &amp; Table1[[#This Row],[Provider Type Description]]</f>
        <v>33+Single-Specialty</v>
      </c>
      <c r="Q777" s="7" t="str">
        <f>Table1[[#This Row],[Provider Specialty]] &amp; "+" &amp; Table1[[#This Row],[Provider Specialty Description]]</f>
        <v>333+Pathologist</v>
      </c>
      <c r="R777" s="7" t="str">
        <f>Table1[[#This Row],[PDMS Specialty Type ID]] &amp; "+" &amp; Table1[[#This Row],[PDMS Provider Type ID]] &amp; "+" &amp;Table1[[#This Row],[TAXONOMY]]</f>
        <v>2093+51+207ZP0007X</v>
      </c>
      <c r="S7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(9756, 2093, 51, N'207ZP0007X', N'Pathology - - Molecular Genetic Pathology')</v>
      </c>
    </row>
    <row r="778" spans="1:19" ht="47.25" hidden="1" customHeight="1" x14ac:dyDescent="0.25">
      <c r="A778" s="22" t="s">
        <v>1855</v>
      </c>
      <c r="B778" s="3" t="s">
        <v>988</v>
      </c>
      <c r="C778" s="3" t="s">
        <v>1036</v>
      </c>
      <c r="D778" s="3" t="s">
        <v>1249</v>
      </c>
      <c r="E778" s="3" t="s">
        <v>1250</v>
      </c>
      <c r="F778" s="3">
        <f>VLOOKUP(Table1[[#This Row],[Column2]], TAXONOMY_TYPE, 2, FALSE)</f>
        <v>9757</v>
      </c>
      <c r="G778" s="3">
        <v>31</v>
      </c>
      <c r="H778" s="3" t="s">
        <v>991</v>
      </c>
      <c r="I778" s="3">
        <f>VLOOKUP(Table1[[#This Row],[Provider Type]] &amp; Table1[[#This Row],[Provider Type Description]], PROVIDER_TYPE, 2, FALSE)</f>
        <v>114</v>
      </c>
      <c r="J778" s="3">
        <v>333</v>
      </c>
      <c r="K778" s="3" t="s">
        <v>1057</v>
      </c>
      <c r="L778" s="3">
        <f>VLOOKUP(TRIM(Table1[[#This Row],[Provider Specialty]]) &amp; TRIM(Table1[[#This Row],[Provider Specialty Description]]), SPECIALTY_TYPE, 2, FALSE)</f>
        <v>2093</v>
      </c>
      <c r="M778" s="3" t="s">
        <v>19</v>
      </c>
      <c r="N778" s="27" t="s">
        <v>19</v>
      </c>
      <c r="O778" s="38">
        <f>VLOOKUP(TRIM(Table1[[#This Row],[Provider Specialty]]) &amp; TRIM(Table1[[#This Row],[Provider Specialty Description]]), SPECIALTY_TYPE, 2, FALSE)</f>
        <v>2093</v>
      </c>
      <c r="P778" s="3" t="str">
        <f>Table1[[#This Row],[Provider Type]] &amp; "+" &amp; Table1[[#This Row],[Provider Type Description]]</f>
        <v>31+Physician</v>
      </c>
      <c r="Q778" s="7" t="str">
        <f>Table1[[#This Row],[Provider Specialty]] &amp; "+" &amp; Table1[[#This Row],[Provider Specialty Description]]</f>
        <v>333+Pathologist</v>
      </c>
      <c r="R778" s="7" t="str">
        <f>Table1[[#This Row],[PDMS Specialty Type ID]] &amp; "+" &amp; Table1[[#This Row],[PDMS Provider Type ID]] &amp; "+" &amp;Table1[[#This Row],[TAXONOMY]]</f>
        <v>2093+114+207ZP0101X</v>
      </c>
      <c r="S7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(9757, 2093, 114, N'207ZP0101X', N'Pathology - - Anatomic Pathology')</v>
      </c>
    </row>
    <row r="779" spans="1:19" ht="47.25" hidden="1" customHeight="1" x14ac:dyDescent="0.25">
      <c r="A779" s="22" t="s">
        <v>1854</v>
      </c>
      <c r="B779" s="3" t="s">
        <v>988</v>
      </c>
      <c r="C779" s="3" t="s">
        <v>1036</v>
      </c>
      <c r="D779" s="3" t="s">
        <v>1249</v>
      </c>
      <c r="E779" s="3" t="s">
        <v>1250</v>
      </c>
      <c r="F779" s="3">
        <f>VLOOKUP(Table1[[#This Row],[Column2]], TAXONOMY_TYPE, 2, FALSE)</f>
        <v>9758</v>
      </c>
      <c r="G779" s="3">
        <v>32</v>
      </c>
      <c r="H779" s="3" t="s">
        <v>1444</v>
      </c>
      <c r="I779" s="3">
        <f>VLOOKUP(Table1[[#This Row],[Provider Type]] &amp; Table1[[#This Row],[Provider Type Description]], PROVIDER_TYPE, 2, FALSE)</f>
        <v>50</v>
      </c>
      <c r="J779" s="3">
        <v>333</v>
      </c>
      <c r="K779" s="3" t="s">
        <v>1057</v>
      </c>
      <c r="L779" s="3">
        <f>VLOOKUP(TRIM(Table1[[#This Row],[Provider Specialty]]) &amp; TRIM(Table1[[#This Row],[Provider Specialty Description]]), SPECIALTY_TYPE, 2, FALSE)</f>
        <v>2093</v>
      </c>
      <c r="M779" s="3" t="s">
        <v>18</v>
      </c>
      <c r="N779" s="27" t="s">
        <v>19</v>
      </c>
      <c r="O779" s="38">
        <f>VLOOKUP(TRIM(Table1[[#This Row],[Provider Specialty]]) &amp; TRIM(Table1[[#This Row],[Provider Specialty Description]]), SPECIALTY_TYPE, 2, FALSE)</f>
        <v>2093</v>
      </c>
      <c r="P779" s="3" t="str">
        <f>Table1[[#This Row],[Provider Type]] &amp; "+" &amp; Table1[[#This Row],[Provider Type Description]]</f>
        <v>32+Multi-Specialty</v>
      </c>
      <c r="Q779" s="7" t="str">
        <f>Table1[[#This Row],[Provider Specialty]] &amp; "+" &amp; Table1[[#This Row],[Provider Specialty Description]]</f>
        <v>333+Pathologist</v>
      </c>
      <c r="R779" s="7" t="str">
        <f>Table1[[#This Row],[PDMS Specialty Type ID]] &amp; "+" &amp; Table1[[#This Row],[PDMS Provider Type ID]] &amp; "+" &amp;Table1[[#This Row],[TAXONOMY]]</f>
        <v>2093+50+207ZP0101X</v>
      </c>
      <c r="S7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(9758, 2093, 50, N'207ZP0101X', N'Pathology - - Anatomic Pathology')</v>
      </c>
    </row>
    <row r="780" spans="1:19" ht="47.25" hidden="1" customHeight="1" x14ac:dyDescent="0.25">
      <c r="A780" s="22" t="s">
        <v>1854</v>
      </c>
      <c r="B780" s="3" t="s">
        <v>988</v>
      </c>
      <c r="C780" s="3" t="s">
        <v>1036</v>
      </c>
      <c r="D780" s="3" t="s">
        <v>1249</v>
      </c>
      <c r="E780" s="3" t="s">
        <v>1250</v>
      </c>
      <c r="F780" s="3">
        <f>VLOOKUP(Table1[[#This Row],[Column2]], TAXONOMY_TYPE, 2, FALSE)</f>
        <v>9759</v>
      </c>
      <c r="G780" s="3">
        <v>33</v>
      </c>
      <c r="H780" s="3" t="s">
        <v>1953</v>
      </c>
      <c r="I780" s="3">
        <f>VLOOKUP(Table1[[#This Row],[Provider Type]] &amp; Table1[[#This Row],[Provider Type Description]], PROVIDER_TYPE, 2, FALSE)</f>
        <v>51</v>
      </c>
      <c r="J780" s="3">
        <v>333</v>
      </c>
      <c r="K780" s="3" t="s">
        <v>1057</v>
      </c>
      <c r="L780" s="3">
        <f>VLOOKUP(TRIM(Table1[[#This Row],[Provider Specialty]]) &amp; TRIM(Table1[[#This Row],[Provider Specialty Description]]), SPECIALTY_TYPE, 2, FALSE)</f>
        <v>2093</v>
      </c>
      <c r="M780" s="3" t="s">
        <v>18</v>
      </c>
      <c r="N780" s="27" t="s">
        <v>19</v>
      </c>
      <c r="O780" s="38">
        <f>VLOOKUP(TRIM(Table1[[#This Row],[Provider Specialty]]) &amp; TRIM(Table1[[#This Row],[Provider Specialty Description]]), SPECIALTY_TYPE, 2, FALSE)</f>
        <v>2093</v>
      </c>
      <c r="P780" s="3" t="str">
        <f>Table1[[#This Row],[Provider Type]] &amp; "+" &amp; Table1[[#This Row],[Provider Type Description]]</f>
        <v>33+Single-Specialty</v>
      </c>
      <c r="Q780" s="7" t="str">
        <f>Table1[[#This Row],[Provider Specialty]] &amp; "+" &amp; Table1[[#This Row],[Provider Specialty Description]]</f>
        <v>333+Pathologist</v>
      </c>
      <c r="R780" s="7" t="str">
        <f>Table1[[#This Row],[PDMS Specialty Type ID]] &amp; "+" &amp; Table1[[#This Row],[PDMS Provider Type ID]] &amp; "+" &amp;Table1[[#This Row],[TAXONOMY]]</f>
        <v>2093+51+207ZP0101X</v>
      </c>
      <c r="S7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(9759, 2093, 51, N'207ZP0101X', N'Pathology - - Anatomic Pathology')</v>
      </c>
    </row>
    <row r="781" spans="1:19" ht="47.25" hidden="1" customHeight="1" x14ac:dyDescent="0.25">
      <c r="A781" s="22" t="s">
        <v>1855</v>
      </c>
      <c r="B781" s="3" t="s">
        <v>988</v>
      </c>
      <c r="C781" s="3" t="s">
        <v>1036</v>
      </c>
      <c r="D781" s="3" t="s">
        <v>1253</v>
      </c>
      <c r="E781" s="3" t="s">
        <v>1254</v>
      </c>
      <c r="F781" s="3">
        <f>VLOOKUP(Table1[[#This Row],[Column2]], TAXONOMY_TYPE, 2, FALSE)</f>
        <v>9760</v>
      </c>
      <c r="G781" s="3">
        <v>31</v>
      </c>
      <c r="H781" s="3" t="s">
        <v>991</v>
      </c>
      <c r="I781" s="3">
        <f>VLOOKUP(Table1[[#This Row],[Provider Type]] &amp; Table1[[#This Row],[Provider Type Description]], PROVIDER_TYPE, 2, FALSE)</f>
        <v>114</v>
      </c>
      <c r="J781" s="3">
        <v>333</v>
      </c>
      <c r="K781" s="3" t="s">
        <v>1057</v>
      </c>
      <c r="L781" s="3">
        <f>VLOOKUP(TRIM(Table1[[#This Row],[Provider Specialty]]) &amp; TRIM(Table1[[#This Row],[Provider Specialty Description]]), SPECIALTY_TYPE, 2, FALSE)</f>
        <v>2093</v>
      </c>
      <c r="M781" s="3" t="s">
        <v>19</v>
      </c>
      <c r="N781" s="27" t="s">
        <v>19</v>
      </c>
      <c r="O781" s="38">
        <f>VLOOKUP(TRIM(Table1[[#This Row],[Provider Specialty]]) &amp; TRIM(Table1[[#This Row],[Provider Specialty Description]]), SPECIALTY_TYPE, 2, FALSE)</f>
        <v>2093</v>
      </c>
      <c r="P781" s="3" t="str">
        <f>Table1[[#This Row],[Provider Type]] &amp; "+" &amp; Table1[[#This Row],[Provider Type Description]]</f>
        <v>31+Physician</v>
      </c>
      <c r="Q781" s="7" t="str">
        <f>Table1[[#This Row],[Provider Specialty]] &amp; "+" &amp; Table1[[#This Row],[Provider Specialty Description]]</f>
        <v>333+Pathologist</v>
      </c>
      <c r="R781" s="7" t="str">
        <f>Table1[[#This Row],[PDMS Specialty Type ID]] &amp; "+" &amp; Table1[[#This Row],[PDMS Provider Type ID]] &amp; "+" &amp;Table1[[#This Row],[TAXONOMY]]</f>
        <v>2093+114+207ZP0104X</v>
      </c>
      <c r="S7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(9760, 2093, 114, N'207ZP0104X', N'Pathology - - Chemical Pathology')</v>
      </c>
    </row>
    <row r="782" spans="1:19" ht="47.25" hidden="1" customHeight="1" x14ac:dyDescent="0.25">
      <c r="A782" s="22" t="s">
        <v>1854</v>
      </c>
      <c r="B782" s="3" t="s">
        <v>988</v>
      </c>
      <c r="C782" s="3" t="s">
        <v>1036</v>
      </c>
      <c r="D782" s="3" t="s">
        <v>1253</v>
      </c>
      <c r="E782" s="3" t="s">
        <v>1254</v>
      </c>
      <c r="F782" s="3">
        <f>VLOOKUP(Table1[[#This Row],[Column2]], TAXONOMY_TYPE, 2, FALSE)</f>
        <v>9761</v>
      </c>
      <c r="G782" s="3">
        <v>32</v>
      </c>
      <c r="H782" s="3" t="s">
        <v>1444</v>
      </c>
      <c r="I782" s="3">
        <f>VLOOKUP(Table1[[#This Row],[Provider Type]] &amp; Table1[[#This Row],[Provider Type Description]], PROVIDER_TYPE, 2, FALSE)</f>
        <v>50</v>
      </c>
      <c r="J782" s="3">
        <v>333</v>
      </c>
      <c r="K782" s="3" t="s">
        <v>1057</v>
      </c>
      <c r="L782" s="3">
        <f>VLOOKUP(TRIM(Table1[[#This Row],[Provider Specialty]]) &amp; TRIM(Table1[[#This Row],[Provider Specialty Description]]), SPECIALTY_TYPE, 2, FALSE)</f>
        <v>2093</v>
      </c>
      <c r="M782" s="3" t="s">
        <v>18</v>
      </c>
      <c r="N782" s="27" t="s">
        <v>19</v>
      </c>
      <c r="O782" s="38">
        <f>VLOOKUP(TRIM(Table1[[#This Row],[Provider Specialty]]) &amp; TRIM(Table1[[#This Row],[Provider Specialty Description]]), SPECIALTY_TYPE, 2, FALSE)</f>
        <v>2093</v>
      </c>
      <c r="P782" s="3" t="str">
        <f>Table1[[#This Row],[Provider Type]] &amp; "+" &amp; Table1[[#This Row],[Provider Type Description]]</f>
        <v>32+Multi-Specialty</v>
      </c>
      <c r="Q782" s="7" t="str">
        <f>Table1[[#This Row],[Provider Specialty]] &amp; "+" &amp; Table1[[#This Row],[Provider Specialty Description]]</f>
        <v>333+Pathologist</v>
      </c>
      <c r="R782" s="7" t="str">
        <f>Table1[[#This Row],[PDMS Specialty Type ID]] &amp; "+" &amp; Table1[[#This Row],[PDMS Provider Type ID]] &amp; "+" &amp;Table1[[#This Row],[TAXONOMY]]</f>
        <v>2093+50+207ZP0104X</v>
      </c>
      <c r="S7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(9761, 2093, 50, N'207ZP0104X', N'Pathology - - Chemical Pathology')</v>
      </c>
    </row>
    <row r="783" spans="1:19" ht="47.25" hidden="1" customHeight="1" x14ac:dyDescent="0.25">
      <c r="A783" s="22" t="s">
        <v>1854</v>
      </c>
      <c r="B783" s="3" t="s">
        <v>988</v>
      </c>
      <c r="C783" s="3" t="s">
        <v>1036</v>
      </c>
      <c r="D783" s="3" t="s">
        <v>1253</v>
      </c>
      <c r="E783" s="3" t="s">
        <v>1254</v>
      </c>
      <c r="F783" s="3">
        <f>VLOOKUP(Table1[[#This Row],[Column2]], TAXONOMY_TYPE, 2, FALSE)</f>
        <v>9762</v>
      </c>
      <c r="G783" s="3">
        <v>33</v>
      </c>
      <c r="H783" s="3" t="s">
        <v>1953</v>
      </c>
      <c r="I783" s="3">
        <f>VLOOKUP(Table1[[#This Row],[Provider Type]] &amp; Table1[[#This Row],[Provider Type Description]], PROVIDER_TYPE, 2, FALSE)</f>
        <v>51</v>
      </c>
      <c r="J783" s="3">
        <v>333</v>
      </c>
      <c r="K783" s="3" t="s">
        <v>1057</v>
      </c>
      <c r="L783" s="3">
        <f>VLOOKUP(TRIM(Table1[[#This Row],[Provider Specialty]]) &amp; TRIM(Table1[[#This Row],[Provider Specialty Description]]), SPECIALTY_TYPE, 2, FALSE)</f>
        <v>2093</v>
      </c>
      <c r="M783" s="3" t="s">
        <v>18</v>
      </c>
      <c r="N783" s="27" t="s">
        <v>19</v>
      </c>
      <c r="O783" s="38">
        <f>VLOOKUP(TRIM(Table1[[#This Row],[Provider Specialty]]) &amp; TRIM(Table1[[#This Row],[Provider Specialty Description]]), SPECIALTY_TYPE, 2, FALSE)</f>
        <v>2093</v>
      </c>
      <c r="P783" s="3" t="str">
        <f>Table1[[#This Row],[Provider Type]] &amp; "+" &amp; Table1[[#This Row],[Provider Type Description]]</f>
        <v>33+Single-Specialty</v>
      </c>
      <c r="Q783" s="7" t="str">
        <f>Table1[[#This Row],[Provider Specialty]] &amp; "+" &amp; Table1[[#This Row],[Provider Specialty Description]]</f>
        <v>333+Pathologist</v>
      </c>
      <c r="R783" s="7" t="str">
        <f>Table1[[#This Row],[PDMS Specialty Type ID]] &amp; "+" &amp; Table1[[#This Row],[PDMS Provider Type ID]] &amp; "+" &amp;Table1[[#This Row],[TAXONOMY]]</f>
        <v>2093+51+207ZP0104X</v>
      </c>
      <c r="S7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(9762, 2093, 51, N'207ZP0104X', N'Pathology - - Chemical Pathology')</v>
      </c>
    </row>
    <row r="784" spans="1:19" ht="47.25" hidden="1" customHeight="1" x14ac:dyDescent="0.25">
      <c r="A784" s="22" t="s">
        <v>1855</v>
      </c>
      <c r="B784" s="3" t="s">
        <v>988</v>
      </c>
      <c r="C784" s="3" t="s">
        <v>1036</v>
      </c>
      <c r="D784" s="3" t="s">
        <v>1257</v>
      </c>
      <c r="E784" s="3" t="s">
        <v>1258</v>
      </c>
      <c r="F784" s="3">
        <f>VLOOKUP(Table1[[#This Row],[Column2]], TAXONOMY_TYPE, 2, FALSE)</f>
        <v>9763</v>
      </c>
      <c r="G784" s="3">
        <v>31</v>
      </c>
      <c r="H784" s="3" t="s">
        <v>991</v>
      </c>
      <c r="I784" s="3">
        <f>VLOOKUP(Table1[[#This Row],[Provider Type]] &amp; Table1[[#This Row],[Provider Type Description]], PROVIDER_TYPE, 2, FALSE)</f>
        <v>114</v>
      </c>
      <c r="J784" s="3">
        <v>333</v>
      </c>
      <c r="K784" s="3" t="s">
        <v>1057</v>
      </c>
      <c r="L784" s="3">
        <f>VLOOKUP(TRIM(Table1[[#This Row],[Provider Specialty]]) &amp; TRIM(Table1[[#This Row],[Provider Specialty Description]]), SPECIALTY_TYPE, 2, FALSE)</f>
        <v>2093</v>
      </c>
      <c r="M784" s="3" t="s">
        <v>19</v>
      </c>
      <c r="N784" s="27" t="s">
        <v>19</v>
      </c>
      <c r="O784" s="38">
        <f>VLOOKUP(TRIM(Table1[[#This Row],[Provider Specialty]]) &amp; TRIM(Table1[[#This Row],[Provider Specialty Description]]), SPECIALTY_TYPE, 2, FALSE)</f>
        <v>2093</v>
      </c>
      <c r="P784" s="3" t="str">
        <f>Table1[[#This Row],[Provider Type]] &amp; "+" &amp; Table1[[#This Row],[Provider Type Description]]</f>
        <v>31+Physician</v>
      </c>
      <c r="Q784" s="7" t="str">
        <f>Table1[[#This Row],[Provider Specialty]] &amp; "+" &amp; Table1[[#This Row],[Provider Specialty Description]]</f>
        <v>333+Pathologist</v>
      </c>
      <c r="R784" s="7" t="str">
        <f>Table1[[#This Row],[PDMS Specialty Type ID]] &amp; "+" &amp; Table1[[#This Row],[PDMS Provider Type ID]] &amp; "+" &amp;Table1[[#This Row],[TAXONOMY]]</f>
        <v>2093+114+207ZP0213X</v>
      </c>
      <c r="S7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(9763, 2093, 114, N'207ZP0213X', N'Pathology - - Pediatric Pathology')</v>
      </c>
    </row>
    <row r="785" spans="1:19" ht="47.25" hidden="1" customHeight="1" x14ac:dyDescent="0.25">
      <c r="A785" s="22" t="s">
        <v>1854</v>
      </c>
      <c r="B785" s="3" t="s">
        <v>988</v>
      </c>
      <c r="C785" s="3" t="s">
        <v>1036</v>
      </c>
      <c r="D785" s="3" t="s">
        <v>1257</v>
      </c>
      <c r="E785" s="3" t="s">
        <v>1258</v>
      </c>
      <c r="F785" s="3">
        <f>VLOOKUP(Table1[[#This Row],[Column2]], TAXONOMY_TYPE, 2, FALSE)</f>
        <v>9764</v>
      </c>
      <c r="G785" s="3">
        <v>32</v>
      </c>
      <c r="H785" s="3" t="s">
        <v>1444</v>
      </c>
      <c r="I785" s="3">
        <f>VLOOKUP(Table1[[#This Row],[Provider Type]] &amp; Table1[[#This Row],[Provider Type Description]], PROVIDER_TYPE, 2, FALSE)</f>
        <v>50</v>
      </c>
      <c r="J785" s="3">
        <v>333</v>
      </c>
      <c r="K785" s="3" t="s">
        <v>1057</v>
      </c>
      <c r="L785" s="3">
        <f>VLOOKUP(TRIM(Table1[[#This Row],[Provider Specialty]]) &amp; TRIM(Table1[[#This Row],[Provider Specialty Description]]), SPECIALTY_TYPE, 2, FALSE)</f>
        <v>2093</v>
      </c>
      <c r="M785" s="3" t="s">
        <v>18</v>
      </c>
      <c r="N785" s="27" t="s">
        <v>19</v>
      </c>
      <c r="O785" s="38">
        <f>VLOOKUP(TRIM(Table1[[#This Row],[Provider Specialty]]) &amp; TRIM(Table1[[#This Row],[Provider Specialty Description]]), SPECIALTY_TYPE, 2, FALSE)</f>
        <v>2093</v>
      </c>
      <c r="P785" s="3" t="str">
        <f>Table1[[#This Row],[Provider Type]] &amp; "+" &amp; Table1[[#This Row],[Provider Type Description]]</f>
        <v>32+Multi-Specialty</v>
      </c>
      <c r="Q785" s="7" t="str">
        <f>Table1[[#This Row],[Provider Specialty]] &amp; "+" &amp; Table1[[#This Row],[Provider Specialty Description]]</f>
        <v>333+Pathologist</v>
      </c>
      <c r="R785" s="7" t="str">
        <f>Table1[[#This Row],[PDMS Specialty Type ID]] &amp; "+" &amp; Table1[[#This Row],[PDMS Provider Type ID]] &amp; "+" &amp;Table1[[#This Row],[TAXONOMY]]</f>
        <v>2093+50+207ZP0213X</v>
      </c>
      <c r="S7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(9764, 2093, 50, N'207ZP0213X', N'Pathology - - Pediatric Pathology')</v>
      </c>
    </row>
    <row r="786" spans="1:19" ht="47.25" hidden="1" customHeight="1" x14ac:dyDescent="0.25">
      <c r="A786" s="22" t="s">
        <v>1854</v>
      </c>
      <c r="B786" s="3" t="s">
        <v>988</v>
      </c>
      <c r="C786" s="3" t="s">
        <v>1036</v>
      </c>
      <c r="D786" s="3" t="s">
        <v>1257</v>
      </c>
      <c r="E786" s="3" t="s">
        <v>1258</v>
      </c>
      <c r="F786" s="3">
        <f>VLOOKUP(Table1[[#This Row],[Column2]], TAXONOMY_TYPE, 2, FALSE)</f>
        <v>9765</v>
      </c>
      <c r="G786" s="3">
        <v>33</v>
      </c>
      <c r="H786" s="3" t="s">
        <v>1953</v>
      </c>
      <c r="I786" s="3">
        <f>VLOOKUP(Table1[[#This Row],[Provider Type]] &amp; Table1[[#This Row],[Provider Type Description]], PROVIDER_TYPE, 2, FALSE)</f>
        <v>51</v>
      </c>
      <c r="J786" s="3">
        <v>333</v>
      </c>
      <c r="K786" s="3" t="s">
        <v>1057</v>
      </c>
      <c r="L786" s="3">
        <f>VLOOKUP(TRIM(Table1[[#This Row],[Provider Specialty]]) &amp; TRIM(Table1[[#This Row],[Provider Specialty Description]]), SPECIALTY_TYPE, 2, FALSE)</f>
        <v>2093</v>
      </c>
      <c r="M786" s="3" t="s">
        <v>18</v>
      </c>
      <c r="N786" s="27" t="s">
        <v>19</v>
      </c>
      <c r="O786" s="38">
        <f>VLOOKUP(TRIM(Table1[[#This Row],[Provider Specialty]]) &amp; TRIM(Table1[[#This Row],[Provider Specialty Description]]), SPECIALTY_TYPE, 2, FALSE)</f>
        <v>2093</v>
      </c>
      <c r="P786" s="3" t="str">
        <f>Table1[[#This Row],[Provider Type]] &amp; "+" &amp; Table1[[#This Row],[Provider Type Description]]</f>
        <v>33+Single-Specialty</v>
      </c>
      <c r="Q786" s="7" t="str">
        <f>Table1[[#This Row],[Provider Specialty]] &amp; "+" &amp; Table1[[#This Row],[Provider Specialty Description]]</f>
        <v>333+Pathologist</v>
      </c>
      <c r="R786" s="7" t="str">
        <f>Table1[[#This Row],[PDMS Specialty Type ID]] &amp; "+" &amp; Table1[[#This Row],[PDMS Provider Type ID]] &amp; "+" &amp;Table1[[#This Row],[TAXONOMY]]</f>
        <v>2093+51+207ZP0213X</v>
      </c>
      <c r="S7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(9765, 2093, 51, N'207ZP0213X', N'Pathology - - Pediatric Pathology')</v>
      </c>
    </row>
    <row r="787" spans="1:19" ht="47.25" hidden="1" customHeight="1" x14ac:dyDescent="0.25">
      <c r="A787" s="22" t="s">
        <v>1855</v>
      </c>
      <c r="B787" s="3" t="s">
        <v>988</v>
      </c>
      <c r="C787" s="3" t="s">
        <v>1048</v>
      </c>
      <c r="D787" s="3" t="s">
        <v>1049</v>
      </c>
      <c r="E787" s="3" t="s">
        <v>1050</v>
      </c>
      <c r="F787" s="3">
        <f>VLOOKUP(Table1[[#This Row],[Column2]], TAXONOMY_TYPE, 2, FALSE)</f>
        <v>9766</v>
      </c>
      <c r="G787" s="3">
        <v>31</v>
      </c>
      <c r="H787" s="3" t="s">
        <v>991</v>
      </c>
      <c r="I787" s="3">
        <f>VLOOKUP(Table1[[#This Row],[Provider Type]] &amp; Table1[[#This Row],[Provider Type Description]], PROVIDER_TYPE, 2, FALSE)</f>
        <v>114</v>
      </c>
      <c r="J787" s="3">
        <v>334</v>
      </c>
      <c r="K787" s="3" t="s">
        <v>1051</v>
      </c>
      <c r="L787" s="3">
        <f>VLOOKUP(TRIM(Table1[[#This Row],[Provider Specialty]]) &amp; TRIM(Table1[[#This Row],[Provider Specialty Description]]), SPECIALTY_TYPE, 2, FALSE)</f>
        <v>2094</v>
      </c>
      <c r="M787" s="3" t="s">
        <v>18</v>
      </c>
      <c r="N787" s="27" t="s">
        <v>19</v>
      </c>
      <c r="O787" s="38">
        <f>VLOOKUP(TRIM(Table1[[#This Row],[Provider Specialty]]) &amp; TRIM(Table1[[#This Row],[Provider Specialty Description]]), SPECIALTY_TYPE, 2, FALSE)</f>
        <v>2094</v>
      </c>
      <c r="P787" s="3" t="str">
        <f>Table1[[#This Row],[Provider Type]] &amp; "+" &amp; Table1[[#This Row],[Provider Type Description]]</f>
        <v>31+Physician</v>
      </c>
      <c r="Q787" s="7" t="str">
        <f>Table1[[#This Row],[Provider Specialty]] &amp; "+" &amp; Table1[[#This Row],[Provider Specialty Description]]</f>
        <v>334+Pediatric Surgeon</v>
      </c>
      <c r="R787" s="7" t="str">
        <f>Table1[[#This Row],[PDMS Specialty Type ID]] &amp; "+" &amp; Table1[[#This Row],[PDMS Provider Type ID]] &amp; "+" &amp;Table1[[#This Row],[TAXONOMY]]</f>
        <v>2094+114+2086S0120X</v>
      </c>
      <c r="S7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(9766, 2094, 114, N'2086S0120X', N'Surgery - Pediatric Surgery')</v>
      </c>
    </row>
    <row r="788" spans="1:19" ht="47.25" hidden="1" customHeight="1" x14ac:dyDescent="0.25">
      <c r="A788" s="22" t="s">
        <v>1854</v>
      </c>
      <c r="B788" s="3" t="s">
        <v>988</v>
      </c>
      <c r="C788" s="3" t="s">
        <v>1048</v>
      </c>
      <c r="D788" s="3" t="s">
        <v>1049</v>
      </c>
      <c r="E788" s="3" t="s">
        <v>1050</v>
      </c>
      <c r="F788" s="3">
        <f>VLOOKUP(Table1[[#This Row],[Column2]], TAXONOMY_TYPE, 2, FALSE)</f>
        <v>9767</v>
      </c>
      <c r="G788" s="3">
        <v>32</v>
      </c>
      <c r="H788" s="3" t="s">
        <v>1444</v>
      </c>
      <c r="I788" s="3">
        <f>VLOOKUP(Table1[[#This Row],[Provider Type]] &amp; Table1[[#This Row],[Provider Type Description]], PROVIDER_TYPE, 2, FALSE)</f>
        <v>50</v>
      </c>
      <c r="J788" s="3">
        <v>334</v>
      </c>
      <c r="K788" s="3" t="s">
        <v>1051</v>
      </c>
      <c r="L788" s="3">
        <f>VLOOKUP(TRIM(Table1[[#This Row],[Provider Specialty]]) &amp; TRIM(Table1[[#This Row],[Provider Specialty Description]]), SPECIALTY_TYPE, 2, FALSE)</f>
        <v>2094</v>
      </c>
      <c r="M788" s="3" t="s">
        <v>18</v>
      </c>
      <c r="N788" s="27" t="s">
        <v>19</v>
      </c>
      <c r="O788" s="38">
        <f>VLOOKUP(TRIM(Table1[[#This Row],[Provider Specialty]]) &amp; TRIM(Table1[[#This Row],[Provider Specialty Description]]), SPECIALTY_TYPE, 2, FALSE)</f>
        <v>2094</v>
      </c>
      <c r="P788" s="3" t="str">
        <f>Table1[[#This Row],[Provider Type]] &amp; "+" &amp; Table1[[#This Row],[Provider Type Description]]</f>
        <v>32+Multi-Specialty</v>
      </c>
      <c r="Q788" s="7" t="str">
        <f>Table1[[#This Row],[Provider Specialty]] &amp; "+" &amp; Table1[[#This Row],[Provider Specialty Description]]</f>
        <v>334+Pediatric Surgeon</v>
      </c>
      <c r="R788" s="7" t="str">
        <f>Table1[[#This Row],[PDMS Specialty Type ID]] &amp; "+" &amp; Table1[[#This Row],[PDMS Provider Type ID]] &amp; "+" &amp;Table1[[#This Row],[TAXONOMY]]</f>
        <v>2094+50+2086S0120X</v>
      </c>
      <c r="S7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(9767, 2094, 50, N'2086S0120X', N'Surgery - Pediatric Surgery')</v>
      </c>
    </row>
    <row r="789" spans="1:19" ht="47.25" hidden="1" customHeight="1" x14ac:dyDescent="0.25">
      <c r="A789" s="22" t="s">
        <v>1854</v>
      </c>
      <c r="B789" s="3" t="s">
        <v>988</v>
      </c>
      <c r="C789" s="3" t="s">
        <v>1048</v>
      </c>
      <c r="D789" s="3" t="s">
        <v>1049</v>
      </c>
      <c r="E789" s="3" t="s">
        <v>1050</v>
      </c>
      <c r="F789" s="3">
        <f>VLOOKUP(Table1[[#This Row],[Column2]], TAXONOMY_TYPE, 2, FALSE)</f>
        <v>9768</v>
      </c>
      <c r="G789" s="3">
        <v>33</v>
      </c>
      <c r="H789" s="3" t="s">
        <v>1953</v>
      </c>
      <c r="I789" s="3">
        <f>VLOOKUP(Table1[[#This Row],[Provider Type]] &amp; Table1[[#This Row],[Provider Type Description]], PROVIDER_TYPE, 2, FALSE)</f>
        <v>51</v>
      </c>
      <c r="J789" s="3">
        <v>334</v>
      </c>
      <c r="K789" s="3" t="s">
        <v>1051</v>
      </c>
      <c r="L789" s="3">
        <f>VLOOKUP(TRIM(Table1[[#This Row],[Provider Specialty]]) &amp; TRIM(Table1[[#This Row],[Provider Specialty Description]]), SPECIALTY_TYPE, 2, FALSE)</f>
        <v>2094</v>
      </c>
      <c r="M789" s="3" t="s">
        <v>18</v>
      </c>
      <c r="N789" s="27" t="s">
        <v>19</v>
      </c>
      <c r="O789" s="38">
        <f>VLOOKUP(TRIM(Table1[[#This Row],[Provider Specialty]]) &amp; TRIM(Table1[[#This Row],[Provider Specialty Description]]), SPECIALTY_TYPE, 2, FALSE)</f>
        <v>2094</v>
      </c>
      <c r="P789" s="3" t="str">
        <f>Table1[[#This Row],[Provider Type]] &amp; "+" &amp; Table1[[#This Row],[Provider Type Description]]</f>
        <v>33+Single-Specialty</v>
      </c>
      <c r="Q789" s="7" t="str">
        <f>Table1[[#This Row],[Provider Specialty]] &amp; "+" &amp; Table1[[#This Row],[Provider Specialty Description]]</f>
        <v>334+Pediatric Surgeon</v>
      </c>
      <c r="R789" s="7" t="str">
        <f>Table1[[#This Row],[PDMS Specialty Type ID]] &amp; "+" &amp; Table1[[#This Row],[PDMS Provider Type ID]] &amp; "+" &amp;Table1[[#This Row],[TAXONOMY]]</f>
        <v>2094+51+2086S0120X</v>
      </c>
      <c r="S7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(9768, 2094, 51, N'2086S0120X', N'Surgery - Pediatric Surgery')</v>
      </c>
    </row>
    <row r="790" spans="1:19" ht="47.25" hidden="1" customHeight="1" x14ac:dyDescent="0.25">
      <c r="A790" s="22" t="s">
        <v>1855</v>
      </c>
      <c r="B790" s="3" t="s">
        <v>988</v>
      </c>
      <c r="C790" s="3" t="s">
        <v>1032</v>
      </c>
      <c r="D790" s="3" t="s">
        <v>1033</v>
      </c>
      <c r="E790" s="3" t="s">
        <v>1034</v>
      </c>
      <c r="F790" s="3">
        <f>VLOOKUP(Table1[[#This Row],[Column2]], TAXONOMY_TYPE, 2, FALSE)</f>
        <v>9769</v>
      </c>
      <c r="G790" s="3">
        <v>31</v>
      </c>
      <c r="H790" s="3" t="s">
        <v>991</v>
      </c>
      <c r="I790" s="3">
        <f>VLOOKUP(Table1[[#This Row],[Provider Type]] &amp; Table1[[#This Row],[Provider Type Description]], PROVIDER_TYPE, 2, FALSE)</f>
        <v>114</v>
      </c>
      <c r="J790" s="3">
        <v>335</v>
      </c>
      <c r="K790" s="3" t="s">
        <v>1035</v>
      </c>
      <c r="L790" s="3">
        <f>VLOOKUP(TRIM(Table1[[#This Row],[Provider Specialty]]) &amp; TRIM(Table1[[#This Row],[Provider Specialty Description]]), SPECIALTY_TYPE, 2, FALSE)</f>
        <v>2095</v>
      </c>
      <c r="M790" s="3" t="s">
        <v>18</v>
      </c>
      <c r="N790" s="27" t="s">
        <v>19</v>
      </c>
      <c r="O790" s="38">
        <f>VLOOKUP(TRIM(Table1[[#This Row],[Provider Specialty]]) &amp; TRIM(Table1[[#This Row],[Provider Specialty Description]]), SPECIALTY_TYPE, 2, FALSE)</f>
        <v>2095</v>
      </c>
      <c r="P790" s="3" t="str">
        <f>Table1[[#This Row],[Provider Type]] &amp; "+" &amp; Table1[[#This Row],[Provider Type Description]]</f>
        <v>31+Physician</v>
      </c>
      <c r="Q790" s="7" t="str">
        <f>Table1[[#This Row],[Provider Specialty]] &amp; "+" &amp; Table1[[#This Row],[Provider Specialty Description]]</f>
        <v>335+Maternal Fetal Medicine</v>
      </c>
      <c r="R790" s="7" t="str">
        <f>Table1[[#This Row],[PDMS Specialty Type ID]] &amp; "+" &amp; Table1[[#This Row],[PDMS Provider Type ID]] &amp; "+" &amp;Table1[[#This Row],[TAXONOMY]]</f>
        <v>2095+114+207VM0101X</v>
      </c>
      <c r="S7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(9769, 2095, 114, N'207VM0101X', N'Obstetrics &amp; Gynecology - Maternal &amp; Fetal Medicine')</v>
      </c>
    </row>
    <row r="791" spans="1:19" ht="47.25" hidden="1" customHeight="1" x14ac:dyDescent="0.25">
      <c r="A791" s="22" t="s">
        <v>1854</v>
      </c>
      <c r="B791" s="3" t="s">
        <v>988</v>
      </c>
      <c r="C791" s="3" t="s">
        <v>1032</v>
      </c>
      <c r="D791" s="3" t="s">
        <v>1033</v>
      </c>
      <c r="E791" s="3" t="s">
        <v>1034</v>
      </c>
      <c r="F791" s="3">
        <f>VLOOKUP(Table1[[#This Row],[Column2]], TAXONOMY_TYPE, 2, FALSE)</f>
        <v>9770</v>
      </c>
      <c r="G791" s="3">
        <v>32</v>
      </c>
      <c r="H791" s="3" t="s">
        <v>1444</v>
      </c>
      <c r="I791" s="3">
        <f>VLOOKUP(Table1[[#This Row],[Provider Type]] &amp; Table1[[#This Row],[Provider Type Description]], PROVIDER_TYPE, 2, FALSE)</f>
        <v>50</v>
      </c>
      <c r="J791" s="3">
        <v>335</v>
      </c>
      <c r="K791" s="3" t="s">
        <v>1035</v>
      </c>
      <c r="L791" s="3">
        <f>VLOOKUP(TRIM(Table1[[#This Row],[Provider Specialty]]) &amp; TRIM(Table1[[#This Row],[Provider Specialty Description]]), SPECIALTY_TYPE, 2, FALSE)</f>
        <v>2095</v>
      </c>
      <c r="M791" s="3" t="s">
        <v>18</v>
      </c>
      <c r="N791" s="27" t="s">
        <v>19</v>
      </c>
      <c r="O791" s="38">
        <f>VLOOKUP(TRIM(Table1[[#This Row],[Provider Specialty]]) &amp; TRIM(Table1[[#This Row],[Provider Specialty Description]]), SPECIALTY_TYPE, 2, FALSE)</f>
        <v>2095</v>
      </c>
      <c r="P791" s="3" t="str">
        <f>Table1[[#This Row],[Provider Type]] &amp; "+" &amp; Table1[[#This Row],[Provider Type Description]]</f>
        <v>32+Multi-Specialty</v>
      </c>
      <c r="Q791" s="7" t="str">
        <f>Table1[[#This Row],[Provider Specialty]] &amp; "+" &amp; Table1[[#This Row],[Provider Specialty Description]]</f>
        <v>335+Maternal Fetal Medicine</v>
      </c>
      <c r="R791" s="7" t="str">
        <f>Table1[[#This Row],[PDMS Specialty Type ID]] &amp; "+" &amp; Table1[[#This Row],[PDMS Provider Type ID]] &amp; "+" &amp;Table1[[#This Row],[TAXONOMY]]</f>
        <v>2095+50+207VM0101X</v>
      </c>
      <c r="S7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(9770, 2095, 50, N'207VM0101X', N'Obstetrics &amp; Gynecology - Maternal &amp; Fetal Medicine')</v>
      </c>
    </row>
    <row r="792" spans="1:19" ht="47.25" hidden="1" customHeight="1" x14ac:dyDescent="0.25">
      <c r="A792" s="22" t="s">
        <v>1854</v>
      </c>
      <c r="B792" s="3" t="s">
        <v>988</v>
      </c>
      <c r="C792" s="3" t="s">
        <v>1032</v>
      </c>
      <c r="D792" s="3" t="s">
        <v>1033</v>
      </c>
      <c r="E792" s="3" t="s">
        <v>1034</v>
      </c>
      <c r="F792" s="3">
        <f>VLOOKUP(Table1[[#This Row],[Column2]], TAXONOMY_TYPE, 2, FALSE)</f>
        <v>9771</v>
      </c>
      <c r="G792" s="3">
        <v>33</v>
      </c>
      <c r="H792" s="3" t="s">
        <v>1953</v>
      </c>
      <c r="I792" s="3">
        <f>VLOOKUP(Table1[[#This Row],[Provider Type]] &amp; Table1[[#This Row],[Provider Type Description]], PROVIDER_TYPE, 2, FALSE)</f>
        <v>51</v>
      </c>
      <c r="J792" s="3">
        <v>335</v>
      </c>
      <c r="K792" s="3" t="s">
        <v>1035</v>
      </c>
      <c r="L792" s="3">
        <f>VLOOKUP(TRIM(Table1[[#This Row],[Provider Specialty]]) &amp; TRIM(Table1[[#This Row],[Provider Specialty Description]]), SPECIALTY_TYPE, 2, FALSE)</f>
        <v>2095</v>
      </c>
      <c r="M792" s="3" t="s">
        <v>18</v>
      </c>
      <c r="N792" s="27" t="s">
        <v>19</v>
      </c>
      <c r="O792" s="38">
        <f>VLOOKUP(TRIM(Table1[[#This Row],[Provider Specialty]]) &amp; TRIM(Table1[[#This Row],[Provider Specialty Description]]), SPECIALTY_TYPE, 2, FALSE)</f>
        <v>2095</v>
      </c>
      <c r="P792" s="3" t="str">
        <f>Table1[[#This Row],[Provider Type]] &amp; "+" &amp; Table1[[#This Row],[Provider Type Description]]</f>
        <v>33+Single-Specialty</v>
      </c>
      <c r="Q792" s="7" t="str">
        <f>Table1[[#This Row],[Provider Specialty]] &amp; "+" &amp; Table1[[#This Row],[Provider Specialty Description]]</f>
        <v>335+Maternal Fetal Medicine</v>
      </c>
      <c r="R792" s="7" t="str">
        <f>Table1[[#This Row],[PDMS Specialty Type ID]] &amp; "+" &amp; Table1[[#This Row],[PDMS Provider Type ID]] &amp; "+" &amp;Table1[[#This Row],[TAXONOMY]]</f>
        <v>2095+51+207VM0101X</v>
      </c>
      <c r="S7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(9771, 2095, 51, N'207VM0101X', N'Obstetrics &amp; Gynecology - Maternal &amp; Fetal Medicine')</v>
      </c>
    </row>
    <row r="793" spans="1:19" ht="47.25" hidden="1" customHeight="1" x14ac:dyDescent="0.25">
      <c r="A793" s="22" t="s">
        <v>1855</v>
      </c>
      <c r="B793" s="3" t="s">
        <v>988</v>
      </c>
      <c r="C793" s="3" t="s">
        <v>1301</v>
      </c>
      <c r="D793" s="3" t="s">
        <v>1301</v>
      </c>
      <c r="E793" s="3" t="s">
        <v>1302</v>
      </c>
      <c r="F793" s="3">
        <f>VLOOKUP(Table1[[#This Row],[Column2]], TAXONOMY_TYPE, 2, FALSE)</f>
        <v>9772</v>
      </c>
      <c r="G793" s="3">
        <v>31</v>
      </c>
      <c r="H793" s="3" t="s">
        <v>991</v>
      </c>
      <c r="I793" s="3">
        <f>VLOOKUP(Table1[[#This Row],[Provider Type]] &amp; Table1[[#This Row],[Provider Type Description]], PROVIDER_TYPE, 2, FALSE)</f>
        <v>114</v>
      </c>
      <c r="J793" s="3">
        <v>336</v>
      </c>
      <c r="K793" s="3" t="s">
        <v>1303</v>
      </c>
      <c r="L793" s="3">
        <f>VLOOKUP(TRIM(Table1[[#This Row],[Provider Specialty]]) &amp; TRIM(Table1[[#This Row],[Provider Specialty Description]]), SPECIALTY_TYPE, 2, FALSE)</f>
        <v>2096</v>
      </c>
      <c r="M793" s="3" t="s">
        <v>19</v>
      </c>
      <c r="N793" s="27" t="s">
        <v>19</v>
      </c>
      <c r="O793" s="38">
        <f>VLOOKUP(TRIM(Table1[[#This Row],[Provider Specialty]]) &amp; TRIM(Table1[[#This Row],[Provider Specialty Description]]), SPECIALTY_TYPE, 2, FALSE)</f>
        <v>2096</v>
      </c>
      <c r="P793" s="3" t="str">
        <f>Table1[[#This Row],[Provider Type]] &amp; "+" &amp; Table1[[#This Row],[Provider Type Description]]</f>
        <v>31+Physician</v>
      </c>
      <c r="Q793" s="7" t="str">
        <f>Table1[[#This Row],[Provider Specialty]] &amp; "+" &amp; Table1[[#This Row],[Provider Specialty Description]]</f>
        <v>336+Physical Medicine and Rehabilitation Practitioner</v>
      </c>
      <c r="R793" s="7" t="str">
        <f>Table1[[#This Row],[PDMS Specialty Type ID]] &amp; "+" &amp; Table1[[#This Row],[PDMS Provider Type ID]] &amp; "+" &amp;Table1[[#This Row],[TAXONOMY]]</f>
        <v>2096+114+208100000X</v>
      </c>
      <c r="S7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(9772, 2096, 114, N'208100000X', N'Physical Medicine &amp; Rehabilitation - Physical Medicine &amp; Rehabilitation')</v>
      </c>
    </row>
    <row r="794" spans="1:19" ht="47.25" hidden="1" customHeight="1" x14ac:dyDescent="0.25">
      <c r="A794" s="22" t="s">
        <v>1854</v>
      </c>
      <c r="B794" s="3" t="s">
        <v>988</v>
      </c>
      <c r="C794" s="3" t="s">
        <v>1301</v>
      </c>
      <c r="D794" s="3" t="s">
        <v>1301</v>
      </c>
      <c r="E794" s="3" t="s">
        <v>1302</v>
      </c>
      <c r="F794" s="3">
        <f>VLOOKUP(Table1[[#This Row],[Column2]], TAXONOMY_TYPE, 2, FALSE)</f>
        <v>9773</v>
      </c>
      <c r="G794" s="3">
        <v>32</v>
      </c>
      <c r="H794" s="3" t="s">
        <v>1444</v>
      </c>
      <c r="I794" s="3">
        <f>VLOOKUP(Table1[[#This Row],[Provider Type]] &amp; Table1[[#This Row],[Provider Type Description]], PROVIDER_TYPE, 2, FALSE)</f>
        <v>50</v>
      </c>
      <c r="J794" s="3">
        <v>336</v>
      </c>
      <c r="K794" s="3" t="s">
        <v>1303</v>
      </c>
      <c r="L794" s="3">
        <f>VLOOKUP(TRIM(Table1[[#This Row],[Provider Specialty]]) &amp; TRIM(Table1[[#This Row],[Provider Specialty Description]]), SPECIALTY_TYPE, 2, FALSE)</f>
        <v>2096</v>
      </c>
      <c r="M794" s="3" t="s">
        <v>18</v>
      </c>
      <c r="N794" s="27" t="s">
        <v>19</v>
      </c>
      <c r="O794" s="38">
        <f>VLOOKUP(TRIM(Table1[[#This Row],[Provider Specialty]]) &amp; TRIM(Table1[[#This Row],[Provider Specialty Description]]), SPECIALTY_TYPE, 2, FALSE)</f>
        <v>2096</v>
      </c>
      <c r="P794" s="3" t="str">
        <f>Table1[[#This Row],[Provider Type]] &amp; "+" &amp; Table1[[#This Row],[Provider Type Description]]</f>
        <v>32+Multi-Specialty</v>
      </c>
      <c r="Q794" s="7" t="str">
        <f>Table1[[#This Row],[Provider Specialty]] &amp; "+" &amp; Table1[[#This Row],[Provider Specialty Description]]</f>
        <v>336+Physical Medicine and Rehabilitation Practitioner</v>
      </c>
      <c r="R794" s="7" t="str">
        <f>Table1[[#This Row],[PDMS Specialty Type ID]] &amp; "+" &amp; Table1[[#This Row],[PDMS Provider Type ID]] &amp; "+" &amp;Table1[[#This Row],[TAXONOMY]]</f>
        <v>2096+50+208100000X</v>
      </c>
      <c r="S7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(9773, 2096, 50, N'208100000X', N'Physical Medicine &amp; Rehabilitation - Physical Medicine &amp; Rehabilitation')</v>
      </c>
    </row>
    <row r="795" spans="1:19" ht="47.25" hidden="1" customHeight="1" x14ac:dyDescent="0.25">
      <c r="A795" s="22" t="s">
        <v>1854</v>
      </c>
      <c r="B795" s="3" t="s">
        <v>988</v>
      </c>
      <c r="C795" s="3" t="s">
        <v>1301</v>
      </c>
      <c r="D795" s="3" t="s">
        <v>1301</v>
      </c>
      <c r="E795" s="3" t="s">
        <v>1302</v>
      </c>
      <c r="F795" s="3">
        <f>VLOOKUP(Table1[[#This Row],[Column2]], TAXONOMY_TYPE, 2, FALSE)</f>
        <v>9774</v>
      </c>
      <c r="G795" s="3">
        <v>33</v>
      </c>
      <c r="H795" s="3" t="s">
        <v>1953</v>
      </c>
      <c r="I795" s="3">
        <f>VLOOKUP(Table1[[#This Row],[Provider Type]] &amp; Table1[[#This Row],[Provider Type Description]], PROVIDER_TYPE, 2, FALSE)</f>
        <v>51</v>
      </c>
      <c r="J795" s="3">
        <v>336</v>
      </c>
      <c r="K795" s="3" t="s">
        <v>1303</v>
      </c>
      <c r="L795" s="3">
        <f>VLOOKUP(TRIM(Table1[[#This Row],[Provider Specialty]]) &amp; TRIM(Table1[[#This Row],[Provider Specialty Description]]), SPECIALTY_TYPE, 2, FALSE)</f>
        <v>2096</v>
      </c>
      <c r="M795" s="3" t="s">
        <v>18</v>
      </c>
      <c r="N795" s="27" t="s">
        <v>19</v>
      </c>
      <c r="O795" s="38">
        <f>VLOOKUP(TRIM(Table1[[#This Row],[Provider Specialty]]) &amp; TRIM(Table1[[#This Row],[Provider Specialty Description]]), SPECIALTY_TYPE, 2, FALSE)</f>
        <v>2096</v>
      </c>
      <c r="P795" s="3" t="str">
        <f>Table1[[#This Row],[Provider Type]] &amp; "+" &amp; Table1[[#This Row],[Provider Type Description]]</f>
        <v>33+Single-Specialty</v>
      </c>
      <c r="Q795" s="7" t="str">
        <f>Table1[[#This Row],[Provider Specialty]] &amp; "+" &amp; Table1[[#This Row],[Provider Specialty Description]]</f>
        <v>336+Physical Medicine and Rehabilitation Practitioner</v>
      </c>
      <c r="R795" s="7" t="str">
        <f>Table1[[#This Row],[PDMS Specialty Type ID]] &amp; "+" &amp; Table1[[#This Row],[PDMS Provider Type ID]] &amp; "+" &amp;Table1[[#This Row],[TAXONOMY]]</f>
        <v>2096+51+208100000X</v>
      </c>
      <c r="S7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(9774, 2096, 51, N'208100000X', N'Physical Medicine &amp; Rehabilitation - Physical Medicine &amp; Rehabilitation')</v>
      </c>
    </row>
    <row r="796" spans="1:19" ht="47.25" hidden="1" customHeight="1" x14ac:dyDescent="0.25">
      <c r="A796" s="22" t="s">
        <v>1855</v>
      </c>
      <c r="B796" s="3" t="s">
        <v>988</v>
      </c>
      <c r="C796" s="3" t="s">
        <v>1301</v>
      </c>
      <c r="D796" s="3" t="s">
        <v>1266</v>
      </c>
      <c r="E796" s="3" t="s">
        <v>1304</v>
      </c>
      <c r="F796" s="3">
        <f>VLOOKUP(Table1[[#This Row],[Column2]], TAXONOMY_TYPE, 2, FALSE)</f>
        <v>9775</v>
      </c>
      <c r="G796" s="3">
        <v>31</v>
      </c>
      <c r="H796" s="3" t="s">
        <v>991</v>
      </c>
      <c r="I796" s="3">
        <f>VLOOKUP(Table1[[#This Row],[Provider Type]] &amp; Table1[[#This Row],[Provider Type Description]], PROVIDER_TYPE, 2, FALSE)</f>
        <v>114</v>
      </c>
      <c r="J796" s="3">
        <v>336</v>
      </c>
      <c r="K796" s="3" t="s">
        <v>1303</v>
      </c>
      <c r="L796" s="3">
        <f>VLOOKUP(TRIM(Table1[[#This Row],[Provider Specialty]]) &amp; TRIM(Table1[[#This Row],[Provider Specialty Description]]), SPECIALTY_TYPE, 2, FALSE)</f>
        <v>2096</v>
      </c>
      <c r="M796" s="3" t="s">
        <v>19</v>
      </c>
      <c r="N796" s="27" t="s">
        <v>19</v>
      </c>
      <c r="O796" s="38">
        <f>VLOOKUP(TRIM(Table1[[#This Row],[Provider Specialty]]) &amp; TRIM(Table1[[#This Row],[Provider Specialty Description]]), SPECIALTY_TYPE, 2, FALSE)</f>
        <v>2096</v>
      </c>
      <c r="P796" s="3" t="str">
        <f>Table1[[#This Row],[Provider Type]] &amp; "+" &amp; Table1[[#This Row],[Provider Type Description]]</f>
        <v>31+Physician</v>
      </c>
      <c r="Q796" s="7" t="str">
        <f>Table1[[#This Row],[Provider Specialty]] &amp; "+" &amp; Table1[[#This Row],[Provider Specialty Description]]</f>
        <v>336+Physical Medicine and Rehabilitation Practitioner</v>
      </c>
      <c r="R796" s="7" t="str">
        <f>Table1[[#This Row],[PDMS Specialty Type ID]] &amp; "+" &amp; Table1[[#This Row],[PDMS Provider Type ID]] &amp; "+" &amp;Table1[[#This Row],[TAXONOMY]]</f>
        <v>2096+114+2081H0002X</v>
      </c>
      <c r="S7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(9775, 2096, 114, N'2081H0002X', N'Physical Medicine &amp; Rehabilitation - Hospice and Palliative Medicine**')</v>
      </c>
    </row>
    <row r="797" spans="1:19" ht="47.25" hidden="1" customHeight="1" x14ac:dyDescent="0.25">
      <c r="A797" s="22" t="s">
        <v>1854</v>
      </c>
      <c r="B797" s="3" t="s">
        <v>988</v>
      </c>
      <c r="C797" s="3" t="s">
        <v>1301</v>
      </c>
      <c r="D797" s="3" t="s">
        <v>1266</v>
      </c>
      <c r="E797" s="3" t="s">
        <v>1304</v>
      </c>
      <c r="F797" s="3">
        <f>VLOOKUP(Table1[[#This Row],[Column2]], TAXONOMY_TYPE, 2, FALSE)</f>
        <v>9776</v>
      </c>
      <c r="G797" s="3">
        <v>32</v>
      </c>
      <c r="H797" s="3" t="s">
        <v>1444</v>
      </c>
      <c r="I797" s="3">
        <f>VLOOKUP(Table1[[#This Row],[Provider Type]] &amp; Table1[[#This Row],[Provider Type Description]], PROVIDER_TYPE, 2, FALSE)</f>
        <v>50</v>
      </c>
      <c r="J797" s="3">
        <v>336</v>
      </c>
      <c r="K797" s="3" t="s">
        <v>1303</v>
      </c>
      <c r="L797" s="3">
        <f>VLOOKUP(TRIM(Table1[[#This Row],[Provider Specialty]]) &amp; TRIM(Table1[[#This Row],[Provider Specialty Description]]), SPECIALTY_TYPE, 2, FALSE)</f>
        <v>2096</v>
      </c>
      <c r="M797" s="3" t="s">
        <v>18</v>
      </c>
      <c r="N797" s="27" t="s">
        <v>19</v>
      </c>
      <c r="O797" s="38">
        <f>VLOOKUP(TRIM(Table1[[#This Row],[Provider Specialty]]) &amp; TRIM(Table1[[#This Row],[Provider Specialty Description]]), SPECIALTY_TYPE, 2, FALSE)</f>
        <v>2096</v>
      </c>
      <c r="P797" s="3" t="str">
        <f>Table1[[#This Row],[Provider Type]] &amp; "+" &amp; Table1[[#This Row],[Provider Type Description]]</f>
        <v>32+Multi-Specialty</v>
      </c>
      <c r="Q797" s="7" t="str">
        <f>Table1[[#This Row],[Provider Specialty]] &amp; "+" &amp; Table1[[#This Row],[Provider Specialty Description]]</f>
        <v>336+Physical Medicine and Rehabilitation Practitioner</v>
      </c>
      <c r="R797" s="7" t="str">
        <f>Table1[[#This Row],[PDMS Specialty Type ID]] &amp; "+" &amp; Table1[[#This Row],[PDMS Provider Type ID]] &amp; "+" &amp;Table1[[#This Row],[TAXONOMY]]</f>
        <v>2096+50+2081H0002X</v>
      </c>
      <c r="S7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(9776, 2096, 50, N'2081H0002X', N'Physical Medicine &amp; Rehabilitation - Hospice and Palliative Medicine**')</v>
      </c>
    </row>
    <row r="798" spans="1:19" ht="47.25" hidden="1" customHeight="1" x14ac:dyDescent="0.25">
      <c r="A798" s="22" t="s">
        <v>1854</v>
      </c>
      <c r="B798" s="3" t="s">
        <v>988</v>
      </c>
      <c r="C798" s="3" t="s">
        <v>1301</v>
      </c>
      <c r="D798" s="3" t="s">
        <v>1266</v>
      </c>
      <c r="E798" s="3" t="s">
        <v>1304</v>
      </c>
      <c r="F798" s="3">
        <f>VLOOKUP(Table1[[#This Row],[Column2]], TAXONOMY_TYPE, 2, FALSE)</f>
        <v>9777</v>
      </c>
      <c r="G798" s="3">
        <v>33</v>
      </c>
      <c r="H798" s="3" t="s">
        <v>1953</v>
      </c>
      <c r="I798" s="3">
        <f>VLOOKUP(Table1[[#This Row],[Provider Type]] &amp; Table1[[#This Row],[Provider Type Description]], PROVIDER_TYPE, 2, FALSE)</f>
        <v>51</v>
      </c>
      <c r="J798" s="3">
        <v>336</v>
      </c>
      <c r="K798" s="3" t="s">
        <v>1303</v>
      </c>
      <c r="L798" s="3">
        <f>VLOOKUP(TRIM(Table1[[#This Row],[Provider Specialty]]) &amp; TRIM(Table1[[#This Row],[Provider Specialty Description]]), SPECIALTY_TYPE, 2, FALSE)</f>
        <v>2096</v>
      </c>
      <c r="M798" s="3" t="s">
        <v>18</v>
      </c>
      <c r="N798" s="27" t="s">
        <v>19</v>
      </c>
      <c r="O798" s="38">
        <f>VLOOKUP(TRIM(Table1[[#This Row],[Provider Specialty]]) &amp; TRIM(Table1[[#This Row],[Provider Specialty Description]]), SPECIALTY_TYPE, 2, FALSE)</f>
        <v>2096</v>
      </c>
      <c r="P798" s="3" t="str">
        <f>Table1[[#This Row],[Provider Type]] &amp; "+" &amp; Table1[[#This Row],[Provider Type Description]]</f>
        <v>33+Single-Specialty</v>
      </c>
      <c r="Q798" s="7" t="str">
        <f>Table1[[#This Row],[Provider Specialty]] &amp; "+" &amp; Table1[[#This Row],[Provider Specialty Description]]</f>
        <v>336+Physical Medicine and Rehabilitation Practitioner</v>
      </c>
      <c r="R798" s="7" t="str">
        <f>Table1[[#This Row],[PDMS Specialty Type ID]] &amp; "+" &amp; Table1[[#This Row],[PDMS Provider Type ID]] &amp; "+" &amp;Table1[[#This Row],[TAXONOMY]]</f>
        <v>2096+51+2081H0002X</v>
      </c>
      <c r="S7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(9777, 2096, 51, N'2081H0002X', N'Physical Medicine &amp; Rehabilitation - Hospice and Palliative Medicine**')</v>
      </c>
    </row>
    <row r="799" spans="1:19" ht="47.25" hidden="1" customHeight="1" x14ac:dyDescent="0.25">
      <c r="A799" s="22" t="s">
        <v>1855</v>
      </c>
      <c r="B799" s="3" t="s">
        <v>988</v>
      </c>
      <c r="C799" s="3" t="s">
        <v>1301</v>
      </c>
      <c r="D799" s="3" t="s">
        <v>1305</v>
      </c>
      <c r="E799" s="3" t="s">
        <v>1306</v>
      </c>
      <c r="F799" s="3">
        <f>VLOOKUP(Table1[[#This Row],[Column2]], TAXONOMY_TYPE, 2, FALSE)</f>
        <v>9778</v>
      </c>
      <c r="G799" s="3">
        <v>31</v>
      </c>
      <c r="H799" s="3" t="s">
        <v>991</v>
      </c>
      <c r="I799" s="3">
        <f>VLOOKUP(Table1[[#This Row],[Provider Type]] &amp; Table1[[#This Row],[Provider Type Description]], PROVIDER_TYPE, 2, FALSE)</f>
        <v>114</v>
      </c>
      <c r="J799" s="3">
        <v>336</v>
      </c>
      <c r="K799" s="3" t="s">
        <v>1303</v>
      </c>
      <c r="L799" s="3">
        <f>VLOOKUP(TRIM(Table1[[#This Row],[Provider Specialty]]) &amp; TRIM(Table1[[#This Row],[Provider Specialty Description]]), SPECIALTY_TYPE, 2, FALSE)</f>
        <v>2096</v>
      </c>
      <c r="M799" s="3" t="s">
        <v>19</v>
      </c>
      <c r="N799" s="27" t="s">
        <v>18</v>
      </c>
      <c r="O799" s="38">
        <f>VLOOKUP(TRIM(Table1[[#This Row],[Provider Specialty]]) &amp; TRIM(Table1[[#This Row],[Provider Specialty Description]]), SPECIALTY_TYPE, 2, FALSE)</f>
        <v>2096</v>
      </c>
      <c r="P799" s="3" t="str">
        <f>Table1[[#This Row],[Provider Type]] &amp; "+" &amp; Table1[[#This Row],[Provider Type Description]]</f>
        <v>31+Physician</v>
      </c>
      <c r="Q799" s="7" t="str">
        <f>Table1[[#This Row],[Provider Specialty]] &amp; "+" &amp; Table1[[#This Row],[Provider Specialty Description]]</f>
        <v>336+Physical Medicine and Rehabilitation Practitioner</v>
      </c>
      <c r="R799" s="7" t="str">
        <f>Table1[[#This Row],[PDMS Specialty Type ID]] &amp; "+" &amp; Table1[[#This Row],[PDMS Provider Type ID]] &amp; "+" &amp;Table1[[#This Row],[TAXONOMY]]</f>
        <v>2096+114+2081N0008X</v>
      </c>
      <c r="S7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(9778, 2096, 114, N'2081N0008X', N'Physical Medicine &amp; Rehabilitation - Neuromuscular Medicine****')</v>
      </c>
    </row>
    <row r="800" spans="1:19" ht="47.25" hidden="1" customHeight="1" x14ac:dyDescent="0.25">
      <c r="A800" s="22" t="s">
        <v>1854</v>
      </c>
      <c r="B800" s="3" t="s">
        <v>988</v>
      </c>
      <c r="C800" s="3" t="s">
        <v>1301</v>
      </c>
      <c r="D800" s="3" t="s">
        <v>1305</v>
      </c>
      <c r="E800" s="3" t="s">
        <v>1306</v>
      </c>
      <c r="F800" s="3">
        <f>VLOOKUP(Table1[[#This Row],[Column2]], TAXONOMY_TYPE, 2, FALSE)</f>
        <v>9779</v>
      </c>
      <c r="G800" s="3">
        <v>32</v>
      </c>
      <c r="H800" s="3" t="s">
        <v>1444</v>
      </c>
      <c r="I800" s="3">
        <f>VLOOKUP(Table1[[#This Row],[Provider Type]] &amp; Table1[[#This Row],[Provider Type Description]], PROVIDER_TYPE, 2, FALSE)</f>
        <v>50</v>
      </c>
      <c r="J800" s="3">
        <v>336</v>
      </c>
      <c r="K800" s="3" t="s">
        <v>1303</v>
      </c>
      <c r="L800" s="3">
        <f>VLOOKUP(TRIM(Table1[[#This Row],[Provider Specialty]]) &amp; TRIM(Table1[[#This Row],[Provider Specialty Description]]), SPECIALTY_TYPE, 2, FALSE)</f>
        <v>2096</v>
      </c>
      <c r="M800" s="3" t="s">
        <v>18</v>
      </c>
      <c r="N800" s="27" t="s">
        <v>19</v>
      </c>
      <c r="O800" s="38">
        <f>VLOOKUP(TRIM(Table1[[#This Row],[Provider Specialty]]) &amp; TRIM(Table1[[#This Row],[Provider Specialty Description]]), SPECIALTY_TYPE, 2, FALSE)</f>
        <v>2096</v>
      </c>
      <c r="P800" s="3" t="str">
        <f>Table1[[#This Row],[Provider Type]] &amp; "+" &amp; Table1[[#This Row],[Provider Type Description]]</f>
        <v>32+Multi-Specialty</v>
      </c>
      <c r="Q800" s="7" t="str">
        <f>Table1[[#This Row],[Provider Specialty]] &amp; "+" &amp; Table1[[#This Row],[Provider Specialty Description]]</f>
        <v>336+Physical Medicine and Rehabilitation Practitioner</v>
      </c>
      <c r="R800" s="7" t="str">
        <f>Table1[[#This Row],[PDMS Specialty Type ID]] &amp; "+" &amp; Table1[[#This Row],[PDMS Provider Type ID]] &amp; "+" &amp;Table1[[#This Row],[TAXONOMY]]</f>
        <v>2096+50+2081N0008X</v>
      </c>
      <c r="S8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(9779, 2096, 50, N'2081N0008X', N'Physical Medicine &amp; Rehabilitation - Neuromuscular Medicine****')</v>
      </c>
    </row>
    <row r="801" spans="1:19" ht="47.25" hidden="1" customHeight="1" x14ac:dyDescent="0.25">
      <c r="A801" s="22" t="s">
        <v>1854</v>
      </c>
      <c r="B801" s="3" t="s">
        <v>988</v>
      </c>
      <c r="C801" s="3" t="s">
        <v>1301</v>
      </c>
      <c r="D801" s="3" t="s">
        <v>1305</v>
      </c>
      <c r="E801" s="3" t="s">
        <v>1306</v>
      </c>
      <c r="F801" s="3">
        <f>VLOOKUP(Table1[[#This Row],[Column2]], TAXONOMY_TYPE, 2, FALSE)</f>
        <v>9780</v>
      </c>
      <c r="G801" s="3">
        <v>33</v>
      </c>
      <c r="H801" s="3" t="s">
        <v>1953</v>
      </c>
      <c r="I801" s="3">
        <f>VLOOKUP(Table1[[#This Row],[Provider Type]] &amp; Table1[[#This Row],[Provider Type Description]], PROVIDER_TYPE, 2, FALSE)</f>
        <v>51</v>
      </c>
      <c r="J801" s="3">
        <v>336</v>
      </c>
      <c r="K801" s="3" t="s">
        <v>1303</v>
      </c>
      <c r="L801" s="3">
        <f>VLOOKUP(TRIM(Table1[[#This Row],[Provider Specialty]]) &amp; TRIM(Table1[[#This Row],[Provider Specialty Description]]), SPECIALTY_TYPE, 2, FALSE)</f>
        <v>2096</v>
      </c>
      <c r="M801" s="3" t="s">
        <v>18</v>
      </c>
      <c r="N801" s="27" t="s">
        <v>19</v>
      </c>
      <c r="O801" s="38">
        <f>VLOOKUP(TRIM(Table1[[#This Row],[Provider Specialty]]) &amp; TRIM(Table1[[#This Row],[Provider Specialty Description]]), SPECIALTY_TYPE, 2, FALSE)</f>
        <v>2096</v>
      </c>
      <c r="P801" s="3" t="str">
        <f>Table1[[#This Row],[Provider Type]] &amp; "+" &amp; Table1[[#This Row],[Provider Type Description]]</f>
        <v>33+Single-Specialty</v>
      </c>
      <c r="Q801" s="7" t="str">
        <f>Table1[[#This Row],[Provider Specialty]] &amp; "+" &amp; Table1[[#This Row],[Provider Specialty Description]]</f>
        <v>336+Physical Medicine and Rehabilitation Practitioner</v>
      </c>
      <c r="R801" s="7" t="str">
        <f>Table1[[#This Row],[PDMS Specialty Type ID]] &amp; "+" &amp; Table1[[#This Row],[PDMS Provider Type ID]] &amp; "+" &amp;Table1[[#This Row],[TAXONOMY]]</f>
        <v>2096+51+2081N0008X</v>
      </c>
      <c r="S8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(9780, 2096, 51, N'2081N0008X', N'Physical Medicine &amp; Rehabilitation - Neuromuscular Medicine****')</v>
      </c>
    </row>
    <row r="802" spans="1:19" ht="47.25" hidden="1" customHeight="1" x14ac:dyDescent="0.25">
      <c r="A802" s="22" t="s">
        <v>1855</v>
      </c>
      <c r="B802" s="3" t="s">
        <v>988</v>
      </c>
      <c r="C802" s="3" t="s">
        <v>1301</v>
      </c>
      <c r="D802" s="3" t="s">
        <v>1307</v>
      </c>
      <c r="E802" s="3" t="s">
        <v>1308</v>
      </c>
      <c r="F802" s="3">
        <f>VLOOKUP(Table1[[#This Row],[Column2]], TAXONOMY_TYPE, 2, FALSE)</f>
        <v>9781</v>
      </c>
      <c r="G802" s="3">
        <v>31</v>
      </c>
      <c r="H802" s="3" t="s">
        <v>991</v>
      </c>
      <c r="I802" s="3">
        <f>VLOOKUP(Table1[[#This Row],[Provider Type]] &amp; Table1[[#This Row],[Provider Type Description]], PROVIDER_TYPE, 2, FALSE)</f>
        <v>114</v>
      </c>
      <c r="J802" s="3">
        <v>336</v>
      </c>
      <c r="K802" s="3" t="s">
        <v>1303</v>
      </c>
      <c r="L802" s="3">
        <f>VLOOKUP(TRIM(Table1[[#This Row],[Provider Specialty]]) &amp; TRIM(Table1[[#This Row],[Provider Specialty Description]]), SPECIALTY_TYPE, 2, FALSE)</f>
        <v>2096</v>
      </c>
      <c r="M802" s="3" t="s">
        <v>19</v>
      </c>
      <c r="N802" s="27" t="s">
        <v>19</v>
      </c>
      <c r="O802" s="38">
        <f>VLOOKUP(TRIM(Table1[[#This Row],[Provider Specialty]]) &amp; TRIM(Table1[[#This Row],[Provider Specialty Description]]), SPECIALTY_TYPE, 2, FALSE)</f>
        <v>2096</v>
      </c>
      <c r="P802" s="3" t="str">
        <f>Table1[[#This Row],[Provider Type]] &amp; "+" &amp; Table1[[#This Row],[Provider Type Description]]</f>
        <v>31+Physician</v>
      </c>
      <c r="Q802" s="7" t="str">
        <f>Table1[[#This Row],[Provider Specialty]] &amp; "+" &amp; Table1[[#This Row],[Provider Specialty Description]]</f>
        <v>336+Physical Medicine and Rehabilitation Practitioner</v>
      </c>
      <c r="R802" s="7" t="str">
        <f>Table1[[#This Row],[PDMS Specialty Type ID]] &amp; "+" &amp; Table1[[#This Row],[PDMS Provider Type ID]] &amp; "+" &amp;Table1[[#This Row],[TAXONOMY]]</f>
        <v>2096+114+2081P0004X</v>
      </c>
      <c r="S8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(9781, 2096, 114, N'2081P0004X', N'Physical Medicine &amp; Rehabilitation - Spinal Cord Injury Medicine')</v>
      </c>
    </row>
    <row r="803" spans="1:19" ht="47.25" hidden="1" customHeight="1" x14ac:dyDescent="0.25">
      <c r="A803" s="22" t="s">
        <v>1854</v>
      </c>
      <c r="B803" s="3" t="s">
        <v>988</v>
      </c>
      <c r="C803" s="3" t="s">
        <v>1301</v>
      </c>
      <c r="D803" s="3" t="s">
        <v>1307</v>
      </c>
      <c r="E803" s="3" t="s">
        <v>1308</v>
      </c>
      <c r="F803" s="3">
        <f>VLOOKUP(Table1[[#This Row],[Column2]], TAXONOMY_TYPE, 2, FALSE)</f>
        <v>9782</v>
      </c>
      <c r="G803" s="3">
        <v>32</v>
      </c>
      <c r="H803" s="3" t="s">
        <v>1444</v>
      </c>
      <c r="I803" s="3">
        <f>VLOOKUP(Table1[[#This Row],[Provider Type]] &amp; Table1[[#This Row],[Provider Type Description]], PROVIDER_TYPE, 2, FALSE)</f>
        <v>50</v>
      </c>
      <c r="J803" s="3">
        <v>336</v>
      </c>
      <c r="K803" s="3" t="s">
        <v>1303</v>
      </c>
      <c r="L803" s="3">
        <f>VLOOKUP(TRIM(Table1[[#This Row],[Provider Specialty]]) &amp; TRIM(Table1[[#This Row],[Provider Specialty Description]]), SPECIALTY_TYPE, 2, FALSE)</f>
        <v>2096</v>
      </c>
      <c r="M803" s="3" t="s">
        <v>18</v>
      </c>
      <c r="N803" s="27" t="s">
        <v>19</v>
      </c>
      <c r="O803" s="38">
        <f>VLOOKUP(TRIM(Table1[[#This Row],[Provider Specialty]]) &amp; TRIM(Table1[[#This Row],[Provider Specialty Description]]), SPECIALTY_TYPE, 2, FALSE)</f>
        <v>2096</v>
      </c>
      <c r="P803" s="3" t="str">
        <f>Table1[[#This Row],[Provider Type]] &amp; "+" &amp; Table1[[#This Row],[Provider Type Description]]</f>
        <v>32+Multi-Specialty</v>
      </c>
      <c r="Q803" s="7" t="str">
        <f>Table1[[#This Row],[Provider Specialty]] &amp; "+" &amp; Table1[[#This Row],[Provider Specialty Description]]</f>
        <v>336+Physical Medicine and Rehabilitation Practitioner</v>
      </c>
      <c r="R803" s="7" t="str">
        <f>Table1[[#This Row],[PDMS Specialty Type ID]] &amp; "+" &amp; Table1[[#This Row],[PDMS Provider Type ID]] &amp; "+" &amp;Table1[[#This Row],[TAXONOMY]]</f>
        <v>2096+50+2081P0004X</v>
      </c>
      <c r="S8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(9782, 2096, 50, N'2081P0004X', N'Physical Medicine &amp; Rehabilitation - Spinal Cord Injury Medicine')</v>
      </c>
    </row>
    <row r="804" spans="1:19" ht="47.25" hidden="1" customHeight="1" x14ac:dyDescent="0.25">
      <c r="A804" s="22" t="s">
        <v>1854</v>
      </c>
      <c r="B804" s="3" t="s">
        <v>988</v>
      </c>
      <c r="C804" s="3" t="s">
        <v>1301</v>
      </c>
      <c r="D804" s="3" t="s">
        <v>1307</v>
      </c>
      <c r="E804" s="3" t="s">
        <v>1308</v>
      </c>
      <c r="F804" s="3">
        <f>VLOOKUP(Table1[[#This Row],[Column2]], TAXONOMY_TYPE, 2, FALSE)</f>
        <v>9783</v>
      </c>
      <c r="G804" s="3">
        <v>33</v>
      </c>
      <c r="H804" s="3" t="s">
        <v>1953</v>
      </c>
      <c r="I804" s="3">
        <f>VLOOKUP(Table1[[#This Row],[Provider Type]] &amp; Table1[[#This Row],[Provider Type Description]], PROVIDER_TYPE, 2, FALSE)</f>
        <v>51</v>
      </c>
      <c r="J804" s="3">
        <v>336</v>
      </c>
      <c r="K804" s="3" t="s">
        <v>1303</v>
      </c>
      <c r="L804" s="3">
        <f>VLOOKUP(TRIM(Table1[[#This Row],[Provider Specialty]]) &amp; TRIM(Table1[[#This Row],[Provider Specialty Description]]), SPECIALTY_TYPE, 2, FALSE)</f>
        <v>2096</v>
      </c>
      <c r="M804" s="3" t="s">
        <v>18</v>
      </c>
      <c r="N804" s="27" t="s">
        <v>19</v>
      </c>
      <c r="O804" s="38">
        <f>VLOOKUP(TRIM(Table1[[#This Row],[Provider Specialty]]) &amp; TRIM(Table1[[#This Row],[Provider Specialty Description]]), SPECIALTY_TYPE, 2, FALSE)</f>
        <v>2096</v>
      </c>
      <c r="P804" s="3" t="str">
        <f>Table1[[#This Row],[Provider Type]] &amp; "+" &amp; Table1[[#This Row],[Provider Type Description]]</f>
        <v>33+Single-Specialty</v>
      </c>
      <c r="Q804" s="7" t="str">
        <f>Table1[[#This Row],[Provider Specialty]] &amp; "+" &amp; Table1[[#This Row],[Provider Specialty Description]]</f>
        <v>336+Physical Medicine and Rehabilitation Practitioner</v>
      </c>
      <c r="R804" s="7" t="str">
        <f>Table1[[#This Row],[PDMS Specialty Type ID]] &amp; "+" &amp; Table1[[#This Row],[PDMS Provider Type ID]] &amp; "+" &amp;Table1[[#This Row],[TAXONOMY]]</f>
        <v>2096+51+2081P0004X</v>
      </c>
      <c r="S8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(9783, 2096, 51, N'2081P0004X', N'Physical Medicine &amp; Rehabilitation - Spinal Cord Injury Medicine')</v>
      </c>
    </row>
    <row r="805" spans="1:19" ht="47.25" hidden="1" customHeight="1" x14ac:dyDescent="0.25">
      <c r="A805" s="22" t="s">
        <v>1855</v>
      </c>
      <c r="B805" s="3" t="s">
        <v>988</v>
      </c>
      <c r="C805" s="3" t="s">
        <v>1301</v>
      </c>
      <c r="D805" s="3" t="s">
        <v>1309</v>
      </c>
      <c r="E805" s="3" t="s">
        <v>1310</v>
      </c>
      <c r="F805" s="3">
        <f>VLOOKUP(Table1[[#This Row],[Column2]], TAXONOMY_TYPE, 2, FALSE)</f>
        <v>9784</v>
      </c>
      <c r="G805" s="3">
        <v>31</v>
      </c>
      <c r="H805" s="3" t="s">
        <v>991</v>
      </c>
      <c r="I805" s="3">
        <f>VLOOKUP(Table1[[#This Row],[Provider Type]] &amp; Table1[[#This Row],[Provider Type Description]], PROVIDER_TYPE, 2, FALSE)</f>
        <v>114</v>
      </c>
      <c r="J805" s="3">
        <v>336</v>
      </c>
      <c r="K805" s="3" t="s">
        <v>1303</v>
      </c>
      <c r="L805" s="3">
        <f>VLOOKUP(TRIM(Table1[[#This Row],[Provider Specialty]]) &amp; TRIM(Table1[[#This Row],[Provider Specialty Description]]), SPECIALTY_TYPE, 2, FALSE)</f>
        <v>2096</v>
      </c>
      <c r="M805" s="3" t="s">
        <v>19</v>
      </c>
      <c r="N805" s="27" t="s">
        <v>19</v>
      </c>
      <c r="O805" s="38">
        <f>VLOOKUP(TRIM(Table1[[#This Row],[Provider Specialty]]) &amp; TRIM(Table1[[#This Row],[Provider Specialty Description]]), SPECIALTY_TYPE, 2, FALSE)</f>
        <v>2096</v>
      </c>
      <c r="P805" s="3" t="str">
        <f>Table1[[#This Row],[Provider Type]] &amp; "+" &amp; Table1[[#This Row],[Provider Type Description]]</f>
        <v>31+Physician</v>
      </c>
      <c r="Q805" s="7" t="str">
        <f>Table1[[#This Row],[Provider Specialty]] &amp; "+" &amp; Table1[[#This Row],[Provider Specialty Description]]</f>
        <v>336+Physical Medicine and Rehabilitation Practitioner</v>
      </c>
      <c r="R805" s="7" t="str">
        <f>Table1[[#This Row],[PDMS Specialty Type ID]] &amp; "+" &amp; Table1[[#This Row],[PDMS Provider Type ID]] &amp; "+" &amp;Table1[[#This Row],[TAXONOMY]]</f>
        <v>2096+114+2081P0010X</v>
      </c>
      <c r="S8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(9784, 2096, 114, N'2081P0010X', N'Physical Medicine &amp; Rehabilitation - Pediatric Rehabilitation Medicine')</v>
      </c>
    </row>
    <row r="806" spans="1:19" ht="47.25" hidden="1" customHeight="1" x14ac:dyDescent="0.25">
      <c r="A806" s="22" t="s">
        <v>1854</v>
      </c>
      <c r="B806" s="3" t="s">
        <v>988</v>
      </c>
      <c r="C806" s="3" t="s">
        <v>1301</v>
      </c>
      <c r="D806" s="3" t="s">
        <v>1309</v>
      </c>
      <c r="E806" s="3" t="s">
        <v>1310</v>
      </c>
      <c r="F806" s="3">
        <f>VLOOKUP(Table1[[#This Row],[Column2]], TAXONOMY_TYPE, 2, FALSE)</f>
        <v>9785</v>
      </c>
      <c r="G806" s="3">
        <v>32</v>
      </c>
      <c r="H806" s="3" t="s">
        <v>1444</v>
      </c>
      <c r="I806" s="3">
        <f>VLOOKUP(Table1[[#This Row],[Provider Type]] &amp; Table1[[#This Row],[Provider Type Description]], PROVIDER_TYPE, 2, FALSE)</f>
        <v>50</v>
      </c>
      <c r="J806" s="3">
        <v>336</v>
      </c>
      <c r="K806" s="3" t="s">
        <v>1303</v>
      </c>
      <c r="L806" s="3">
        <f>VLOOKUP(TRIM(Table1[[#This Row],[Provider Specialty]]) &amp; TRIM(Table1[[#This Row],[Provider Specialty Description]]), SPECIALTY_TYPE, 2, FALSE)</f>
        <v>2096</v>
      </c>
      <c r="M806" s="3" t="s">
        <v>18</v>
      </c>
      <c r="N806" s="27" t="s">
        <v>19</v>
      </c>
      <c r="O806" s="38">
        <f>VLOOKUP(TRIM(Table1[[#This Row],[Provider Specialty]]) &amp; TRIM(Table1[[#This Row],[Provider Specialty Description]]), SPECIALTY_TYPE, 2, FALSE)</f>
        <v>2096</v>
      </c>
      <c r="P806" s="3" t="str">
        <f>Table1[[#This Row],[Provider Type]] &amp; "+" &amp; Table1[[#This Row],[Provider Type Description]]</f>
        <v>32+Multi-Specialty</v>
      </c>
      <c r="Q806" s="7" t="str">
        <f>Table1[[#This Row],[Provider Specialty]] &amp; "+" &amp; Table1[[#This Row],[Provider Specialty Description]]</f>
        <v>336+Physical Medicine and Rehabilitation Practitioner</v>
      </c>
      <c r="R806" s="7" t="str">
        <f>Table1[[#This Row],[PDMS Specialty Type ID]] &amp; "+" &amp; Table1[[#This Row],[PDMS Provider Type ID]] &amp; "+" &amp;Table1[[#This Row],[TAXONOMY]]</f>
        <v>2096+50+2081P0010X</v>
      </c>
      <c r="S8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(9785, 2096, 50, N'2081P0010X', N'Physical Medicine &amp; Rehabilitation - Pediatric Rehabilitation Medicine')</v>
      </c>
    </row>
    <row r="807" spans="1:19" ht="47.25" hidden="1" customHeight="1" x14ac:dyDescent="0.25">
      <c r="A807" s="22" t="s">
        <v>1854</v>
      </c>
      <c r="B807" s="3" t="s">
        <v>988</v>
      </c>
      <c r="C807" s="3" t="s">
        <v>1301</v>
      </c>
      <c r="D807" s="3" t="s">
        <v>1309</v>
      </c>
      <c r="E807" s="3" t="s">
        <v>1310</v>
      </c>
      <c r="F807" s="3">
        <f>VLOOKUP(Table1[[#This Row],[Column2]], TAXONOMY_TYPE, 2, FALSE)</f>
        <v>9786</v>
      </c>
      <c r="G807" s="3">
        <v>33</v>
      </c>
      <c r="H807" s="3" t="s">
        <v>1953</v>
      </c>
      <c r="I807" s="3">
        <f>VLOOKUP(Table1[[#This Row],[Provider Type]] &amp; Table1[[#This Row],[Provider Type Description]], PROVIDER_TYPE, 2, FALSE)</f>
        <v>51</v>
      </c>
      <c r="J807" s="3">
        <v>336</v>
      </c>
      <c r="K807" s="3" t="s">
        <v>1303</v>
      </c>
      <c r="L807" s="3">
        <f>VLOOKUP(TRIM(Table1[[#This Row],[Provider Specialty]]) &amp; TRIM(Table1[[#This Row],[Provider Specialty Description]]), SPECIALTY_TYPE, 2, FALSE)</f>
        <v>2096</v>
      </c>
      <c r="M807" s="3" t="s">
        <v>18</v>
      </c>
      <c r="N807" s="27" t="s">
        <v>19</v>
      </c>
      <c r="O807" s="38">
        <f>VLOOKUP(TRIM(Table1[[#This Row],[Provider Specialty]]) &amp; TRIM(Table1[[#This Row],[Provider Specialty Description]]), SPECIALTY_TYPE, 2, FALSE)</f>
        <v>2096</v>
      </c>
      <c r="P807" s="3" t="str">
        <f>Table1[[#This Row],[Provider Type]] &amp; "+" &amp; Table1[[#This Row],[Provider Type Description]]</f>
        <v>33+Single-Specialty</v>
      </c>
      <c r="Q807" s="7" t="str">
        <f>Table1[[#This Row],[Provider Specialty]] &amp; "+" &amp; Table1[[#This Row],[Provider Specialty Description]]</f>
        <v>336+Physical Medicine and Rehabilitation Practitioner</v>
      </c>
      <c r="R807" s="7" t="str">
        <f>Table1[[#This Row],[PDMS Specialty Type ID]] &amp; "+" &amp; Table1[[#This Row],[PDMS Provider Type ID]] &amp; "+" &amp;Table1[[#This Row],[TAXONOMY]]</f>
        <v>2096+51+2081P0010X</v>
      </c>
      <c r="S8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(9786, 2096, 51, N'2081P0010X', N'Physical Medicine &amp; Rehabilitation - Pediatric Rehabilitation Medicine')</v>
      </c>
    </row>
    <row r="808" spans="1:19" ht="47.25" hidden="1" customHeight="1" x14ac:dyDescent="0.25">
      <c r="A808" s="22" t="s">
        <v>1855</v>
      </c>
      <c r="B808" s="3" t="s">
        <v>988</v>
      </c>
      <c r="C808" s="3" t="s">
        <v>1301</v>
      </c>
      <c r="D808" s="3" t="s">
        <v>1311</v>
      </c>
      <c r="E808" s="3" t="s">
        <v>1312</v>
      </c>
      <c r="F808" s="3">
        <f>VLOOKUP(Table1[[#This Row],[Column2]], TAXONOMY_TYPE, 2, FALSE)</f>
        <v>9787</v>
      </c>
      <c r="G808" s="3">
        <v>31</v>
      </c>
      <c r="H808" s="3" t="s">
        <v>991</v>
      </c>
      <c r="I808" s="3">
        <f>VLOOKUP(Table1[[#This Row],[Provider Type]] &amp; Table1[[#This Row],[Provider Type Description]], PROVIDER_TYPE, 2, FALSE)</f>
        <v>114</v>
      </c>
      <c r="J808" s="3">
        <v>336</v>
      </c>
      <c r="K808" s="3" t="s">
        <v>1303</v>
      </c>
      <c r="L808" s="3">
        <f>VLOOKUP(TRIM(Table1[[#This Row],[Provider Specialty]]) &amp; TRIM(Table1[[#This Row],[Provider Specialty Description]]), SPECIALTY_TYPE, 2, FALSE)</f>
        <v>2096</v>
      </c>
      <c r="M808" s="3" t="s">
        <v>19</v>
      </c>
      <c r="N808" s="27" t="s">
        <v>19</v>
      </c>
      <c r="O808" s="38">
        <f>VLOOKUP(TRIM(Table1[[#This Row],[Provider Specialty]]) &amp; TRIM(Table1[[#This Row],[Provider Specialty Description]]), SPECIALTY_TYPE, 2, FALSE)</f>
        <v>2096</v>
      </c>
      <c r="P808" s="3" t="str">
        <f>Table1[[#This Row],[Provider Type]] &amp; "+" &amp; Table1[[#This Row],[Provider Type Description]]</f>
        <v>31+Physician</v>
      </c>
      <c r="Q808" s="7" t="str">
        <f>Table1[[#This Row],[Provider Specialty]] &amp; "+" &amp; Table1[[#This Row],[Provider Specialty Description]]</f>
        <v>336+Physical Medicine and Rehabilitation Practitioner</v>
      </c>
      <c r="R808" s="7" t="str">
        <f>Table1[[#This Row],[PDMS Specialty Type ID]] &amp; "+" &amp; Table1[[#This Row],[PDMS Provider Type ID]] &amp; "+" &amp;Table1[[#This Row],[TAXONOMY]]</f>
        <v>2096+114+2081P2900X</v>
      </c>
      <c r="S8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(9787, 2096, 114, N'2081P2900X', N'Physical Medicine &amp; Rehabilitation - Pain Medicine')</v>
      </c>
    </row>
    <row r="809" spans="1:19" ht="47.25" hidden="1" customHeight="1" x14ac:dyDescent="0.25">
      <c r="A809" s="22" t="s">
        <v>1854</v>
      </c>
      <c r="B809" s="3" t="s">
        <v>988</v>
      </c>
      <c r="C809" s="3" t="s">
        <v>1301</v>
      </c>
      <c r="D809" s="3" t="s">
        <v>1311</v>
      </c>
      <c r="E809" s="3" t="s">
        <v>1312</v>
      </c>
      <c r="F809" s="3">
        <f>VLOOKUP(Table1[[#This Row],[Column2]], TAXONOMY_TYPE, 2, FALSE)</f>
        <v>9788</v>
      </c>
      <c r="G809" s="3">
        <v>32</v>
      </c>
      <c r="H809" s="3" t="s">
        <v>1444</v>
      </c>
      <c r="I809" s="3">
        <f>VLOOKUP(Table1[[#This Row],[Provider Type]] &amp; Table1[[#This Row],[Provider Type Description]], PROVIDER_TYPE, 2, FALSE)</f>
        <v>50</v>
      </c>
      <c r="J809" s="3">
        <v>336</v>
      </c>
      <c r="K809" s="3" t="s">
        <v>1303</v>
      </c>
      <c r="L809" s="3">
        <f>VLOOKUP(TRIM(Table1[[#This Row],[Provider Specialty]]) &amp; TRIM(Table1[[#This Row],[Provider Specialty Description]]), SPECIALTY_TYPE, 2, FALSE)</f>
        <v>2096</v>
      </c>
      <c r="M809" s="3" t="s">
        <v>18</v>
      </c>
      <c r="N809" s="27" t="s">
        <v>19</v>
      </c>
      <c r="O809" s="38">
        <f>VLOOKUP(TRIM(Table1[[#This Row],[Provider Specialty]]) &amp; TRIM(Table1[[#This Row],[Provider Specialty Description]]), SPECIALTY_TYPE, 2, FALSE)</f>
        <v>2096</v>
      </c>
      <c r="P809" s="3" t="str">
        <f>Table1[[#This Row],[Provider Type]] &amp; "+" &amp; Table1[[#This Row],[Provider Type Description]]</f>
        <v>32+Multi-Specialty</v>
      </c>
      <c r="Q809" s="7" t="str">
        <f>Table1[[#This Row],[Provider Specialty]] &amp; "+" &amp; Table1[[#This Row],[Provider Specialty Description]]</f>
        <v>336+Physical Medicine and Rehabilitation Practitioner</v>
      </c>
      <c r="R809" s="7" t="str">
        <f>Table1[[#This Row],[PDMS Specialty Type ID]] &amp; "+" &amp; Table1[[#This Row],[PDMS Provider Type ID]] &amp; "+" &amp;Table1[[#This Row],[TAXONOMY]]</f>
        <v>2096+50+2081P2900X</v>
      </c>
      <c r="S8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(9788, 2096, 50, N'2081P2900X', N'Physical Medicine &amp; Rehabilitation - Pain Medicine')</v>
      </c>
    </row>
    <row r="810" spans="1:19" ht="47.25" hidden="1" customHeight="1" x14ac:dyDescent="0.25">
      <c r="A810" s="22" t="s">
        <v>1854</v>
      </c>
      <c r="B810" s="3" t="s">
        <v>988</v>
      </c>
      <c r="C810" s="3" t="s">
        <v>1301</v>
      </c>
      <c r="D810" s="3" t="s">
        <v>1311</v>
      </c>
      <c r="E810" s="3" t="s">
        <v>1312</v>
      </c>
      <c r="F810" s="3">
        <f>VLOOKUP(Table1[[#This Row],[Column2]], TAXONOMY_TYPE, 2, FALSE)</f>
        <v>9789</v>
      </c>
      <c r="G810" s="3">
        <v>33</v>
      </c>
      <c r="H810" s="3" t="s">
        <v>1953</v>
      </c>
      <c r="I810" s="3">
        <f>VLOOKUP(Table1[[#This Row],[Provider Type]] &amp; Table1[[#This Row],[Provider Type Description]], PROVIDER_TYPE, 2, FALSE)</f>
        <v>51</v>
      </c>
      <c r="J810" s="3">
        <v>336</v>
      </c>
      <c r="K810" s="3" t="s">
        <v>1303</v>
      </c>
      <c r="L810" s="3">
        <f>VLOOKUP(TRIM(Table1[[#This Row],[Provider Specialty]]) &amp; TRIM(Table1[[#This Row],[Provider Specialty Description]]), SPECIALTY_TYPE, 2, FALSE)</f>
        <v>2096</v>
      </c>
      <c r="M810" s="3" t="s">
        <v>18</v>
      </c>
      <c r="N810" s="27" t="s">
        <v>19</v>
      </c>
      <c r="O810" s="38">
        <f>VLOOKUP(TRIM(Table1[[#This Row],[Provider Specialty]]) &amp; TRIM(Table1[[#This Row],[Provider Specialty Description]]), SPECIALTY_TYPE, 2, FALSE)</f>
        <v>2096</v>
      </c>
      <c r="P810" s="3" t="str">
        <f>Table1[[#This Row],[Provider Type]] &amp; "+" &amp; Table1[[#This Row],[Provider Type Description]]</f>
        <v>33+Single-Specialty</v>
      </c>
      <c r="Q810" s="7" t="str">
        <f>Table1[[#This Row],[Provider Specialty]] &amp; "+" &amp; Table1[[#This Row],[Provider Specialty Description]]</f>
        <v>336+Physical Medicine and Rehabilitation Practitioner</v>
      </c>
      <c r="R810" s="7" t="str">
        <f>Table1[[#This Row],[PDMS Specialty Type ID]] &amp; "+" &amp; Table1[[#This Row],[PDMS Provider Type ID]] &amp; "+" &amp;Table1[[#This Row],[TAXONOMY]]</f>
        <v>2096+51+2081P2900X</v>
      </c>
      <c r="S8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(9789, 2096, 51, N'2081P2900X', N'Physical Medicine &amp; Rehabilitation - Pain Medicine')</v>
      </c>
    </row>
    <row r="811" spans="1:19" ht="47.25" hidden="1" customHeight="1" x14ac:dyDescent="0.25">
      <c r="A811" s="22" t="s">
        <v>1855</v>
      </c>
      <c r="B811" s="3" t="s">
        <v>988</v>
      </c>
      <c r="C811" s="3" t="s">
        <v>1301</v>
      </c>
      <c r="D811" s="3" t="s">
        <v>566</v>
      </c>
      <c r="E811" s="3" t="s">
        <v>1313</v>
      </c>
      <c r="F811" s="3">
        <f>VLOOKUP(Table1[[#This Row],[Column2]], TAXONOMY_TYPE, 2, FALSE)</f>
        <v>9790</v>
      </c>
      <c r="G811" s="3">
        <v>31</v>
      </c>
      <c r="H811" s="3" t="s">
        <v>991</v>
      </c>
      <c r="I811" s="3">
        <f>VLOOKUP(Table1[[#This Row],[Provider Type]] &amp; Table1[[#This Row],[Provider Type Description]], PROVIDER_TYPE, 2, FALSE)</f>
        <v>114</v>
      </c>
      <c r="J811" s="3">
        <v>336</v>
      </c>
      <c r="K811" s="3" t="s">
        <v>1303</v>
      </c>
      <c r="L811" s="3">
        <f>VLOOKUP(TRIM(Table1[[#This Row],[Provider Specialty]]) &amp; TRIM(Table1[[#This Row],[Provider Specialty Description]]), SPECIALTY_TYPE, 2, FALSE)</f>
        <v>2096</v>
      </c>
      <c r="M811" s="3" t="s">
        <v>19</v>
      </c>
      <c r="N811" s="27" t="s">
        <v>19</v>
      </c>
      <c r="O811" s="38">
        <f>VLOOKUP(TRIM(Table1[[#This Row],[Provider Specialty]]) &amp; TRIM(Table1[[#This Row],[Provider Specialty Description]]), SPECIALTY_TYPE, 2, FALSE)</f>
        <v>2096</v>
      </c>
      <c r="P811" s="3" t="str">
        <f>Table1[[#This Row],[Provider Type]] &amp; "+" &amp; Table1[[#This Row],[Provider Type Description]]</f>
        <v>31+Physician</v>
      </c>
      <c r="Q811" s="7" t="str">
        <f>Table1[[#This Row],[Provider Specialty]] &amp; "+" &amp; Table1[[#This Row],[Provider Specialty Description]]</f>
        <v>336+Physical Medicine and Rehabilitation Practitioner</v>
      </c>
      <c r="R811" s="7" t="str">
        <f>Table1[[#This Row],[PDMS Specialty Type ID]] &amp; "+" &amp; Table1[[#This Row],[PDMS Provider Type ID]] &amp; "+" &amp;Table1[[#This Row],[TAXONOMY]]</f>
        <v>2096+114+2081S0010X</v>
      </c>
      <c r="S8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(9790, 2096, 114, N'2081S0010X', N'Physical Medicine &amp; Rehabilitation - Sports Medicine')</v>
      </c>
    </row>
    <row r="812" spans="1:19" ht="47.25" hidden="1" customHeight="1" x14ac:dyDescent="0.25">
      <c r="A812" s="22" t="s">
        <v>1854</v>
      </c>
      <c r="B812" s="3" t="s">
        <v>988</v>
      </c>
      <c r="C812" s="3" t="s">
        <v>1301</v>
      </c>
      <c r="D812" s="3" t="s">
        <v>566</v>
      </c>
      <c r="E812" s="3" t="s">
        <v>1313</v>
      </c>
      <c r="F812" s="3">
        <f>VLOOKUP(Table1[[#This Row],[Column2]], TAXONOMY_TYPE, 2, FALSE)</f>
        <v>9791</v>
      </c>
      <c r="G812" s="3">
        <v>32</v>
      </c>
      <c r="H812" s="3" t="s">
        <v>1444</v>
      </c>
      <c r="I812" s="3">
        <f>VLOOKUP(Table1[[#This Row],[Provider Type]] &amp; Table1[[#This Row],[Provider Type Description]], PROVIDER_TYPE, 2, FALSE)</f>
        <v>50</v>
      </c>
      <c r="J812" s="3">
        <v>336</v>
      </c>
      <c r="K812" s="3" t="s">
        <v>1303</v>
      </c>
      <c r="L812" s="3">
        <f>VLOOKUP(TRIM(Table1[[#This Row],[Provider Specialty]]) &amp; TRIM(Table1[[#This Row],[Provider Specialty Description]]), SPECIALTY_TYPE, 2, FALSE)</f>
        <v>2096</v>
      </c>
      <c r="M812" s="3" t="s">
        <v>18</v>
      </c>
      <c r="N812" s="27" t="s">
        <v>19</v>
      </c>
      <c r="O812" s="38">
        <f>VLOOKUP(TRIM(Table1[[#This Row],[Provider Specialty]]) &amp; TRIM(Table1[[#This Row],[Provider Specialty Description]]), SPECIALTY_TYPE, 2, FALSE)</f>
        <v>2096</v>
      </c>
      <c r="P812" s="3" t="str">
        <f>Table1[[#This Row],[Provider Type]] &amp; "+" &amp; Table1[[#This Row],[Provider Type Description]]</f>
        <v>32+Multi-Specialty</v>
      </c>
      <c r="Q812" s="7" t="str">
        <f>Table1[[#This Row],[Provider Specialty]] &amp; "+" &amp; Table1[[#This Row],[Provider Specialty Description]]</f>
        <v>336+Physical Medicine and Rehabilitation Practitioner</v>
      </c>
      <c r="R812" s="7" t="str">
        <f>Table1[[#This Row],[PDMS Specialty Type ID]] &amp; "+" &amp; Table1[[#This Row],[PDMS Provider Type ID]] &amp; "+" &amp;Table1[[#This Row],[TAXONOMY]]</f>
        <v>2096+50+2081S0010X</v>
      </c>
      <c r="S8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(9791, 2096, 50, N'2081S0010X', N'Physical Medicine &amp; Rehabilitation - Sports Medicine')</v>
      </c>
    </row>
    <row r="813" spans="1:19" ht="47.25" hidden="1" customHeight="1" x14ac:dyDescent="0.25">
      <c r="A813" s="22" t="s">
        <v>1854</v>
      </c>
      <c r="B813" s="3" t="s">
        <v>988</v>
      </c>
      <c r="C813" s="3" t="s">
        <v>1301</v>
      </c>
      <c r="D813" s="3" t="s">
        <v>566</v>
      </c>
      <c r="E813" s="3" t="s">
        <v>1313</v>
      </c>
      <c r="F813" s="3">
        <f>VLOOKUP(Table1[[#This Row],[Column2]], TAXONOMY_TYPE, 2, FALSE)</f>
        <v>9792</v>
      </c>
      <c r="G813" s="3">
        <v>33</v>
      </c>
      <c r="H813" s="3" t="s">
        <v>1953</v>
      </c>
      <c r="I813" s="3">
        <f>VLOOKUP(Table1[[#This Row],[Provider Type]] &amp; Table1[[#This Row],[Provider Type Description]], PROVIDER_TYPE, 2, FALSE)</f>
        <v>51</v>
      </c>
      <c r="J813" s="3">
        <v>336</v>
      </c>
      <c r="K813" s="3" t="s">
        <v>1303</v>
      </c>
      <c r="L813" s="3">
        <f>VLOOKUP(TRIM(Table1[[#This Row],[Provider Specialty]]) &amp; TRIM(Table1[[#This Row],[Provider Specialty Description]]), SPECIALTY_TYPE, 2, FALSE)</f>
        <v>2096</v>
      </c>
      <c r="M813" s="3" t="s">
        <v>18</v>
      </c>
      <c r="N813" s="27" t="s">
        <v>19</v>
      </c>
      <c r="O813" s="38">
        <f>VLOOKUP(TRIM(Table1[[#This Row],[Provider Specialty]]) &amp; TRIM(Table1[[#This Row],[Provider Specialty Description]]), SPECIALTY_TYPE, 2, FALSE)</f>
        <v>2096</v>
      </c>
      <c r="P813" s="3" t="str">
        <f>Table1[[#This Row],[Provider Type]] &amp; "+" &amp; Table1[[#This Row],[Provider Type Description]]</f>
        <v>33+Single-Specialty</v>
      </c>
      <c r="Q813" s="7" t="str">
        <f>Table1[[#This Row],[Provider Specialty]] &amp; "+" &amp; Table1[[#This Row],[Provider Specialty Description]]</f>
        <v>336+Physical Medicine and Rehabilitation Practitioner</v>
      </c>
      <c r="R813" s="7" t="str">
        <f>Table1[[#This Row],[PDMS Specialty Type ID]] &amp; "+" &amp; Table1[[#This Row],[PDMS Provider Type ID]] &amp; "+" &amp;Table1[[#This Row],[TAXONOMY]]</f>
        <v>2096+51+2081S0010X</v>
      </c>
      <c r="S8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(9792, 2096, 51, N'2081S0010X', N'Physical Medicine &amp; Rehabilitation - Sports Medicine')</v>
      </c>
    </row>
    <row r="814" spans="1:19" ht="47.25" hidden="1" customHeight="1" x14ac:dyDescent="0.25">
      <c r="A814" s="22" t="s">
        <v>1855</v>
      </c>
      <c r="B814" s="3" t="s">
        <v>988</v>
      </c>
      <c r="C814" s="3" t="s">
        <v>1415</v>
      </c>
      <c r="D814" s="3" t="s">
        <v>1311</v>
      </c>
      <c r="E814" s="3" t="s">
        <v>1416</v>
      </c>
      <c r="F814" s="3">
        <f>VLOOKUP(Table1[[#This Row],[Column2]], TAXONOMY_TYPE, 2, FALSE)</f>
        <v>9793</v>
      </c>
      <c r="G814" s="3">
        <v>31</v>
      </c>
      <c r="H814" s="3" t="s">
        <v>991</v>
      </c>
      <c r="I814" s="3">
        <f>VLOOKUP(Table1[[#This Row],[Provider Type]] &amp; Table1[[#This Row],[Provider Type Description]], PROVIDER_TYPE, 2, FALSE)</f>
        <v>114</v>
      </c>
      <c r="J814" s="3">
        <v>336</v>
      </c>
      <c r="K814" s="3" t="s">
        <v>1303</v>
      </c>
      <c r="L814" s="3">
        <f>VLOOKUP(TRIM(Table1[[#This Row],[Provider Specialty]]) &amp; TRIM(Table1[[#This Row],[Provider Specialty Description]]), SPECIALTY_TYPE, 2, FALSE)</f>
        <v>2096</v>
      </c>
      <c r="M814" s="3" t="s">
        <v>19</v>
      </c>
      <c r="N814" s="27" t="s">
        <v>19</v>
      </c>
      <c r="O814" s="38">
        <f>VLOOKUP(TRIM(Table1[[#This Row],[Provider Specialty]]) &amp; TRIM(Table1[[#This Row],[Provider Specialty Description]]), SPECIALTY_TYPE, 2, FALSE)</f>
        <v>2096</v>
      </c>
      <c r="P814" s="3" t="str">
        <f>Table1[[#This Row],[Provider Type]] &amp; "+" &amp; Table1[[#This Row],[Provider Type Description]]</f>
        <v>31+Physician</v>
      </c>
      <c r="Q814" s="7" t="str">
        <f>Table1[[#This Row],[Provider Specialty]] &amp; "+" &amp; Table1[[#This Row],[Provider Specialty Description]]</f>
        <v>336+Physical Medicine and Rehabilitation Practitioner</v>
      </c>
      <c r="R814" s="7" t="str">
        <f>Table1[[#This Row],[PDMS Specialty Type ID]] &amp; "+" &amp; Table1[[#This Row],[PDMS Provider Type ID]] &amp; "+" &amp;Table1[[#This Row],[TAXONOMY]]</f>
        <v>2096+114+208VP0000X</v>
      </c>
      <c r="S8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(9793, 2096, 114, N'208VP0000X', N'Pain Medicine - - Pain Medicine')</v>
      </c>
    </row>
    <row r="815" spans="1:19" ht="47.25" hidden="1" customHeight="1" x14ac:dyDescent="0.25">
      <c r="A815" s="22" t="s">
        <v>1854</v>
      </c>
      <c r="B815" s="3" t="s">
        <v>988</v>
      </c>
      <c r="C815" s="3" t="s">
        <v>1415</v>
      </c>
      <c r="D815" s="3" t="s">
        <v>1311</v>
      </c>
      <c r="E815" s="3" t="s">
        <v>1416</v>
      </c>
      <c r="F815" s="3">
        <f>VLOOKUP(Table1[[#This Row],[Column2]], TAXONOMY_TYPE, 2, FALSE)</f>
        <v>9794</v>
      </c>
      <c r="G815" s="3">
        <v>32</v>
      </c>
      <c r="H815" s="3" t="s">
        <v>1444</v>
      </c>
      <c r="I815" s="3">
        <f>VLOOKUP(Table1[[#This Row],[Provider Type]] &amp; Table1[[#This Row],[Provider Type Description]], PROVIDER_TYPE, 2, FALSE)</f>
        <v>50</v>
      </c>
      <c r="J815" s="3">
        <v>336</v>
      </c>
      <c r="K815" s="3" t="s">
        <v>1303</v>
      </c>
      <c r="L815" s="3">
        <f>VLOOKUP(TRIM(Table1[[#This Row],[Provider Specialty]]) &amp; TRIM(Table1[[#This Row],[Provider Specialty Description]]), SPECIALTY_TYPE, 2, FALSE)</f>
        <v>2096</v>
      </c>
      <c r="M815" s="3" t="s">
        <v>18</v>
      </c>
      <c r="N815" s="27" t="s">
        <v>19</v>
      </c>
      <c r="O815" s="38">
        <f>VLOOKUP(TRIM(Table1[[#This Row],[Provider Specialty]]) &amp; TRIM(Table1[[#This Row],[Provider Specialty Description]]), SPECIALTY_TYPE, 2, FALSE)</f>
        <v>2096</v>
      </c>
      <c r="P815" s="3" t="str">
        <f>Table1[[#This Row],[Provider Type]] &amp; "+" &amp; Table1[[#This Row],[Provider Type Description]]</f>
        <v>32+Multi-Specialty</v>
      </c>
      <c r="Q815" s="7" t="str">
        <f>Table1[[#This Row],[Provider Specialty]] &amp; "+" &amp; Table1[[#This Row],[Provider Specialty Description]]</f>
        <v>336+Physical Medicine and Rehabilitation Practitioner</v>
      </c>
      <c r="R815" s="7" t="str">
        <f>Table1[[#This Row],[PDMS Specialty Type ID]] &amp; "+" &amp; Table1[[#This Row],[PDMS Provider Type ID]] &amp; "+" &amp;Table1[[#This Row],[TAXONOMY]]</f>
        <v>2096+50+208VP0000X</v>
      </c>
      <c r="S8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(9794, 2096, 50, N'208VP0000X', N'Pain Medicine - - Pain Medicine')</v>
      </c>
    </row>
    <row r="816" spans="1:19" ht="47.25" hidden="1" customHeight="1" x14ac:dyDescent="0.25">
      <c r="A816" s="22" t="s">
        <v>1854</v>
      </c>
      <c r="B816" s="3" t="s">
        <v>988</v>
      </c>
      <c r="C816" s="3" t="s">
        <v>1415</v>
      </c>
      <c r="D816" s="3" t="s">
        <v>1311</v>
      </c>
      <c r="E816" s="3" t="s">
        <v>1416</v>
      </c>
      <c r="F816" s="3">
        <f>VLOOKUP(Table1[[#This Row],[Column2]], TAXONOMY_TYPE, 2, FALSE)</f>
        <v>9795</v>
      </c>
      <c r="G816" s="3">
        <v>33</v>
      </c>
      <c r="H816" s="3" t="s">
        <v>1953</v>
      </c>
      <c r="I816" s="3">
        <f>VLOOKUP(Table1[[#This Row],[Provider Type]] &amp; Table1[[#This Row],[Provider Type Description]], PROVIDER_TYPE, 2, FALSE)</f>
        <v>51</v>
      </c>
      <c r="J816" s="3">
        <v>336</v>
      </c>
      <c r="K816" s="3" t="s">
        <v>1303</v>
      </c>
      <c r="L816" s="3">
        <f>VLOOKUP(TRIM(Table1[[#This Row],[Provider Specialty]]) &amp; TRIM(Table1[[#This Row],[Provider Specialty Description]]), SPECIALTY_TYPE, 2, FALSE)</f>
        <v>2096</v>
      </c>
      <c r="M816" s="3" t="s">
        <v>18</v>
      </c>
      <c r="N816" s="27" t="s">
        <v>19</v>
      </c>
      <c r="O816" s="38">
        <f>VLOOKUP(TRIM(Table1[[#This Row],[Provider Specialty]]) &amp; TRIM(Table1[[#This Row],[Provider Specialty Description]]), SPECIALTY_TYPE, 2, FALSE)</f>
        <v>2096</v>
      </c>
      <c r="P816" s="3" t="str">
        <f>Table1[[#This Row],[Provider Type]] &amp; "+" &amp; Table1[[#This Row],[Provider Type Description]]</f>
        <v>33+Single-Specialty</v>
      </c>
      <c r="Q816" s="7" t="str">
        <f>Table1[[#This Row],[Provider Specialty]] &amp; "+" &amp; Table1[[#This Row],[Provider Specialty Description]]</f>
        <v>336+Physical Medicine and Rehabilitation Practitioner</v>
      </c>
      <c r="R816" s="7" t="str">
        <f>Table1[[#This Row],[PDMS Specialty Type ID]] &amp; "+" &amp; Table1[[#This Row],[PDMS Provider Type ID]] &amp; "+" &amp;Table1[[#This Row],[TAXONOMY]]</f>
        <v>2096+51+208VP0000X</v>
      </c>
      <c r="S8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(9795, 2096, 51, N'208VP0000X', N'Pain Medicine - - Pain Medicine')</v>
      </c>
    </row>
    <row r="817" spans="1:19" ht="47.25" hidden="1" customHeight="1" x14ac:dyDescent="0.25">
      <c r="A817" s="22" t="s">
        <v>1855</v>
      </c>
      <c r="B817" s="3" t="s">
        <v>988</v>
      </c>
      <c r="C817" s="3" t="s">
        <v>1415</v>
      </c>
      <c r="D817" s="3" t="s">
        <v>1417</v>
      </c>
      <c r="E817" s="3" t="s">
        <v>1418</v>
      </c>
      <c r="F817" s="3">
        <f>VLOOKUP(Table1[[#This Row],[Column2]], TAXONOMY_TYPE, 2, FALSE)</f>
        <v>9796</v>
      </c>
      <c r="G817" s="3">
        <v>31</v>
      </c>
      <c r="H817" s="3" t="s">
        <v>991</v>
      </c>
      <c r="I817" s="3">
        <f>VLOOKUP(Table1[[#This Row],[Provider Type]] &amp; Table1[[#This Row],[Provider Type Description]], PROVIDER_TYPE, 2, FALSE)</f>
        <v>114</v>
      </c>
      <c r="J817" s="3">
        <v>336</v>
      </c>
      <c r="K817" s="3" t="s">
        <v>1303</v>
      </c>
      <c r="L817" s="3">
        <f>VLOOKUP(TRIM(Table1[[#This Row],[Provider Specialty]]) &amp; TRIM(Table1[[#This Row],[Provider Specialty Description]]), SPECIALTY_TYPE, 2, FALSE)</f>
        <v>2096</v>
      </c>
      <c r="M817" s="3" t="s">
        <v>19</v>
      </c>
      <c r="N817" s="27" t="s">
        <v>19</v>
      </c>
      <c r="O817" s="38">
        <f>VLOOKUP(TRIM(Table1[[#This Row],[Provider Specialty]]) &amp; TRIM(Table1[[#This Row],[Provider Specialty Description]]), SPECIALTY_TYPE, 2, FALSE)</f>
        <v>2096</v>
      </c>
      <c r="P817" s="3" t="str">
        <f>Table1[[#This Row],[Provider Type]] &amp; "+" &amp; Table1[[#This Row],[Provider Type Description]]</f>
        <v>31+Physician</v>
      </c>
      <c r="Q817" s="7" t="str">
        <f>Table1[[#This Row],[Provider Specialty]] &amp; "+" &amp; Table1[[#This Row],[Provider Specialty Description]]</f>
        <v>336+Physical Medicine and Rehabilitation Practitioner</v>
      </c>
      <c r="R817" s="7" t="str">
        <f>Table1[[#This Row],[PDMS Specialty Type ID]] &amp; "+" &amp; Table1[[#This Row],[PDMS Provider Type ID]] &amp; "+" &amp;Table1[[#This Row],[TAXONOMY]]</f>
        <v>2096+114+208VP0014X</v>
      </c>
      <c r="S8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(9796, 2096, 114, N'208VP0014X', N'Pain Medicine - - Interventional Pain Medicine')</v>
      </c>
    </row>
    <row r="818" spans="1:19" ht="47.25" hidden="1" customHeight="1" x14ac:dyDescent="0.25">
      <c r="A818" s="22" t="s">
        <v>1854</v>
      </c>
      <c r="B818" s="3" t="s">
        <v>988</v>
      </c>
      <c r="C818" s="3" t="s">
        <v>1415</v>
      </c>
      <c r="D818" s="3" t="s">
        <v>1417</v>
      </c>
      <c r="E818" s="3" t="s">
        <v>1418</v>
      </c>
      <c r="F818" s="3">
        <f>VLOOKUP(Table1[[#This Row],[Column2]], TAXONOMY_TYPE, 2, FALSE)</f>
        <v>9797</v>
      </c>
      <c r="G818" s="3">
        <v>32</v>
      </c>
      <c r="H818" s="3" t="s">
        <v>1444</v>
      </c>
      <c r="I818" s="3">
        <f>VLOOKUP(Table1[[#This Row],[Provider Type]] &amp; Table1[[#This Row],[Provider Type Description]], PROVIDER_TYPE, 2, FALSE)</f>
        <v>50</v>
      </c>
      <c r="J818" s="3">
        <v>336</v>
      </c>
      <c r="K818" s="3" t="s">
        <v>1303</v>
      </c>
      <c r="L818" s="3">
        <f>VLOOKUP(TRIM(Table1[[#This Row],[Provider Specialty]]) &amp; TRIM(Table1[[#This Row],[Provider Specialty Description]]), SPECIALTY_TYPE, 2, FALSE)</f>
        <v>2096</v>
      </c>
      <c r="M818" s="3" t="s">
        <v>18</v>
      </c>
      <c r="N818" s="27" t="s">
        <v>19</v>
      </c>
      <c r="O818" s="38">
        <f>VLOOKUP(TRIM(Table1[[#This Row],[Provider Specialty]]) &amp; TRIM(Table1[[#This Row],[Provider Specialty Description]]), SPECIALTY_TYPE, 2, FALSE)</f>
        <v>2096</v>
      </c>
      <c r="P818" s="3" t="str">
        <f>Table1[[#This Row],[Provider Type]] &amp; "+" &amp; Table1[[#This Row],[Provider Type Description]]</f>
        <v>32+Multi-Specialty</v>
      </c>
      <c r="Q818" s="7" t="str">
        <f>Table1[[#This Row],[Provider Specialty]] &amp; "+" &amp; Table1[[#This Row],[Provider Specialty Description]]</f>
        <v>336+Physical Medicine and Rehabilitation Practitioner</v>
      </c>
      <c r="R818" s="7" t="str">
        <f>Table1[[#This Row],[PDMS Specialty Type ID]] &amp; "+" &amp; Table1[[#This Row],[PDMS Provider Type ID]] &amp; "+" &amp;Table1[[#This Row],[TAXONOMY]]</f>
        <v>2096+50+208VP0014X</v>
      </c>
      <c r="S8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(9797, 2096, 50, N'208VP0014X', N'Pain Medicine - - Interventional Pain Medicine')</v>
      </c>
    </row>
    <row r="819" spans="1:19" ht="47.25" hidden="1" customHeight="1" x14ac:dyDescent="0.25">
      <c r="A819" s="22" t="s">
        <v>1854</v>
      </c>
      <c r="B819" s="3" t="s">
        <v>988</v>
      </c>
      <c r="C819" s="3" t="s">
        <v>1415</v>
      </c>
      <c r="D819" s="3" t="s">
        <v>1417</v>
      </c>
      <c r="E819" s="3" t="s">
        <v>1418</v>
      </c>
      <c r="F819" s="3">
        <f>VLOOKUP(Table1[[#This Row],[Column2]], TAXONOMY_TYPE, 2, FALSE)</f>
        <v>9798</v>
      </c>
      <c r="G819" s="3">
        <v>33</v>
      </c>
      <c r="H819" s="3" t="s">
        <v>1953</v>
      </c>
      <c r="I819" s="3">
        <f>VLOOKUP(Table1[[#This Row],[Provider Type]] &amp; Table1[[#This Row],[Provider Type Description]], PROVIDER_TYPE, 2, FALSE)</f>
        <v>51</v>
      </c>
      <c r="J819" s="3">
        <v>336</v>
      </c>
      <c r="K819" s="3" t="s">
        <v>1303</v>
      </c>
      <c r="L819" s="3">
        <f>VLOOKUP(TRIM(Table1[[#This Row],[Provider Specialty]]) &amp; TRIM(Table1[[#This Row],[Provider Specialty Description]]), SPECIALTY_TYPE, 2, FALSE)</f>
        <v>2096</v>
      </c>
      <c r="M819" s="3" t="s">
        <v>18</v>
      </c>
      <c r="N819" s="27" t="s">
        <v>19</v>
      </c>
      <c r="O819" s="38">
        <f>VLOOKUP(TRIM(Table1[[#This Row],[Provider Specialty]]) &amp; TRIM(Table1[[#This Row],[Provider Specialty Description]]), SPECIALTY_TYPE, 2, FALSE)</f>
        <v>2096</v>
      </c>
      <c r="P819" s="3" t="str">
        <f>Table1[[#This Row],[Provider Type]] &amp; "+" &amp; Table1[[#This Row],[Provider Type Description]]</f>
        <v>33+Single-Specialty</v>
      </c>
      <c r="Q819" s="7" t="str">
        <f>Table1[[#This Row],[Provider Specialty]] &amp; "+" &amp; Table1[[#This Row],[Provider Specialty Description]]</f>
        <v>336+Physical Medicine and Rehabilitation Practitioner</v>
      </c>
      <c r="R819" s="7" t="str">
        <f>Table1[[#This Row],[PDMS Specialty Type ID]] &amp; "+" &amp; Table1[[#This Row],[PDMS Provider Type ID]] &amp; "+" &amp;Table1[[#This Row],[TAXONOMY]]</f>
        <v>2096+51+208VP0014X</v>
      </c>
      <c r="S8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(9798, 2096, 51, N'208VP0014X', N'Pain Medicine - - Interventional Pain Medicine')</v>
      </c>
    </row>
    <row r="820" spans="1:19" ht="47.25" hidden="1" customHeight="1" x14ac:dyDescent="0.25">
      <c r="A820" s="22" t="s">
        <v>1855</v>
      </c>
      <c r="B820" s="3" t="s">
        <v>988</v>
      </c>
      <c r="C820" s="3" t="s">
        <v>1212</v>
      </c>
      <c r="D820" s="3" t="s">
        <v>1219</v>
      </c>
      <c r="E820" s="3" t="s">
        <v>1220</v>
      </c>
      <c r="F820" s="3">
        <f>VLOOKUP(Table1[[#This Row],[Column2]], TAXONOMY_TYPE, 2, FALSE)</f>
        <v>9799</v>
      </c>
      <c r="G820" s="3">
        <v>31</v>
      </c>
      <c r="H820" s="3" t="s">
        <v>991</v>
      </c>
      <c r="I820" s="3">
        <f>VLOOKUP(Table1[[#This Row],[Provider Type]] &amp; Table1[[#This Row],[Provider Type Description]], PROVIDER_TYPE, 2, FALSE)</f>
        <v>114</v>
      </c>
      <c r="J820" s="3">
        <v>337</v>
      </c>
      <c r="K820" s="3" t="s">
        <v>1221</v>
      </c>
      <c r="L820" s="3">
        <f>VLOOKUP(TRIM(Table1[[#This Row],[Provider Specialty]]) &amp; TRIM(Table1[[#This Row],[Provider Specialty Description]]), SPECIALTY_TYPE, 2, FALSE)</f>
        <v>2097</v>
      </c>
      <c r="M820" s="3" t="s">
        <v>19</v>
      </c>
      <c r="N820" s="27" t="s">
        <v>19</v>
      </c>
      <c r="O820" s="38">
        <f>VLOOKUP(TRIM(Table1[[#This Row],[Provider Specialty]]) &amp; TRIM(Table1[[#This Row],[Provider Specialty Description]]), SPECIALTY_TYPE, 2, FALSE)</f>
        <v>2097</v>
      </c>
      <c r="P820" s="3" t="str">
        <f>Table1[[#This Row],[Provider Type]] &amp; "+" &amp; Table1[[#This Row],[Provider Type Description]]</f>
        <v>31+Physician</v>
      </c>
      <c r="Q820" s="7" t="str">
        <f>Table1[[#This Row],[Provider Specialty]] &amp; "+" &amp; Table1[[#This Row],[Provider Specialty Description]]</f>
        <v>337+Plastic Surgeon</v>
      </c>
      <c r="R820" s="7" t="str">
        <f>Table1[[#This Row],[PDMS Specialty Type ID]] &amp; "+" &amp; Table1[[#This Row],[PDMS Provider Type ID]] &amp; "+" &amp;Table1[[#This Row],[TAXONOMY]]</f>
        <v>2097+114+207YS0123X</v>
      </c>
      <c r="S8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(9799, 2097, 114, N'207YS0123X', N'Otolaryngology - Facial Plastic Surgery')</v>
      </c>
    </row>
    <row r="821" spans="1:19" ht="47.25" hidden="1" customHeight="1" x14ac:dyDescent="0.25">
      <c r="A821" s="22" t="s">
        <v>1854</v>
      </c>
      <c r="B821" s="3" t="s">
        <v>988</v>
      </c>
      <c r="C821" s="3" t="s">
        <v>1212</v>
      </c>
      <c r="D821" s="3" t="s">
        <v>1219</v>
      </c>
      <c r="E821" s="3" t="s">
        <v>1220</v>
      </c>
      <c r="F821" s="3">
        <f>VLOOKUP(Table1[[#This Row],[Column2]], TAXONOMY_TYPE, 2, FALSE)</f>
        <v>9800</v>
      </c>
      <c r="G821" s="3">
        <v>32</v>
      </c>
      <c r="H821" s="3" t="s">
        <v>1444</v>
      </c>
      <c r="I821" s="3">
        <f>VLOOKUP(Table1[[#This Row],[Provider Type]] &amp; Table1[[#This Row],[Provider Type Description]], PROVIDER_TYPE, 2, FALSE)</f>
        <v>50</v>
      </c>
      <c r="J821" s="3">
        <v>337</v>
      </c>
      <c r="K821" s="3" t="s">
        <v>1221</v>
      </c>
      <c r="L821" s="3">
        <f>VLOOKUP(TRIM(Table1[[#This Row],[Provider Specialty]]) &amp; TRIM(Table1[[#This Row],[Provider Specialty Description]]), SPECIALTY_TYPE, 2, FALSE)</f>
        <v>2097</v>
      </c>
      <c r="M821" s="3" t="s">
        <v>18</v>
      </c>
      <c r="N821" s="27" t="s">
        <v>19</v>
      </c>
      <c r="O821" s="38">
        <f>VLOOKUP(TRIM(Table1[[#This Row],[Provider Specialty]]) &amp; TRIM(Table1[[#This Row],[Provider Specialty Description]]), SPECIALTY_TYPE, 2, FALSE)</f>
        <v>2097</v>
      </c>
      <c r="P821" s="3" t="str">
        <f>Table1[[#This Row],[Provider Type]] &amp; "+" &amp; Table1[[#This Row],[Provider Type Description]]</f>
        <v>32+Multi-Specialty</v>
      </c>
      <c r="Q821" s="7" t="str">
        <f>Table1[[#This Row],[Provider Specialty]] &amp; "+" &amp; Table1[[#This Row],[Provider Specialty Description]]</f>
        <v>337+Plastic Surgeon</v>
      </c>
      <c r="R821" s="7" t="str">
        <f>Table1[[#This Row],[PDMS Specialty Type ID]] &amp; "+" &amp; Table1[[#This Row],[PDMS Provider Type ID]] &amp; "+" &amp;Table1[[#This Row],[TAXONOMY]]</f>
        <v>2097+50+207YS0123X</v>
      </c>
      <c r="S8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(9800, 2097, 50, N'207YS0123X', N'Otolaryngology - Facial Plastic Surgery')</v>
      </c>
    </row>
    <row r="822" spans="1:19" ht="47.25" hidden="1" customHeight="1" x14ac:dyDescent="0.25">
      <c r="A822" s="22" t="s">
        <v>1854</v>
      </c>
      <c r="B822" s="3" t="s">
        <v>988</v>
      </c>
      <c r="C822" s="3" t="s">
        <v>1212</v>
      </c>
      <c r="D822" s="3" t="s">
        <v>1219</v>
      </c>
      <c r="E822" s="3" t="s">
        <v>1220</v>
      </c>
      <c r="F822" s="3">
        <f>VLOOKUP(Table1[[#This Row],[Column2]], TAXONOMY_TYPE, 2, FALSE)</f>
        <v>9801</v>
      </c>
      <c r="G822" s="3">
        <v>33</v>
      </c>
      <c r="H822" s="3" t="s">
        <v>1953</v>
      </c>
      <c r="I822" s="3">
        <f>VLOOKUP(Table1[[#This Row],[Provider Type]] &amp; Table1[[#This Row],[Provider Type Description]], PROVIDER_TYPE, 2, FALSE)</f>
        <v>51</v>
      </c>
      <c r="J822" s="3">
        <v>337</v>
      </c>
      <c r="K822" s="3" t="s">
        <v>1221</v>
      </c>
      <c r="L822" s="3">
        <f>VLOOKUP(TRIM(Table1[[#This Row],[Provider Specialty]]) &amp; TRIM(Table1[[#This Row],[Provider Specialty Description]]), SPECIALTY_TYPE, 2, FALSE)</f>
        <v>2097</v>
      </c>
      <c r="M822" s="3" t="s">
        <v>18</v>
      </c>
      <c r="N822" s="27" t="s">
        <v>19</v>
      </c>
      <c r="O822" s="38">
        <f>VLOOKUP(TRIM(Table1[[#This Row],[Provider Specialty]]) &amp; TRIM(Table1[[#This Row],[Provider Specialty Description]]), SPECIALTY_TYPE, 2, FALSE)</f>
        <v>2097</v>
      </c>
      <c r="P822" s="3" t="str">
        <f>Table1[[#This Row],[Provider Type]] &amp; "+" &amp; Table1[[#This Row],[Provider Type Description]]</f>
        <v>33+Single-Specialty</v>
      </c>
      <c r="Q822" s="7" t="str">
        <f>Table1[[#This Row],[Provider Specialty]] &amp; "+" &amp; Table1[[#This Row],[Provider Specialty Description]]</f>
        <v>337+Plastic Surgeon</v>
      </c>
      <c r="R822" s="7" t="str">
        <f>Table1[[#This Row],[PDMS Specialty Type ID]] &amp; "+" &amp; Table1[[#This Row],[PDMS Provider Type ID]] &amp; "+" &amp;Table1[[#This Row],[TAXONOMY]]</f>
        <v>2097+51+207YS0123X</v>
      </c>
      <c r="S8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(9801, 2097, 51, N'207YS0123X', N'Otolaryngology - Facial Plastic Surgery')</v>
      </c>
    </row>
    <row r="823" spans="1:19" ht="47.25" hidden="1" customHeight="1" x14ac:dyDescent="0.25">
      <c r="A823" s="22" t="s">
        <v>1855</v>
      </c>
      <c r="B823" s="3" t="s">
        <v>988</v>
      </c>
      <c r="C823" s="3" t="s">
        <v>1212</v>
      </c>
      <c r="D823" s="3" t="s">
        <v>1222</v>
      </c>
      <c r="E823" s="3" t="s">
        <v>1223</v>
      </c>
      <c r="F823" s="3">
        <f>VLOOKUP(Table1[[#This Row],[Column2]], TAXONOMY_TYPE, 2, FALSE)</f>
        <v>9802</v>
      </c>
      <c r="G823" s="3">
        <v>31</v>
      </c>
      <c r="H823" s="3" t="s">
        <v>991</v>
      </c>
      <c r="I823" s="3">
        <f>VLOOKUP(Table1[[#This Row],[Provider Type]] &amp; Table1[[#This Row],[Provider Type Description]], PROVIDER_TYPE, 2, FALSE)</f>
        <v>114</v>
      </c>
      <c r="J823" s="3">
        <v>337</v>
      </c>
      <c r="K823" s="3" t="s">
        <v>1221</v>
      </c>
      <c r="L823" s="3">
        <f>VLOOKUP(TRIM(Table1[[#This Row],[Provider Specialty]]) &amp; TRIM(Table1[[#This Row],[Provider Specialty Description]]), SPECIALTY_TYPE, 2, FALSE)</f>
        <v>2097</v>
      </c>
      <c r="M823" s="3" t="s">
        <v>19</v>
      </c>
      <c r="N823" s="27" t="s">
        <v>19</v>
      </c>
      <c r="O823" s="38">
        <f>VLOOKUP(TRIM(Table1[[#This Row],[Provider Specialty]]) &amp; TRIM(Table1[[#This Row],[Provider Specialty Description]]), SPECIALTY_TYPE, 2, FALSE)</f>
        <v>2097</v>
      </c>
      <c r="P823" s="3" t="str">
        <f>Table1[[#This Row],[Provider Type]] &amp; "+" &amp; Table1[[#This Row],[Provider Type Description]]</f>
        <v>31+Physician</v>
      </c>
      <c r="Q823" s="7" t="str">
        <f>Table1[[#This Row],[Provider Specialty]] &amp; "+" &amp; Table1[[#This Row],[Provider Specialty Description]]</f>
        <v>337+Plastic Surgeon</v>
      </c>
      <c r="R823" s="7" t="str">
        <f>Table1[[#This Row],[PDMS Specialty Type ID]] &amp; "+" &amp; Table1[[#This Row],[PDMS Provider Type ID]] &amp; "+" &amp;Table1[[#This Row],[TAXONOMY]]</f>
        <v>2097+114+207YX0007X</v>
      </c>
      <c r="S8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(9802, 2097, 114, N'207YX0007X', N'Otolaryngology - Plastic Surgery within the Head &amp; Neck')</v>
      </c>
    </row>
    <row r="824" spans="1:19" ht="47.25" hidden="1" customHeight="1" x14ac:dyDescent="0.25">
      <c r="A824" s="22" t="s">
        <v>1854</v>
      </c>
      <c r="B824" s="3" t="s">
        <v>988</v>
      </c>
      <c r="C824" s="3" t="s">
        <v>1212</v>
      </c>
      <c r="D824" s="3" t="s">
        <v>1222</v>
      </c>
      <c r="E824" s="3" t="s">
        <v>1223</v>
      </c>
      <c r="F824" s="3">
        <f>VLOOKUP(Table1[[#This Row],[Column2]], TAXONOMY_TYPE, 2, FALSE)</f>
        <v>9803</v>
      </c>
      <c r="G824" s="3">
        <v>32</v>
      </c>
      <c r="H824" s="3" t="s">
        <v>1444</v>
      </c>
      <c r="I824" s="3">
        <f>VLOOKUP(Table1[[#This Row],[Provider Type]] &amp; Table1[[#This Row],[Provider Type Description]], PROVIDER_TYPE, 2, FALSE)</f>
        <v>50</v>
      </c>
      <c r="J824" s="3">
        <v>337</v>
      </c>
      <c r="K824" s="3" t="s">
        <v>1221</v>
      </c>
      <c r="L824" s="3">
        <f>VLOOKUP(TRIM(Table1[[#This Row],[Provider Specialty]]) &amp; TRIM(Table1[[#This Row],[Provider Specialty Description]]), SPECIALTY_TYPE, 2, FALSE)</f>
        <v>2097</v>
      </c>
      <c r="M824" s="3" t="s">
        <v>18</v>
      </c>
      <c r="N824" s="27" t="s">
        <v>19</v>
      </c>
      <c r="O824" s="38">
        <f>VLOOKUP(TRIM(Table1[[#This Row],[Provider Specialty]]) &amp; TRIM(Table1[[#This Row],[Provider Specialty Description]]), SPECIALTY_TYPE, 2, FALSE)</f>
        <v>2097</v>
      </c>
      <c r="P824" s="3" t="str">
        <f>Table1[[#This Row],[Provider Type]] &amp; "+" &amp; Table1[[#This Row],[Provider Type Description]]</f>
        <v>32+Multi-Specialty</v>
      </c>
      <c r="Q824" s="7" t="str">
        <f>Table1[[#This Row],[Provider Specialty]] &amp; "+" &amp; Table1[[#This Row],[Provider Specialty Description]]</f>
        <v>337+Plastic Surgeon</v>
      </c>
      <c r="R824" s="7" t="str">
        <f>Table1[[#This Row],[PDMS Specialty Type ID]] &amp; "+" &amp; Table1[[#This Row],[PDMS Provider Type ID]] &amp; "+" &amp;Table1[[#This Row],[TAXONOMY]]</f>
        <v>2097+50+207YX0007X</v>
      </c>
      <c r="S8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(9803, 2097, 50, N'207YX0007X', N'Otolaryngology - Plastic Surgery within the Head &amp; Neck')</v>
      </c>
    </row>
    <row r="825" spans="1:19" ht="47.25" hidden="1" customHeight="1" x14ac:dyDescent="0.25">
      <c r="A825" s="22" t="s">
        <v>1854</v>
      </c>
      <c r="B825" s="3" t="s">
        <v>988</v>
      </c>
      <c r="C825" s="3" t="s">
        <v>1212</v>
      </c>
      <c r="D825" s="3" t="s">
        <v>1222</v>
      </c>
      <c r="E825" s="3" t="s">
        <v>1223</v>
      </c>
      <c r="F825" s="3">
        <f>VLOOKUP(Table1[[#This Row],[Column2]], TAXONOMY_TYPE, 2, FALSE)</f>
        <v>9804</v>
      </c>
      <c r="G825" s="3">
        <v>33</v>
      </c>
      <c r="H825" s="3" t="s">
        <v>1953</v>
      </c>
      <c r="I825" s="3">
        <f>VLOOKUP(Table1[[#This Row],[Provider Type]] &amp; Table1[[#This Row],[Provider Type Description]], PROVIDER_TYPE, 2, FALSE)</f>
        <v>51</v>
      </c>
      <c r="J825" s="3">
        <v>337</v>
      </c>
      <c r="K825" s="3" t="s">
        <v>1221</v>
      </c>
      <c r="L825" s="3">
        <f>VLOOKUP(TRIM(Table1[[#This Row],[Provider Specialty]]) &amp; TRIM(Table1[[#This Row],[Provider Specialty Description]]), SPECIALTY_TYPE, 2, FALSE)</f>
        <v>2097</v>
      </c>
      <c r="M825" s="3" t="s">
        <v>18</v>
      </c>
      <c r="N825" s="27" t="s">
        <v>19</v>
      </c>
      <c r="O825" s="38">
        <f>VLOOKUP(TRIM(Table1[[#This Row],[Provider Specialty]]) &amp; TRIM(Table1[[#This Row],[Provider Specialty Description]]), SPECIALTY_TYPE, 2, FALSE)</f>
        <v>2097</v>
      </c>
      <c r="P825" s="3" t="str">
        <f>Table1[[#This Row],[Provider Type]] &amp; "+" &amp; Table1[[#This Row],[Provider Type Description]]</f>
        <v>33+Single-Specialty</v>
      </c>
      <c r="Q825" s="7" t="str">
        <f>Table1[[#This Row],[Provider Specialty]] &amp; "+" &amp; Table1[[#This Row],[Provider Specialty Description]]</f>
        <v>337+Plastic Surgeon</v>
      </c>
      <c r="R825" s="7" t="str">
        <f>Table1[[#This Row],[PDMS Specialty Type ID]] &amp; "+" &amp; Table1[[#This Row],[PDMS Provider Type ID]] &amp; "+" &amp;Table1[[#This Row],[TAXONOMY]]</f>
        <v>2097+51+207YX0007X</v>
      </c>
      <c r="S8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(9804, 2097, 51, N'207YX0007X', N'Otolaryngology - Plastic Surgery within the Head &amp; Neck')</v>
      </c>
    </row>
    <row r="826" spans="1:19" ht="47.25" hidden="1" customHeight="1" x14ac:dyDescent="0.25">
      <c r="A826" s="22" t="s">
        <v>1855</v>
      </c>
      <c r="B826" s="3" t="s">
        <v>988</v>
      </c>
      <c r="C826" s="3" t="s">
        <v>1212</v>
      </c>
      <c r="D826" s="3" t="s">
        <v>1228</v>
      </c>
      <c r="E826" s="3" t="s">
        <v>1229</v>
      </c>
      <c r="F826" s="3">
        <f>VLOOKUP(Table1[[#This Row],[Column2]], TAXONOMY_TYPE, 2, FALSE)</f>
        <v>9805</v>
      </c>
      <c r="G826" s="3">
        <v>31</v>
      </c>
      <c r="H826" s="3" t="s">
        <v>991</v>
      </c>
      <c r="I826" s="3">
        <f>VLOOKUP(Table1[[#This Row],[Provider Type]] &amp; Table1[[#This Row],[Provider Type Description]], PROVIDER_TYPE, 2, FALSE)</f>
        <v>114</v>
      </c>
      <c r="J826" s="3">
        <v>337</v>
      </c>
      <c r="K826" s="3" t="s">
        <v>1221</v>
      </c>
      <c r="L826" s="3">
        <f>VLOOKUP(TRIM(Table1[[#This Row],[Provider Specialty]]) &amp; TRIM(Table1[[#This Row],[Provider Specialty Description]]), SPECIALTY_TYPE, 2, FALSE)</f>
        <v>2097</v>
      </c>
      <c r="M826" s="3" t="s">
        <v>19</v>
      </c>
      <c r="N826" s="27" t="s">
        <v>19</v>
      </c>
      <c r="O826" s="38">
        <f>VLOOKUP(TRIM(Table1[[#This Row],[Provider Specialty]]) &amp; TRIM(Table1[[#This Row],[Provider Specialty Description]]), SPECIALTY_TYPE, 2, FALSE)</f>
        <v>2097</v>
      </c>
      <c r="P826" s="3" t="str">
        <f>Table1[[#This Row],[Provider Type]] &amp; "+" &amp; Table1[[#This Row],[Provider Type Description]]</f>
        <v>31+Physician</v>
      </c>
      <c r="Q826" s="7" t="str">
        <f>Table1[[#This Row],[Provider Specialty]] &amp; "+" &amp; Table1[[#This Row],[Provider Specialty Description]]</f>
        <v>337+Plastic Surgeon</v>
      </c>
      <c r="R826" s="7" t="str">
        <f>Table1[[#This Row],[PDMS Specialty Type ID]] &amp; "+" &amp; Table1[[#This Row],[PDMS Provider Type ID]] &amp; "+" &amp;Table1[[#This Row],[TAXONOMY]]</f>
        <v>2097+114+207YX0905X</v>
      </c>
      <c r="S8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(9805, 2097, 114, N'207YX0905X', N'Otolaryngology - Otolaryngology/Facial Plastic Surgery')</v>
      </c>
    </row>
    <row r="827" spans="1:19" ht="47.25" hidden="1" customHeight="1" x14ac:dyDescent="0.25">
      <c r="A827" s="22" t="s">
        <v>1854</v>
      </c>
      <c r="B827" s="3" t="s">
        <v>988</v>
      </c>
      <c r="C827" s="3" t="s">
        <v>1212</v>
      </c>
      <c r="D827" s="3" t="s">
        <v>1228</v>
      </c>
      <c r="E827" s="3" t="s">
        <v>1229</v>
      </c>
      <c r="F827" s="3">
        <f>VLOOKUP(Table1[[#This Row],[Column2]], TAXONOMY_TYPE, 2, FALSE)</f>
        <v>9806</v>
      </c>
      <c r="G827" s="3">
        <v>32</v>
      </c>
      <c r="H827" s="3" t="s">
        <v>1444</v>
      </c>
      <c r="I827" s="3">
        <f>VLOOKUP(Table1[[#This Row],[Provider Type]] &amp; Table1[[#This Row],[Provider Type Description]], PROVIDER_TYPE, 2, FALSE)</f>
        <v>50</v>
      </c>
      <c r="J827" s="3">
        <v>337</v>
      </c>
      <c r="K827" s="3" t="s">
        <v>1221</v>
      </c>
      <c r="L827" s="3">
        <f>VLOOKUP(TRIM(Table1[[#This Row],[Provider Specialty]]) &amp; TRIM(Table1[[#This Row],[Provider Specialty Description]]), SPECIALTY_TYPE, 2, FALSE)</f>
        <v>2097</v>
      </c>
      <c r="M827" s="3" t="s">
        <v>18</v>
      </c>
      <c r="N827" s="27" t="s">
        <v>19</v>
      </c>
      <c r="O827" s="38">
        <f>VLOOKUP(TRIM(Table1[[#This Row],[Provider Specialty]]) &amp; TRIM(Table1[[#This Row],[Provider Specialty Description]]), SPECIALTY_TYPE, 2, FALSE)</f>
        <v>2097</v>
      </c>
      <c r="P827" s="3" t="str">
        <f>Table1[[#This Row],[Provider Type]] &amp; "+" &amp; Table1[[#This Row],[Provider Type Description]]</f>
        <v>32+Multi-Specialty</v>
      </c>
      <c r="Q827" s="7" t="str">
        <f>Table1[[#This Row],[Provider Specialty]] &amp; "+" &amp; Table1[[#This Row],[Provider Specialty Description]]</f>
        <v>337+Plastic Surgeon</v>
      </c>
      <c r="R827" s="7" t="str">
        <f>Table1[[#This Row],[PDMS Specialty Type ID]] &amp; "+" &amp; Table1[[#This Row],[PDMS Provider Type ID]] &amp; "+" &amp;Table1[[#This Row],[TAXONOMY]]</f>
        <v>2097+50+207YX0905X</v>
      </c>
      <c r="S8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(9806, 2097, 50, N'207YX0905X', N'Otolaryngology - Otolaryngology/Facial Plastic Surgery')</v>
      </c>
    </row>
    <row r="828" spans="1:19" ht="47.25" hidden="1" customHeight="1" x14ac:dyDescent="0.25">
      <c r="A828" s="22" t="s">
        <v>1854</v>
      </c>
      <c r="B828" s="3" t="s">
        <v>988</v>
      </c>
      <c r="C828" s="3" t="s">
        <v>1212</v>
      </c>
      <c r="D828" s="3" t="s">
        <v>1228</v>
      </c>
      <c r="E828" s="3" t="s">
        <v>1229</v>
      </c>
      <c r="F828" s="3">
        <f>VLOOKUP(Table1[[#This Row],[Column2]], TAXONOMY_TYPE, 2, FALSE)</f>
        <v>9807</v>
      </c>
      <c r="G828" s="3">
        <v>33</v>
      </c>
      <c r="H828" s="3" t="s">
        <v>1953</v>
      </c>
      <c r="I828" s="3">
        <f>VLOOKUP(Table1[[#This Row],[Provider Type]] &amp; Table1[[#This Row],[Provider Type Description]], PROVIDER_TYPE, 2, FALSE)</f>
        <v>51</v>
      </c>
      <c r="J828" s="3">
        <v>337</v>
      </c>
      <c r="K828" s="3" t="s">
        <v>1221</v>
      </c>
      <c r="L828" s="3">
        <f>VLOOKUP(TRIM(Table1[[#This Row],[Provider Specialty]]) &amp; TRIM(Table1[[#This Row],[Provider Specialty Description]]), SPECIALTY_TYPE, 2, FALSE)</f>
        <v>2097</v>
      </c>
      <c r="M828" s="3" t="s">
        <v>18</v>
      </c>
      <c r="N828" s="27" t="s">
        <v>19</v>
      </c>
      <c r="O828" s="38">
        <f>VLOOKUP(TRIM(Table1[[#This Row],[Provider Specialty]]) &amp; TRIM(Table1[[#This Row],[Provider Specialty Description]]), SPECIALTY_TYPE, 2, FALSE)</f>
        <v>2097</v>
      </c>
      <c r="P828" s="3" t="str">
        <f>Table1[[#This Row],[Provider Type]] &amp; "+" &amp; Table1[[#This Row],[Provider Type Description]]</f>
        <v>33+Single-Specialty</v>
      </c>
      <c r="Q828" s="7" t="str">
        <f>Table1[[#This Row],[Provider Specialty]] &amp; "+" &amp; Table1[[#This Row],[Provider Specialty Description]]</f>
        <v>337+Plastic Surgeon</v>
      </c>
      <c r="R828" s="7" t="str">
        <f>Table1[[#This Row],[PDMS Specialty Type ID]] &amp; "+" &amp; Table1[[#This Row],[PDMS Provider Type ID]] &amp; "+" &amp;Table1[[#This Row],[TAXONOMY]]</f>
        <v>2097+51+207YX0905X</v>
      </c>
      <c r="S8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(9807, 2097, 51, N'207YX0905X', N'Otolaryngology - Otolaryngology/Facial Plastic Surgery')</v>
      </c>
    </row>
    <row r="829" spans="1:19" ht="47.25" hidden="1" customHeight="1" x14ac:dyDescent="0.25">
      <c r="A829" s="22" t="s">
        <v>1855</v>
      </c>
      <c r="B829" s="3" t="s">
        <v>988</v>
      </c>
      <c r="C829" s="3" t="s">
        <v>643</v>
      </c>
      <c r="D829" s="3" t="s">
        <v>643</v>
      </c>
      <c r="E829" s="3" t="s">
        <v>1314</v>
      </c>
      <c r="F829" s="3">
        <f>VLOOKUP(Table1[[#This Row],[Column2]], TAXONOMY_TYPE, 2, FALSE)</f>
        <v>9808</v>
      </c>
      <c r="G829" s="3">
        <v>31</v>
      </c>
      <c r="H829" s="3" t="s">
        <v>991</v>
      </c>
      <c r="I829" s="3">
        <f>VLOOKUP(Table1[[#This Row],[Provider Type]] &amp; Table1[[#This Row],[Provider Type Description]], PROVIDER_TYPE, 2, FALSE)</f>
        <v>114</v>
      </c>
      <c r="J829" s="3">
        <v>337</v>
      </c>
      <c r="K829" s="3" t="s">
        <v>1221</v>
      </c>
      <c r="L829" s="3">
        <f>VLOOKUP(TRIM(Table1[[#This Row],[Provider Specialty]]) &amp; TRIM(Table1[[#This Row],[Provider Specialty Description]]), SPECIALTY_TYPE, 2, FALSE)</f>
        <v>2097</v>
      </c>
      <c r="M829" s="3" t="s">
        <v>19</v>
      </c>
      <c r="N829" s="27" t="s">
        <v>19</v>
      </c>
      <c r="O829" s="38">
        <f>VLOOKUP(TRIM(Table1[[#This Row],[Provider Specialty]]) &amp; TRIM(Table1[[#This Row],[Provider Specialty Description]]), SPECIALTY_TYPE, 2, FALSE)</f>
        <v>2097</v>
      </c>
      <c r="P829" s="3" t="str">
        <f>Table1[[#This Row],[Provider Type]] &amp; "+" &amp; Table1[[#This Row],[Provider Type Description]]</f>
        <v>31+Physician</v>
      </c>
      <c r="Q829" s="7" t="str">
        <f>Table1[[#This Row],[Provider Specialty]] &amp; "+" &amp; Table1[[#This Row],[Provider Specialty Description]]</f>
        <v>337+Plastic Surgeon</v>
      </c>
      <c r="R829" s="7" t="str">
        <f>Table1[[#This Row],[PDMS Specialty Type ID]] &amp; "+" &amp; Table1[[#This Row],[PDMS Provider Type ID]] &amp; "+" &amp;Table1[[#This Row],[TAXONOMY]]</f>
        <v>2097+114+208200000X</v>
      </c>
      <c r="S8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(9808, 2097, 114, N'208200000X', N'Plastic Surgery - Plastic Surgery')</v>
      </c>
    </row>
    <row r="830" spans="1:19" ht="47.25" hidden="1" customHeight="1" x14ac:dyDescent="0.25">
      <c r="A830" s="22" t="s">
        <v>1854</v>
      </c>
      <c r="B830" s="3" t="s">
        <v>988</v>
      </c>
      <c r="C830" s="3" t="s">
        <v>643</v>
      </c>
      <c r="D830" s="3" t="s">
        <v>643</v>
      </c>
      <c r="E830" s="3" t="s">
        <v>1314</v>
      </c>
      <c r="F830" s="3">
        <f>VLOOKUP(Table1[[#This Row],[Column2]], TAXONOMY_TYPE, 2, FALSE)</f>
        <v>9809</v>
      </c>
      <c r="G830" s="3">
        <v>32</v>
      </c>
      <c r="H830" s="3" t="s">
        <v>1444</v>
      </c>
      <c r="I830" s="3">
        <f>VLOOKUP(Table1[[#This Row],[Provider Type]] &amp; Table1[[#This Row],[Provider Type Description]], PROVIDER_TYPE, 2, FALSE)</f>
        <v>50</v>
      </c>
      <c r="J830" s="3">
        <v>337</v>
      </c>
      <c r="K830" s="3" t="s">
        <v>1221</v>
      </c>
      <c r="L830" s="3">
        <f>VLOOKUP(TRIM(Table1[[#This Row],[Provider Specialty]]) &amp; TRIM(Table1[[#This Row],[Provider Specialty Description]]), SPECIALTY_TYPE, 2, FALSE)</f>
        <v>2097</v>
      </c>
      <c r="M830" s="3" t="s">
        <v>18</v>
      </c>
      <c r="N830" s="27" t="s">
        <v>19</v>
      </c>
      <c r="O830" s="38">
        <f>VLOOKUP(TRIM(Table1[[#This Row],[Provider Specialty]]) &amp; TRIM(Table1[[#This Row],[Provider Specialty Description]]), SPECIALTY_TYPE, 2, FALSE)</f>
        <v>2097</v>
      </c>
      <c r="P830" s="3" t="str">
        <f>Table1[[#This Row],[Provider Type]] &amp; "+" &amp; Table1[[#This Row],[Provider Type Description]]</f>
        <v>32+Multi-Specialty</v>
      </c>
      <c r="Q830" s="7" t="str">
        <f>Table1[[#This Row],[Provider Specialty]] &amp; "+" &amp; Table1[[#This Row],[Provider Specialty Description]]</f>
        <v>337+Plastic Surgeon</v>
      </c>
      <c r="R830" s="7" t="str">
        <f>Table1[[#This Row],[PDMS Specialty Type ID]] &amp; "+" &amp; Table1[[#This Row],[PDMS Provider Type ID]] &amp; "+" &amp;Table1[[#This Row],[TAXONOMY]]</f>
        <v>2097+50+208200000X</v>
      </c>
      <c r="S8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(9809, 2097, 50, N'208200000X', N'Plastic Surgery - Plastic Surgery')</v>
      </c>
    </row>
    <row r="831" spans="1:19" ht="47.25" hidden="1" customHeight="1" x14ac:dyDescent="0.25">
      <c r="A831" s="22" t="s">
        <v>1854</v>
      </c>
      <c r="B831" s="3" t="s">
        <v>988</v>
      </c>
      <c r="C831" s="3" t="s">
        <v>643</v>
      </c>
      <c r="D831" s="3" t="s">
        <v>643</v>
      </c>
      <c r="E831" s="3" t="s">
        <v>1314</v>
      </c>
      <c r="F831" s="3">
        <f>VLOOKUP(Table1[[#This Row],[Column2]], TAXONOMY_TYPE, 2, FALSE)</f>
        <v>9810</v>
      </c>
      <c r="G831" s="3">
        <v>33</v>
      </c>
      <c r="H831" s="3" t="s">
        <v>1953</v>
      </c>
      <c r="I831" s="3">
        <f>VLOOKUP(Table1[[#This Row],[Provider Type]] &amp; Table1[[#This Row],[Provider Type Description]], PROVIDER_TYPE, 2, FALSE)</f>
        <v>51</v>
      </c>
      <c r="J831" s="3">
        <v>337</v>
      </c>
      <c r="K831" s="3" t="s">
        <v>1221</v>
      </c>
      <c r="L831" s="3">
        <f>VLOOKUP(TRIM(Table1[[#This Row],[Provider Specialty]]) &amp; TRIM(Table1[[#This Row],[Provider Specialty Description]]), SPECIALTY_TYPE, 2, FALSE)</f>
        <v>2097</v>
      </c>
      <c r="M831" s="3" t="s">
        <v>18</v>
      </c>
      <c r="N831" s="27" t="s">
        <v>19</v>
      </c>
      <c r="O831" s="38">
        <f>VLOOKUP(TRIM(Table1[[#This Row],[Provider Specialty]]) &amp; TRIM(Table1[[#This Row],[Provider Specialty Description]]), SPECIALTY_TYPE, 2, FALSE)</f>
        <v>2097</v>
      </c>
      <c r="P831" s="3" t="str">
        <f>Table1[[#This Row],[Provider Type]] &amp; "+" &amp; Table1[[#This Row],[Provider Type Description]]</f>
        <v>33+Single-Specialty</v>
      </c>
      <c r="Q831" s="7" t="str">
        <f>Table1[[#This Row],[Provider Specialty]] &amp; "+" &amp; Table1[[#This Row],[Provider Specialty Description]]</f>
        <v>337+Plastic Surgeon</v>
      </c>
      <c r="R831" s="7" t="str">
        <f>Table1[[#This Row],[PDMS Specialty Type ID]] &amp; "+" &amp; Table1[[#This Row],[PDMS Provider Type ID]] &amp; "+" &amp;Table1[[#This Row],[TAXONOMY]]</f>
        <v>2097+51+208200000X</v>
      </c>
      <c r="S8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(9810, 2097, 51, N'208200000X', N'Plastic Surgery - Plastic Surgery')</v>
      </c>
    </row>
    <row r="832" spans="1:19" ht="47.25" hidden="1" customHeight="1" x14ac:dyDescent="0.25">
      <c r="A832" s="22" t="s">
        <v>1855</v>
      </c>
      <c r="B832" s="3" t="s">
        <v>988</v>
      </c>
      <c r="C832" s="3" t="s">
        <v>643</v>
      </c>
      <c r="D832" s="3" t="s">
        <v>1315</v>
      </c>
      <c r="E832" s="3" t="s">
        <v>1316</v>
      </c>
      <c r="F832" s="3">
        <f>VLOOKUP(Table1[[#This Row],[Column2]], TAXONOMY_TYPE, 2, FALSE)</f>
        <v>9811</v>
      </c>
      <c r="G832" s="3">
        <v>31</v>
      </c>
      <c r="H832" s="3" t="s">
        <v>991</v>
      </c>
      <c r="I832" s="3">
        <f>VLOOKUP(Table1[[#This Row],[Provider Type]] &amp; Table1[[#This Row],[Provider Type Description]], PROVIDER_TYPE, 2, FALSE)</f>
        <v>114</v>
      </c>
      <c r="J832" s="3">
        <v>337</v>
      </c>
      <c r="K832" s="3" t="s">
        <v>1221</v>
      </c>
      <c r="L832" s="3">
        <f>VLOOKUP(TRIM(Table1[[#This Row],[Provider Specialty]]) &amp; TRIM(Table1[[#This Row],[Provider Specialty Description]]), SPECIALTY_TYPE, 2, FALSE)</f>
        <v>2097</v>
      </c>
      <c r="M832" s="3" t="s">
        <v>19</v>
      </c>
      <c r="N832" s="27" t="s">
        <v>19</v>
      </c>
      <c r="O832" s="38">
        <f>VLOOKUP(TRIM(Table1[[#This Row],[Provider Specialty]]) &amp; TRIM(Table1[[#This Row],[Provider Specialty Description]]), SPECIALTY_TYPE, 2, FALSE)</f>
        <v>2097</v>
      </c>
      <c r="P832" s="3" t="str">
        <f>Table1[[#This Row],[Provider Type]] &amp; "+" &amp; Table1[[#This Row],[Provider Type Description]]</f>
        <v>31+Physician</v>
      </c>
      <c r="Q832" s="7" t="str">
        <f>Table1[[#This Row],[Provider Specialty]] &amp; "+" &amp; Table1[[#This Row],[Provider Specialty Description]]</f>
        <v>337+Plastic Surgeon</v>
      </c>
      <c r="R832" s="7" t="str">
        <f>Table1[[#This Row],[PDMS Specialty Type ID]] &amp; "+" &amp; Table1[[#This Row],[PDMS Provider Type ID]] &amp; "+" &amp;Table1[[#This Row],[TAXONOMY]]</f>
        <v>2097+114+2082S0099X</v>
      </c>
      <c r="S8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(9811, 2097, 114, N'2082S0099X', N'Plastic Surgery - Plastic Surgery Within the Head and Neck')</v>
      </c>
    </row>
    <row r="833" spans="1:19" ht="47.25" hidden="1" customHeight="1" x14ac:dyDescent="0.25">
      <c r="A833" s="22" t="s">
        <v>1854</v>
      </c>
      <c r="B833" s="3" t="s">
        <v>988</v>
      </c>
      <c r="C833" s="3" t="s">
        <v>643</v>
      </c>
      <c r="D833" s="3" t="s">
        <v>1315</v>
      </c>
      <c r="E833" s="3" t="s">
        <v>1316</v>
      </c>
      <c r="F833" s="3">
        <f>VLOOKUP(Table1[[#This Row],[Column2]], TAXONOMY_TYPE, 2, FALSE)</f>
        <v>9812</v>
      </c>
      <c r="G833" s="3">
        <v>32</v>
      </c>
      <c r="H833" s="3" t="s">
        <v>1444</v>
      </c>
      <c r="I833" s="3">
        <f>VLOOKUP(Table1[[#This Row],[Provider Type]] &amp; Table1[[#This Row],[Provider Type Description]], PROVIDER_TYPE, 2, FALSE)</f>
        <v>50</v>
      </c>
      <c r="J833" s="3">
        <v>337</v>
      </c>
      <c r="K833" s="3" t="s">
        <v>1221</v>
      </c>
      <c r="L833" s="3">
        <f>VLOOKUP(TRIM(Table1[[#This Row],[Provider Specialty]]) &amp; TRIM(Table1[[#This Row],[Provider Specialty Description]]), SPECIALTY_TYPE, 2, FALSE)</f>
        <v>2097</v>
      </c>
      <c r="M833" s="3" t="s">
        <v>18</v>
      </c>
      <c r="N833" s="27" t="s">
        <v>19</v>
      </c>
      <c r="O833" s="38">
        <f>VLOOKUP(TRIM(Table1[[#This Row],[Provider Specialty]]) &amp; TRIM(Table1[[#This Row],[Provider Specialty Description]]), SPECIALTY_TYPE, 2, FALSE)</f>
        <v>2097</v>
      </c>
      <c r="P833" s="3" t="str">
        <f>Table1[[#This Row],[Provider Type]] &amp; "+" &amp; Table1[[#This Row],[Provider Type Description]]</f>
        <v>32+Multi-Specialty</v>
      </c>
      <c r="Q833" s="7" t="str">
        <f>Table1[[#This Row],[Provider Specialty]] &amp; "+" &amp; Table1[[#This Row],[Provider Specialty Description]]</f>
        <v>337+Plastic Surgeon</v>
      </c>
      <c r="R833" s="7" t="str">
        <f>Table1[[#This Row],[PDMS Specialty Type ID]] &amp; "+" &amp; Table1[[#This Row],[PDMS Provider Type ID]] &amp; "+" &amp;Table1[[#This Row],[TAXONOMY]]</f>
        <v>2097+50+2082S0099X</v>
      </c>
      <c r="S8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(9812, 2097, 50, N'2082S0099X', N'Plastic Surgery - Plastic Surgery Within the Head and Neck')</v>
      </c>
    </row>
    <row r="834" spans="1:19" ht="47.25" hidden="1" customHeight="1" x14ac:dyDescent="0.25">
      <c r="A834" s="22" t="s">
        <v>1854</v>
      </c>
      <c r="B834" s="3" t="s">
        <v>988</v>
      </c>
      <c r="C834" s="3" t="s">
        <v>643</v>
      </c>
      <c r="D834" s="3" t="s">
        <v>1315</v>
      </c>
      <c r="E834" s="3" t="s">
        <v>1316</v>
      </c>
      <c r="F834" s="3">
        <f>VLOOKUP(Table1[[#This Row],[Column2]], TAXONOMY_TYPE, 2, FALSE)</f>
        <v>9813</v>
      </c>
      <c r="G834" s="3">
        <v>33</v>
      </c>
      <c r="H834" s="3" t="s">
        <v>1953</v>
      </c>
      <c r="I834" s="3">
        <f>VLOOKUP(Table1[[#This Row],[Provider Type]] &amp; Table1[[#This Row],[Provider Type Description]], PROVIDER_TYPE, 2, FALSE)</f>
        <v>51</v>
      </c>
      <c r="J834" s="3">
        <v>337</v>
      </c>
      <c r="K834" s="3" t="s">
        <v>1221</v>
      </c>
      <c r="L834" s="3">
        <f>VLOOKUP(TRIM(Table1[[#This Row],[Provider Specialty]]) &amp; TRIM(Table1[[#This Row],[Provider Specialty Description]]), SPECIALTY_TYPE, 2, FALSE)</f>
        <v>2097</v>
      </c>
      <c r="M834" s="3" t="s">
        <v>18</v>
      </c>
      <c r="N834" s="27" t="s">
        <v>19</v>
      </c>
      <c r="O834" s="38">
        <f>VLOOKUP(TRIM(Table1[[#This Row],[Provider Specialty]]) &amp; TRIM(Table1[[#This Row],[Provider Specialty Description]]), SPECIALTY_TYPE, 2, FALSE)</f>
        <v>2097</v>
      </c>
      <c r="P834" s="3" t="str">
        <f>Table1[[#This Row],[Provider Type]] &amp; "+" &amp; Table1[[#This Row],[Provider Type Description]]</f>
        <v>33+Single-Specialty</v>
      </c>
      <c r="Q834" s="7" t="str">
        <f>Table1[[#This Row],[Provider Specialty]] &amp; "+" &amp; Table1[[#This Row],[Provider Specialty Description]]</f>
        <v>337+Plastic Surgeon</v>
      </c>
      <c r="R834" s="7" t="str">
        <f>Table1[[#This Row],[PDMS Specialty Type ID]] &amp; "+" &amp; Table1[[#This Row],[PDMS Provider Type ID]] &amp; "+" &amp;Table1[[#This Row],[TAXONOMY]]</f>
        <v>2097+51+2082S0099X</v>
      </c>
      <c r="S8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(9813, 2097, 51, N'2082S0099X', N'Plastic Surgery - Plastic Surgery Within the Head and Neck')</v>
      </c>
    </row>
    <row r="835" spans="1:19" ht="47.25" hidden="1" customHeight="1" x14ac:dyDescent="0.25">
      <c r="A835" s="22" t="s">
        <v>1855</v>
      </c>
      <c r="B835" s="3" t="s">
        <v>988</v>
      </c>
      <c r="C835" s="3" t="s">
        <v>1048</v>
      </c>
      <c r="D835" s="3" t="s">
        <v>1394</v>
      </c>
      <c r="E835" s="3" t="s">
        <v>1395</v>
      </c>
      <c r="F835" s="3">
        <f>VLOOKUP(Table1[[#This Row],[Column2]], TAXONOMY_TYPE, 2, FALSE)</f>
        <v>9814</v>
      </c>
      <c r="G835" s="3">
        <v>31</v>
      </c>
      <c r="H835" s="3" t="s">
        <v>991</v>
      </c>
      <c r="I835" s="3">
        <f>VLOOKUP(Table1[[#This Row],[Provider Type]] &amp; Table1[[#This Row],[Provider Type Description]], PROVIDER_TYPE, 2, FALSE)</f>
        <v>114</v>
      </c>
      <c r="J835" s="3">
        <v>337</v>
      </c>
      <c r="K835" s="3" t="s">
        <v>1221</v>
      </c>
      <c r="L835" s="3">
        <f>VLOOKUP(TRIM(Table1[[#This Row],[Provider Specialty]]) &amp; TRIM(Table1[[#This Row],[Provider Specialty Description]]), SPECIALTY_TYPE, 2, FALSE)</f>
        <v>2097</v>
      </c>
      <c r="M835" s="3" t="s">
        <v>19</v>
      </c>
      <c r="N835" s="27" t="s">
        <v>19</v>
      </c>
      <c r="O835" s="38">
        <f>VLOOKUP(TRIM(Table1[[#This Row],[Provider Specialty]]) &amp; TRIM(Table1[[#This Row],[Provider Specialty Description]]), SPECIALTY_TYPE, 2, FALSE)</f>
        <v>2097</v>
      </c>
      <c r="P835" s="3" t="str">
        <f>Table1[[#This Row],[Provider Type]] &amp; "+" &amp; Table1[[#This Row],[Provider Type Description]]</f>
        <v>31+Physician</v>
      </c>
      <c r="Q835" s="7" t="str">
        <f>Table1[[#This Row],[Provider Specialty]] &amp; "+" &amp; Table1[[#This Row],[Provider Specialty Description]]</f>
        <v>337+Plastic Surgeon</v>
      </c>
      <c r="R835" s="7" t="str">
        <f>Table1[[#This Row],[PDMS Specialty Type ID]] &amp; "+" &amp; Table1[[#This Row],[PDMS Provider Type ID]] &amp; "+" &amp;Table1[[#This Row],[TAXONOMY]]</f>
        <v>2097+114+2086S0122X</v>
      </c>
      <c r="S8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(9814, 2097, 114, N'2086S0122X', N'Surgery - Plastic and Reconstructive Surgery')</v>
      </c>
    </row>
    <row r="836" spans="1:19" ht="47.25" hidden="1" customHeight="1" x14ac:dyDescent="0.25">
      <c r="A836" s="22" t="s">
        <v>1854</v>
      </c>
      <c r="B836" s="3" t="s">
        <v>988</v>
      </c>
      <c r="C836" s="3" t="s">
        <v>1048</v>
      </c>
      <c r="D836" s="3" t="s">
        <v>1394</v>
      </c>
      <c r="E836" s="3" t="s">
        <v>1395</v>
      </c>
      <c r="F836" s="3">
        <f>VLOOKUP(Table1[[#This Row],[Column2]], TAXONOMY_TYPE, 2, FALSE)</f>
        <v>9815</v>
      </c>
      <c r="G836" s="3">
        <v>32</v>
      </c>
      <c r="H836" s="3" t="s">
        <v>1444</v>
      </c>
      <c r="I836" s="3">
        <f>VLOOKUP(Table1[[#This Row],[Provider Type]] &amp; Table1[[#This Row],[Provider Type Description]], PROVIDER_TYPE, 2, FALSE)</f>
        <v>50</v>
      </c>
      <c r="J836" s="3">
        <v>337</v>
      </c>
      <c r="K836" s="3" t="s">
        <v>1221</v>
      </c>
      <c r="L836" s="3">
        <f>VLOOKUP(TRIM(Table1[[#This Row],[Provider Specialty]]) &amp; TRIM(Table1[[#This Row],[Provider Specialty Description]]), SPECIALTY_TYPE, 2, FALSE)</f>
        <v>2097</v>
      </c>
      <c r="M836" s="3" t="s">
        <v>18</v>
      </c>
      <c r="N836" s="27" t="s">
        <v>19</v>
      </c>
      <c r="O836" s="38">
        <f>VLOOKUP(TRIM(Table1[[#This Row],[Provider Specialty]]) &amp; TRIM(Table1[[#This Row],[Provider Specialty Description]]), SPECIALTY_TYPE, 2, FALSE)</f>
        <v>2097</v>
      </c>
      <c r="P836" s="3" t="str">
        <f>Table1[[#This Row],[Provider Type]] &amp; "+" &amp; Table1[[#This Row],[Provider Type Description]]</f>
        <v>32+Multi-Specialty</v>
      </c>
      <c r="Q836" s="7" t="str">
        <f>Table1[[#This Row],[Provider Specialty]] &amp; "+" &amp; Table1[[#This Row],[Provider Specialty Description]]</f>
        <v>337+Plastic Surgeon</v>
      </c>
      <c r="R836" s="7" t="str">
        <f>Table1[[#This Row],[PDMS Specialty Type ID]] &amp; "+" &amp; Table1[[#This Row],[PDMS Provider Type ID]] &amp; "+" &amp;Table1[[#This Row],[TAXONOMY]]</f>
        <v>2097+50+2086S0122X</v>
      </c>
      <c r="S8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(9815, 2097, 50, N'2086S0122X', N'Surgery - Plastic and Reconstructive Surgery')</v>
      </c>
    </row>
    <row r="837" spans="1:19" ht="47.25" hidden="1" customHeight="1" x14ac:dyDescent="0.25">
      <c r="A837" s="22" t="s">
        <v>1854</v>
      </c>
      <c r="B837" s="3" t="s">
        <v>988</v>
      </c>
      <c r="C837" s="3" t="s">
        <v>1048</v>
      </c>
      <c r="D837" s="3" t="s">
        <v>1394</v>
      </c>
      <c r="E837" s="3" t="s">
        <v>1395</v>
      </c>
      <c r="F837" s="3">
        <f>VLOOKUP(Table1[[#This Row],[Column2]], TAXONOMY_TYPE, 2, FALSE)</f>
        <v>9816</v>
      </c>
      <c r="G837" s="3">
        <v>33</v>
      </c>
      <c r="H837" s="3" t="s">
        <v>1953</v>
      </c>
      <c r="I837" s="3">
        <f>VLOOKUP(Table1[[#This Row],[Provider Type]] &amp; Table1[[#This Row],[Provider Type Description]], PROVIDER_TYPE, 2, FALSE)</f>
        <v>51</v>
      </c>
      <c r="J837" s="3">
        <v>337</v>
      </c>
      <c r="K837" s="3" t="s">
        <v>1221</v>
      </c>
      <c r="L837" s="3">
        <f>VLOOKUP(TRIM(Table1[[#This Row],[Provider Specialty]]) &amp; TRIM(Table1[[#This Row],[Provider Specialty Description]]), SPECIALTY_TYPE, 2, FALSE)</f>
        <v>2097</v>
      </c>
      <c r="M837" s="3" t="s">
        <v>18</v>
      </c>
      <c r="N837" s="27" t="s">
        <v>19</v>
      </c>
      <c r="O837" s="38">
        <f>VLOOKUP(TRIM(Table1[[#This Row],[Provider Specialty]]) &amp; TRIM(Table1[[#This Row],[Provider Specialty Description]]), SPECIALTY_TYPE, 2, FALSE)</f>
        <v>2097</v>
      </c>
      <c r="P837" s="3" t="str">
        <f>Table1[[#This Row],[Provider Type]] &amp; "+" &amp; Table1[[#This Row],[Provider Type Description]]</f>
        <v>33+Single-Specialty</v>
      </c>
      <c r="Q837" s="7" t="str">
        <f>Table1[[#This Row],[Provider Specialty]] &amp; "+" &amp; Table1[[#This Row],[Provider Specialty Description]]</f>
        <v>337+Plastic Surgeon</v>
      </c>
      <c r="R837" s="7" t="str">
        <f>Table1[[#This Row],[PDMS Specialty Type ID]] &amp; "+" &amp; Table1[[#This Row],[PDMS Provider Type ID]] &amp; "+" &amp;Table1[[#This Row],[TAXONOMY]]</f>
        <v>2097+51+2086S0122X</v>
      </c>
      <c r="S8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(9816, 2097, 51, N'2086S0122X', N'Surgery - Plastic and Reconstructive Surgery')</v>
      </c>
    </row>
    <row r="838" spans="1:19" ht="47.25" hidden="1" customHeight="1" x14ac:dyDescent="0.25">
      <c r="A838" s="22" t="s">
        <v>1855</v>
      </c>
      <c r="B838" s="3" t="s">
        <v>988</v>
      </c>
      <c r="C838" s="3" t="s">
        <v>1405</v>
      </c>
      <c r="D838" s="3" t="s">
        <v>1405</v>
      </c>
      <c r="E838" s="3" t="s">
        <v>1406</v>
      </c>
      <c r="F838" s="3">
        <f>VLOOKUP(Table1[[#This Row],[Column2]], TAXONOMY_TYPE, 2, FALSE)</f>
        <v>9817</v>
      </c>
      <c r="G838" s="3">
        <v>31</v>
      </c>
      <c r="H838" s="3" t="s">
        <v>991</v>
      </c>
      <c r="I838" s="3">
        <f>VLOOKUP(Table1[[#This Row],[Provider Type]] &amp; Table1[[#This Row],[Provider Type Description]], PROVIDER_TYPE, 2, FALSE)</f>
        <v>114</v>
      </c>
      <c r="J838" s="3">
        <v>338</v>
      </c>
      <c r="K838" s="3" t="s">
        <v>1407</v>
      </c>
      <c r="L838" s="3">
        <f>VLOOKUP(TRIM(Table1[[#This Row],[Provider Specialty]]) &amp; TRIM(Table1[[#This Row],[Provider Specialty Description]]), SPECIALTY_TYPE, 2, FALSE)</f>
        <v>2098</v>
      </c>
      <c r="M838" s="3" t="s">
        <v>19</v>
      </c>
      <c r="N838" s="27" t="s">
        <v>19</v>
      </c>
      <c r="O838" s="38">
        <f>VLOOKUP(TRIM(Table1[[#This Row],[Provider Specialty]]) &amp; TRIM(Table1[[#This Row],[Provider Specialty Description]]), SPECIALTY_TYPE, 2, FALSE)</f>
        <v>2098</v>
      </c>
      <c r="P838" s="3" t="str">
        <f>Table1[[#This Row],[Provider Type]] &amp; "+" &amp; Table1[[#This Row],[Provider Type Description]]</f>
        <v>31+Physician</v>
      </c>
      <c r="Q838" s="7" t="str">
        <f>Table1[[#This Row],[Provider Specialty]] &amp; "+" &amp; Table1[[#This Row],[Provider Specialty Description]]</f>
        <v>338+Proctologist</v>
      </c>
      <c r="R838" s="7" t="str">
        <f>Table1[[#This Row],[PDMS Specialty Type ID]] &amp; "+" &amp; Table1[[#This Row],[PDMS Provider Type ID]] &amp; "+" &amp;Table1[[#This Row],[TAXONOMY]]</f>
        <v>2098+114+208C00000X</v>
      </c>
      <c r="S8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(9817, 2098, 114, N'208C00000X', N'Colon &amp; Rectal Surgery - Colon &amp; Rectal Surgery')</v>
      </c>
    </row>
    <row r="839" spans="1:19" ht="47.25" hidden="1" customHeight="1" x14ac:dyDescent="0.25">
      <c r="A839" s="22" t="s">
        <v>1854</v>
      </c>
      <c r="B839" s="3" t="s">
        <v>988</v>
      </c>
      <c r="C839" s="3" t="s">
        <v>1405</v>
      </c>
      <c r="D839" s="3" t="s">
        <v>1405</v>
      </c>
      <c r="E839" s="3" t="s">
        <v>1406</v>
      </c>
      <c r="F839" s="3">
        <f>VLOOKUP(Table1[[#This Row],[Column2]], TAXONOMY_TYPE, 2, FALSE)</f>
        <v>9818</v>
      </c>
      <c r="G839" s="3">
        <v>32</v>
      </c>
      <c r="H839" s="3" t="s">
        <v>1444</v>
      </c>
      <c r="I839" s="3">
        <f>VLOOKUP(Table1[[#This Row],[Provider Type]] &amp; Table1[[#This Row],[Provider Type Description]], PROVIDER_TYPE, 2, FALSE)</f>
        <v>50</v>
      </c>
      <c r="J839" s="3">
        <v>338</v>
      </c>
      <c r="K839" s="3" t="s">
        <v>1407</v>
      </c>
      <c r="L839" s="3">
        <f>VLOOKUP(TRIM(Table1[[#This Row],[Provider Specialty]]) &amp; TRIM(Table1[[#This Row],[Provider Specialty Description]]), SPECIALTY_TYPE, 2, FALSE)</f>
        <v>2098</v>
      </c>
      <c r="M839" s="3" t="s">
        <v>18</v>
      </c>
      <c r="N839" s="27" t="s">
        <v>19</v>
      </c>
      <c r="O839" s="38">
        <f>VLOOKUP(TRIM(Table1[[#This Row],[Provider Specialty]]) &amp; TRIM(Table1[[#This Row],[Provider Specialty Description]]), SPECIALTY_TYPE, 2, FALSE)</f>
        <v>2098</v>
      </c>
      <c r="P839" s="3" t="str">
        <f>Table1[[#This Row],[Provider Type]] &amp; "+" &amp; Table1[[#This Row],[Provider Type Description]]</f>
        <v>32+Multi-Specialty</v>
      </c>
      <c r="Q839" s="7" t="str">
        <f>Table1[[#This Row],[Provider Specialty]] &amp; "+" &amp; Table1[[#This Row],[Provider Specialty Description]]</f>
        <v>338+Proctologist</v>
      </c>
      <c r="R839" s="7" t="str">
        <f>Table1[[#This Row],[PDMS Specialty Type ID]] &amp; "+" &amp; Table1[[#This Row],[PDMS Provider Type ID]] &amp; "+" &amp;Table1[[#This Row],[TAXONOMY]]</f>
        <v>2098+50+208C00000X</v>
      </c>
      <c r="S8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(9818, 2098, 50, N'208C00000X', N'Colon &amp; Rectal Surgery - Colon &amp; Rectal Surgery')</v>
      </c>
    </row>
    <row r="840" spans="1:19" ht="47.25" hidden="1" customHeight="1" x14ac:dyDescent="0.25">
      <c r="A840" s="22" t="s">
        <v>1854</v>
      </c>
      <c r="B840" s="3" t="s">
        <v>988</v>
      </c>
      <c r="C840" s="3" t="s">
        <v>1405</v>
      </c>
      <c r="D840" s="3" t="s">
        <v>1405</v>
      </c>
      <c r="E840" s="3" t="s">
        <v>1406</v>
      </c>
      <c r="F840" s="3">
        <f>VLOOKUP(Table1[[#This Row],[Column2]], TAXONOMY_TYPE, 2, FALSE)</f>
        <v>9819</v>
      </c>
      <c r="G840" s="3">
        <v>33</v>
      </c>
      <c r="H840" s="3" t="s">
        <v>1953</v>
      </c>
      <c r="I840" s="3">
        <f>VLOOKUP(Table1[[#This Row],[Provider Type]] &amp; Table1[[#This Row],[Provider Type Description]], PROVIDER_TYPE, 2, FALSE)</f>
        <v>51</v>
      </c>
      <c r="J840" s="3">
        <v>338</v>
      </c>
      <c r="K840" s="3" t="s">
        <v>1407</v>
      </c>
      <c r="L840" s="3">
        <f>VLOOKUP(TRIM(Table1[[#This Row],[Provider Specialty]]) &amp; TRIM(Table1[[#This Row],[Provider Specialty Description]]), SPECIALTY_TYPE, 2, FALSE)</f>
        <v>2098</v>
      </c>
      <c r="M840" s="3" t="s">
        <v>18</v>
      </c>
      <c r="N840" s="27" t="s">
        <v>19</v>
      </c>
      <c r="O840" s="38">
        <f>VLOOKUP(TRIM(Table1[[#This Row],[Provider Specialty]]) &amp; TRIM(Table1[[#This Row],[Provider Specialty Description]]), SPECIALTY_TYPE, 2, FALSE)</f>
        <v>2098</v>
      </c>
      <c r="P840" s="3" t="str">
        <f>Table1[[#This Row],[Provider Type]] &amp; "+" &amp; Table1[[#This Row],[Provider Type Description]]</f>
        <v>33+Single-Specialty</v>
      </c>
      <c r="Q840" s="7" t="str">
        <f>Table1[[#This Row],[Provider Specialty]] &amp; "+" &amp; Table1[[#This Row],[Provider Specialty Description]]</f>
        <v>338+Proctologist</v>
      </c>
      <c r="R840" s="7" t="str">
        <f>Table1[[#This Row],[PDMS Specialty Type ID]] &amp; "+" &amp; Table1[[#This Row],[PDMS Provider Type ID]] &amp; "+" &amp;Table1[[#This Row],[TAXONOMY]]</f>
        <v>2098+51+208C00000X</v>
      </c>
      <c r="S8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(9819, 2098, 51, N'208C00000X', N'Colon &amp; Rectal Surgery - Colon &amp; Rectal Surgery')</v>
      </c>
    </row>
    <row r="841" spans="1:19" ht="47.25" hidden="1" customHeight="1" x14ac:dyDescent="0.25">
      <c r="A841" s="22" t="s">
        <v>1855</v>
      </c>
      <c r="B841" s="3" t="s">
        <v>988</v>
      </c>
      <c r="C841" s="3" t="s">
        <v>1045</v>
      </c>
      <c r="D841" s="3" t="s">
        <v>1120</v>
      </c>
      <c r="E841" s="3" t="s">
        <v>1332</v>
      </c>
      <c r="F841" s="3">
        <f>VLOOKUP(Table1[[#This Row],[Column2]], TAXONOMY_TYPE, 2, FALSE)</f>
        <v>9820</v>
      </c>
      <c r="G841" s="3">
        <v>31</v>
      </c>
      <c r="H841" s="3" t="s">
        <v>991</v>
      </c>
      <c r="I841" s="3">
        <f>VLOOKUP(Table1[[#This Row],[Provider Type]] &amp; Table1[[#This Row],[Provider Type Description]], PROVIDER_TYPE, 2, FALSE)</f>
        <v>114</v>
      </c>
      <c r="J841" s="3">
        <v>339</v>
      </c>
      <c r="K841" s="3" t="s">
        <v>1338</v>
      </c>
      <c r="L841" s="3">
        <f>VLOOKUP(TRIM(Table1[[#This Row],[Provider Specialty]]) &amp; TRIM(Table1[[#This Row],[Provider Specialty Description]]), SPECIALTY_TYPE, 2, FALSE)</f>
        <v>2099</v>
      </c>
      <c r="M841" s="3" t="s">
        <v>19</v>
      </c>
      <c r="N841" s="27" t="s">
        <v>18</v>
      </c>
      <c r="O841" s="38">
        <f>VLOOKUP(TRIM(Table1[[#This Row],[Provider Specialty]]) &amp; TRIM(Table1[[#This Row],[Provider Specialty Description]]), SPECIALTY_TYPE, 2, FALSE)</f>
        <v>2099</v>
      </c>
      <c r="P841" s="3" t="str">
        <f>Table1[[#This Row],[Provider Type]] &amp; "+" &amp; Table1[[#This Row],[Provider Type Description]]</f>
        <v>31+Physician</v>
      </c>
      <c r="Q841" s="7" t="str">
        <f>Table1[[#This Row],[Provider Specialty]] &amp; "+" &amp; Table1[[#This Row],[Provider Specialty Description]]</f>
        <v>339+Psychiatrist</v>
      </c>
      <c r="R841" s="7" t="str">
        <f>Table1[[#This Row],[PDMS Specialty Type ID]] &amp; "+" &amp; Table1[[#This Row],[PDMS Provider Type ID]] &amp; "+" &amp;Table1[[#This Row],[TAXONOMY]]</f>
        <v>2099+114+2084B0002X</v>
      </c>
      <c r="S8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(9820, 2099, 114, N'2084B0002X', N'Psychiatry &amp; Neurology - - Bariatric Medicine****')</v>
      </c>
    </row>
    <row r="842" spans="1:19" ht="47.25" hidden="1" customHeight="1" x14ac:dyDescent="0.25">
      <c r="A842" s="22" t="s">
        <v>1854</v>
      </c>
      <c r="B842" s="3" t="s">
        <v>988</v>
      </c>
      <c r="C842" s="3" t="s">
        <v>1045</v>
      </c>
      <c r="D842" s="3" t="s">
        <v>1120</v>
      </c>
      <c r="E842" s="3" t="s">
        <v>1332</v>
      </c>
      <c r="F842" s="3">
        <f>VLOOKUP(Table1[[#This Row],[Column2]], TAXONOMY_TYPE, 2, FALSE)</f>
        <v>9821</v>
      </c>
      <c r="G842" s="3">
        <v>32</v>
      </c>
      <c r="H842" s="3" t="s">
        <v>1444</v>
      </c>
      <c r="I842" s="3">
        <f>VLOOKUP(Table1[[#This Row],[Provider Type]] &amp; Table1[[#This Row],[Provider Type Description]], PROVIDER_TYPE, 2, FALSE)</f>
        <v>50</v>
      </c>
      <c r="J842" s="3">
        <v>339</v>
      </c>
      <c r="K842" s="3" t="s">
        <v>1338</v>
      </c>
      <c r="L842" s="3">
        <f>VLOOKUP(TRIM(Table1[[#This Row],[Provider Specialty]]) &amp; TRIM(Table1[[#This Row],[Provider Specialty Description]]), SPECIALTY_TYPE, 2, FALSE)</f>
        <v>2099</v>
      </c>
      <c r="M842" s="3" t="s">
        <v>18</v>
      </c>
      <c r="N842" s="27" t="s">
        <v>19</v>
      </c>
      <c r="O842" s="38">
        <f>VLOOKUP(TRIM(Table1[[#This Row],[Provider Specialty]]) &amp; TRIM(Table1[[#This Row],[Provider Specialty Description]]), SPECIALTY_TYPE, 2, FALSE)</f>
        <v>2099</v>
      </c>
      <c r="P842" s="3" t="str">
        <f>Table1[[#This Row],[Provider Type]] &amp; "+" &amp; Table1[[#This Row],[Provider Type Description]]</f>
        <v>32+Multi-Specialty</v>
      </c>
      <c r="Q842" s="7" t="str">
        <f>Table1[[#This Row],[Provider Specialty]] &amp; "+" &amp; Table1[[#This Row],[Provider Specialty Description]]</f>
        <v>339+Psychiatrist</v>
      </c>
      <c r="R842" s="7" t="str">
        <f>Table1[[#This Row],[PDMS Specialty Type ID]] &amp; "+" &amp; Table1[[#This Row],[PDMS Provider Type ID]] &amp; "+" &amp;Table1[[#This Row],[TAXONOMY]]</f>
        <v>2099+50+2084B0002X</v>
      </c>
      <c r="S8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(9821, 2099, 50, N'2084B0002X', N'Psychiatry &amp; Neurology - - Bariatric Medicine****')</v>
      </c>
    </row>
    <row r="843" spans="1:19" ht="47.25" hidden="1" customHeight="1" x14ac:dyDescent="0.25">
      <c r="A843" s="22" t="s">
        <v>1854</v>
      </c>
      <c r="B843" s="3" t="s">
        <v>988</v>
      </c>
      <c r="C843" s="3" t="s">
        <v>1045</v>
      </c>
      <c r="D843" s="3" t="s">
        <v>1120</v>
      </c>
      <c r="E843" s="3" t="s">
        <v>1332</v>
      </c>
      <c r="F843" s="3">
        <f>VLOOKUP(Table1[[#This Row],[Column2]], TAXONOMY_TYPE, 2, FALSE)</f>
        <v>9822</v>
      </c>
      <c r="G843" s="3">
        <v>33</v>
      </c>
      <c r="H843" s="3" t="s">
        <v>1953</v>
      </c>
      <c r="I843" s="3">
        <f>VLOOKUP(Table1[[#This Row],[Provider Type]] &amp; Table1[[#This Row],[Provider Type Description]], PROVIDER_TYPE, 2, FALSE)</f>
        <v>51</v>
      </c>
      <c r="J843" s="3">
        <v>339</v>
      </c>
      <c r="K843" s="3" t="s">
        <v>1338</v>
      </c>
      <c r="L843" s="3">
        <f>VLOOKUP(TRIM(Table1[[#This Row],[Provider Specialty]]) &amp; TRIM(Table1[[#This Row],[Provider Specialty Description]]), SPECIALTY_TYPE, 2, FALSE)</f>
        <v>2099</v>
      </c>
      <c r="M843" s="3" t="s">
        <v>18</v>
      </c>
      <c r="N843" s="27" t="s">
        <v>19</v>
      </c>
      <c r="O843" s="38">
        <f>VLOOKUP(TRIM(Table1[[#This Row],[Provider Specialty]]) &amp; TRIM(Table1[[#This Row],[Provider Specialty Description]]), SPECIALTY_TYPE, 2, FALSE)</f>
        <v>2099</v>
      </c>
      <c r="P843" s="3" t="str">
        <f>Table1[[#This Row],[Provider Type]] &amp; "+" &amp; Table1[[#This Row],[Provider Type Description]]</f>
        <v>33+Single-Specialty</v>
      </c>
      <c r="Q843" s="7" t="str">
        <f>Table1[[#This Row],[Provider Specialty]] &amp; "+" &amp; Table1[[#This Row],[Provider Specialty Description]]</f>
        <v>339+Psychiatrist</v>
      </c>
      <c r="R843" s="7" t="str">
        <f>Table1[[#This Row],[PDMS Specialty Type ID]] &amp; "+" &amp; Table1[[#This Row],[PDMS Provider Type ID]] &amp; "+" &amp;Table1[[#This Row],[TAXONOMY]]</f>
        <v>2099+51+2084B0002X</v>
      </c>
      <c r="S8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(9822, 2099, 51, N'2084B0002X', N'Psychiatry &amp; Neurology - - Bariatric Medicine****')</v>
      </c>
    </row>
    <row r="844" spans="1:19" ht="47.25" hidden="1" customHeight="1" x14ac:dyDescent="0.25">
      <c r="A844" s="22" t="s">
        <v>1855</v>
      </c>
      <c r="B844" s="3" t="s">
        <v>988</v>
      </c>
      <c r="C844" s="3" t="s">
        <v>1045</v>
      </c>
      <c r="D844" s="3" t="s">
        <v>1336</v>
      </c>
      <c r="E844" s="3" t="s">
        <v>1337</v>
      </c>
      <c r="F844" s="3">
        <f>VLOOKUP(Table1[[#This Row],[Column2]], TAXONOMY_TYPE, 2, FALSE)</f>
        <v>9823</v>
      </c>
      <c r="G844" s="3">
        <v>31</v>
      </c>
      <c r="H844" s="3" t="s">
        <v>991</v>
      </c>
      <c r="I844" s="3">
        <f>VLOOKUP(Table1[[#This Row],[Provider Type]] &amp; Table1[[#This Row],[Provider Type Description]], PROVIDER_TYPE, 2, FALSE)</f>
        <v>114</v>
      </c>
      <c r="J844" s="3">
        <v>339</v>
      </c>
      <c r="K844" s="3" t="s">
        <v>1338</v>
      </c>
      <c r="L844" s="3">
        <f>VLOOKUP(TRIM(Table1[[#This Row],[Provider Specialty]]) &amp; TRIM(Table1[[#This Row],[Provider Specialty Description]]), SPECIALTY_TYPE, 2, FALSE)</f>
        <v>2099</v>
      </c>
      <c r="M844" s="3" t="s">
        <v>19</v>
      </c>
      <c r="N844" s="27" t="s">
        <v>19</v>
      </c>
      <c r="O844" s="38">
        <f>VLOOKUP(TRIM(Table1[[#This Row],[Provider Specialty]]) &amp; TRIM(Table1[[#This Row],[Provider Specialty Description]]), SPECIALTY_TYPE, 2, FALSE)</f>
        <v>2099</v>
      </c>
      <c r="P844" s="3" t="str">
        <f>Table1[[#This Row],[Provider Type]] &amp; "+" &amp; Table1[[#This Row],[Provider Type Description]]</f>
        <v>31+Physician</v>
      </c>
      <c r="Q844" s="7" t="str">
        <f>Table1[[#This Row],[Provider Specialty]] &amp; "+" &amp; Table1[[#This Row],[Provider Specialty Description]]</f>
        <v>339+Psychiatrist</v>
      </c>
      <c r="R844" s="7" t="str">
        <f>Table1[[#This Row],[PDMS Specialty Type ID]] &amp; "+" &amp; Table1[[#This Row],[PDMS Provider Type ID]] &amp; "+" &amp;Table1[[#This Row],[TAXONOMY]]</f>
        <v>2099+114+2084F0202X</v>
      </c>
      <c r="S8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(9823, 2099, 114, N'2084F0202X', N'Psychiatry &amp; Neurology - - Forensic Psychiatry#')</v>
      </c>
    </row>
    <row r="845" spans="1:19" ht="47.25" hidden="1" customHeight="1" x14ac:dyDescent="0.25">
      <c r="A845" s="22" t="s">
        <v>1854</v>
      </c>
      <c r="B845" s="3" t="s">
        <v>988</v>
      </c>
      <c r="C845" s="3" t="s">
        <v>1045</v>
      </c>
      <c r="D845" s="3" t="s">
        <v>1336</v>
      </c>
      <c r="E845" s="3" t="s">
        <v>1337</v>
      </c>
      <c r="F845" s="3">
        <f>VLOOKUP(Table1[[#This Row],[Column2]], TAXONOMY_TYPE, 2, FALSE)</f>
        <v>9824</v>
      </c>
      <c r="G845" s="3">
        <v>32</v>
      </c>
      <c r="H845" s="3" t="s">
        <v>1444</v>
      </c>
      <c r="I845" s="3">
        <f>VLOOKUP(Table1[[#This Row],[Provider Type]] &amp; Table1[[#This Row],[Provider Type Description]], PROVIDER_TYPE, 2, FALSE)</f>
        <v>50</v>
      </c>
      <c r="J845" s="3">
        <v>339</v>
      </c>
      <c r="K845" s="3" t="s">
        <v>1338</v>
      </c>
      <c r="L845" s="3">
        <f>VLOOKUP(TRIM(Table1[[#This Row],[Provider Specialty]]) &amp; TRIM(Table1[[#This Row],[Provider Specialty Description]]), SPECIALTY_TYPE, 2, FALSE)</f>
        <v>2099</v>
      </c>
      <c r="M845" s="3" t="s">
        <v>18</v>
      </c>
      <c r="N845" s="27" t="s">
        <v>19</v>
      </c>
      <c r="O845" s="38">
        <f>VLOOKUP(TRIM(Table1[[#This Row],[Provider Specialty]]) &amp; TRIM(Table1[[#This Row],[Provider Specialty Description]]), SPECIALTY_TYPE, 2, FALSE)</f>
        <v>2099</v>
      </c>
      <c r="P845" s="3" t="str">
        <f>Table1[[#This Row],[Provider Type]] &amp; "+" &amp; Table1[[#This Row],[Provider Type Description]]</f>
        <v>32+Multi-Specialty</v>
      </c>
      <c r="Q845" s="7" t="str">
        <f>Table1[[#This Row],[Provider Specialty]] &amp; "+" &amp; Table1[[#This Row],[Provider Specialty Description]]</f>
        <v>339+Psychiatrist</v>
      </c>
      <c r="R845" s="7" t="str">
        <f>Table1[[#This Row],[PDMS Specialty Type ID]] &amp; "+" &amp; Table1[[#This Row],[PDMS Provider Type ID]] &amp; "+" &amp;Table1[[#This Row],[TAXONOMY]]</f>
        <v>2099+50+2084F0202X</v>
      </c>
      <c r="S8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(9824, 2099, 50, N'2084F0202X', N'Psychiatry &amp; Neurology - - Forensic Psychiatry#')</v>
      </c>
    </row>
    <row r="846" spans="1:19" ht="47.25" hidden="1" customHeight="1" x14ac:dyDescent="0.25">
      <c r="A846" s="22" t="s">
        <v>1854</v>
      </c>
      <c r="B846" s="3" t="s">
        <v>988</v>
      </c>
      <c r="C846" s="3" t="s">
        <v>1045</v>
      </c>
      <c r="D846" s="3" t="s">
        <v>1336</v>
      </c>
      <c r="E846" s="3" t="s">
        <v>1337</v>
      </c>
      <c r="F846" s="3">
        <f>VLOOKUP(Table1[[#This Row],[Column2]], TAXONOMY_TYPE, 2, FALSE)</f>
        <v>9825</v>
      </c>
      <c r="G846" s="3">
        <v>33</v>
      </c>
      <c r="H846" s="3" t="s">
        <v>1953</v>
      </c>
      <c r="I846" s="3">
        <f>VLOOKUP(Table1[[#This Row],[Provider Type]] &amp; Table1[[#This Row],[Provider Type Description]], PROVIDER_TYPE, 2, FALSE)</f>
        <v>51</v>
      </c>
      <c r="J846" s="3">
        <v>339</v>
      </c>
      <c r="K846" s="3" t="s">
        <v>1338</v>
      </c>
      <c r="L846" s="3">
        <f>VLOOKUP(TRIM(Table1[[#This Row],[Provider Specialty]]) &amp; TRIM(Table1[[#This Row],[Provider Specialty Description]]), SPECIALTY_TYPE, 2, FALSE)</f>
        <v>2099</v>
      </c>
      <c r="M846" s="3" t="s">
        <v>18</v>
      </c>
      <c r="N846" s="27" t="s">
        <v>19</v>
      </c>
      <c r="O846" s="38">
        <f>VLOOKUP(TRIM(Table1[[#This Row],[Provider Specialty]]) &amp; TRIM(Table1[[#This Row],[Provider Specialty Description]]), SPECIALTY_TYPE, 2, FALSE)</f>
        <v>2099</v>
      </c>
      <c r="P846" s="3" t="str">
        <f>Table1[[#This Row],[Provider Type]] &amp; "+" &amp; Table1[[#This Row],[Provider Type Description]]</f>
        <v>33+Single-Specialty</v>
      </c>
      <c r="Q846" s="7" t="str">
        <f>Table1[[#This Row],[Provider Specialty]] &amp; "+" &amp; Table1[[#This Row],[Provider Specialty Description]]</f>
        <v>339+Psychiatrist</v>
      </c>
      <c r="R846" s="7" t="str">
        <f>Table1[[#This Row],[PDMS Specialty Type ID]] &amp; "+" &amp; Table1[[#This Row],[PDMS Provider Type ID]] &amp; "+" &amp;Table1[[#This Row],[TAXONOMY]]</f>
        <v>2099+51+2084F0202X</v>
      </c>
      <c r="S8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(9825, 2099, 51, N'2084F0202X', N'Psychiatry &amp; Neurology - - Forensic Psychiatry#')</v>
      </c>
    </row>
    <row r="847" spans="1:19" ht="47.25" hidden="1" customHeight="1" x14ac:dyDescent="0.25">
      <c r="A847" s="22" t="s">
        <v>1855</v>
      </c>
      <c r="B847" s="3" t="s">
        <v>988</v>
      </c>
      <c r="C847" s="3" t="s">
        <v>1045</v>
      </c>
      <c r="D847" s="3" t="s">
        <v>1266</v>
      </c>
      <c r="E847" s="3" t="s">
        <v>1339</v>
      </c>
      <c r="F847" s="3">
        <f>VLOOKUP(Table1[[#This Row],[Column2]], TAXONOMY_TYPE, 2, FALSE)</f>
        <v>9826</v>
      </c>
      <c r="G847" s="3">
        <v>31</v>
      </c>
      <c r="H847" s="3" t="s">
        <v>991</v>
      </c>
      <c r="I847" s="3">
        <f>VLOOKUP(Table1[[#This Row],[Provider Type]] &amp; Table1[[#This Row],[Provider Type Description]], PROVIDER_TYPE, 2, FALSE)</f>
        <v>114</v>
      </c>
      <c r="J847" s="3">
        <v>339</v>
      </c>
      <c r="K847" s="3" t="s">
        <v>1338</v>
      </c>
      <c r="L847" s="3">
        <f>VLOOKUP(TRIM(Table1[[#This Row],[Provider Specialty]]) &amp; TRIM(Table1[[#This Row],[Provider Specialty Description]]), SPECIALTY_TYPE, 2, FALSE)</f>
        <v>2099</v>
      </c>
      <c r="M847" s="3" t="s">
        <v>19</v>
      </c>
      <c r="N847" s="27" t="s">
        <v>19</v>
      </c>
      <c r="O847" s="38">
        <f>VLOOKUP(TRIM(Table1[[#This Row],[Provider Specialty]]) &amp; TRIM(Table1[[#This Row],[Provider Specialty Description]]), SPECIALTY_TYPE, 2, FALSE)</f>
        <v>2099</v>
      </c>
      <c r="P847" s="3" t="str">
        <f>Table1[[#This Row],[Provider Type]] &amp; "+" &amp; Table1[[#This Row],[Provider Type Description]]</f>
        <v>31+Physician</v>
      </c>
      <c r="Q847" s="7" t="str">
        <f>Table1[[#This Row],[Provider Specialty]] &amp; "+" &amp; Table1[[#This Row],[Provider Specialty Description]]</f>
        <v>339+Psychiatrist</v>
      </c>
      <c r="R847" s="7" t="str">
        <f>Table1[[#This Row],[PDMS Specialty Type ID]] &amp; "+" &amp; Table1[[#This Row],[PDMS Provider Type ID]] &amp; "+" &amp;Table1[[#This Row],[TAXONOMY]]</f>
        <v>2099+114+2084H0002X</v>
      </c>
      <c r="S8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(9826, 2099, 114, N'2084H0002X', N'Psychiatry &amp; Neurology - - Hospice and Palliative Medicine**')</v>
      </c>
    </row>
    <row r="848" spans="1:19" ht="47.25" hidden="1" customHeight="1" x14ac:dyDescent="0.25">
      <c r="A848" s="22" t="s">
        <v>1854</v>
      </c>
      <c r="B848" s="3" t="s">
        <v>988</v>
      </c>
      <c r="C848" s="3" t="s">
        <v>1045</v>
      </c>
      <c r="D848" s="3" t="s">
        <v>1266</v>
      </c>
      <c r="E848" s="3" t="s">
        <v>1339</v>
      </c>
      <c r="F848" s="3">
        <f>VLOOKUP(Table1[[#This Row],[Column2]], TAXONOMY_TYPE, 2, FALSE)</f>
        <v>9827</v>
      </c>
      <c r="G848" s="3">
        <v>32</v>
      </c>
      <c r="H848" s="3" t="s">
        <v>1444</v>
      </c>
      <c r="I848" s="3">
        <f>VLOOKUP(Table1[[#This Row],[Provider Type]] &amp; Table1[[#This Row],[Provider Type Description]], PROVIDER_TYPE, 2, FALSE)</f>
        <v>50</v>
      </c>
      <c r="J848" s="3">
        <v>339</v>
      </c>
      <c r="K848" s="3" t="s">
        <v>1338</v>
      </c>
      <c r="L848" s="3">
        <f>VLOOKUP(TRIM(Table1[[#This Row],[Provider Specialty]]) &amp; TRIM(Table1[[#This Row],[Provider Specialty Description]]), SPECIALTY_TYPE, 2, FALSE)</f>
        <v>2099</v>
      </c>
      <c r="M848" s="3" t="s">
        <v>18</v>
      </c>
      <c r="N848" s="27" t="s">
        <v>19</v>
      </c>
      <c r="O848" s="38">
        <f>VLOOKUP(TRIM(Table1[[#This Row],[Provider Specialty]]) &amp; TRIM(Table1[[#This Row],[Provider Specialty Description]]), SPECIALTY_TYPE, 2, FALSE)</f>
        <v>2099</v>
      </c>
      <c r="P848" s="3" t="str">
        <f>Table1[[#This Row],[Provider Type]] &amp; "+" &amp; Table1[[#This Row],[Provider Type Description]]</f>
        <v>32+Multi-Specialty</v>
      </c>
      <c r="Q848" s="7" t="str">
        <f>Table1[[#This Row],[Provider Specialty]] &amp; "+" &amp; Table1[[#This Row],[Provider Specialty Description]]</f>
        <v>339+Psychiatrist</v>
      </c>
      <c r="R848" s="7" t="str">
        <f>Table1[[#This Row],[PDMS Specialty Type ID]] &amp; "+" &amp; Table1[[#This Row],[PDMS Provider Type ID]] &amp; "+" &amp;Table1[[#This Row],[TAXONOMY]]</f>
        <v>2099+50+2084H0002X</v>
      </c>
      <c r="S8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(9827, 2099, 50, N'2084H0002X', N'Psychiatry &amp; Neurology - - Hospice and Palliative Medicine**')</v>
      </c>
    </row>
    <row r="849" spans="1:19" ht="47.25" hidden="1" customHeight="1" x14ac:dyDescent="0.25">
      <c r="A849" s="22" t="s">
        <v>1854</v>
      </c>
      <c r="B849" s="3" t="s">
        <v>988</v>
      </c>
      <c r="C849" s="3" t="s">
        <v>1045</v>
      </c>
      <c r="D849" s="3" t="s">
        <v>1266</v>
      </c>
      <c r="E849" s="3" t="s">
        <v>1339</v>
      </c>
      <c r="F849" s="3">
        <f>VLOOKUP(Table1[[#This Row],[Column2]], TAXONOMY_TYPE, 2, FALSE)</f>
        <v>9828</v>
      </c>
      <c r="G849" s="3">
        <v>33</v>
      </c>
      <c r="H849" s="3" t="s">
        <v>1953</v>
      </c>
      <c r="I849" s="3">
        <f>VLOOKUP(Table1[[#This Row],[Provider Type]] &amp; Table1[[#This Row],[Provider Type Description]], PROVIDER_TYPE, 2, FALSE)</f>
        <v>51</v>
      </c>
      <c r="J849" s="3">
        <v>339</v>
      </c>
      <c r="K849" s="3" t="s">
        <v>1338</v>
      </c>
      <c r="L849" s="3">
        <f>VLOOKUP(TRIM(Table1[[#This Row],[Provider Specialty]]) &amp; TRIM(Table1[[#This Row],[Provider Specialty Description]]), SPECIALTY_TYPE, 2, FALSE)</f>
        <v>2099</v>
      </c>
      <c r="M849" s="3" t="s">
        <v>18</v>
      </c>
      <c r="N849" s="27" t="s">
        <v>19</v>
      </c>
      <c r="O849" s="38">
        <f>VLOOKUP(TRIM(Table1[[#This Row],[Provider Specialty]]) &amp; TRIM(Table1[[#This Row],[Provider Specialty Description]]), SPECIALTY_TYPE, 2, FALSE)</f>
        <v>2099</v>
      </c>
      <c r="P849" s="3" t="str">
        <f>Table1[[#This Row],[Provider Type]] &amp; "+" &amp; Table1[[#This Row],[Provider Type Description]]</f>
        <v>33+Single-Specialty</v>
      </c>
      <c r="Q849" s="7" t="str">
        <f>Table1[[#This Row],[Provider Specialty]] &amp; "+" &amp; Table1[[#This Row],[Provider Specialty Description]]</f>
        <v>339+Psychiatrist</v>
      </c>
      <c r="R849" s="7" t="str">
        <f>Table1[[#This Row],[PDMS Specialty Type ID]] &amp; "+" &amp; Table1[[#This Row],[PDMS Provider Type ID]] &amp; "+" &amp;Table1[[#This Row],[TAXONOMY]]</f>
        <v>2099+51+2084H0002X</v>
      </c>
      <c r="S8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(9828, 2099, 51, N'2084H0002X', N'Psychiatry &amp; Neurology - - Hospice and Palliative Medicine**')</v>
      </c>
    </row>
    <row r="850" spans="1:19" ht="47.25" hidden="1" customHeight="1" x14ac:dyDescent="0.25">
      <c r="A850" s="22" t="s">
        <v>1855</v>
      </c>
      <c r="B850" s="3" t="s">
        <v>988</v>
      </c>
      <c r="C850" s="3" t="s">
        <v>1045</v>
      </c>
      <c r="D850" s="3" t="s">
        <v>1351</v>
      </c>
      <c r="E850" s="3" t="s">
        <v>1352</v>
      </c>
      <c r="F850" s="3">
        <f>VLOOKUP(Table1[[#This Row],[Column2]], TAXONOMY_TYPE, 2, FALSE)</f>
        <v>9829</v>
      </c>
      <c r="G850" s="3">
        <v>31</v>
      </c>
      <c r="H850" s="3" t="s">
        <v>991</v>
      </c>
      <c r="I850" s="3">
        <f>VLOOKUP(Table1[[#This Row],[Provider Type]] &amp; Table1[[#This Row],[Provider Type Description]], PROVIDER_TYPE, 2, FALSE)</f>
        <v>114</v>
      </c>
      <c r="J850" s="3">
        <v>339</v>
      </c>
      <c r="K850" s="3" t="s">
        <v>1338</v>
      </c>
      <c r="L850" s="3">
        <f>VLOOKUP(TRIM(Table1[[#This Row],[Provider Specialty]]) &amp; TRIM(Table1[[#This Row],[Provider Specialty Description]]), SPECIALTY_TYPE, 2, FALSE)</f>
        <v>2099</v>
      </c>
      <c r="M850" s="3" t="s">
        <v>19</v>
      </c>
      <c r="N850" s="27" t="s">
        <v>19</v>
      </c>
      <c r="O850" s="38">
        <f>VLOOKUP(TRIM(Table1[[#This Row],[Provider Specialty]]) &amp; TRIM(Table1[[#This Row],[Provider Specialty Description]]), SPECIALTY_TYPE, 2, FALSE)</f>
        <v>2099</v>
      </c>
      <c r="P850" s="3" t="str">
        <f>Table1[[#This Row],[Provider Type]] &amp; "+" &amp; Table1[[#This Row],[Provider Type Description]]</f>
        <v>31+Physician</v>
      </c>
      <c r="Q850" s="7" t="str">
        <f>Table1[[#This Row],[Provider Specialty]] &amp; "+" &amp; Table1[[#This Row],[Provider Specialty Description]]</f>
        <v>339+Psychiatrist</v>
      </c>
      <c r="R850" s="7" t="str">
        <f>Table1[[#This Row],[PDMS Specialty Type ID]] &amp; "+" &amp; Table1[[#This Row],[PDMS Provider Type ID]] &amp; "+" &amp;Table1[[#This Row],[TAXONOMY]]</f>
        <v>2099+114+2084P0800X</v>
      </c>
      <c r="S8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(9829, 2099, 114, N'2084P0800X', N'Psychiatry &amp; Neurology - - Psychiatry#')</v>
      </c>
    </row>
    <row r="851" spans="1:19" ht="47.25" hidden="1" customHeight="1" x14ac:dyDescent="0.25">
      <c r="A851" s="22" t="s">
        <v>1854</v>
      </c>
      <c r="B851" s="3" t="s">
        <v>988</v>
      </c>
      <c r="C851" s="3" t="s">
        <v>1045</v>
      </c>
      <c r="D851" s="3" t="s">
        <v>1351</v>
      </c>
      <c r="E851" s="3" t="s">
        <v>1352</v>
      </c>
      <c r="F851" s="3">
        <f>VLOOKUP(Table1[[#This Row],[Column2]], TAXONOMY_TYPE, 2, FALSE)</f>
        <v>9830</v>
      </c>
      <c r="G851" s="3">
        <v>32</v>
      </c>
      <c r="H851" s="3" t="s">
        <v>1444</v>
      </c>
      <c r="I851" s="3">
        <f>VLOOKUP(Table1[[#This Row],[Provider Type]] &amp; Table1[[#This Row],[Provider Type Description]], PROVIDER_TYPE, 2, FALSE)</f>
        <v>50</v>
      </c>
      <c r="J851" s="3">
        <v>339</v>
      </c>
      <c r="K851" s="3" t="s">
        <v>1338</v>
      </c>
      <c r="L851" s="3">
        <f>VLOOKUP(TRIM(Table1[[#This Row],[Provider Specialty]]) &amp; TRIM(Table1[[#This Row],[Provider Specialty Description]]), SPECIALTY_TYPE, 2, FALSE)</f>
        <v>2099</v>
      </c>
      <c r="M851" s="3" t="s">
        <v>18</v>
      </c>
      <c r="N851" s="27" t="s">
        <v>19</v>
      </c>
      <c r="O851" s="38">
        <f>VLOOKUP(TRIM(Table1[[#This Row],[Provider Specialty]]) &amp; TRIM(Table1[[#This Row],[Provider Specialty Description]]), SPECIALTY_TYPE, 2, FALSE)</f>
        <v>2099</v>
      </c>
      <c r="P851" s="3" t="str">
        <f>Table1[[#This Row],[Provider Type]] &amp; "+" &amp; Table1[[#This Row],[Provider Type Description]]</f>
        <v>32+Multi-Specialty</v>
      </c>
      <c r="Q851" s="7" t="str">
        <f>Table1[[#This Row],[Provider Specialty]] &amp; "+" &amp; Table1[[#This Row],[Provider Specialty Description]]</f>
        <v>339+Psychiatrist</v>
      </c>
      <c r="R851" s="7" t="str">
        <f>Table1[[#This Row],[PDMS Specialty Type ID]] &amp; "+" &amp; Table1[[#This Row],[PDMS Provider Type ID]] &amp; "+" &amp;Table1[[#This Row],[TAXONOMY]]</f>
        <v>2099+50+2084P0800X</v>
      </c>
      <c r="S8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(9830, 2099, 50, N'2084P0800X', N'Psychiatry &amp; Neurology - - Psychiatry#')</v>
      </c>
    </row>
    <row r="852" spans="1:19" ht="47.25" hidden="1" customHeight="1" x14ac:dyDescent="0.25">
      <c r="A852" s="22" t="s">
        <v>1854</v>
      </c>
      <c r="B852" s="3" t="s">
        <v>988</v>
      </c>
      <c r="C852" s="3" t="s">
        <v>1045</v>
      </c>
      <c r="D852" s="3" t="s">
        <v>1351</v>
      </c>
      <c r="E852" s="3" t="s">
        <v>1352</v>
      </c>
      <c r="F852" s="3">
        <f>VLOOKUP(Table1[[#This Row],[Column2]], TAXONOMY_TYPE, 2, FALSE)</f>
        <v>9831</v>
      </c>
      <c r="G852" s="3">
        <v>33</v>
      </c>
      <c r="H852" s="3" t="s">
        <v>1953</v>
      </c>
      <c r="I852" s="3">
        <f>VLOOKUP(Table1[[#This Row],[Provider Type]] &amp; Table1[[#This Row],[Provider Type Description]], PROVIDER_TYPE, 2, FALSE)</f>
        <v>51</v>
      </c>
      <c r="J852" s="3">
        <v>339</v>
      </c>
      <c r="K852" s="3" t="s">
        <v>1338</v>
      </c>
      <c r="L852" s="3">
        <f>VLOOKUP(TRIM(Table1[[#This Row],[Provider Specialty]]) &amp; TRIM(Table1[[#This Row],[Provider Specialty Description]]), SPECIALTY_TYPE, 2, FALSE)</f>
        <v>2099</v>
      </c>
      <c r="M852" s="3" t="s">
        <v>18</v>
      </c>
      <c r="N852" s="27" t="s">
        <v>19</v>
      </c>
      <c r="O852" s="38">
        <f>VLOOKUP(TRIM(Table1[[#This Row],[Provider Specialty]]) &amp; TRIM(Table1[[#This Row],[Provider Specialty Description]]), SPECIALTY_TYPE, 2, FALSE)</f>
        <v>2099</v>
      </c>
      <c r="P852" s="3" t="str">
        <f>Table1[[#This Row],[Provider Type]] &amp; "+" &amp; Table1[[#This Row],[Provider Type Description]]</f>
        <v>33+Single-Specialty</v>
      </c>
      <c r="Q852" s="7" t="str">
        <f>Table1[[#This Row],[Provider Specialty]] &amp; "+" &amp; Table1[[#This Row],[Provider Specialty Description]]</f>
        <v>339+Psychiatrist</v>
      </c>
      <c r="R852" s="7" t="str">
        <f>Table1[[#This Row],[PDMS Specialty Type ID]] &amp; "+" &amp; Table1[[#This Row],[PDMS Provider Type ID]] &amp; "+" &amp;Table1[[#This Row],[TAXONOMY]]</f>
        <v>2099+51+2084P0800X</v>
      </c>
      <c r="S8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(9831, 2099, 51, N'2084P0800X', N'Psychiatry &amp; Neurology - - Psychiatry#')</v>
      </c>
    </row>
    <row r="853" spans="1:19" ht="47.25" hidden="1" customHeight="1" x14ac:dyDescent="0.25">
      <c r="A853" s="22" t="s">
        <v>1855</v>
      </c>
      <c r="B853" s="3" t="s">
        <v>988</v>
      </c>
      <c r="C853" s="3" t="s">
        <v>1045</v>
      </c>
      <c r="D853" s="3" t="s">
        <v>1353</v>
      </c>
      <c r="E853" s="3" t="s">
        <v>1354</v>
      </c>
      <c r="F853" s="3">
        <f>VLOOKUP(Table1[[#This Row],[Column2]], TAXONOMY_TYPE, 2, FALSE)</f>
        <v>9832</v>
      </c>
      <c r="G853" s="3">
        <v>31</v>
      </c>
      <c r="H853" s="3" t="s">
        <v>991</v>
      </c>
      <c r="I853" s="3">
        <f>VLOOKUP(Table1[[#This Row],[Provider Type]] &amp; Table1[[#This Row],[Provider Type Description]], PROVIDER_TYPE, 2, FALSE)</f>
        <v>114</v>
      </c>
      <c r="J853" s="3">
        <v>339</v>
      </c>
      <c r="K853" s="3" t="s">
        <v>1338</v>
      </c>
      <c r="L853" s="3">
        <f>VLOOKUP(TRIM(Table1[[#This Row],[Provider Specialty]]) &amp; TRIM(Table1[[#This Row],[Provider Specialty Description]]), SPECIALTY_TYPE, 2, FALSE)</f>
        <v>2099</v>
      </c>
      <c r="M853" s="3" t="s">
        <v>19</v>
      </c>
      <c r="N853" s="27" t="s">
        <v>19</v>
      </c>
      <c r="O853" s="38">
        <f>VLOOKUP(TRIM(Table1[[#This Row],[Provider Specialty]]) &amp; TRIM(Table1[[#This Row],[Provider Specialty Description]]), SPECIALTY_TYPE, 2, FALSE)</f>
        <v>2099</v>
      </c>
      <c r="P853" s="3" t="str">
        <f>Table1[[#This Row],[Provider Type]] &amp; "+" &amp; Table1[[#This Row],[Provider Type Description]]</f>
        <v>31+Physician</v>
      </c>
      <c r="Q853" s="7" t="str">
        <f>Table1[[#This Row],[Provider Specialty]] &amp; "+" &amp; Table1[[#This Row],[Provider Specialty Description]]</f>
        <v>339+Psychiatrist</v>
      </c>
      <c r="R853" s="7" t="str">
        <f>Table1[[#This Row],[PDMS Specialty Type ID]] &amp; "+" &amp; Table1[[#This Row],[PDMS Provider Type ID]] &amp; "+" &amp;Table1[[#This Row],[TAXONOMY]]</f>
        <v>2099+114+2084P0802X</v>
      </c>
      <c r="S8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(9832, 2099, 114, N'2084P0802X', N'Psychiatry &amp; Neurology - - Addiction Psychiatry#')</v>
      </c>
    </row>
    <row r="854" spans="1:19" ht="47.25" hidden="1" customHeight="1" x14ac:dyDescent="0.25">
      <c r="A854" s="22" t="s">
        <v>1854</v>
      </c>
      <c r="B854" s="3" t="s">
        <v>988</v>
      </c>
      <c r="C854" s="3" t="s">
        <v>1045</v>
      </c>
      <c r="D854" s="3" t="s">
        <v>1353</v>
      </c>
      <c r="E854" s="3" t="s">
        <v>1354</v>
      </c>
      <c r="F854" s="3">
        <f>VLOOKUP(Table1[[#This Row],[Column2]], TAXONOMY_TYPE, 2, FALSE)</f>
        <v>9833</v>
      </c>
      <c r="G854" s="3">
        <v>32</v>
      </c>
      <c r="H854" s="3" t="s">
        <v>1444</v>
      </c>
      <c r="I854" s="3">
        <f>VLOOKUP(Table1[[#This Row],[Provider Type]] &amp; Table1[[#This Row],[Provider Type Description]], PROVIDER_TYPE, 2, FALSE)</f>
        <v>50</v>
      </c>
      <c r="J854" s="3">
        <v>339</v>
      </c>
      <c r="K854" s="3" t="s">
        <v>1338</v>
      </c>
      <c r="L854" s="3">
        <f>VLOOKUP(TRIM(Table1[[#This Row],[Provider Specialty]]) &amp; TRIM(Table1[[#This Row],[Provider Specialty Description]]), SPECIALTY_TYPE, 2, FALSE)</f>
        <v>2099</v>
      </c>
      <c r="M854" s="3" t="s">
        <v>18</v>
      </c>
      <c r="N854" s="27" t="s">
        <v>19</v>
      </c>
      <c r="O854" s="38">
        <f>VLOOKUP(TRIM(Table1[[#This Row],[Provider Specialty]]) &amp; TRIM(Table1[[#This Row],[Provider Specialty Description]]), SPECIALTY_TYPE, 2, FALSE)</f>
        <v>2099</v>
      </c>
      <c r="P854" s="3" t="str">
        <f>Table1[[#This Row],[Provider Type]] &amp; "+" &amp; Table1[[#This Row],[Provider Type Description]]</f>
        <v>32+Multi-Specialty</v>
      </c>
      <c r="Q854" s="7" t="str">
        <f>Table1[[#This Row],[Provider Specialty]] &amp; "+" &amp; Table1[[#This Row],[Provider Specialty Description]]</f>
        <v>339+Psychiatrist</v>
      </c>
      <c r="R854" s="7" t="str">
        <f>Table1[[#This Row],[PDMS Specialty Type ID]] &amp; "+" &amp; Table1[[#This Row],[PDMS Provider Type ID]] &amp; "+" &amp;Table1[[#This Row],[TAXONOMY]]</f>
        <v>2099+50+2084P0802X</v>
      </c>
      <c r="S8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(9833, 2099, 50, N'2084P0802X', N'Psychiatry &amp; Neurology - - Addiction Psychiatry#')</v>
      </c>
    </row>
    <row r="855" spans="1:19" ht="47.25" hidden="1" customHeight="1" x14ac:dyDescent="0.25">
      <c r="A855" s="22" t="s">
        <v>1854</v>
      </c>
      <c r="B855" s="3" t="s">
        <v>988</v>
      </c>
      <c r="C855" s="3" t="s">
        <v>1045</v>
      </c>
      <c r="D855" s="3" t="s">
        <v>1353</v>
      </c>
      <c r="E855" s="3" t="s">
        <v>1354</v>
      </c>
      <c r="F855" s="3">
        <f>VLOOKUP(Table1[[#This Row],[Column2]], TAXONOMY_TYPE, 2, FALSE)</f>
        <v>9834</v>
      </c>
      <c r="G855" s="3">
        <v>33</v>
      </c>
      <c r="H855" s="3" t="s">
        <v>1953</v>
      </c>
      <c r="I855" s="3">
        <f>VLOOKUP(Table1[[#This Row],[Provider Type]] &amp; Table1[[#This Row],[Provider Type Description]], PROVIDER_TYPE, 2, FALSE)</f>
        <v>51</v>
      </c>
      <c r="J855" s="3">
        <v>339</v>
      </c>
      <c r="K855" s="3" t="s">
        <v>1338</v>
      </c>
      <c r="L855" s="3">
        <f>VLOOKUP(TRIM(Table1[[#This Row],[Provider Specialty]]) &amp; TRIM(Table1[[#This Row],[Provider Specialty Description]]), SPECIALTY_TYPE, 2, FALSE)</f>
        <v>2099</v>
      </c>
      <c r="M855" s="3" t="s">
        <v>18</v>
      </c>
      <c r="N855" s="27" t="s">
        <v>19</v>
      </c>
      <c r="O855" s="38">
        <f>VLOOKUP(TRIM(Table1[[#This Row],[Provider Specialty]]) &amp; TRIM(Table1[[#This Row],[Provider Specialty Description]]), SPECIALTY_TYPE, 2, FALSE)</f>
        <v>2099</v>
      </c>
      <c r="P855" s="3" t="str">
        <f>Table1[[#This Row],[Provider Type]] &amp; "+" &amp; Table1[[#This Row],[Provider Type Description]]</f>
        <v>33+Single-Specialty</v>
      </c>
      <c r="Q855" s="7" t="str">
        <f>Table1[[#This Row],[Provider Specialty]] &amp; "+" &amp; Table1[[#This Row],[Provider Specialty Description]]</f>
        <v>339+Psychiatrist</v>
      </c>
      <c r="R855" s="7" t="str">
        <f>Table1[[#This Row],[PDMS Specialty Type ID]] &amp; "+" &amp; Table1[[#This Row],[PDMS Provider Type ID]] &amp; "+" &amp;Table1[[#This Row],[TAXONOMY]]</f>
        <v>2099+51+2084P0802X</v>
      </c>
      <c r="S8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(9834, 2099, 51, N'2084P0802X', N'Psychiatry &amp; Neurology - - Addiction Psychiatry#')</v>
      </c>
    </row>
    <row r="856" spans="1:19" ht="47.25" hidden="1" customHeight="1" x14ac:dyDescent="0.25">
      <c r="A856" s="22" t="s">
        <v>1855</v>
      </c>
      <c r="B856" s="3" t="s">
        <v>988</v>
      </c>
      <c r="C856" s="3" t="s">
        <v>1045</v>
      </c>
      <c r="D856" s="3" t="s">
        <v>1355</v>
      </c>
      <c r="E856" s="3" t="s">
        <v>1356</v>
      </c>
      <c r="F856" s="3">
        <f>VLOOKUP(Table1[[#This Row],[Column2]], TAXONOMY_TYPE, 2, FALSE)</f>
        <v>9835</v>
      </c>
      <c r="G856" s="3">
        <v>31</v>
      </c>
      <c r="H856" s="3" t="s">
        <v>991</v>
      </c>
      <c r="I856" s="3">
        <f>VLOOKUP(Table1[[#This Row],[Provider Type]] &amp; Table1[[#This Row],[Provider Type Description]], PROVIDER_TYPE, 2, FALSE)</f>
        <v>114</v>
      </c>
      <c r="J856" s="3">
        <v>339</v>
      </c>
      <c r="K856" s="3" t="s">
        <v>1338</v>
      </c>
      <c r="L856" s="3">
        <f>VLOOKUP(TRIM(Table1[[#This Row],[Provider Specialty]]) &amp; TRIM(Table1[[#This Row],[Provider Specialty Description]]), SPECIALTY_TYPE, 2, FALSE)</f>
        <v>2099</v>
      </c>
      <c r="M856" s="3" t="s">
        <v>19</v>
      </c>
      <c r="N856" s="27" t="s">
        <v>19</v>
      </c>
      <c r="O856" s="38">
        <f>VLOOKUP(TRIM(Table1[[#This Row],[Provider Specialty]]) &amp; TRIM(Table1[[#This Row],[Provider Specialty Description]]), SPECIALTY_TYPE, 2, FALSE)</f>
        <v>2099</v>
      </c>
      <c r="P856" s="3" t="str">
        <f>Table1[[#This Row],[Provider Type]] &amp; "+" &amp; Table1[[#This Row],[Provider Type Description]]</f>
        <v>31+Physician</v>
      </c>
      <c r="Q856" s="7" t="str">
        <f>Table1[[#This Row],[Provider Specialty]] &amp; "+" &amp; Table1[[#This Row],[Provider Specialty Description]]</f>
        <v>339+Psychiatrist</v>
      </c>
      <c r="R856" s="7" t="str">
        <f>Table1[[#This Row],[PDMS Specialty Type ID]] &amp; "+" &amp; Table1[[#This Row],[PDMS Provider Type ID]] &amp; "+" &amp;Table1[[#This Row],[TAXONOMY]]</f>
        <v>2099+114+2084P0804X</v>
      </c>
      <c r="S8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(9835, 2099, 114, N'2084P0804X', N'Psychiatry &amp; Neurology - - Child &amp; Adolescent Psychiatry#')</v>
      </c>
    </row>
    <row r="857" spans="1:19" ht="47.25" hidden="1" customHeight="1" x14ac:dyDescent="0.25">
      <c r="A857" s="22" t="s">
        <v>1854</v>
      </c>
      <c r="B857" s="3" t="s">
        <v>988</v>
      </c>
      <c r="C857" s="3" t="s">
        <v>1045</v>
      </c>
      <c r="D857" s="3" t="s">
        <v>1355</v>
      </c>
      <c r="E857" s="3" t="s">
        <v>1356</v>
      </c>
      <c r="F857" s="3">
        <f>VLOOKUP(Table1[[#This Row],[Column2]], TAXONOMY_TYPE, 2, FALSE)</f>
        <v>9836</v>
      </c>
      <c r="G857" s="3">
        <v>32</v>
      </c>
      <c r="H857" s="3" t="s">
        <v>1444</v>
      </c>
      <c r="I857" s="3">
        <f>VLOOKUP(Table1[[#This Row],[Provider Type]] &amp; Table1[[#This Row],[Provider Type Description]], PROVIDER_TYPE, 2, FALSE)</f>
        <v>50</v>
      </c>
      <c r="J857" s="3">
        <v>339</v>
      </c>
      <c r="K857" s="3" t="s">
        <v>1338</v>
      </c>
      <c r="L857" s="3">
        <f>VLOOKUP(TRIM(Table1[[#This Row],[Provider Specialty]]) &amp; TRIM(Table1[[#This Row],[Provider Specialty Description]]), SPECIALTY_TYPE, 2, FALSE)</f>
        <v>2099</v>
      </c>
      <c r="M857" s="3" t="s">
        <v>18</v>
      </c>
      <c r="N857" s="27" t="s">
        <v>19</v>
      </c>
      <c r="O857" s="38">
        <f>VLOOKUP(TRIM(Table1[[#This Row],[Provider Specialty]]) &amp; TRIM(Table1[[#This Row],[Provider Specialty Description]]), SPECIALTY_TYPE, 2, FALSE)</f>
        <v>2099</v>
      </c>
      <c r="P857" s="3" t="str">
        <f>Table1[[#This Row],[Provider Type]] &amp; "+" &amp; Table1[[#This Row],[Provider Type Description]]</f>
        <v>32+Multi-Specialty</v>
      </c>
      <c r="Q857" s="7" t="str">
        <f>Table1[[#This Row],[Provider Specialty]] &amp; "+" &amp; Table1[[#This Row],[Provider Specialty Description]]</f>
        <v>339+Psychiatrist</v>
      </c>
      <c r="R857" s="7" t="str">
        <f>Table1[[#This Row],[PDMS Specialty Type ID]] &amp; "+" &amp; Table1[[#This Row],[PDMS Provider Type ID]] &amp; "+" &amp;Table1[[#This Row],[TAXONOMY]]</f>
        <v>2099+50+2084P0804X</v>
      </c>
      <c r="S8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(9836, 2099, 50, N'2084P0804X', N'Psychiatry &amp; Neurology - - Child &amp; Adolescent Psychiatry#')</v>
      </c>
    </row>
    <row r="858" spans="1:19" ht="47.25" hidden="1" customHeight="1" x14ac:dyDescent="0.25">
      <c r="A858" s="22" t="s">
        <v>1854</v>
      </c>
      <c r="B858" s="3" t="s">
        <v>988</v>
      </c>
      <c r="C858" s="3" t="s">
        <v>1045</v>
      </c>
      <c r="D858" s="3" t="s">
        <v>1355</v>
      </c>
      <c r="E858" s="3" t="s">
        <v>1356</v>
      </c>
      <c r="F858" s="3">
        <f>VLOOKUP(Table1[[#This Row],[Column2]], TAXONOMY_TYPE, 2, FALSE)</f>
        <v>9837</v>
      </c>
      <c r="G858" s="3">
        <v>33</v>
      </c>
      <c r="H858" s="3" t="s">
        <v>1953</v>
      </c>
      <c r="I858" s="3">
        <f>VLOOKUP(Table1[[#This Row],[Provider Type]] &amp; Table1[[#This Row],[Provider Type Description]], PROVIDER_TYPE, 2, FALSE)</f>
        <v>51</v>
      </c>
      <c r="J858" s="3">
        <v>339</v>
      </c>
      <c r="K858" s="3" t="s">
        <v>1338</v>
      </c>
      <c r="L858" s="3">
        <f>VLOOKUP(TRIM(Table1[[#This Row],[Provider Specialty]]) &amp; TRIM(Table1[[#This Row],[Provider Specialty Description]]), SPECIALTY_TYPE, 2, FALSE)</f>
        <v>2099</v>
      </c>
      <c r="M858" s="3" t="s">
        <v>18</v>
      </c>
      <c r="N858" s="27" t="s">
        <v>19</v>
      </c>
      <c r="O858" s="38">
        <f>VLOOKUP(TRIM(Table1[[#This Row],[Provider Specialty]]) &amp; TRIM(Table1[[#This Row],[Provider Specialty Description]]), SPECIALTY_TYPE, 2, FALSE)</f>
        <v>2099</v>
      </c>
      <c r="P858" s="3" t="str">
        <f>Table1[[#This Row],[Provider Type]] &amp; "+" &amp; Table1[[#This Row],[Provider Type Description]]</f>
        <v>33+Single-Specialty</v>
      </c>
      <c r="Q858" s="7" t="str">
        <f>Table1[[#This Row],[Provider Specialty]] &amp; "+" &amp; Table1[[#This Row],[Provider Specialty Description]]</f>
        <v>339+Psychiatrist</v>
      </c>
      <c r="R858" s="7" t="str">
        <f>Table1[[#This Row],[PDMS Specialty Type ID]] &amp; "+" &amp; Table1[[#This Row],[PDMS Provider Type ID]] &amp; "+" &amp;Table1[[#This Row],[TAXONOMY]]</f>
        <v>2099+51+2084P0804X</v>
      </c>
      <c r="S8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(9837, 2099, 51, N'2084P0804X', N'Psychiatry &amp; Neurology - - Child &amp; Adolescent Psychiatry#')</v>
      </c>
    </row>
    <row r="859" spans="1:19" ht="47.25" hidden="1" customHeight="1" x14ac:dyDescent="0.25">
      <c r="A859" s="22" t="s">
        <v>1855</v>
      </c>
      <c r="B859" s="3" t="s">
        <v>988</v>
      </c>
      <c r="C859" s="3" t="s">
        <v>1045</v>
      </c>
      <c r="D859" s="3" t="s">
        <v>1357</v>
      </c>
      <c r="E859" s="3" t="s">
        <v>1358</v>
      </c>
      <c r="F859" s="3">
        <f>VLOOKUP(Table1[[#This Row],[Column2]], TAXONOMY_TYPE, 2, FALSE)</f>
        <v>9838</v>
      </c>
      <c r="G859" s="3">
        <v>31</v>
      </c>
      <c r="H859" s="3" t="s">
        <v>991</v>
      </c>
      <c r="I859" s="3">
        <f>VLOOKUP(Table1[[#This Row],[Provider Type]] &amp; Table1[[#This Row],[Provider Type Description]], PROVIDER_TYPE, 2, FALSE)</f>
        <v>114</v>
      </c>
      <c r="J859" s="3">
        <v>339</v>
      </c>
      <c r="K859" s="3" t="s">
        <v>1338</v>
      </c>
      <c r="L859" s="3">
        <f>VLOOKUP(TRIM(Table1[[#This Row],[Provider Specialty]]) &amp; TRIM(Table1[[#This Row],[Provider Specialty Description]]), SPECIALTY_TYPE, 2, FALSE)</f>
        <v>2099</v>
      </c>
      <c r="M859" s="3" t="s">
        <v>19</v>
      </c>
      <c r="N859" s="27" t="s">
        <v>19</v>
      </c>
      <c r="O859" s="38">
        <f>VLOOKUP(TRIM(Table1[[#This Row],[Provider Specialty]]) &amp; TRIM(Table1[[#This Row],[Provider Specialty Description]]), SPECIALTY_TYPE, 2, FALSE)</f>
        <v>2099</v>
      </c>
      <c r="P859" s="3" t="str">
        <f>Table1[[#This Row],[Provider Type]] &amp; "+" &amp; Table1[[#This Row],[Provider Type Description]]</f>
        <v>31+Physician</v>
      </c>
      <c r="Q859" s="7" t="str">
        <f>Table1[[#This Row],[Provider Specialty]] &amp; "+" &amp; Table1[[#This Row],[Provider Specialty Description]]</f>
        <v>339+Psychiatrist</v>
      </c>
      <c r="R859" s="7" t="str">
        <f>Table1[[#This Row],[PDMS Specialty Type ID]] &amp; "+" &amp; Table1[[#This Row],[PDMS Provider Type ID]] &amp; "+" &amp;Table1[[#This Row],[TAXONOMY]]</f>
        <v>2099+114+2084P0805X</v>
      </c>
      <c r="S8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(9838, 2099, 114, N'2084P0805X', N'Psychiatry &amp; Neurology - - Geriatric Psychiatry#')</v>
      </c>
    </row>
    <row r="860" spans="1:19" ht="47.25" hidden="1" customHeight="1" x14ac:dyDescent="0.25">
      <c r="A860" s="22" t="s">
        <v>1854</v>
      </c>
      <c r="B860" s="3" t="s">
        <v>988</v>
      </c>
      <c r="C860" s="3" t="s">
        <v>1045</v>
      </c>
      <c r="D860" s="3" t="s">
        <v>1357</v>
      </c>
      <c r="E860" s="3" t="s">
        <v>1358</v>
      </c>
      <c r="F860" s="3">
        <f>VLOOKUP(Table1[[#This Row],[Column2]], TAXONOMY_TYPE, 2, FALSE)</f>
        <v>9839</v>
      </c>
      <c r="G860" s="3">
        <v>32</v>
      </c>
      <c r="H860" s="3" t="s">
        <v>1444</v>
      </c>
      <c r="I860" s="3">
        <f>VLOOKUP(Table1[[#This Row],[Provider Type]] &amp; Table1[[#This Row],[Provider Type Description]], PROVIDER_TYPE, 2, FALSE)</f>
        <v>50</v>
      </c>
      <c r="J860" s="3">
        <v>339</v>
      </c>
      <c r="K860" s="3" t="s">
        <v>1338</v>
      </c>
      <c r="L860" s="3">
        <f>VLOOKUP(TRIM(Table1[[#This Row],[Provider Specialty]]) &amp; TRIM(Table1[[#This Row],[Provider Specialty Description]]), SPECIALTY_TYPE, 2, FALSE)</f>
        <v>2099</v>
      </c>
      <c r="M860" s="3" t="s">
        <v>18</v>
      </c>
      <c r="N860" s="27" t="s">
        <v>19</v>
      </c>
      <c r="O860" s="38">
        <f>VLOOKUP(TRIM(Table1[[#This Row],[Provider Specialty]]) &amp; TRIM(Table1[[#This Row],[Provider Specialty Description]]), SPECIALTY_TYPE, 2, FALSE)</f>
        <v>2099</v>
      </c>
      <c r="P860" s="3" t="str">
        <f>Table1[[#This Row],[Provider Type]] &amp; "+" &amp; Table1[[#This Row],[Provider Type Description]]</f>
        <v>32+Multi-Specialty</v>
      </c>
      <c r="Q860" s="7" t="str">
        <f>Table1[[#This Row],[Provider Specialty]] &amp; "+" &amp; Table1[[#This Row],[Provider Specialty Description]]</f>
        <v>339+Psychiatrist</v>
      </c>
      <c r="R860" s="7" t="str">
        <f>Table1[[#This Row],[PDMS Specialty Type ID]] &amp; "+" &amp; Table1[[#This Row],[PDMS Provider Type ID]] &amp; "+" &amp;Table1[[#This Row],[TAXONOMY]]</f>
        <v>2099+50+2084P0805X</v>
      </c>
      <c r="S8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(9839, 2099, 50, N'2084P0805X', N'Psychiatry &amp; Neurology - - Geriatric Psychiatry#')</v>
      </c>
    </row>
    <row r="861" spans="1:19" ht="47.25" hidden="1" customHeight="1" x14ac:dyDescent="0.25">
      <c r="A861" s="22" t="s">
        <v>1854</v>
      </c>
      <c r="B861" s="3" t="s">
        <v>988</v>
      </c>
      <c r="C861" s="3" t="s">
        <v>1045</v>
      </c>
      <c r="D861" s="3" t="s">
        <v>1357</v>
      </c>
      <c r="E861" s="3" t="s">
        <v>1358</v>
      </c>
      <c r="F861" s="3">
        <f>VLOOKUP(Table1[[#This Row],[Column2]], TAXONOMY_TYPE, 2, FALSE)</f>
        <v>9840</v>
      </c>
      <c r="G861" s="3">
        <v>33</v>
      </c>
      <c r="H861" s="3" t="s">
        <v>1953</v>
      </c>
      <c r="I861" s="3">
        <f>VLOOKUP(Table1[[#This Row],[Provider Type]] &amp; Table1[[#This Row],[Provider Type Description]], PROVIDER_TYPE, 2, FALSE)</f>
        <v>51</v>
      </c>
      <c r="J861" s="3">
        <v>339</v>
      </c>
      <c r="K861" s="3" t="s">
        <v>1338</v>
      </c>
      <c r="L861" s="3">
        <f>VLOOKUP(TRIM(Table1[[#This Row],[Provider Specialty]]) &amp; TRIM(Table1[[#This Row],[Provider Specialty Description]]), SPECIALTY_TYPE, 2, FALSE)</f>
        <v>2099</v>
      </c>
      <c r="M861" s="3" t="s">
        <v>18</v>
      </c>
      <c r="N861" s="27" t="s">
        <v>19</v>
      </c>
      <c r="O861" s="38">
        <f>VLOOKUP(TRIM(Table1[[#This Row],[Provider Specialty]]) &amp; TRIM(Table1[[#This Row],[Provider Specialty Description]]), SPECIALTY_TYPE, 2, FALSE)</f>
        <v>2099</v>
      </c>
      <c r="P861" s="3" t="str">
        <f>Table1[[#This Row],[Provider Type]] &amp; "+" &amp; Table1[[#This Row],[Provider Type Description]]</f>
        <v>33+Single-Specialty</v>
      </c>
      <c r="Q861" s="7" t="str">
        <f>Table1[[#This Row],[Provider Specialty]] &amp; "+" &amp; Table1[[#This Row],[Provider Specialty Description]]</f>
        <v>339+Psychiatrist</v>
      </c>
      <c r="R861" s="7" t="str">
        <f>Table1[[#This Row],[PDMS Specialty Type ID]] &amp; "+" &amp; Table1[[#This Row],[PDMS Provider Type ID]] &amp; "+" &amp;Table1[[#This Row],[TAXONOMY]]</f>
        <v>2099+51+2084P0805X</v>
      </c>
      <c r="S8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(9840, 2099, 51, N'2084P0805X', N'Psychiatry &amp; Neurology - - Geriatric Psychiatry#')</v>
      </c>
    </row>
    <row r="862" spans="1:19" ht="47.25" hidden="1" customHeight="1" x14ac:dyDescent="0.25">
      <c r="A862" s="22" t="s">
        <v>1855</v>
      </c>
      <c r="B862" s="3" t="s">
        <v>1262</v>
      </c>
      <c r="C862" s="3" t="s">
        <v>1439</v>
      </c>
      <c r="D862" s="3" t="s">
        <v>1440</v>
      </c>
      <c r="E862" s="3" t="s">
        <v>1441</v>
      </c>
      <c r="F862" s="3">
        <f>VLOOKUP(Table1[[#This Row],[Column2]], TAXONOMY_TYPE, 2, FALSE)</f>
        <v>9841</v>
      </c>
      <c r="G862" s="3">
        <v>31</v>
      </c>
      <c r="H862" s="3" t="s">
        <v>991</v>
      </c>
      <c r="I862" s="3">
        <f>VLOOKUP(Table1[[#This Row],[Provider Type]] &amp; Table1[[#This Row],[Provider Type Description]], PROVIDER_TYPE, 2, FALSE)</f>
        <v>114</v>
      </c>
      <c r="J862" s="3">
        <v>339</v>
      </c>
      <c r="K862" s="3" t="s">
        <v>1338</v>
      </c>
      <c r="L862" s="3">
        <f>VLOOKUP(TRIM(Table1[[#This Row],[Provider Specialty]]) &amp; TRIM(Table1[[#This Row],[Provider Specialty Description]]), SPECIALTY_TYPE, 2, FALSE)</f>
        <v>2099</v>
      </c>
      <c r="M862" s="3" t="s">
        <v>19</v>
      </c>
      <c r="N862" s="27" t="s">
        <v>19</v>
      </c>
      <c r="O862" s="38">
        <f>VLOOKUP(TRIM(Table1[[#This Row],[Provider Specialty]]) &amp; TRIM(Table1[[#This Row],[Provider Specialty Description]]), SPECIALTY_TYPE, 2, FALSE)</f>
        <v>2099</v>
      </c>
      <c r="P862" s="3" t="str">
        <f>Table1[[#This Row],[Provider Type]] &amp; "+" &amp; Table1[[#This Row],[Provider Type Description]]</f>
        <v>31+Physician</v>
      </c>
      <c r="Q862" s="7" t="str">
        <f>Table1[[#This Row],[Provider Specialty]] &amp; "+" &amp; Table1[[#This Row],[Provider Specialty Description]]</f>
        <v>339+Psychiatrist</v>
      </c>
      <c r="R862" s="7" t="str">
        <f>Table1[[#This Row],[PDMS Specialty Type ID]] &amp; "+" &amp; Table1[[#This Row],[PDMS Provider Type ID]] &amp; "+" &amp;Table1[[#This Row],[TAXONOMY]]</f>
        <v>2099+114+2084B0040X</v>
      </c>
      <c r="S8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(9841, 2099, 114, N'2084B0040X', N'Psychiatry &amp; Neurology - Behavioral Neurology &amp; Neuropsychiatry Speciality')</v>
      </c>
    </row>
    <row r="863" spans="1:19" ht="47.25" hidden="1" customHeight="1" x14ac:dyDescent="0.25">
      <c r="A863" s="22" t="s">
        <v>1854</v>
      </c>
      <c r="B863" s="3" t="s">
        <v>1262</v>
      </c>
      <c r="C863" s="3" t="s">
        <v>1439</v>
      </c>
      <c r="D863" s="3" t="s">
        <v>1440</v>
      </c>
      <c r="E863" s="3" t="s">
        <v>1441</v>
      </c>
      <c r="F863" s="3">
        <f>VLOOKUP(Table1[[#This Row],[Column2]], TAXONOMY_TYPE, 2, FALSE)</f>
        <v>9842</v>
      </c>
      <c r="G863" s="3">
        <v>32</v>
      </c>
      <c r="H863" s="3" t="s">
        <v>1444</v>
      </c>
      <c r="I863" s="3">
        <f>VLOOKUP(Table1[[#This Row],[Provider Type]] &amp; Table1[[#This Row],[Provider Type Description]], PROVIDER_TYPE, 2, FALSE)</f>
        <v>50</v>
      </c>
      <c r="J863" s="3">
        <v>339</v>
      </c>
      <c r="K863" s="3" t="s">
        <v>1338</v>
      </c>
      <c r="L863" s="3">
        <f>VLOOKUP(TRIM(Table1[[#This Row],[Provider Specialty]]) &amp; TRIM(Table1[[#This Row],[Provider Specialty Description]]), SPECIALTY_TYPE, 2, FALSE)</f>
        <v>2099</v>
      </c>
      <c r="M863" s="3" t="s">
        <v>18</v>
      </c>
      <c r="N863" s="27" t="s">
        <v>19</v>
      </c>
      <c r="O863" s="38">
        <f>VLOOKUP(TRIM(Table1[[#This Row],[Provider Specialty]]) &amp; TRIM(Table1[[#This Row],[Provider Specialty Description]]), SPECIALTY_TYPE, 2, FALSE)</f>
        <v>2099</v>
      </c>
      <c r="P863" s="3" t="str">
        <f>Table1[[#This Row],[Provider Type]] &amp; "+" &amp; Table1[[#This Row],[Provider Type Description]]</f>
        <v>32+Multi-Specialty</v>
      </c>
      <c r="Q863" s="7" t="str">
        <f>Table1[[#This Row],[Provider Specialty]] &amp; "+" &amp; Table1[[#This Row],[Provider Specialty Description]]</f>
        <v>339+Psychiatrist</v>
      </c>
      <c r="R863" s="7" t="str">
        <f>Table1[[#This Row],[PDMS Specialty Type ID]] &amp; "+" &amp; Table1[[#This Row],[PDMS Provider Type ID]] &amp; "+" &amp;Table1[[#This Row],[TAXONOMY]]</f>
        <v>2099+50+2084B0040X</v>
      </c>
      <c r="S8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(9842, 2099, 50, N'2084B0040X', N'Psychiatry &amp; Neurology - Behavioral Neurology &amp; Neuropsychiatry Speciality')</v>
      </c>
    </row>
    <row r="864" spans="1:19" ht="47.25" hidden="1" customHeight="1" x14ac:dyDescent="0.25">
      <c r="A864" s="22" t="s">
        <v>1854</v>
      </c>
      <c r="B864" s="3" t="s">
        <v>1262</v>
      </c>
      <c r="C864" s="3" t="s">
        <v>1439</v>
      </c>
      <c r="D864" s="3" t="s">
        <v>1440</v>
      </c>
      <c r="E864" s="3" t="s">
        <v>1441</v>
      </c>
      <c r="F864" s="3">
        <f>VLOOKUP(Table1[[#This Row],[Column2]], TAXONOMY_TYPE, 2, FALSE)</f>
        <v>9843</v>
      </c>
      <c r="G864" s="3">
        <v>33</v>
      </c>
      <c r="H864" s="3" t="s">
        <v>1953</v>
      </c>
      <c r="I864" s="3">
        <f>VLOOKUP(Table1[[#This Row],[Provider Type]] &amp; Table1[[#This Row],[Provider Type Description]], PROVIDER_TYPE, 2, FALSE)</f>
        <v>51</v>
      </c>
      <c r="J864" s="3">
        <v>339</v>
      </c>
      <c r="K864" s="3" t="s">
        <v>1338</v>
      </c>
      <c r="L864" s="3">
        <f>VLOOKUP(TRIM(Table1[[#This Row],[Provider Specialty]]) &amp; TRIM(Table1[[#This Row],[Provider Specialty Description]]), SPECIALTY_TYPE, 2, FALSE)</f>
        <v>2099</v>
      </c>
      <c r="M864" s="3" t="s">
        <v>18</v>
      </c>
      <c r="N864" s="27" t="s">
        <v>19</v>
      </c>
      <c r="O864" s="38">
        <f>VLOOKUP(TRIM(Table1[[#This Row],[Provider Specialty]]) &amp; TRIM(Table1[[#This Row],[Provider Specialty Description]]), SPECIALTY_TYPE, 2, FALSE)</f>
        <v>2099</v>
      </c>
      <c r="P864" s="3" t="str">
        <f>Table1[[#This Row],[Provider Type]] &amp; "+" &amp; Table1[[#This Row],[Provider Type Description]]</f>
        <v>33+Single-Specialty</v>
      </c>
      <c r="Q864" s="7" t="str">
        <f>Table1[[#This Row],[Provider Specialty]] &amp; "+" &amp; Table1[[#This Row],[Provider Specialty Description]]</f>
        <v>339+Psychiatrist</v>
      </c>
      <c r="R864" s="7" t="str">
        <f>Table1[[#This Row],[PDMS Specialty Type ID]] &amp; "+" &amp; Table1[[#This Row],[PDMS Provider Type ID]] &amp; "+" &amp;Table1[[#This Row],[TAXONOMY]]</f>
        <v>2099+51+2084B0040X</v>
      </c>
      <c r="S8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(9843, 2099, 51, N'2084B0040X', N'Psychiatry &amp; Neurology - Behavioral Neurology &amp; Neuropsychiatry Speciality')</v>
      </c>
    </row>
    <row r="865" spans="1:19" ht="47.25" hidden="1" customHeight="1" x14ac:dyDescent="0.25">
      <c r="A865" s="22" t="s">
        <v>1855</v>
      </c>
      <c r="B865" s="3" t="s">
        <v>988</v>
      </c>
      <c r="C865" s="3" t="s">
        <v>999</v>
      </c>
      <c r="D865" s="3" t="s">
        <v>1156</v>
      </c>
      <c r="E865" s="3" t="s">
        <v>1157</v>
      </c>
      <c r="F865" s="3">
        <f>VLOOKUP(Table1[[#This Row],[Column2]], TAXONOMY_TYPE, 2, FALSE)</f>
        <v>9844</v>
      </c>
      <c r="G865" s="3">
        <v>31</v>
      </c>
      <c r="H865" s="3" t="s">
        <v>991</v>
      </c>
      <c r="I865" s="3">
        <f>VLOOKUP(Table1[[#This Row],[Provider Type]] &amp; Table1[[#This Row],[Provider Type Description]], PROVIDER_TYPE, 2, FALSE)</f>
        <v>114</v>
      </c>
      <c r="J865" s="3">
        <v>340</v>
      </c>
      <c r="K865" s="3" t="s">
        <v>1158</v>
      </c>
      <c r="L865" s="3">
        <f>VLOOKUP(TRIM(Table1[[#This Row],[Provider Specialty]]) &amp; TRIM(Table1[[#This Row],[Provider Specialty Description]]), SPECIALTY_TYPE, 2, FALSE)</f>
        <v>2100</v>
      </c>
      <c r="M865" s="3" t="s">
        <v>19</v>
      </c>
      <c r="N865" s="27" t="s">
        <v>19</v>
      </c>
      <c r="O865" s="38">
        <f>VLOOKUP(TRIM(Table1[[#This Row],[Provider Specialty]]) &amp; TRIM(Table1[[#This Row],[Provider Specialty Description]]), SPECIALTY_TYPE, 2, FALSE)</f>
        <v>2100</v>
      </c>
      <c r="P865" s="3" t="str">
        <f>Table1[[#This Row],[Provider Type]] &amp; "+" &amp; Table1[[#This Row],[Provider Type Description]]</f>
        <v>31+Physician</v>
      </c>
      <c r="Q865" s="7" t="str">
        <f>Table1[[#This Row],[Provider Specialty]] &amp; "+" &amp; Table1[[#This Row],[Provider Specialty Description]]</f>
        <v>340+Pulmonary Disease Specialist</v>
      </c>
      <c r="R865" s="7" t="str">
        <f>Table1[[#This Row],[PDMS Specialty Type ID]] &amp; "+" &amp; Table1[[#This Row],[PDMS Provider Type ID]] &amp; "+" &amp;Table1[[#This Row],[TAXONOMY]]</f>
        <v>2100+114+207RP1001X</v>
      </c>
      <c r="S8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(9844, 2100, 114, N'207RP1001X', N'Internal Medicine - Pulmonary Disease')</v>
      </c>
    </row>
    <row r="866" spans="1:19" ht="47.25" hidden="1" customHeight="1" x14ac:dyDescent="0.25">
      <c r="A866" s="22" t="s">
        <v>1854</v>
      </c>
      <c r="B866" s="3" t="s">
        <v>988</v>
      </c>
      <c r="C866" s="3" t="s">
        <v>999</v>
      </c>
      <c r="D866" s="3" t="s">
        <v>1156</v>
      </c>
      <c r="E866" s="3" t="s">
        <v>1157</v>
      </c>
      <c r="F866" s="3">
        <f>VLOOKUP(Table1[[#This Row],[Column2]], TAXONOMY_TYPE, 2, FALSE)</f>
        <v>9845</v>
      </c>
      <c r="G866" s="3">
        <v>32</v>
      </c>
      <c r="H866" s="3" t="s">
        <v>1444</v>
      </c>
      <c r="I866" s="3">
        <f>VLOOKUP(Table1[[#This Row],[Provider Type]] &amp; Table1[[#This Row],[Provider Type Description]], PROVIDER_TYPE, 2, FALSE)</f>
        <v>50</v>
      </c>
      <c r="J866" s="3">
        <v>340</v>
      </c>
      <c r="K866" s="3" t="s">
        <v>1158</v>
      </c>
      <c r="L866" s="3">
        <f>VLOOKUP(TRIM(Table1[[#This Row],[Provider Specialty]]) &amp; TRIM(Table1[[#This Row],[Provider Specialty Description]]), SPECIALTY_TYPE, 2, FALSE)</f>
        <v>2100</v>
      </c>
      <c r="M866" s="3" t="s">
        <v>18</v>
      </c>
      <c r="N866" s="27" t="s">
        <v>19</v>
      </c>
      <c r="O866" s="38">
        <f>VLOOKUP(TRIM(Table1[[#This Row],[Provider Specialty]]) &amp; TRIM(Table1[[#This Row],[Provider Specialty Description]]), SPECIALTY_TYPE, 2, FALSE)</f>
        <v>2100</v>
      </c>
      <c r="P866" s="3" t="str">
        <f>Table1[[#This Row],[Provider Type]] &amp; "+" &amp; Table1[[#This Row],[Provider Type Description]]</f>
        <v>32+Multi-Specialty</v>
      </c>
      <c r="Q866" s="7" t="str">
        <f>Table1[[#This Row],[Provider Specialty]] &amp; "+" &amp; Table1[[#This Row],[Provider Specialty Description]]</f>
        <v>340+Pulmonary Disease Specialist</v>
      </c>
      <c r="R866" s="7" t="str">
        <f>Table1[[#This Row],[PDMS Specialty Type ID]] &amp; "+" &amp; Table1[[#This Row],[PDMS Provider Type ID]] &amp; "+" &amp;Table1[[#This Row],[TAXONOMY]]</f>
        <v>2100+50+207RP1001X</v>
      </c>
      <c r="S8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(9845, 2100, 50, N'207RP1001X', N'Internal Medicine - Pulmonary Disease')</v>
      </c>
    </row>
    <row r="867" spans="1:19" ht="47.25" hidden="1" customHeight="1" x14ac:dyDescent="0.25">
      <c r="A867" s="22" t="s">
        <v>1854</v>
      </c>
      <c r="B867" s="3" t="s">
        <v>988</v>
      </c>
      <c r="C867" s="3" t="s">
        <v>999</v>
      </c>
      <c r="D867" s="3" t="s">
        <v>1156</v>
      </c>
      <c r="E867" s="3" t="s">
        <v>1157</v>
      </c>
      <c r="F867" s="3">
        <f>VLOOKUP(Table1[[#This Row],[Column2]], TAXONOMY_TYPE, 2, FALSE)</f>
        <v>9846</v>
      </c>
      <c r="G867" s="3">
        <v>33</v>
      </c>
      <c r="H867" s="3" t="s">
        <v>1953</v>
      </c>
      <c r="I867" s="3">
        <f>VLOOKUP(Table1[[#This Row],[Provider Type]] &amp; Table1[[#This Row],[Provider Type Description]], PROVIDER_TYPE, 2, FALSE)</f>
        <v>51</v>
      </c>
      <c r="J867" s="3">
        <v>340</v>
      </c>
      <c r="K867" s="3" t="s">
        <v>1158</v>
      </c>
      <c r="L867" s="3">
        <f>VLOOKUP(TRIM(Table1[[#This Row],[Provider Specialty]]) &amp; TRIM(Table1[[#This Row],[Provider Specialty Description]]), SPECIALTY_TYPE, 2, FALSE)</f>
        <v>2100</v>
      </c>
      <c r="M867" s="3" t="s">
        <v>18</v>
      </c>
      <c r="N867" s="27" t="s">
        <v>19</v>
      </c>
      <c r="O867" s="38">
        <f>VLOOKUP(TRIM(Table1[[#This Row],[Provider Specialty]]) &amp; TRIM(Table1[[#This Row],[Provider Specialty Description]]), SPECIALTY_TYPE, 2, FALSE)</f>
        <v>2100</v>
      </c>
      <c r="P867" s="3" t="str">
        <f>Table1[[#This Row],[Provider Type]] &amp; "+" &amp; Table1[[#This Row],[Provider Type Description]]</f>
        <v>33+Single-Specialty</v>
      </c>
      <c r="Q867" s="7" t="str">
        <f>Table1[[#This Row],[Provider Specialty]] &amp; "+" &amp; Table1[[#This Row],[Provider Specialty Description]]</f>
        <v>340+Pulmonary Disease Specialist</v>
      </c>
      <c r="R867" s="7" t="str">
        <f>Table1[[#This Row],[PDMS Specialty Type ID]] &amp; "+" &amp; Table1[[#This Row],[PDMS Provider Type ID]] &amp; "+" &amp;Table1[[#This Row],[TAXONOMY]]</f>
        <v>2100+51+207RP1001X</v>
      </c>
      <c r="S8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(9846, 2100, 51, N'207RP1001X', N'Internal Medicine - Pulmonary Disease')</v>
      </c>
    </row>
    <row r="868" spans="1:19" ht="47.25" hidden="1" customHeight="1" x14ac:dyDescent="0.25">
      <c r="A868" s="22" t="s">
        <v>1855</v>
      </c>
      <c r="B868" s="3" t="s">
        <v>988</v>
      </c>
      <c r="C868" s="3" t="s">
        <v>1045</v>
      </c>
      <c r="D868" s="3" t="s">
        <v>1334</v>
      </c>
      <c r="E868" s="3" t="s">
        <v>1335</v>
      </c>
      <c r="F868" s="3">
        <f>VLOOKUP(Table1[[#This Row],[Column2]], TAXONOMY_TYPE, 2, FALSE)</f>
        <v>9847</v>
      </c>
      <c r="G868" s="3">
        <v>31</v>
      </c>
      <c r="H868" s="3" t="s">
        <v>991</v>
      </c>
      <c r="I868" s="3">
        <f>VLOOKUP(Table1[[#This Row],[Provider Type]] &amp; Table1[[#This Row],[Provider Type Description]], PROVIDER_TYPE, 2, FALSE)</f>
        <v>114</v>
      </c>
      <c r="J868" s="3">
        <v>341</v>
      </c>
      <c r="K868" s="3" t="s">
        <v>960</v>
      </c>
      <c r="L868" s="3">
        <f>VLOOKUP(TRIM(Table1[[#This Row],[Provider Specialty]]) &amp; TRIM(Table1[[#This Row],[Provider Specialty Description]]), SPECIALTY_TYPE, 2, FALSE)</f>
        <v>2101</v>
      </c>
      <c r="M868" s="3" t="s">
        <v>19</v>
      </c>
      <c r="N868" s="27" t="s">
        <v>19</v>
      </c>
      <c r="O868" s="38">
        <f>VLOOKUP(TRIM(Table1[[#This Row],[Provider Specialty]]) &amp; TRIM(Table1[[#This Row],[Provider Specialty Description]]), SPECIALTY_TYPE, 2, FALSE)</f>
        <v>2101</v>
      </c>
      <c r="P868" s="3" t="str">
        <f>Table1[[#This Row],[Provider Type]] &amp; "+" &amp; Table1[[#This Row],[Provider Type Description]]</f>
        <v>31+Physician</v>
      </c>
      <c r="Q868" s="7" t="str">
        <f>Table1[[#This Row],[Provider Specialty]] &amp; "+" &amp; Table1[[#This Row],[Provider Specialty Description]]</f>
        <v>341+Radiologist</v>
      </c>
      <c r="R868" s="7" t="str">
        <f>Table1[[#This Row],[PDMS Specialty Type ID]] &amp; "+" &amp; Table1[[#This Row],[PDMS Provider Type ID]] &amp; "+" &amp;Table1[[#This Row],[TAXONOMY]]</f>
        <v>2101+114+2084D0003X</v>
      </c>
      <c r="S8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(9847, 2101, 114, N'2084D0003X', N'Psychiatry &amp; Neurology - - Diagnostic Neuroimaging**')</v>
      </c>
    </row>
    <row r="869" spans="1:19" ht="47.25" hidden="1" customHeight="1" x14ac:dyDescent="0.25">
      <c r="A869" s="22" t="s">
        <v>1854</v>
      </c>
      <c r="B869" s="3" t="s">
        <v>988</v>
      </c>
      <c r="C869" s="3" t="s">
        <v>1045</v>
      </c>
      <c r="D869" s="3" t="s">
        <v>1334</v>
      </c>
      <c r="E869" s="3" t="s">
        <v>1335</v>
      </c>
      <c r="F869" s="3">
        <f>VLOOKUP(Table1[[#This Row],[Column2]], TAXONOMY_TYPE, 2, FALSE)</f>
        <v>9848</v>
      </c>
      <c r="G869" s="3">
        <v>32</v>
      </c>
      <c r="H869" s="3" t="s">
        <v>1444</v>
      </c>
      <c r="I869" s="3">
        <f>VLOOKUP(Table1[[#This Row],[Provider Type]] &amp; Table1[[#This Row],[Provider Type Description]], PROVIDER_TYPE, 2, FALSE)</f>
        <v>50</v>
      </c>
      <c r="J869" s="3">
        <v>341</v>
      </c>
      <c r="K869" s="3" t="s">
        <v>960</v>
      </c>
      <c r="L869" s="3">
        <f>VLOOKUP(TRIM(Table1[[#This Row],[Provider Specialty]]) &amp; TRIM(Table1[[#This Row],[Provider Specialty Description]]), SPECIALTY_TYPE, 2, FALSE)</f>
        <v>2101</v>
      </c>
      <c r="M869" s="3" t="s">
        <v>18</v>
      </c>
      <c r="N869" s="27" t="s">
        <v>19</v>
      </c>
      <c r="O869" s="38">
        <f>VLOOKUP(TRIM(Table1[[#This Row],[Provider Specialty]]) &amp; TRIM(Table1[[#This Row],[Provider Specialty Description]]), SPECIALTY_TYPE, 2, FALSE)</f>
        <v>2101</v>
      </c>
      <c r="P869" s="3" t="str">
        <f>Table1[[#This Row],[Provider Type]] &amp; "+" &amp; Table1[[#This Row],[Provider Type Description]]</f>
        <v>32+Multi-Specialty</v>
      </c>
      <c r="Q869" s="7" t="str">
        <f>Table1[[#This Row],[Provider Specialty]] &amp; "+" &amp; Table1[[#This Row],[Provider Specialty Description]]</f>
        <v>341+Radiologist</v>
      </c>
      <c r="R869" s="7" t="str">
        <f>Table1[[#This Row],[PDMS Specialty Type ID]] &amp; "+" &amp; Table1[[#This Row],[PDMS Provider Type ID]] &amp; "+" &amp;Table1[[#This Row],[TAXONOMY]]</f>
        <v>2101+50+2084D0003X</v>
      </c>
      <c r="S8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(9848, 2101, 50, N'2084D0003X', N'Psychiatry &amp; Neurology - - Diagnostic Neuroimaging**')</v>
      </c>
    </row>
    <row r="870" spans="1:19" ht="47.25" hidden="1" customHeight="1" x14ac:dyDescent="0.25">
      <c r="A870" s="22" t="s">
        <v>1854</v>
      </c>
      <c r="B870" s="3" t="s">
        <v>988</v>
      </c>
      <c r="C870" s="3" t="s">
        <v>1045</v>
      </c>
      <c r="D870" s="3" t="s">
        <v>1334</v>
      </c>
      <c r="E870" s="3" t="s">
        <v>1335</v>
      </c>
      <c r="F870" s="3">
        <f>VLOOKUP(Table1[[#This Row],[Column2]], TAXONOMY_TYPE, 2, FALSE)</f>
        <v>9849</v>
      </c>
      <c r="G870" s="3">
        <v>33</v>
      </c>
      <c r="H870" s="3" t="s">
        <v>1953</v>
      </c>
      <c r="I870" s="3">
        <f>VLOOKUP(Table1[[#This Row],[Provider Type]] &amp; Table1[[#This Row],[Provider Type Description]], PROVIDER_TYPE, 2, FALSE)</f>
        <v>51</v>
      </c>
      <c r="J870" s="3">
        <v>341</v>
      </c>
      <c r="K870" s="3" t="s">
        <v>960</v>
      </c>
      <c r="L870" s="3">
        <f>VLOOKUP(TRIM(Table1[[#This Row],[Provider Specialty]]) &amp; TRIM(Table1[[#This Row],[Provider Specialty Description]]), SPECIALTY_TYPE, 2, FALSE)</f>
        <v>2101</v>
      </c>
      <c r="M870" s="3" t="s">
        <v>18</v>
      </c>
      <c r="N870" s="27" t="s">
        <v>19</v>
      </c>
      <c r="O870" s="38">
        <f>VLOOKUP(TRIM(Table1[[#This Row],[Provider Specialty]]) &amp; TRIM(Table1[[#This Row],[Provider Specialty Description]]), SPECIALTY_TYPE, 2, FALSE)</f>
        <v>2101</v>
      </c>
      <c r="P870" s="3" t="str">
        <f>Table1[[#This Row],[Provider Type]] &amp; "+" &amp; Table1[[#This Row],[Provider Type Description]]</f>
        <v>33+Single-Specialty</v>
      </c>
      <c r="Q870" s="7" t="str">
        <f>Table1[[#This Row],[Provider Specialty]] &amp; "+" &amp; Table1[[#This Row],[Provider Specialty Description]]</f>
        <v>341+Radiologist</v>
      </c>
      <c r="R870" s="7" t="str">
        <f>Table1[[#This Row],[PDMS Specialty Type ID]] &amp; "+" &amp; Table1[[#This Row],[PDMS Provider Type ID]] &amp; "+" &amp;Table1[[#This Row],[TAXONOMY]]</f>
        <v>2101+51+2084D0003X</v>
      </c>
      <c r="S8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(9849, 2101, 51, N'2084D0003X', N'Psychiatry &amp; Neurology - - Diagnostic Neuroimaging**')</v>
      </c>
    </row>
    <row r="871" spans="1:19" ht="47.25" hidden="1" customHeight="1" x14ac:dyDescent="0.25">
      <c r="A871" s="22" t="s">
        <v>1855</v>
      </c>
      <c r="B871" s="3" t="s">
        <v>988</v>
      </c>
      <c r="C871" s="3" t="s">
        <v>1364</v>
      </c>
      <c r="D871" s="3" t="s">
        <v>1365</v>
      </c>
      <c r="E871" s="3" t="s">
        <v>1366</v>
      </c>
      <c r="F871" s="3">
        <f>VLOOKUP(Table1[[#This Row],[Column2]], TAXONOMY_TYPE, 2, FALSE)</f>
        <v>9850</v>
      </c>
      <c r="G871" s="3">
        <v>31</v>
      </c>
      <c r="H871" s="3" t="s">
        <v>991</v>
      </c>
      <c r="I871" s="3">
        <f>VLOOKUP(Table1[[#This Row],[Provider Type]] &amp; Table1[[#This Row],[Provider Type Description]], PROVIDER_TYPE, 2, FALSE)</f>
        <v>114</v>
      </c>
      <c r="J871" s="3">
        <v>341</v>
      </c>
      <c r="K871" s="3" t="s">
        <v>960</v>
      </c>
      <c r="L871" s="3">
        <f>VLOOKUP(TRIM(Table1[[#This Row],[Provider Specialty]]) &amp; TRIM(Table1[[#This Row],[Provider Specialty Description]]), SPECIALTY_TYPE, 2, FALSE)</f>
        <v>2101</v>
      </c>
      <c r="M871" s="3" t="s">
        <v>19</v>
      </c>
      <c r="N871" s="27" t="s">
        <v>19</v>
      </c>
      <c r="O871" s="38">
        <f>VLOOKUP(TRIM(Table1[[#This Row],[Provider Specialty]]) &amp; TRIM(Table1[[#This Row],[Provider Specialty Description]]), SPECIALTY_TYPE, 2, FALSE)</f>
        <v>2101</v>
      </c>
      <c r="P871" s="3" t="str">
        <f>Table1[[#This Row],[Provider Type]] &amp; "+" &amp; Table1[[#This Row],[Provider Type Description]]</f>
        <v>31+Physician</v>
      </c>
      <c r="Q871" s="7" t="str">
        <f>Table1[[#This Row],[Provider Specialty]] &amp; "+" &amp; Table1[[#This Row],[Provider Specialty Description]]</f>
        <v>341+Radiologist</v>
      </c>
      <c r="R871" s="7" t="str">
        <f>Table1[[#This Row],[PDMS Specialty Type ID]] &amp; "+" &amp; Table1[[#This Row],[PDMS Provider Type ID]] &amp; "+" &amp;Table1[[#This Row],[TAXONOMY]]</f>
        <v>2101+114+2085B0100X</v>
      </c>
      <c r="S8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(9850, 2101, 114, N'2085B0100X', N'Radiology - - Body Imaging')</v>
      </c>
    </row>
    <row r="872" spans="1:19" ht="47.25" hidden="1" customHeight="1" x14ac:dyDescent="0.25">
      <c r="A872" s="22" t="s">
        <v>1854</v>
      </c>
      <c r="B872" s="3" t="s">
        <v>988</v>
      </c>
      <c r="C872" s="3" t="s">
        <v>1364</v>
      </c>
      <c r="D872" s="3" t="s">
        <v>1365</v>
      </c>
      <c r="E872" s="3" t="s">
        <v>1366</v>
      </c>
      <c r="F872" s="3">
        <f>VLOOKUP(Table1[[#This Row],[Column2]], TAXONOMY_TYPE, 2, FALSE)</f>
        <v>9851</v>
      </c>
      <c r="G872" s="3">
        <v>32</v>
      </c>
      <c r="H872" s="3" t="s">
        <v>1444</v>
      </c>
      <c r="I872" s="3">
        <f>VLOOKUP(Table1[[#This Row],[Provider Type]] &amp; Table1[[#This Row],[Provider Type Description]], PROVIDER_TYPE, 2, FALSE)</f>
        <v>50</v>
      </c>
      <c r="J872" s="3">
        <v>341</v>
      </c>
      <c r="K872" s="3" t="s">
        <v>960</v>
      </c>
      <c r="L872" s="3">
        <f>VLOOKUP(TRIM(Table1[[#This Row],[Provider Specialty]]) &amp; TRIM(Table1[[#This Row],[Provider Specialty Description]]), SPECIALTY_TYPE, 2, FALSE)</f>
        <v>2101</v>
      </c>
      <c r="M872" s="3" t="s">
        <v>18</v>
      </c>
      <c r="N872" s="27" t="s">
        <v>19</v>
      </c>
      <c r="O872" s="38">
        <f>VLOOKUP(TRIM(Table1[[#This Row],[Provider Specialty]]) &amp; TRIM(Table1[[#This Row],[Provider Specialty Description]]), SPECIALTY_TYPE, 2, FALSE)</f>
        <v>2101</v>
      </c>
      <c r="P872" s="3" t="str">
        <f>Table1[[#This Row],[Provider Type]] &amp; "+" &amp; Table1[[#This Row],[Provider Type Description]]</f>
        <v>32+Multi-Specialty</v>
      </c>
      <c r="Q872" s="7" t="str">
        <f>Table1[[#This Row],[Provider Specialty]] &amp; "+" &amp; Table1[[#This Row],[Provider Specialty Description]]</f>
        <v>341+Radiologist</v>
      </c>
      <c r="R872" s="7" t="str">
        <f>Table1[[#This Row],[PDMS Specialty Type ID]] &amp; "+" &amp; Table1[[#This Row],[PDMS Provider Type ID]] &amp; "+" &amp;Table1[[#This Row],[TAXONOMY]]</f>
        <v>2101+50+2085B0100X</v>
      </c>
      <c r="S8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(9851, 2101, 50, N'2085B0100X', N'Radiology - - Body Imaging')</v>
      </c>
    </row>
    <row r="873" spans="1:19" ht="47.25" hidden="1" customHeight="1" x14ac:dyDescent="0.25">
      <c r="A873" s="22" t="s">
        <v>1854</v>
      </c>
      <c r="B873" s="3" t="s">
        <v>988</v>
      </c>
      <c r="C873" s="3" t="s">
        <v>1364</v>
      </c>
      <c r="D873" s="3" t="s">
        <v>1365</v>
      </c>
      <c r="E873" s="3" t="s">
        <v>1366</v>
      </c>
      <c r="F873" s="3">
        <f>VLOOKUP(Table1[[#This Row],[Column2]], TAXONOMY_TYPE, 2, FALSE)</f>
        <v>9852</v>
      </c>
      <c r="G873" s="3">
        <v>33</v>
      </c>
      <c r="H873" s="3" t="s">
        <v>1953</v>
      </c>
      <c r="I873" s="3">
        <f>VLOOKUP(Table1[[#This Row],[Provider Type]] &amp; Table1[[#This Row],[Provider Type Description]], PROVIDER_TYPE, 2, FALSE)</f>
        <v>51</v>
      </c>
      <c r="J873" s="3">
        <v>341</v>
      </c>
      <c r="K873" s="3" t="s">
        <v>960</v>
      </c>
      <c r="L873" s="3">
        <f>VLOOKUP(TRIM(Table1[[#This Row],[Provider Specialty]]) &amp; TRIM(Table1[[#This Row],[Provider Specialty Description]]), SPECIALTY_TYPE, 2, FALSE)</f>
        <v>2101</v>
      </c>
      <c r="M873" s="3" t="s">
        <v>18</v>
      </c>
      <c r="N873" s="27" t="s">
        <v>19</v>
      </c>
      <c r="O873" s="38">
        <f>VLOOKUP(TRIM(Table1[[#This Row],[Provider Specialty]]) &amp; TRIM(Table1[[#This Row],[Provider Specialty Description]]), SPECIALTY_TYPE, 2, FALSE)</f>
        <v>2101</v>
      </c>
      <c r="P873" s="3" t="str">
        <f>Table1[[#This Row],[Provider Type]] &amp; "+" &amp; Table1[[#This Row],[Provider Type Description]]</f>
        <v>33+Single-Specialty</v>
      </c>
      <c r="Q873" s="7" t="str">
        <f>Table1[[#This Row],[Provider Specialty]] &amp; "+" &amp; Table1[[#This Row],[Provider Specialty Description]]</f>
        <v>341+Radiologist</v>
      </c>
      <c r="R873" s="7" t="str">
        <f>Table1[[#This Row],[PDMS Specialty Type ID]] &amp; "+" &amp; Table1[[#This Row],[PDMS Provider Type ID]] &amp; "+" &amp;Table1[[#This Row],[TAXONOMY]]</f>
        <v>2101+51+2085B0100X</v>
      </c>
      <c r="S8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(9852, 2101, 51, N'2085B0100X', N'Radiology - - Body Imaging')</v>
      </c>
    </row>
    <row r="874" spans="1:19" ht="47.25" hidden="1" customHeight="1" x14ac:dyDescent="0.25">
      <c r="A874" s="22" t="s">
        <v>1855</v>
      </c>
      <c r="B874" s="3" t="s">
        <v>988</v>
      </c>
      <c r="C874" s="3" t="s">
        <v>1364</v>
      </c>
      <c r="D874" s="3" t="s">
        <v>1334</v>
      </c>
      <c r="E874" s="3" t="s">
        <v>1367</v>
      </c>
      <c r="F874" s="3">
        <f>VLOOKUP(Table1[[#This Row],[Column2]], TAXONOMY_TYPE, 2, FALSE)</f>
        <v>9853</v>
      </c>
      <c r="G874" s="3">
        <v>31</v>
      </c>
      <c r="H874" s="3" t="s">
        <v>991</v>
      </c>
      <c r="I874" s="3">
        <f>VLOOKUP(Table1[[#This Row],[Provider Type]] &amp; Table1[[#This Row],[Provider Type Description]], PROVIDER_TYPE, 2, FALSE)</f>
        <v>114</v>
      </c>
      <c r="J874" s="3">
        <v>341</v>
      </c>
      <c r="K874" s="3" t="s">
        <v>960</v>
      </c>
      <c r="L874" s="3">
        <f>VLOOKUP(TRIM(Table1[[#This Row],[Provider Specialty]]) &amp; TRIM(Table1[[#This Row],[Provider Specialty Description]]), SPECIALTY_TYPE, 2, FALSE)</f>
        <v>2101</v>
      </c>
      <c r="M874" s="3" t="s">
        <v>19</v>
      </c>
      <c r="N874" s="27" t="s">
        <v>19</v>
      </c>
      <c r="O874" s="38">
        <f>VLOOKUP(TRIM(Table1[[#This Row],[Provider Specialty]]) &amp; TRIM(Table1[[#This Row],[Provider Specialty Description]]), SPECIALTY_TYPE, 2, FALSE)</f>
        <v>2101</v>
      </c>
      <c r="P874" s="3" t="str">
        <f>Table1[[#This Row],[Provider Type]] &amp; "+" &amp; Table1[[#This Row],[Provider Type Description]]</f>
        <v>31+Physician</v>
      </c>
      <c r="Q874" s="7" t="str">
        <f>Table1[[#This Row],[Provider Specialty]] &amp; "+" &amp; Table1[[#This Row],[Provider Specialty Description]]</f>
        <v>341+Radiologist</v>
      </c>
      <c r="R874" s="7" t="str">
        <f>Table1[[#This Row],[PDMS Specialty Type ID]] &amp; "+" &amp; Table1[[#This Row],[PDMS Provider Type ID]] &amp; "+" &amp;Table1[[#This Row],[TAXONOMY]]</f>
        <v>2101+114+2085D0003X</v>
      </c>
      <c r="S8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(9853, 2101, 114, N'2085D0003X', N'Radiology - - Diagnostic Neuroimaging**')</v>
      </c>
    </row>
    <row r="875" spans="1:19" ht="47.25" hidden="1" customHeight="1" x14ac:dyDescent="0.25">
      <c r="A875" s="22" t="s">
        <v>1854</v>
      </c>
      <c r="B875" s="3" t="s">
        <v>988</v>
      </c>
      <c r="C875" s="3" t="s">
        <v>1364</v>
      </c>
      <c r="D875" s="3" t="s">
        <v>1334</v>
      </c>
      <c r="E875" s="3" t="s">
        <v>1367</v>
      </c>
      <c r="F875" s="3">
        <f>VLOOKUP(Table1[[#This Row],[Column2]], TAXONOMY_TYPE, 2, FALSE)</f>
        <v>9854</v>
      </c>
      <c r="G875" s="3">
        <v>32</v>
      </c>
      <c r="H875" s="3" t="s">
        <v>1444</v>
      </c>
      <c r="I875" s="3">
        <f>VLOOKUP(Table1[[#This Row],[Provider Type]] &amp; Table1[[#This Row],[Provider Type Description]], PROVIDER_TYPE, 2, FALSE)</f>
        <v>50</v>
      </c>
      <c r="J875" s="3">
        <v>341</v>
      </c>
      <c r="K875" s="3" t="s">
        <v>960</v>
      </c>
      <c r="L875" s="3">
        <f>VLOOKUP(TRIM(Table1[[#This Row],[Provider Specialty]]) &amp; TRIM(Table1[[#This Row],[Provider Specialty Description]]), SPECIALTY_TYPE, 2, FALSE)</f>
        <v>2101</v>
      </c>
      <c r="M875" s="3" t="s">
        <v>18</v>
      </c>
      <c r="N875" s="27" t="s">
        <v>19</v>
      </c>
      <c r="O875" s="38">
        <f>VLOOKUP(TRIM(Table1[[#This Row],[Provider Specialty]]) &amp; TRIM(Table1[[#This Row],[Provider Specialty Description]]), SPECIALTY_TYPE, 2, FALSE)</f>
        <v>2101</v>
      </c>
      <c r="P875" s="3" t="str">
        <f>Table1[[#This Row],[Provider Type]] &amp; "+" &amp; Table1[[#This Row],[Provider Type Description]]</f>
        <v>32+Multi-Specialty</v>
      </c>
      <c r="Q875" s="7" t="str">
        <f>Table1[[#This Row],[Provider Specialty]] &amp; "+" &amp; Table1[[#This Row],[Provider Specialty Description]]</f>
        <v>341+Radiologist</v>
      </c>
      <c r="R875" s="7" t="str">
        <f>Table1[[#This Row],[PDMS Specialty Type ID]] &amp; "+" &amp; Table1[[#This Row],[PDMS Provider Type ID]] &amp; "+" &amp;Table1[[#This Row],[TAXONOMY]]</f>
        <v>2101+50+2085D0003X</v>
      </c>
      <c r="S8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(9854, 2101, 50, N'2085D0003X', N'Radiology - - Diagnostic Neuroimaging**')</v>
      </c>
    </row>
    <row r="876" spans="1:19" ht="47.25" hidden="1" customHeight="1" x14ac:dyDescent="0.25">
      <c r="A876" s="22" t="s">
        <v>1854</v>
      </c>
      <c r="B876" s="3" t="s">
        <v>988</v>
      </c>
      <c r="C876" s="3" t="s">
        <v>1364</v>
      </c>
      <c r="D876" s="3" t="s">
        <v>1334</v>
      </c>
      <c r="E876" s="3" t="s">
        <v>1367</v>
      </c>
      <c r="F876" s="3">
        <f>VLOOKUP(Table1[[#This Row],[Column2]], TAXONOMY_TYPE, 2, FALSE)</f>
        <v>9855</v>
      </c>
      <c r="G876" s="3">
        <v>33</v>
      </c>
      <c r="H876" s="3" t="s">
        <v>1953</v>
      </c>
      <c r="I876" s="3">
        <f>VLOOKUP(Table1[[#This Row],[Provider Type]] &amp; Table1[[#This Row],[Provider Type Description]], PROVIDER_TYPE, 2, FALSE)</f>
        <v>51</v>
      </c>
      <c r="J876" s="3">
        <v>341</v>
      </c>
      <c r="K876" s="3" t="s">
        <v>960</v>
      </c>
      <c r="L876" s="3">
        <f>VLOOKUP(TRIM(Table1[[#This Row],[Provider Specialty]]) &amp; TRIM(Table1[[#This Row],[Provider Specialty Description]]), SPECIALTY_TYPE, 2, FALSE)</f>
        <v>2101</v>
      </c>
      <c r="M876" s="3" t="s">
        <v>18</v>
      </c>
      <c r="N876" s="27" t="s">
        <v>19</v>
      </c>
      <c r="O876" s="38">
        <f>VLOOKUP(TRIM(Table1[[#This Row],[Provider Specialty]]) &amp; TRIM(Table1[[#This Row],[Provider Specialty Description]]), SPECIALTY_TYPE, 2, FALSE)</f>
        <v>2101</v>
      </c>
      <c r="P876" s="3" t="str">
        <f>Table1[[#This Row],[Provider Type]] &amp; "+" &amp; Table1[[#This Row],[Provider Type Description]]</f>
        <v>33+Single-Specialty</v>
      </c>
      <c r="Q876" s="7" t="str">
        <f>Table1[[#This Row],[Provider Specialty]] &amp; "+" &amp; Table1[[#This Row],[Provider Specialty Description]]</f>
        <v>341+Radiologist</v>
      </c>
      <c r="R876" s="7" t="str">
        <f>Table1[[#This Row],[PDMS Specialty Type ID]] &amp; "+" &amp; Table1[[#This Row],[PDMS Provider Type ID]] &amp; "+" &amp;Table1[[#This Row],[TAXONOMY]]</f>
        <v>2101+51+2085D0003X</v>
      </c>
      <c r="S8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(9855, 2101, 51, N'2085D0003X', N'Radiology - - Diagnostic Neuroimaging**')</v>
      </c>
    </row>
    <row r="877" spans="1:19" ht="47.25" hidden="1" customHeight="1" x14ac:dyDescent="0.25">
      <c r="A877" s="22" t="s">
        <v>1855</v>
      </c>
      <c r="B877" s="3" t="s">
        <v>988</v>
      </c>
      <c r="C877" s="3" t="s">
        <v>1364</v>
      </c>
      <c r="D877" s="3" t="s">
        <v>1266</v>
      </c>
      <c r="E877" s="3" t="s">
        <v>1368</v>
      </c>
      <c r="F877" s="3">
        <f>VLOOKUP(Table1[[#This Row],[Column2]], TAXONOMY_TYPE, 2, FALSE)</f>
        <v>9856</v>
      </c>
      <c r="G877" s="3">
        <v>31</v>
      </c>
      <c r="H877" s="3" t="s">
        <v>991</v>
      </c>
      <c r="I877" s="3">
        <f>VLOOKUP(Table1[[#This Row],[Provider Type]] &amp; Table1[[#This Row],[Provider Type Description]], PROVIDER_TYPE, 2, FALSE)</f>
        <v>114</v>
      </c>
      <c r="J877" s="3">
        <v>341</v>
      </c>
      <c r="K877" s="3" t="s">
        <v>960</v>
      </c>
      <c r="L877" s="3">
        <f>VLOOKUP(TRIM(Table1[[#This Row],[Provider Specialty]]) &amp; TRIM(Table1[[#This Row],[Provider Specialty Description]]), SPECIALTY_TYPE, 2, FALSE)</f>
        <v>2101</v>
      </c>
      <c r="M877" s="3" t="s">
        <v>19</v>
      </c>
      <c r="N877" s="27" t="s">
        <v>19</v>
      </c>
      <c r="O877" s="38">
        <f>VLOOKUP(TRIM(Table1[[#This Row],[Provider Specialty]]) &amp; TRIM(Table1[[#This Row],[Provider Specialty Description]]), SPECIALTY_TYPE, 2, FALSE)</f>
        <v>2101</v>
      </c>
      <c r="P877" s="3" t="str">
        <f>Table1[[#This Row],[Provider Type]] &amp; "+" &amp; Table1[[#This Row],[Provider Type Description]]</f>
        <v>31+Physician</v>
      </c>
      <c r="Q877" s="7" t="str">
        <f>Table1[[#This Row],[Provider Specialty]] &amp; "+" &amp; Table1[[#This Row],[Provider Specialty Description]]</f>
        <v>341+Radiologist</v>
      </c>
      <c r="R877" s="7" t="str">
        <f>Table1[[#This Row],[PDMS Specialty Type ID]] &amp; "+" &amp; Table1[[#This Row],[PDMS Provider Type ID]] &amp; "+" &amp;Table1[[#This Row],[TAXONOMY]]</f>
        <v>2101+114+2085H0002X</v>
      </c>
      <c r="S8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(9856, 2101, 114, N'2085H0002X', N'Radiology - - Hospice and Palliative Medicine**')</v>
      </c>
    </row>
    <row r="878" spans="1:19" ht="47.25" hidden="1" customHeight="1" x14ac:dyDescent="0.25">
      <c r="A878" s="22" t="s">
        <v>1854</v>
      </c>
      <c r="B878" s="3" t="s">
        <v>988</v>
      </c>
      <c r="C878" s="3" t="s">
        <v>1364</v>
      </c>
      <c r="D878" s="3" t="s">
        <v>1266</v>
      </c>
      <c r="E878" s="3" t="s">
        <v>1368</v>
      </c>
      <c r="F878" s="3">
        <f>VLOOKUP(Table1[[#This Row],[Column2]], TAXONOMY_TYPE, 2, FALSE)</f>
        <v>9857</v>
      </c>
      <c r="G878" s="3">
        <v>32</v>
      </c>
      <c r="H878" s="3" t="s">
        <v>1444</v>
      </c>
      <c r="I878" s="3">
        <f>VLOOKUP(Table1[[#This Row],[Provider Type]] &amp; Table1[[#This Row],[Provider Type Description]], PROVIDER_TYPE, 2, FALSE)</f>
        <v>50</v>
      </c>
      <c r="J878" s="3">
        <v>341</v>
      </c>
      <c r="K878" s="3" t="s">
        <v>960</v>
      </c>
      <c r="L878" s="3">
        <f>VLOOKUP(TRIM(Table1[[#This Row],[Provider Specialty]]) &amp; TRIM(Table1[[#This Row],[Provider Specialty Description]]), SPECIALTY_TYPE, 2, FALSE)</f>
        <v>2101</v>
      </c>
      <c r="M878" s="3" t="s">
        <v>18</v>
      </c>
      <c r="N878" s="27" t="s">
        <v>19</v>
      </c>
      <c r="O878" s="38">
        <f>VLOOKUP(TRIM(Table1[[#This Row],[Provider Specialty]]) &amp; TRIM(Table1[[#This Row],[Provider Specialty Description]]), SPECIALTY_TYPE, 2, FALSE)</f>
        <v>2101</v>
      </c>
      <c r="P878" s="3" t="str">
        <f>Table1[[#This Row],[Provider Type]] &amp; "+" &amp; Table1[[#This Row],[Provider Type Description]]</f>
        <v>32+Multi-Specialty</v>
      </c>
      <c r="Q878" s="7" t="str">
        <f>Table1[[#This Row],[Provider Specialty]] &amp; "+" &amp; Table1[[#This Row],[Provider Specialty Description]]</f>
        <v>341+Radiologist</v>
      </c>
      <c r="R878" s="7" t="str">
        <f>Table1[[#This Row],[PDMS Specialty Type ID]] &amp; "+" &amp; Table1[[#This Row],[PDMS Provider Type ID]] &amp; "+" &amp;Table1[[#This Row],[TAXONOMY]]</f>
        <v>2101+50+2085H0002X</v>
      </c>
      <c r="S8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(9857, 2101, 50, N'2085H0002X', N'Radiology - - Hospice and Palliative Medicine**')</v>
      </c>
    </row>
    <row r="879" spans="1:19" ht="47.25" hidden="1" customHeight="1" x14ac:dyDescent="0.25">
      <c r="A879" s="22" t="s">
        <v>1854</v>
      </c>
      <c r="B879" s="3" t="s">
        <v>988</v>
      </c>
      <c r="C879" s="3" t="s">
        <v>1364</v>
      </c>
      <c r="D879" s="3" t="s">
        <v>1266</v>
      </c>
      <c r="E879" s="3" t="s">
        <v>1368</v>
      </c>
      <c r="F879" s="3">
        <f>VLOOKUP(Table1[[#This Row],[Column2]], TAXONOMY_TYPE, 2, FALSE)</f>
        <v>9858</v>
      </c>
      <c r="G879" s="3">
        <v>33</v>
      </c>
      <c r="H879" s="3" t="s">
        <v>1953</v>
      </c>
      <c r="I879" s="3">
        <f>VLOOKUP(Table1[[#This Row],[Provider Type]] &amp; Table1[[#This Row],[Provider Type Description]], PROVIDER_TYPE, 2, FALSE)</f>
        <v>51</v>
      </c>
      <c r="J879" s="3">
        <v>341</v>
      </c>
      <c r="K879" s="3" t="s">
        <v>960</v>
      </c>
      <c r="L879" s="3">
        <f>VLOOKUP(TRIM(Table1[[#This Row],[Provider Specialty]]) &amp; TRIM(Table1[[#This Row],[Provider Specialty Description]]), SPECIALTY_TYPE, 2, FALSE)</f>
        <v>2101</v>
      </c>
      <c r="M879" s="3" t="s">
        <v>18</v>
      </c>
      <c r="N879" s="27" t="s">
        <v>19</v>
      </c>
      <c r="O879" s="38">
        <f>VLOOKUP(TRIM(Table1[[#This Row],[Provider Specialty]]) &amp; TRIM(Table1[[#This Row],[Provider Specialty Description]]), SPECIALTY_TYPE, 2, FALSE)</f>
        <v>2101</v>
      </c>
      <c r="P879" s="3" t="str">
        <f>Table1[[#This Row],[Provider Type]] &amp; "+" &amp; Table1[[#This Row],[Provider Type Description]]</f>
        <v>33+Single-Specialty</v>
      </c>
      <c r="Q879" s="7" t="str">
        <f>Table1[[#This Row],[Provider Specialty]] &amp; "+" &amp; Table1[[#This Row],[Provider Specialty Description]]</f>
        <v>341+Radiologist</v>
      </c>
      <c r="R879" s="7" t="str">
        <f>Table1[[#This Row],[PDMS Specialty Type ID]] &amp; "+" &amp; Table1[[#This Row],[PDMS Provider Type ID]] &amp; "+" &amp;Table1[[#This Row],[TAXONOMY]]</f>
        <v>2101+51+2085H0002X</v>
      </c>
      <c r="S8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(9858, 2101, 51, N'2085H0002X', N'Radiology - - Hospice and Palliative Medicine**')</v>
      </c>
    </row>
    <row r="880" spans="1:19" ht="47.25" hidden="1" customHeight="1" x14ac:dyDescent="0.25">
      <c r="A880" s="22" t="s">
        <v>1855</v>
      </c>
      <c r="B880" s="3" t="s">
        <v>988</v>
      </c>
      <c r="C880" s="3" t="s">
        <v>1364</v>
      </c>
      <c r="D880" s="3" t="s">
        <v>1369</v>
      </c>
      <c r="E880" s="3" t="s">
        <v>1370</v>
      </c>
      <c r="F880" s="3">
        <f>VLOOKUP(Table1[[#This Row],[Column2]], TAXONOMY_TYPE, 2, FALSE)</f>
        <v>9859</v>
      </c>
      <c r="G880" s="3">
        <v>31</v>
      </c>
      <c r="H880" s="3" t="s">
        <v>991</v>
      </c>
      <c r="I880" s="3">
        <f>VLOOKUP(Table1[[#This Row],[Provider Type]] &amp; Table1[[#This Row],[Provider Type Description]], PROVIDER_TYPE, 2, FALSE)</f>
        <v>114</v>
      </c>
      <c r="J880" s="3">
        <v>341</v>
      </c>
      <c r="K880" s="3" t="s">
        <v>960</v>
      </c>
      <c r="L880" s="3">
        <f>VLOOKUP(TRIM(Table1[[#This Row],[Provider Specialty]]) &amp; TRIM(Table1[[#This Row],[Provider Specialty Description]]), SPECIALTY_TYPE, 2, FALSE)</f>
        <v>2101</v>
      </c>
      <c r="M880" s="3" t="s">
        <v>19</v>
      </c>
      <c r="N880" s="27" t="s">
        <v>19</v>
      </c>
      <c r="O880" s="38">
        <f>VLOOKUP(TRIM(Table1[[#This Row],[Provider Specialty]]) &amp; TRIM(Table1[[#This Row],[Provider Specialty Description]]), SPECIALTY_TYPE, 2, FALSE)</f>
        <v>2101</v>
      </c>
      <c r="P880" s="3" t="str">
        <f>Table1[[#This Row],[Provider Type]] &amp; "+" &amp; Table1[[#This Row],[Provider Type Description]]</f>
        <v>31+Physician</v>
      </c>
      <c r="Q880" s="7" t="str">
        <f>Table1[[#This Row],[Provider Specialty]] &amp; "+" &amp; Table1[[#This Row],[Provider Specialty Description]]</f>
        <v>341+Radiologist</v>
      </c>
      <c r="R880" s="7" t="str">
        <f>Table1[[#This Row],[PDMS Specialty Type ID]] &amp; "+" &amp; Table1[[#This Row],[PDMS Provider Type ID]] &amp; "+" &amp;Table1[[#This Row],[TAXONOMY]]</f>
        <v>2101+114+2085N0700X</v>
      </c>
      <c r="S8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(9859, 2101, 114, N'2085N0700X', N'Radiology - - Neuroradiology')</v>
      </c>
    </row>
    <row r="881" spans="1:19" ht="47.25" hidden="1" customHeight="1" x14ac:dyDescent="0.25">
      <c r="A881" s="22" t="s">
        <v>1854</v>
      </c>
      <c r="B881" s="3" t="s">
        <v>988</v>
      </c>
      <c r="C881" s="3" t="s">
        <v>1364</v>
      </c>
      <c r="D881" s="3" t="s">
        <v>1369</v>
      </c>
      <c r="E881" s="3" t="s">
        <v>1370</v>
      </c>
      <c r="F881" s="3">
        <f>VLOOKUP(Table1[[#This Row],[Column2]], TAXONOMY_TYPE, 2, FALSE)</f>
        <v>9860</v>
      </c>
      <c r="G881" s="3">
        <v>32</v>
      </c>
      <c r="H881" s="3" t="s">
        <v>1444</v>
      </c>
      <c r="I881" s="3">
        <f>VLOOKUP(Table1[[#This Row],[Provider Type]] &amp; Table1[[#This Row],[Provider Type Description]], PROVIDER_TYPE, 2, FALSE)</f>
        <v>50</v>
      </c>
      <c r="J881" s="3">
        <v>341</v>
      </c>
      <c r="K881" s="3" t="s">
        <v>960</v>
      </c>
      <c r="L881" s="3">
        <f>VLOOKUP(TRIM(Table1[[#This Row],[Provider Specialty]]) &amp; TRIM(Table1[[#This Row],[Provider Specialty Description]]), SPECIALTY_TYPE, 2, FALSE)</f>
        <v>2101</v>
      </c>
      <c r="M881" s="3" t="s">
        <v>18</v>
      </c>
      <c r="N881" s="27" t="s">
        <v>19</v>
      </c>
      <c r="O881" s="38">
        <f>VLOOKUP(TRIM(Table1[[#This Row],[Provider Specialty]]) &amp; TRIM(Table1[[#This Row],[Provider Specialty Description]]), SPECIALTY_TYPE, 2, FALSE)</f>
        <v>2101</v>
      </c>
      <c r="P881" s="3" t="str">
        <f>Table1[[#This Row],[Provider Type]] &amp; "+" &amp; Table1[[#This Row],[Provider Type Description]]</f>
        <v>32+Multi-Specialty</v>
      </c>
      <c r="Q881" s="7" t="str">
        <f>Table1[[#This Row],[Provider Specialty]] &amp; "+" &amp; Table1[[#This Row],[Provider Specialty Description]]</f>
        <v>341+Radiologist</v>
      </c>
      <c r="R881" s="7" t="str">
        <f>Table1[[#This Row],[PDMS Specialty Type ID]] &amp; "+" &amp; Table1[[#This Row],[PDMS Provider Type ID]] &amp; "+" &amp;Table1[[#This Row],[TAXONOMY]]</f>
        <v>2101+50+2085N0700X</v>
      </c>
      <c r="S8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(9860, 2101, 50, N'2085N0700X', N'Radiology - - Neuroradiology')</v>
      </c>
    </row>
    <row r="882" spans="1:19" ht="47.25" hidden="1" customHeight="1" x14ac:dyDescent="0.25">
      <c r="A882" s="22" t="s">
        <v>1854</v>
      </c>
      <c r="B882" s="3" t="s">
        <v>988</v>
      </c>
      <c r="C882" s="3" t="s">
        <v>1364</v>
      </c>
      <c r="D882" s="3" t="s">
        <v>1369</v>
      </c>
      <c r="E882" s="3" t="s">
        <v>1370</v>
      </c>
      <c r="F882" s="3">
        <f>VLOOKUP(Table1[[#This Row],[Column2]], TAXONOMY_TYPE, 2, FALSE)</f>
        <v>9861</v>
      </c>
      <c r="G882" s="3">
        <v>33</v>
      </c>
      <c r="H882" s="3" t="s">
        <v>1953</v>
      </c>
      <c r="I882" s="3">
        <f>VLOOKUP(Table1[[#This Row],[Provider Type]] &amp; Table1[[#This Row],[Provider Type Description]], PROVIDER_TYPE, 2, FALSE)</f>
        <v>51</v>
      </c>
      <c r="J882" s="3">
        <v>341</v>
      </c>
      <c r="K882" s="3" t="s">
        <v>960</v>
      </c>
      <c r="L882" s="3">
        <f>VLOOKUP(TRIM(Table1[[#This Row],[Provider Specialty]]) &amp; TRIM(Table1[[#This Row],[Provider Specialty Description]]), SPECIALTY_TYPE, 2, FALSE)</f>
        <v>2101</v>
      </c>
      <c r="M882" s="3" t="s">
        <v>18</v>
      </c>
      <c r="N882" s="27" t="s">
        <v>19</v>
      </c>
      <c r="O882" s="38">
        <f>VLOOKUP(TRIM(Table1[[#This Row],[Provider Specialty]]) &amp; TRIM(Table1[[#This Row],[Provider Specialty Description]]), SPECIALTY_TYPE, 2, FALSE)</f>
        <v>2101</v>
      </c>
      <c r="P882" s="3" t="str">
        <f>Table1[[#This Row],[Provider Type]] &amp; "+" &amp; Table1[[#This Row],[Provider Type Description]]</f>
        <v>33+Single-Specialty</v>
      </c>
      <c r="Q882" s="7" t="str">
        <f>Table1[[#This Row],[Provider Specialty]] &amp; "+" &amp; Table1[[#This Row],[Provider Specialty Description]]</f>
        <v>341+Radiologist</v>
      </c>
      <c r="R882" s="7" t="str">
        <f>Table1[[#This Row],[PDMS Specialty Type ID]] &amp; "+" &amp; Table1[[#This Row],[PDMS Provider Type ID]] &amp; "+" &amp;Table1[[#This Row],[TAXONOMY]]</f>
        <v>2101+51+2085N0700X</v>
      </c>
      <c r="S8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(9861, 2101, 51, N'2085N0700X', N'Radiology - - Neuroradiology')</v>
      </c>
    </row>
    <row r="883" spans="1:19" ht="47.25" hidden="1" customHeight="1" x14ac:dyDescent="0.25">
      <c r="A883" s="22" t="s">
        <v>1855</v>
      </c>
      <c r="B883" s="3" t="s">
        <v>988</v>
      </c>
      <c r="C883" s="3" t="s">
        <v>1364</v>
      </c>
      <c r="D883" s="3" t="s">
        <v>1371</v>
      </c>
      <c r="E883" s="3" t="s">
        <v>1372</v>
      </c>
      <c r="F883" s="3">
        <f>VLOOKUP(Table1[[#This Row],[Column2]], TAXONOMY_TYPE, 2, FALSE)</f>
        <v>9862</v>
      </c>
      <c r="G883" s="3">
        <v>31</v>
      </c>
      <c r="H883" s="3" t="s">
        <v>991</v>
      </c>
      <c r="I883" s="3">
        <f>VLOOKUP(Table1[[#This Row],[Provider Type]] &amp; Table1[[#This Row],[Provider Type Description]], PROVIDER_TYPE, 2, FALSE)</f>
        <v>114</v>
      </c>
      <c r="J883" s="3">
        <v>341</v>
      </c>
      <c r="K883" s="3" t="s">
        <v>960</v>
      </c>
      <c r="L883" s="3">
        <f>VLOOKUP(TRIM(Table1[[#This Row],[Provider Specialty]]) &amp; TRIM(Table1[[#This Row],[Provider Specialty Description]]), SPECIALTY_TYPE, 2, FALSE)</f>
        <v>2101</v>
      </c>
      <c r="M883" s="3" t="s">
        <v>19</v>
      </c>
      <c r="N883" s="27" t="s">
        <v>19</v>
      </c>
      <c r="O883" s="38">
        <f>VLOOKUP(TRIM(Table1[[#This Row],[Provider Specialty]]) &amp; TRIM(Table1[[#This Row],[Provider Specialty Description]]), SPECIALTY_TYPE, 2, FALSE)</f>
        <v>2101</v>
      </c>
      <c r="P883" s="3" t="str">
        <f>Table1[[#This Row],[Provider Type]] &amp; "+" &amp; Table1[[#This Row],[Provider Type Description]]</f>
        <v>31+Physician</v>
      </c>
      <c r="Q883" s="7" t="str">
        <f>Table1[[#This Row],[Provider Specialty]] &amp; "+" &amp; Table1[[#This Row],[Provider Specialty Description]]</f>
        <v>341+Radiologist</v>
      </c>
      <c r="R883" s="7" t="str">
        <f>Table1[[#This Row],[PDMS Specialty Type ID]] &amp; "+" &amp; Table1[[#This Row],[PDMS Provider Type ID]] &amp; "+" &amp;Table1[[#This Row],[TAXONOMY]]</f>
        <v>2101+114+2085N0904X</v>
      </c>
      <c r="S8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(9862, 2101, 114, N'2085N0904X', N'Radiology - - Nuclear Radiology')</v>
      </c>
    </row>
    <row r="884" spans="1:19" ht="47.25" hidden="1" customHeight="1" x14ac:dyDescent="0.25">
      <c r="A884" s="22" t="s">
        <v>1854</v>
      </c>
      <c r="B884" s="3" t="s">
        <v>988</v>
      </c>
      <c r="C884" s="3" t="s">
        <v>1364</v>
      </c>
      <c r="D884" s="3" t="s">
        <v>1371</v>
      </c>
      <c r="E884" s="3" t="s">
        <v>1372</v>
      </c>
      <c r="F884" s="3">
        <f>VLOOKUP(Table1[[#This Row],[Column2]], TAXONOMY_TYPE, 2, FALSE)</f>
        <v>9863</v>
      </c>
      <c r="G884" s="3">
        <v>32</v>
      </c>
      <c r="H884" s="3" t="s">
        <v>1444</v>
      </c>
      <c r="I884" s="3">
        <f>VLOOKUP(Table1[[#This Row],[Provider Type]] &amp; Table1[[#This Row],[Provider Type Description]], PROVIDER_TYPE, 2, FALSE)</f>
        <v>50</v>
      </c>
      <c r="J884" s="3">
        <v>341</v>
      </c>
      <c r="K884" s="3" t="s">
        <v>960</v>
      </c>
      <c r="L884" s="3">
        <f>VLOOKUP(TRIM(Table1[[#This Row],[Provider Specialty]]) &amp; TRIM(Table1[[#This Row],[Provider Specialty Description]]), SPECIALTY_TYPE, 2, FALSE)</f>
        <v>2101</v>
      </c>
      <c r="M884" s="3" t="s">
        <v>18</v>
      </c>
      <c r="N884" s="27" t="s">
        <v>19</v>
      </c>
      <c r="O884" s="38">
        <f>VLOOKUP(TRIM(Table1[[#This Row],[Provider Specialty]]) &amp; TRIM(Table1[[#This Row],[Provider Specialty Description]]), SPECIALTY_TYPE, 2, FALSE)</f>
        <v>2101</v>
      </c>
      <c r="P884" s="3" t="str">
        <f>Table1[[#This Row],[Provider Type]] &amp; "+" &amp; Table1[[#This Row],[Provider Type Description]]</f>
        <v>32+Multi-Specialty</v>
      </c>
      <c r="Q884" s="7" t="str">
        <f>Table1[[#This Row],[Provider Specialty]] &amp; "+" &amp; Table1[[#This Row],[Provider Specialty Description]]</f>
        <v>341+Radiologist</v>
      </c>
      <c r="R884" s="7" t="str">
        <f>Table1[[#This Row],[PDMS Specialty Type ID]] &amp; "+" &amp; Table1[[#This Row],[PDMS Provider Type ID]] &amp; "+" &amp;Table1[[#This Row],[TAXONOMY]]</f>
        <v>2101+50+2085N0904X</v>
      </c>
      <c r="S8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(9863, 2101, 50, N'2085N0904X', N'Radiology - - Nuclear Radiology')</v>
      </c>
    </row>
    <row r="885" spans="1:19" ht="47.25" hidden="1" customHeight="1" x14ac:dyDescent="0.25">
      <c r="A885" s="22" t="s">
        <v>1854</v>
      </c>
      <c r="B885" s="3" t="s">
        <v>988</v>
      </c>
      <c r="C885" s="3" t="s">
        <v>1364</v>
      </c>
      <c r="D885" s="3" t="s">
        <v>1371</v>
      </c>
      <c r="E885" s="3" t="s">
        <v>1372</v>
      </c>
      <c r="F885" s="3">
        <f>VLOOKUP(Table1[[#This Row],[Column2]], TAXONOMY_TYPE, 2, FALSE)</f>
        <v>9864</v>
      </c>
      <c r="G885" s="3">
        <v>33</v>
      </c>
      <c r="H885" s="3" t="s">
        <v>1953</v>
      </c>
      <c r="I885" s="3">
        <f>VLOOKUP(Table1[[#This Row],[Provider Type]] &amp; Table1[[#This Row],[Provider Type Description]], PROVIDER_TYPE, 2, FALSE)</f>
        <v>51</v>
      </c>
      <c r="J885" s="3">
        <v>341</v>
      </c>
      <c r="K885" s="3" t="s">
        <v>960</v>
      </c>
      <c r="L885" s="3">
        <f>VLOOKUP(TRIM(Table1[[#This Row],[Provider Specialty]]) &amp; TRIM(Table1[[#This Row],[Provider Specialty Description]]), SPECIALTY_TYPE, 2, FALSE)</f>
        <v>2101</v>
      </c>
      <c r="M885" s="3" t="s">
        <v>18</v>
      </c>
      <c r="N885" s="27" t="s">
        <v>19</v>
      </c>
      <c r="O885" s="38">
        <f>VLOOKUP(TRIM(Table1[[#This Row],[Provider Specialty]]) &amp; TRIM(Table1[[#This Row],[Provider Specialty Description]]), SPECIALTY_TYPE, 2, FALSE)</f>
        <v>2101</v>
      </c>
      <c r="P885" s="3" t="str">
        <f>Table1[[#This Row],[Provider Type]] &amp; "+" &amp; Table1[[#This Row],[Provider Type Description]]</f>
        <v>33+Single-Specialty</v>
      </c>
      <c r="Q885" s="7" t="str">
        <f>Table1[[#This Row],[Provider Specialty]] &amp; "+" &amp; Table1[[#This Row],[Provider Specialty Description]]</f>
        <v>341+Radiologist</v>
      </c>
      <c r="R885" s="7" t="str">
        <f>Table1[[#This Row],[PDMS Specialty Type ID]] &amp; "+" &amp; Table1[[#This Row],[PDMS Provider Type ID]] &amp; "+" &amp;Table1[[#This Row],[TAXONOMY]]</f>
        <v>2101+51+2085N0904X</v>
      </c>
      <c r="S8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(9864, 2101, 51, N'2085N0904X', N'Radiology - - Nuclear Radiology')</v>
      </c>
    </row>
    <row r="886" spans="1:19" ht="47.25" hidden="1" customHeight="1" x14ac:dyDescent="0.25">
      <c r="A886" s="22" t="s">
        <v>1855</v>
      </c>
      <c r="B886" s="3" t="s">
        <v>988</v>
      </c>
      <c r="C886" s="3" t="s">
        <v>1364</v>
      </c>
      <c r="D886" s="3" t="s">
        <v>1373</v>
      </c>
      <c r="E886" s="3" t="s">
        <v>1374</v>
      </c>
      <c r="F886" s="3">
        <f>VLOOKUP(Table1[[#This Row],[Column2]], TAXONOMY_TYPE, 2, FALSE)</f>
        <v>9865</v>
      </c>
      <c r="G886" s="3">
        <v>31</v>
      </c>
      <c r="H886" s="3" t="s">
        <v>991</v>
      </c>
      <c r="I886" s="3">
        <f>VLOOKUP(Table1[[#This Row],[Provider Type]] &amp; Table1[[#This Row],[Provider Type Description]], PROVIDER_TYPE, 2, FALSE)</f>
        <v>114</v>
      </c>
      <c r="J886" s="3">
        <v>341</v>
      </c>
      <c r="K886" s="3" t="s">
        <v>960</v>
      </c>
      <c r="L886" s="3">
        <f>VLOOKUP(TRIM(Table1[[#This Row],[Provider Specialty]]) &amp; TRIM(Table1[[#This Row],[Provider Specialty Description]]), SPECIALTY_TYPE, 2, FALSE)</f>
        <v>2101</v>
      </c>
      <c r="M886" s="3" t="s">
        <v>19</v>
      </c>
      <c r="N886" s="27" t="s">
        <v>19</v>
      </c>
      <c r="O886" s="38">
        <f>VLOOKUP(TRIM(Table1[[#This Row],[Provider Specialty]]) &amp; TRIM(Table1[[#This Row],[Provider Specialty Description]]), SPECIALTY_TYPE, 2, FALSE)</f>
        <v>2101</v>
      </c>
      <c r="P886" s="3" t="str">
        <f>Table1[[#This Row],[Provider Type]] &amp; "+" &amp; Table1[[#This Row],[Provider Type Description]]</f>
        <v>31+Physician</v>
      </c>
      <c r="Q886" s="7" t="str">
        <f>Table1[[#This Row],[Provider Specialty]] &amp; "+" &amp; Table1[[#This Row],[Provider Specialty Description]]</f>
        <v>341+Radiologist</v>
      </c>
      <c r="R886" s="7" t="str">
        <f>Table1[[#This Row],[PDMS Specialty Type ID]] &amp; "+" &amp; Table1[[#This Row],[PDMS Provider Type ID]] &amp; "+" &amp;Table1[[#This Row],[TAXONOMY]]</f>
        <v>2101+114+2085P0229X</v>
      </c>
      <c r="S8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(9865, 2101, 114, N'2085P0229X', N'Radiology - - Pediatric Radiology')</v>
      </c>
    </row>
    <row r="887" spans="1:19" ht="47.25" hidden="1" customHeight="1" x14ac:dyDescent="0.25">
      <c r="A887" s="22" t="s">
        <v>1854</v>
      </c>
      <c r="B887" s="3" t="s">
        <v>988</v>
      </c>
      <c r="C887" s="3" t="s">
        <v>1364</v>
      </c>
      <c r="D887" s="3" t="s">
        <v>1373</v>
      </c>
      <c r="E887" s="3" t="s">
        <v>1374</v>
      </c>
      <c r="F887" s="3">
        <f>VLOOKUP(Table1[[#This Row],[Column2]], TAXONOMY_TYPE, 2, FALSE)</f>
        <v>9866</v>
      </c>
      <c r="G887" s="3">
        <v>32</v>
      </c>
      <c r="H887" s="3" t="s">
        <v>1444</v>
      </c>
      <c r="I887" s="3">
        <f>VLOOKUP(Table1[[#This Row],[Provider Type]] &amp; Table1[[#This Row],[Provider Type Description]], PROVIDER_TYPE, 2, FALSE)</f>
        <v>50</v>
      </c>
      <c r="J887" s="3">
        <v>341</v>
      </c>
      <c r="K887" s="3" t="s">
        <v>960</v>
      </c>
      <c r="L887" s="3">
        <f>VLOOKUP(TRIM(Table1[[#This Row],[Provider Specialty]]) &amp; TRIM(Table1[[#This Row],[Provider Specialty Description]]), SPECIALTY_TYPE, 2, FALSE)</f>
        <v>2101</v>
      </c>
      <c r="M887" s="3" t="s">
        <v>18</v>
      </c>
      <c r="N887" s="27" t="s">
        <v>19</v>
      </c>
      <c r="O887" s="38">
        <f>VLOOKUP(TRIM(Table1[[#This Row],[Provider Specialty]]) &amp; TRIM(Table1[[#This Row],[Provider Specialty Description]]), SPECIALTY_TYPE, 2, FALSE)</f>
        <v>2101</v>
      </c>
      <c r="P887" s="3" t="str">
        <f>Table1[[#This Row],[Provider Type]] &amp; "+" &amp; Table1[[#This Row],[Provider Type Description]]</f>
        <v>32+Multi-Specialty</v>
      </c>
      <c r="Q887" s="7" t="str">
        <f>Table1[[#This Row],[Provider Specialty]] &amp; "+" &amp; Table1[[#This Row],[Provider Specialty Description]]</f>
        <v>341+Radiologist</v>
      </c>
      <c r="R887" s="7" t="str">
        <f>Table1[[#This Row],[PDMS Specialty Type ID]] &amp; "+" &amp; Table1[[#This Row],[PDMS Provider Type ID]] &amp; "+" &amp;Table1[[#This Row],[TAXONOMY]]</f>
        <v>2101+50+2085P0229X</v>
      </c>
      <c r="S8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(9866, 2101, 50, N'2085P0229X', N'Radiology - - Pediatric Radiology')</v>
      </c>
    </row>
    <row r="888" spans="1:19" ht="47.25" hidden="1" customHeight="1" x14ac:dyDescent="0.25">
      <c r="A888" s="22" t="s">
        <v>1854</v>
      </c>
      <c r="B888" s="3" t="s">
        <v>988</v>
      </c>
      <c r="C888" s="3" t="s">
        <v>1364</v>
      </c>
      <c r="D888" s="3" t="s">
        <v>1373</v>
      </c>
      <c r="E888" s="3" t="s">
        <v>1374</v>
      </c>
      <c r="F888" s="3">
        <f>VLOOKUP(Table1[[#This Row],[Column2]], TAXONOMY_TYPE, 2, FALSE)</f>
        <v>9867</v>
      </c>
      <c r="G888" s="3">
        <v>33</v>
      </c>
      <c r="H888" s="3" t="s">
        <v>1953</v>
      </c>
      <c r="I888" s="3">
        <f>VLOOKUP(Table1[[#This Row],[Provider Type]] &amp; Table1[[#This Row],[Provider Type Description]], PROVIDER_TYPE, 2, FALSE)</f>
        <v>51</v>
      </c>
      <c r="J888" s="3">
        <v>341</v>
      </c>
      <c r="K888" s="3" t="s">
        <v>960</v>
      </c>
      <c r="L888" s="3">
        <f>VLOOKUP(TRIM(Table1[[#This Row],[Provider Specialty]]) &amp; TRIM(Table1[[#This Row],[Provider Specialty Description]]), SPECIALTY_TYPE, 2, FALSE)</f>
        <v>2101</v>
      </c>
      <c r="M888" s="3" t="s">
        <v>18</v>
      </c>
      <c r="N888" s="27" t="s">
        <v>19</v>
      </c>
      <c r="O888" s="38">
        <f>VLOOKUP(TRIM(Table1[[#This Row],[Provider Specialty]]) &amp; TRIM(Table1[[#This Row],[Provider Specialty Description]]), SPECIALTY_TYPE, 2, FALSE)</f>
        <v>2101</v>
      </c>
      <c r="P888" s="3" t="str">
        <f>Table1[[#This Row],[Provider Type]] &amp; "+" &amp; Table1[[#This Row],[Provider Type Description]]</f>
        <v>33+Single-Specialty</v>
      </c>
      <c r="Q888" s="7" t="str">
        <f>Table1[[#This Row],[Provider Specialty]] &amp; "+" &amp; Table1[[#This Row],[Provider Specialty Description]]</f>
        <v>341+Radiologist</v>
      </c>
      <c r="R888" s="7" t="str">
        <f>Table1[[#This Row],[PDMS Specialty Type ID]] &amp; "+" &amp; Table1[[#This Row],[PDMS Provider Type ID]] &amp; "+" &amp;Table1[[#This Row],[TAXONOMY]]</f>
        <v>2101+51+2085P0229X</v>
      </c>
      <c r="S8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(9867, 2101, 51, N'2085P0229X', N'Radiology - - Pediatric Radiology')</v>
      </c>
    </row>
    <row r="889" spans="1:19" ht="47.25" hidden="1" customHeight="1" x14ac:dyDescent="0.25">
      <c r="A889" s="22" t="s">
        <v>1855</v>
      </c>
      <c r="B889" s="3" t="s">
        <v>988</v>
      </c>
      <c r="C889" s="3" t="s">
        <v>1364</v>
      </c>
      <c r="D889" s="3" t="s">
        <v>1378</v>
      </c>
      <c r="E889" s="3" t="s">
        <v>1379</v>
      </c>
      <c r="F889" s="3">
        <f>VLOOKUP(Table1[[#This Row],[Column2]], TAXONOMY_TYPE, 2, FALSE)</f>
        <v>9868</v>
      </c>
      <c r="G889" s="3">
        <v>31</v>
      </c>
      <c r="H889" s="3" t="s">
        <v>991</v>
      </c>
      <c r="I889" s="3">
        <f>VLOOKUP(Table1[[#This Row],[Provider Type]] &amp; Table1[[#This Row],[Provider Type Description]], PROVIDER_TYPE, 2, FALSE)</f>
        <v>114</v>
      </c>
      <c r="J889" s="3">
        <v>341</v>
      </c>
      <c r="K889" s="3" t="s">
        <v>960</v>
      </c>
      <c r="L889" s="3">
        <f>VLOOKUP(TRIM(Table1[[#This Row],[Provider Specialty]]) &amp; TRIM(Table1[[#This Row],[Provider Specialty Description]]), SPECIALTY_TYPE, 2, FALSE)</f>
        <v>2101</v>
      </c>
      <c r="M889" s="3" t="s">
        <v>19</v>
      </c>
      <c r="N889" s="27" t="s">
        <v>19</v>
      </c>
      <c r="O889" s="38">
        <f>VLOOKUP(TRIM(Table1[[#This Row],[Provider Specialty]]) &amp; TRIM(Table1[[#This Row],[Provider Specialty Description]]), SPECIALTY_TYPE, 2, FALSE)</f>
        <v>2101</v>
      </c>
      <c r="P889" s="3" t="str">
        <f>Table1[[#This Row],[Provider Type]] &amp; "+" &amp; Table1[[#This Row],[Provider Type Description]]</f>
        <v>31+Physician</v>
      </c>
      <c r="Q889" s="7" t="str">
        <f>Table1[[#This Row],[Provider Specialty]] &amp; "+" &amp; Table1[[#This Row],[Provider Specialty Description]]</f>
        <v>341+Radiologist</v>
      </c>
      <c r="R889" s="7" t="str">
        <f>Table1[[#This Row],[PDMS Specialty Type ID]] &amp; "+" &amp; Table1[[#This Row],[PDMS Provider Type ID]] &amp; "+" &amp;Table1[[#This Row],[TAXONOMY]]</f>
        <v>2101+114+2085R0202X</v>
      </c>
      <c r="S8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(9868, 2101, 114, N'2085R0202X', N'Radiology - - Diagnostic Radiology')</v>
      </c>
    </row>
    <row r="890" spans="1:19" ht="47.25" hidden="1" customHeight="1" x14ac:dyDescent="0.25">
      <c r="A890" s="22" t="s">
        <v>1854</v>
      </c>
      <c r="B890" s="3" t="s">
        <v>988</v>
      </c>
      <c r="C890" s="3" t="s">
        <v>1364</v>
      </c>
      <c r="D890" s="3" t="s">
        <v>1378</v>
      </c>
      <c r="E890" s="3" t="s">
        <v>1379</v>
      </c>
      <c r="F890" s="3">
        <f>VLOOKUP(Table1[[#This Row],[Column2]], TAXONOMY_TYPE, 2, FALSE)</f>
        <v>9869</v>
      </c>
      <c r="G890" s="3">
        <v>32</v>
      </c>
      <c r="H890" s="3" t="s">
        <v>1444</v>
      </c>
      <c r="I890" s="3">
        <f>VLOOKUP(Table1[[#This Row],[Provider Type]] &amp; Table1[[#This Row],[Provider Type Description]], PROVIDER_TYPE, 2, FALSE)</f>
        <v>50</v>
      </c>
      <c r="J890" s="3">
        <v>341</v>
      </c>
      <c r="K890" s="3" t="s">
        <v>960</v>
      </c>
      <c r="L890" s="3">
        <f>VLOOKUP(TRIM(Table1[[#This Row],[Provider Specialty]]) &amp; TRIM(Table1[[#This Row],[Provider Specialty Description]]), SPECIALTY_TYPE, 2, FALSE)</f>
        <v>2101</v>
      </c>
      <c r="M890" s="3" t="s">
        <v>18</v>
      </c>
      <c r="N890" s="27" t="s">
        <v>19</v>
      </c>
      <c r="O890" s="38">
        <f>VLOOKUP(TRIM(Table1[[#This Row],[Provider Specialty]]) &amp; TRIM(Table1[[#This Row],[Provider Specialty Description]]), SPECIALTY_TYPE, 2, FALSE)</f>
        <v>2101</v>
      </c>
      <c r="P890" s="3" t="str">
        <f>Table1[[#This Row],[Provider Type]] &amp; "+" &amp; Table1[[#This Row],[Provider Type Description]]</f>
        <v>32+Multi-Specialty</v>
      </c>
      <c r="Q890" s="7" t="str">
        <f>Table1[[#This Row],[Provider Specialty]] &amp; "+" &amp; Table1[[#This Row],[Provider Specialty Description]]</f>
        <v>341+Radiologist</v>
      </c>
      <c r="R890" s="7" t="str">
        <f>Table1[[#This Row],[PDMS Specialty Type ID]] &amp; "+" &amp; Table1[[#This Row],[PDMS Provider Type ID]] &amp; "+" &amp;Table1[[#This Row],[TAXONOMY]]</f>
        <v>2101+50+2085R0202X</v>
      </c>
      <c r="S8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(9869, 2101, 50, N'2085R0202X', N'Radiology - - Diagnostic Radiology')</v>
      </c>
    </row>
    <row r="891" spans="1:19" ht="47.25" hidden="1" customHeight="1" x14ac:dyDescent="0.25">
      <c r="A891" s="22" t="s">
        <v>1854</v>
      </c>
      <c r="B891" s="3" t="s">
        <v>988</v>
      </c>
      <c r="C891" s="3" t="s">
        <v>1364</v>
      </c>
      <c r="D891" s="3" t="s">
        <v>1378</v>
      </c>
      <c r="E891" s="3" t="s">
        <v>1379</v>
      </c>
      <c r="F891" s="3">
        <f>VLOOKUP(Table1[[#This Row],[Column2]], TAXONOMY_TYPE, 2, FALSE)</f>
        <v>9870</v>
      </c>
      <c r="G891" s="3">
        <v>33</v>
      </c>
      <c r="H891" s="3" t="s">
        <v>1953</v>
      </c>
      <c r="I891" s="3">
        <f>VLOOKUP(Table1[[#This Row],[Provider Type]] &amp; Table1[[#This Row],[Provider Type Description]], PROVIDER_TYPE, 2, FALSE)</f>
        <v>51</v>
      </c>
      <c r="J891" s="3">
        <v>341</v>
      </c>
      <c r="K891" s="3" t="s">
        <v>960</v>
      </c>
      <c r="L891" s="3">
        <f>VLOOKUP(TRIM(Table1[[#This Row],[Provider Specialty]]) &amp; TRIM(Table1[[#This Row],[Provider Specialty Description]]), SPECIALTY_TYPE, 2, FALSE)</f>
        <v>2101</v>
      </c>
      <c r="M891" s="3" t="s">
        <v>18</v>
      </c>
      <c r="N891" s="27" t="s">
        <v>19</v>
      </c>
      <c r="O891" s="38">
        <f>VLOOKUP(TRIM(Table1[[#This Row],[Provider Specialty]]) &amp; TRIM(Table1[[#This Row],[Provider Specialty Description]]), SPECIALTY_TYPE, 2, FALSE)</f>
        <v>2101</v>
      </c>
      <c r="P891" s="3" t="str">
        <f>Table1[[#This Row],[Provider Type]] &amp; "+" &amp; Table1[[#This Row],[Provider Type Description]]</f>
        <v>33+Single-Specialty</v>
      </c>
      <c r="Q891" s="7" t="str">
        <f>Table1[[#This Row],[Provider Specialty]] &amp; "+" &amp; Table1[[#This Row],[Provider Specialty Description]]</f>
        <v>341+Radiologist</v>
      </c>
      <c r="R891" s="7" t="str">
        <f>Table1[[#This Row],[PDMS Specialty Type ID]] &amp; "+" &amp; Table1[[#This Row],[PDMS Provider Type ID]] &amp; "+" &amp;Table1[[#This Row],[TAXONOMY]]</f>
        <v>2101+51+2085R0202X</v>
      </c>
      <c r="S8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(9870, 2101, 51, N'2085R0202X', N'Radiology - - Diagnostic Radiology')</v>
      </c>
    </row>
    <row r="892" spans="1:19" ht="47.25" hidden="1" customHeight="1" x14ac:dyDescent="0.25">
      <c r="A892" s="22" t="s">
        <v>1855</v>
      </c>
      <c r="B892" s="3" t="s">
        <v>988</v>
      </c>
      <c r="C892" s="3" t="s">
        <v>1364</v>
      </c>
      <c r="D892" s="3" t="s">
        <v>1383</v>
      </c>
      <c r="E892" s="3" t="s">
        <v>1384</v>
      </c>
      <c r="F892" s="3">
        <f>VLOOKUP(Table1[[#This Row],[Column2]], TAXONOMY_TYPE, 2, FALSE)</f>
        <v>9871</v>
      </c>
      <c r="G892" s="3">
        <v>31</v>
      </c>
      <c r="H892" s="3" t="s">
        <v>991</v>
      </c>
      <c r="I892" s="3">
        <f>VLOOKUP(Table1[[#This Row],[Provider Type]] &amp; Table1[[#This Row],[Provider Type Description]], PROVIDER_TYPE, 2, FALSE)</f>
        <v>114</v>
      </c>
      <c r="J892" s="3">
        <v>341</v>
      </c>
      <c r="K892" s="3" t="s">
        <v>960</v>
      </c>
      <c r="L892" s="3">
        <f>VLOOKUP(TRIM(Table1[[#This Row],[Provider Specialty]]) &amp; TRIM(Table1[[#This Row],[Provider Specialty Description]]), SPECIALTY_TYPE, 2, FALSE)</f>
        <v>2101</v>
      </c>
      <c r="M892" s="3" t="s">
        <v>19</v>
      </c>
      <c r="N892" s="27" t="s">
        <v>19</v>
      </c>
      <c r="O892" s="38">
        <f>VLOOKUP(TRIM(Table1[[#This Row],[Provider Specialty]]) &amp; TRIM(Table1[[#This Row],[Provider Specialty Description]]), SPECIALTY_TYPE, 2, FALSE)</f>
        <v>2101</v>
      </c>
      <c r="P892" s="3" t="str">
        <f>Table1[[#This Row],[Provider Type]] &amp; "+" &amp; Table1[[#This Row],[Provider Type Description]]</f>
        <v>31+Physician</v>
      </c>
      <c r="Q892" s="7" t="str">
        <f>Table1[[#This Row],[Provider Specialty]] &amp; "+" &amp; Table1[[#This Row],[Provider Specialty Description]]</f>
        <v>341+Radiologist</v>
      </c>
      <c r="R892" s="7" t="str">
        <f>Table1[[#This Row],[PDMS Specialty Type ID]] &amp; "+" &amp; Table1[[#This Row],[PDMS Provider Type ID]] &amp; "+" &amp;Table1[[#This Row],[TAXONOMY]]</f>
        <v>2101+114+2085R0204X</v>
      </c>
      <c r="S8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(9871, 2101, 114, N'2085R0204X', N'Radiology - - Vascular &amp; Interventional Radiology')</v>
      </c>
    </row>
    <row r="893" spans="1:19" ht="47.25" hidden="1" customHeight="1" x14ac:dyDescent="0.25">
      <c r="A893" s="22" t="s">
        <v>1854</v>
      </c>
      <c r="B893" s="3" t="s">
        <v>988</v>
      </c>
      <c r="C893" s="3" t="s">
        <v>1364</v>
      </c>
      <c r="D893" s="3" t="s">
        <v>1383</v>
      </c>
      <c r="E893" s="3" t="s">
        <v>1384</v>
      </c>
      <c r="F893" s="3">
        <f>VLOOKUP(Table1[[#This Row],[Column2]], TAXONOMY_TYPE, 2, FALSE)</f>
        <v>9872</v>
      </c>
      <c r="G893" s="3">
        <v>32</v>
      </c>
      <c r="H893" s="3" t="s">
        <v>1444</v>
      </c>
      <c r="I893" s="3">
        <f>VLOOKUP(Table1[[#This Row],[Provider Type]] &amp; Table1[[#This Row],[Provider Type Description]], PROVIDER_TYPE, 2, FALSE)</f>
        <v>50</v>
      </c>
      <c r="J893" s="3">
        <v>341</v>
      </c>
      <c r="K893" s="3" t="s">
        <v>960</v>
      </c>
      <c r="L893" s="3">
        <f>VLOOKUP(TRIM(Table1[[#This Row],[Provider Specialty]]) &amp; TRIM(Table1[[#This Row],[Provider Specialty Description]]), SPECIALTY_TYPE, 2, FALSE)</f>
        <v>2101</v>
      </c>
      <c r="M893" s="3" t="s">
        <v>18</v>
      </c>
      <c r="N893" s="27" t="s">
        <v>19</v>
      </c>
      <c r="O893" s="38">
        <f>VLOOKUP(TRIM(Table1[[#This Row],[Provider Specialty]]) &amp; TRIM(Table1[[#This Row],[Provider Specialty Description]]), SPECIALTY_TYPE, 2, FALSE)</f>
        <v>2101</v>
      </c>
      <c r="P893" s="3" t="str">
        <f>Table1[[#This Row],[Provider Type]] &amp; "+" &amp; Table1[[#This Row],[Provider Type Description]]</f>
        <v>32+Multi-Specialty</v>
      </c>
      <c r="Q893" s="7" t="str">
        <f>Table1[[#This Row],[Provider Specialty]] &amp; "+" &amp; Table1[[#This Row],[Provider Specialty Description]]</f>
        <v>341+Radiologist</v>
      </c>
      <c r="R893" s="7" t="str">
        <f>Table1[[#This Row],[PDMS Specialty Type ID]] &amp; "+" &amp; Table1[[#This Row],[PDMS Provider Type ID]] &amp; "+" &amp;Table1[[#This Row],[TAXONOMY]]</f>
        <v>2101+50+2085R0204X</v>
      </c>
      <c r="S8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(9872, 2101, 50, N'2085R0204X', N'Radiology - - Vascular &amp; Interventional Radiology')</v>
      </c>
    </row>
    <row r="894" spans="1:19" ht="47.25" hidden="1" customHeight="1" x14ac:dyDescent="0.25">
      <c r="A894" s="22" t="s">
        <v>1854</v>
      </c>
      <c r="B894" s="3" t="s">
        <v>988</v>
      </c>
      <c r="C894" s="3" t="s">
        <v>1364</v>
      </c>
      <c r="D894" s="3" t="s">
        <v>1383</v>
      </c>
      <c r="E894" s="3" t="s">
        <v>1384</v>
      </c>
      <c r="F894" s="3">
        <f>VLOOKUP(Table1[[#This Row],[Column2]], TAXONOMY_TYPE, 2, FALSE)</f>
        <v>9873</v>
      </c>
      <c r="G894" s="3">
        <v>33</v>
      </c>
      <c r="H894" s="3" t="s">
        <v>1953</v>
      </c>
      <c r="I894" s="3">
        <f>VLOOKUP(Table1[[#This Row],[Provider Type]] &amp; Table1[[#This Row],[Provider Type Description]], PROVIDER_TYPE, 2, FALSE)</f>
        <v>51</v>
      </c>
      <c r="J894" s="3">
        <v>341</v>
      </c>
      <c r="K894" s="3" t="s">
        <v>960</v>
      </c>
      <c r="L894" s="3">
        <f>VLOOKUP(TRIM(Table1[[#This Row],[Provider Specialty]]) &amp; TRIM(Table1[[#This Row],[Provider Specialty Description]]), SPECIALTY_TYPE, 2, FALSE)</f>
        <v>2101</v>
      </c>
      <c r="M894" s="3" t="s">
        <v>18</v>
      </c>
      <c r="N894" s="27" t="s">
        <v>19</v>
      </c>
      <c r="O894" s="38">
        <f>VLOOKUP(TRIM(Table1[[#This Row],[Provider Specialty]]) &amp; TRIM(Table1[[#This Row],[Provider Specialty Description]]), SPECIALTY_TYPE, 2, FALSE)</f>
        <v>2101</v>
      </c>
      <c r="P894" s="3" t="str">
        <f>Table1[[#This Row],[Provider Type]] &amp; "+" &amp; Table1[[#This Row],[Provider Type Description]]</f>
        <v>33+Single-Specialty</v>
      </c>
      <c r="Q894" s="7" t="str">
        <f>Table1[[#This Row],[Provider Specialty]] &amp; "+" &amp; Table1[[#This Row],[Provider Specialty Description]]</f>
        <v>341+Radiologist</v>
      </c>
      <c r="R894" s="7" t="str">
        <f>Table1[[#This Row],[PDMS Specialty Type ID]] &amp; "+" &amp; Table1[[#This Row],[PDMS Provider Type ID]] &amp; "+" &amp;Table1[[#This Row],[TAXONOMY]]</f>
        <v>2101+51+2085R0204X</v>
      </c>
      <c r="S8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(9873, 2101, 51, N'2085R0204X', N'Radiology - - Vascular &amp; Interventional Radiology')</v>
      </c>
    </row>
    <row r="895" spans="1:19" ht="47.25" hidden="1" customHeight="1" x14ac:dyDescent="0.25">
      <c r="A895" s="22" t="s">
        <v>1855</v>
      </c>
      <c r="B895" s="3" t="s">
        <v>988</v>
      </c>
      <c r="C895" s="3" t="s">
        <v>1364</v>
      </c>
      <c r="D895" s="3" t="s">
        <v>1385</v>
      </c>
      <c r="E895" s="3" t="s">
        <v>1386</v>
      </c>
      <c r="F895" s="3">
        <f>VLOOKUP(Table1[[#This Row],[Column2]], TAXONOMY_TYPE, 2, FALSE)</f>
        <v>9874</v>
      </c>
      <c r="G895" s="3">
        <v>31</v>
      </c>
      <c r="H895" s="3" t="s">
        <v>991</v>
      </c>
      <c r="I895" s="3">
        <f>VLOOKUP(Table1[[#This Row],[Provider Type]] &amp; Table1[[#This Row],[Provider Type Description]], PROVIDER_TYPE, 2, FALSE)</f>
        <v>114</v>
      </c>
      <c r="J895" s="3">
        <v>341</v>
      </c>
      <c r="K895" s="3" t="s">
        <v>960</v>
      </c>
      <c r="L895" s="3">
        <f>VLOOKUP(TRIM(Table1[[#This Row],[Provider Specialty]]) &amp; TRIM(Table1[[#This Row],[Provider Specialty Description]]), SPECIALTY_TYPE, 2, FALSE)</f>
        <v>2101</v>
      </c>
      <c r="M895" s="3" t="s">
        <v>19</v>
      </c>
      <c r="N895" s="27" t="s">
        <v>19</v>
      </c>
      <c r="O895" s="38">
        <f>VLOOKUP(TRIM(Table1[[#This Row],[Provider Specialty]]) &amp; TRIM(Table1[[#This Row],[Provider Specialty Description]]), SPECIALTY_TYPE, 2, FALSE)</f>
        <v>2101</v>
      </c>
      <c r="P895" s="3" t="str">
        <f>Table1[[#This Row],[Provider Type]] &amp; "+" &amp; Table1[[#This Row],[Provider Type Description]]</f>
        <v>31+Physician</v>
      </c>
      <c r="Q895" s="7" t="str">
        <f>Table1[[#This Row],[Provider Specialty]] &amp; "+" &amp; Table1[[#This Row],[Provider Specialty Description]]</f>
        <v>341+Radiologist</v>
      </c>
      <c r="R895" s="7" t="str">
        <f>Table1[[#This Row],[PDMS Specialty Type ID]] &amp; "+" &amp; Table1[[#This Row],[PDMS Provider Type ID]] &amp; "+" &amp;Table1[[#This Row],[TAXONOMY]]</f>
        <v>2101+114+2085R0205X</v>
      </c>
      <c r="S8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(9874, 2101, 114, N'2085R0205X', N'Radiology - - Radiological Physics')</v>
      </c>
    </row>
    <row r="896" spans="1:19" ht="47.25" hidden="1" customHeight="1" x14ac:dyDescent="0.25">
      <c r="A896" s="22" t="s">
        <v>1854</v>
      </c>
      <c r="B896" s="3" t="s">
        <v>988</v>
      </c>
      <c r="C896" s="3" t="s">
        <v>1364</v>
      </c>
      <c r="D896" s="3" t="s">
        <v>1385</v>
      </c>
      <c r="E896" s="3" t="s">
        <v>1386</v>
      </c>
      <c r="F896" s="3">
        <f>VLOOKUP(Table1[[#This Row],[Column2]], TAXONOMY_TYPE, 2, FALSE)</f>
        <v>9875</v>
      </c>
      <c r="G896" s="3">
        <v>32</v>
      </c>
      <c r="H896" s="3" t="s">
        <v>1444</v>
      </c>
      <c r="I896" s="3">
        <f>VLOOKUP(Table1[[#This Row],[Provider Type]] &amp; Table1[[#This Row],[Provider Type Description]], PROVIDER_TYPE, 2, FALSE)</f>
        <v>50</v>
      </c>
      <c r="J896" s="3">
        <v>341</v>
      </c>
      <c r="K896" s="3" t="s">
        <v>960</v>
      </c>
      <c r="L896" s="3">
        <f>VLOOKUP(TRIM(Table1[[#This Row],[Provider Specialty]]) &amp; TRIM(Table1[[#This Row],[Provider Specialty Description]]), SPECIALTY_TYPE, 2, FALSE)</f>
        <v>2101</v>
      </c>
      <c r="M896" s="3" t="s">
        <v>18</v>
      </c>
      <c r="N896" s="27" t="s">
        <v>19</v>
      </c>
      <c r="O896" s="38">
        <f>VLOOKUP(TRIM(Table1[[#This Row],[Provider Specialty]]) &amp; TRIM(Table1[[#This Row],[Provider Specialty Description]]), SPECIALTY_TYPE, 2, FALSE)</f>
        <v>2101</v>
      </c>
      <c r="P896" s="3" t="str">
        <f>Table1[[#This Row],[Provider Type]] &amp; "+" &amp; Table1[[#This Row],[Provider Type Description]]</f>
        <v>32+Multi-Specialty</v>
      </c>
      <c r="Q896" s="7" t="str">
        <f>Table1[[#This Row],[Provider Specialty]] &amp; "+" &amp; Table1[[#This Row],[Provider Specialty Description]]</f>
        <v>341+Radiologist</v>
      </c>
      <c r="R896" s="7" t="str">
        <f>Table1[[#This Row],[PDMS Specialty Type ID]] &amp; "+" &amp; Table1[[#This Row],[PDMS Provider Type ID]] &amp; "+" &amp;Table1[[#This Row],[TAXONOMY]]</f>
        <v>2101+50+2085R0205X</v>
      </c>
      <c r="S8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(9875, 2101, 50, N'2085R0205X', N'Radiology - - Radiological Physics')</v>
      </c>
    </row>
    <row r="897" spans="1:19" ht="47.25" hidden="1" customHeight="1" x14ac:dyDescent="0.25">
      <c r="A897" s="22" t="s">
        <v>1854</v>
      </c>
      <c r="B897" s="3" t="s">
        <v>988</v>
      </c>
      <c r="C897" s="3" t="s">
        <v>1364</v>
      </c>
      <c r="D897" s="3" t="s">
        <v>1385</v>
      </c>
      <c r="E897" s="3" t="s">
        <v>1386</v>
      </c>
      <c r="F897" s="3">
        <f>VLOOKUP(Table1[[#This Row],[Column2]], TAXONOMY_TYPE, 2, FALSE)</f>
        <v>9876</v>
      </c>
      <c r="G897" s="3">
        <v>33</v>
      </c>
      <c r="H897" s="3" t="s">
        <v>1953</v>
      </c>
      <c r="I897" s="3">
        <f>VLOOKUP(Table1[[#This Row],[Provider Type]] &amp; Table1[[#This Row],[Provider Type Description]], PROVIDER_TYPE, 2, FALSE)</f>
        <v>51</v>
      </c>
      <c r="J897" s="3">
        <v>341</v>
      </c>
      <c r="K897" s="3" t="s">
        <v>960</v>
      </c>
      <c r="L897" s="3">
        <f>VLOOKUP(TRIM(Table1[[#This Row],[Provider Specialty]]) &amp; TRIM(Table1[[#This Row],[Provider Specialty Description]]), SPECIALTY_TYPE, 2, FALSE)</f>
        <v>2101</v>
      </c>
      <c r="M897" s="3" t="s">
        <v>18</v>
      </c>
      <c r="N897" s="27" t="s">
        <v>19</v>
      </c>
      <c r="O897" s="38">
        <f>VLOOKUP(TRIM(Table1[[#This Row],[Provider Specialty]]) &amp; TRIM(Table1[[#This Row],[Provider Specialty Description]]), SPECIALTY_TYPE, 2, FALSE)</f>
        <v>2101</v>
      </c>
      <c r="P897" s="3" t="str">
        <f>Table1[[#This Row],[Provider Type]] &amp; "+" &amp; Table1[[#This Row],[Provider Type Description]]</f>
        <v>33+Single-Specialty</v>
      </c>
      <c r="Q897" s="7" t="str">
        <f>Table1[[#This Row],[Provider Specialty]] &amp; "+" &amp; Table1[[#This Row],[Provider Specialty Description]]</f>
        <v>341+Radiologist</v>
      </c>
      <c r="R897" s="7" t="str">
        <f>Table1[[#This Row],[PDMS Specialty Type ID]] &amp; "+" &amp; Table1[[#This Row],[PDMS Provider Type ID]] &amp; "+" &amp;Table1[[#This Row],[TAXONOMY]]</f>
        <v>2101+51+2085R0205X</v>
      </c>
      <c r="S8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(9876, 2101, 51, N'2085R0205X', N'Radiology - - Radiological Physics')</v>
      </c>
    </row>
    <row r="898" spans="1:19" ht="47.25" hidden="1" customHeight="1" x14ac:dyDescent="0.25">
      <c r="A898" s="22" t="s">
        <v>1855</v>
      </c>
      <c r="B898" s="3" t="s">
        <v>988</v>
      </c>
      <c r="C898" s="3" t="s">
        <v>1364</v>
      </c>
      <c r="D898" s="3" t="s">
        <v>1387</v>
      </c>
      <c r="E898" s="3" t="s">
        <v>1388</v>
      </c>
      <c r="F898" s="3">
        <f>VLOOKUP(Table1[[#This Row],[Column2]], TAXONOMY_TYPE, 2, FALSE)</f>
        <v>9877</v>
      </c>
      <c r="G898" s="3">
        <v>31</v>
      </c>
      <c r="H898" s="3" t="s">
        <v>991</v>
      </c>
      <c r="I898" s="3">
        <f>VLOOKUP(Table1[[#This Row],[Provider Type]] &amp; Table1[[#This Row],[Provider Type Description]], PROVIDER_TYPE, 2, FALSE)</f>
        <v>114</v>
      </c>
      <c r="J898" s="3">
        <v>341</v>
      </c>
      <c r="K898" s="3" t="s">
        <v>960</v>
      </c>
      <c r="L898" s="3">
        <f>VLOOKUP(TRIM(Table1[[#This Row],[Provider Specialty]]) &amp; TRIM(Table1[[#This Row],[Provider Specialty Description]]), SPECIALTY_TYPE, 2, FALSE)</f>
        <v>2101</v>
      </c>
      <c r="M898" s="3" t="s">
        <v>19</v>
      </c>
      <c r="N898" s="27" t="s">
        <v>19</v>
      </c>
      <c r="O898" s="38">
        <f>VLOOKUP(TRIM(Table1[[#This Row],[Provider Specialty]]) &amp; TRIM(Table1[[#This Row],[Provider Specialty Description]]), SPECIALTY_TYPE, 2, FALSE)</f>
        <v>2101</v>
      </c>
      <c r="P898" s="3" t="str">
        <f>Table1[[#This Row],[Provider Type]] &amp; "+" &amp; Table1[[#This Row],[Provider Type Description]]</f>
        <v>31+Physician</v>
      </c>
      <c r="Q898" s="7" t="str">
        <f>Table1[[#This Row],[Provider Specialty]] &amp; "+" &amp; Table1[[#This Row],[Provider Specialty Description]]</f>
        <v>341+Radiologist</v>
      </c>
      <c r="R898" s="7" t="str">
        <f>Table1[[#This Row],[PDMS Specialty Type ID]] &amp; "+" &amp; Table1[[#This Row],[PDMS Provider Type ID]] &amp; "+" &amp;Table1[[#This Row],[TAXONOMY]]</f>
        <v>2101+114+2085U0001X</v>
      </c>
      <c r="S8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(9877, 2101, 114, N'2085U0001X', N'Radiology - - Diagnostic Ultrasound')</v>
      </c>
    </row>
    <row r="899" spans="1:19" ht="47.25" hidden="1" customHeight="1" x14ac:dyDescent="0.25">
      <c r="A899" s="22" t="s">
        <v>1854</v>
      </c>
      <c r="B899" s="3" t="s">
        <v>988</v>
      </c>
      <c r="C899" s="3" t="s">
        <v>1364</v>
      </c>
      <c r="D899" s="3" t="s">
        <v>1387</v>
      </c>
      <c r="E899" s="3" t="s">
        <v>1388</v>
      </c>
      <c r="F899" s="3">
        <f>VLOOKUP(Table1[[#This Row],[Column2]], TAXONOMY_TYPE, 2, FALSE)</f>
        <v>9878</v>
      </c>
      <c r="G899" s="3">
        <v>32</v>
      </c>
      <c r="H899" s="3" t="s">
        <v>1444</v>
      </c>
      <c r="I899" s="3">
        <f>VLOOKUP(Table1[[#This Row],[Provider Type]] &amp; Table1[[#This Row],[Provider Type Description]], PROVIDER_TYPE, 2, FALSE)</f>
        <v>50</v>
      </c>
      <c r="J899" s="3">
        <v>341</v>
      </c>
      <c r="K899" s="3" t="s">
        <v>960</v>
      </c>
      <c r="L899" s="3">
        <f>VLOOKUP(TRIM(Table1[[#This Row],[Provider Specialty]]) &amp; TRIM(Table1[[#This Row],[Provider Specialty Description]]), SPECIALTY_TYPE, 2, FALSE)</f>
        <v>2101</v>
      </c>
      <c r="M899" s="3" t="s">
        <v>18</v>
      </c>
      <c r="N899" s="27" t="s">
        <v>19</v>
      </c>
      <c r="O899" s="38">
        <f>VLOOKUP(TRIM(Table1[[#This Row],[Provider Specialty]]) &amp; TRIM(Table1[[#This Row],[Provider Specialty Description]]), SPECIALTY_TYPE, 2, FALSE)</f>
        <v>2101</v>
      </c>
      <c r="P899" s="3" t="str">
        <f>Table1[[#This Row],[Provider Type]] &amp; "+" &amp; Table1[[#This Row],[Provider Type Description]]</f>
        <v>32+Multi-Specialty</v>
      </c>
      <c r="Q899" s="7" t="str">
        <f>Table1[[#This Row],[Provider Specialty]] &amp; "+" &amp; Table1[[#This Row],[Provider Specialty Description]]</f>
        <v>341+Radiologist</v>
      </c>
      <c r="R899" s="7" t="str">
        <f>Table1[[#This Row],[PDMS Specialty Type ID]] &amp; "+" &amp; Table1[[#This Row],[PDMS Provider Type ID]] &amp; "+" &amp;Table1[[#This Row],[TAXONOMY]]</f>
        <v>2101+50+2085U0001X</v>
      </c>
      <c r="S8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(9878, 2101, 50, N'2085U0001X', N'Radiology - - Diagnostic Ultrasound')</v>
      </c>
    </row>
    <row r="900" spans="1:19" ht="47.25" hidden="1" customHeight="1" x14ac:dyDescent="0.25">
      <c r="A900" s="22" t="s">
        <v>1854</v>
      </c>
      <c r="B900" s="3" t="s">
        <v>988</v>
      </c>
      <c r="C900" s="3" t="s">
        <v>1364</v>
      </c>
      <c r="D900" s="3" t="s">
        <v>1387</v>
      </c>
      <c r="E900" s="3" t="s">
        <v>1388</v>
      </c>
      <c r="F900" s="3">
        <f>VLOOKUP(Table1[[#This Row],[Column2]], TAXONOMY_TYPE, 2, FALSE)</f>
        <v>9879</v>
      </c>
      <c r="G900" s="3">
        <v>33</v>
      </c>
      <c r="H900" s="3" t="s">
        <v>1953</v>
      </c>
      <c r="I900" s="3">
        <f>VLOOKUP(Table1[[#This Row],[Provider Type]] &amp; Table1[[#This Row],[Provider Type Description]], PROVIDER_TYPE, 2, FALSE)</f>
        <v>51</v>
      </c>
      <c r="J900" s="3">
        <v>341</v>
      </c>
      <c r="K900" s="3" t="s">
        <v>960</v>
      </c>
      <c r="L900" s="3">
        <f>VLOOKUP(TRIM(Table1[[#This Row],[Provider Specialty]]) &amp; TRIM(Table1[[#This Row],[Provider Specialty Description]]), SPECIALTY_TYPE, 2, FALSE)</f>
        <v>2101</v>
      </c>
      <c r="M900" s="3" t="s">
        <v>18</v>
      </c>
      <c r="N900" s="27" t="s">
        <v>19</v>
      </c>
      <c r="O900" s="38">
        <f>VLOOKUP(TRIM(Table1[[#This Row],[Provider Specialty]]) &amp; TRIM(Table1[[#This Row],[Provider Specialty Description]]), SPECIALTY_TYPE, 2, FALSE)</f>
        <v>2101</v>
      </c>
      <c r="P900" s="3" t="str">
        <f>Table1[[#This Row],[Provider Type]] &amp; "+" &amp; Table1[[#This Row],[Provider Type Description]]</f>
        <v>33+Single-Specialty</v>
      </c>
      <c r="Q900" s="7" t="str">
        <f>Table1[[#This Row],[Provider Specialty]] &amp; "+" &amp; Table1[[#This Row],[Provider Specialty Description]]</f>
        <v>341+Radiologist</v>
      </c>
      <c r="R900" s="7" t="str">
        <f>Table1[[#This Row],[PDMS Specialty Type ID]] &amp; "+" &amp; Table1[[#This Row],[PDMS Provider Type ID]] &amp; "+" &amp;Table1[[#This Row],[TAXONOMY]]</f>
        <v>2101+51+2085U0001X</v>
      </c>
      <c r="S9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(9879, 2101, 51, N'2085U0001X', N'Radiology - - Diagnostic Ultrasound')</v>
      </c>
    </row>
    <row r="901" spans="1:19" ht="47.25" hidden="1" customHeight="1" x14ac:dyDescent="0.25">
      <c r="A901" s="22" t="s">
        <v>1855</v>
      </c>
      <c r="B901" s="3" t="s">
        <v>988</v>
      </c>
      <c r="C901" s="3" t="s">
        <v>1410</v>
      </c>
      <c r="D901" s="3" t="s">
        <v>1410</v>
      </c>
      <c r="E901" s="3" t="s">
        <v>1411</v>
      </c>
      <c r="F901" s="3">
        <f>VLOOKUP(Table1[[#This Row],[Column2]], TAXONOMY_TYPE, 2, FALSE)</f>
        <v>9880</v>
      </c>
      <c r="G901" s="3">
        <v>31</v>
      </c>
      <c r="H901" s="3" t="s">
        <v>991</v>
      </c>
      <c r="I901" s="3">
        <f>VLOOKUP(Table1[[#This Row],[Provider Type]] &amp; Table1[[#This Row],[Provider Type Description]], PROVIDER_TYPE, 2, FALSE)</f>
        <v>114</v>
      </c>
      <c r="J901" s="3">
        <v>342</v>
      </c>
      <c r="K901" s="3" t="s">
        <v>1412</v>
      </c>
      <c r="L901" s="3">
        <f>VLOOKUP(TRIM(Table1[[#This Row],[Provider Specialty]]) &amp; TRIM(Table1[[#This Row],[Provider Specialty Description]]), SPECIALTY_TYPE, 2, FALSE)</f>
        <v>2102</v>
      </c>
      <c r="M901" s="3" t="s">
        <v>19</v>
      </c>
      <c r="N901" s="27" t="s">
        <v>19</v>
      </c>
      <c r="O901" s="38">
        <f>VLOOKUP(TRIM(Table1[[#This Row],[Provider Specialty]]) &amp; TRIM(Table1[[#This Row],[Provider Specialty Description]]), SPECIALTY_TYPE, 2, FALSE)</f>
        <v>2102</v>
      </c>
      <c r="P901" s="3" t="str">
        <f>Table1[[#This Row],[Provider Type]] &amp; "+" &amp; Table1[[#This Row],[Provider Type Description]]</f>
        <v>31+Physician</v>
      </c>
      <c r="Q901" s="7" t="str">
        <f>Table1[[#This Row],[Provider Specialty]] &amp; "+" &amp; Table1[[#This Row],[Provider Specialty Description]]</f>
        <v>342+Thoracic Surgeon</v>
      </c>
      <c r="R901" s="7" t="str">
        <f>Table1[[#This Row],[PDMS Specialty Type ID]] &amp; "+" &amp; Table1[[#This Row],[PDMS Provider Type ID]] &amp; "+" &amp;Table1[[#This Row],[TAXONOMY]]</f>
        <v>2102+114+208G00000X</v>
      </c>
      <c r="S9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(9880, 2102, 114, N'208G00000X', N'Thoracic Surgery (Cardiothoracic Vascular Surgery) - Thoracic Surgery (Cardiothoracic Vascular Surgery)')</v>
      </c>
    </row>
    <row r="902" spans="1:19" ht="47.25" hidden="1" customHeight="1" x14ac:dyDescent="0.25">
      <c r="A902" s="22" t="s">
        <v>1854</v>
      </c>
      <c r="B902" s="3" t="s">
        <v>988</v>
      </c>
      <c r="C902" s="3" t="s">
        <v>1410</v>
      </c>
      <c r="D902" s="3" t="s">
        <v>1410</v>
      </c>
      <c r="E902" s="3" t="s">
        <v>1411</v>
      </c>
      <c r="F902" s="3">
        <f>VLOOKUP(Table1[[#This Row],[Column2]], TAXONOMY_TYPE, 2, FALSE)</f>
        <v>9881</v>
      </c>
      <c r="G902" s="3">
        <v>32</v>
      </c>
      <c r="H902" s="3" t="s">
        <v>1444</v>
      </c>
      <c r="I902" s="3">
        <f>VLOOKUP(Table1[[#This Row],[Provider Type]] &amp; Table1[[#This Row],[Provider Type Description]], PROVIDER_TYPE, 2, FALSE)</f>
        <v>50</v>
      </c>
      <c r="J902" s="3">
        <v>342</v>
      </c>
      <c r="K902" s="3" t="s">
        <v>1412</v>
      </c>
      <c r="L902" s="3">
        <f>VLOOKUP(TRIM(Table1[[#This Row],[Provider Specialty]]) &amp; TRIM(Table1[[#This Row],[Provider Specialty Description]]), SPECIALTY_TYPE, 2, FALSE)</f>
        <v>2102</v>
      </c>
      <c r="M902" s="3" t="s">
        <v>18</v>
      </c>
      <c r="N902" s="27" t="s">
        <v>19</v>
      </c>
      <c r="O902" s="38">
        <f>VLOOKUP(TRIM(Table1[[#This Row],[Provider Specialty]]) &amp; TRIM(Table1[[#This Row],[Provider Specialty Description]]), SPECIALTY_TYPE, 2, FALSE)</f>
        <v>2102</v>
      </c>
      <c r="P902" s="3" t="str">
        <f>Table1[[#This Row],[Provider Type]] &amp; "+" &amp; Table1[[#This Row],[Provider Type Description]]</f>
        <v>32+Multi-Specialty</v>
      </c>
      <c r="Q902" s="7" t="str">
        <f>Table1[[#This Row],[Provider Specialty]] &amp; "+" &amp; Table1[[#This Row],[Provider Specialty Description]]</f>
        <v>342+Thoracic Surgeon</v>
      </c>
      <c r="R902" s="7" t="str">
        <f>Table1[[#This Row],[PDMS Specialty Type ID]] &amp; "+" &amp; Table1[[#This Row],[PDMS Provider Type ID]] &amp; "+" &amp;Table1[[#This Row],[TAXONOMY]]</f>
        <v>2102+50+208G00000X</v>
      </c>
      <c r="S9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(9881, 2102, 50, N'208G00000X', N'Thoracic Surgery (Cardiothoracic Vascular Surgery) - Thoracic Surgery (Cardiothoracic Vascular Surgery)')</v>
      </c>
    </row>
    <row r="903" spans="1:19" ht="47.25" hidden="1" customHeight="1" x14ac:dyDescent="0.25">
      <c r="A903" s="22" t="s">
        <v>1854</v>
      </c>
      <c r="B903" s="3" t="s">
        <v>988</v>
      </c>
      <c r="C903" s="3" t="s">
        <v>1410</v>
      </c>
      <c r="D903" s="3" t="s">
        <v>1410</v>
      </c>
      <c r="E903" s="3" t="s">
        <v>1411</v>
      </c>
      <c r="F903" s="3">
        <f>VLOOKUP(Table1[[#This Row],[Column2]], TAXONOMY_TYPE, 2, FALSE)</f>
        <v>9882</v>
      </c>
      <c r="G903" s="3">
        <v>33</v>
      </c>
      <c r="H903" s="3" t="s">
        <v>1953</v>
      </c>
      <c r="I903" s="3">
        <f>VLOOKUP(Table1[[#This Row],[Provider Type]] &amp; Table1[[#This Row],[Provider Type Description]], PROVIDER_TYPE, 2, FALSE)</f>
        <v>51</v>
      </c>
      <c r="J903" s="3">
        <v>342</v>
      </c>
      <c r="K903" s="3" t="s">
        <v>1412</v>
      </c>
      <c r="L903" s="3">
        <f>VLOOKUP(TRIM(Table1[[#This Row],[Provider Specialty]]) &amp; TRIM(Table1[[#This Row],[Provider Specialty Description]]), SPECIALTY_TYPE, 2, FALSE)</f>
        <v>2102</v>
      </c>
      <c r="M903" s="3" t="s">
        <v>18</v>
      </c>
      <c r="N903" s="27" t="s">
        <v>19</v>
      </c>
      <c r="O903" s="38">
        <f>VLOOKUP(TRIM(Table1[[#This Row],[Provider Specialty]]) &amp; TRIM(Table1[[#This Row],[Provider Specialty Description]]), SPECIALTY_TYPE, 2, FALSE)</f>
        <v>2102</v>
      </c>
      <c r="P903" s="3" t="str">
        <f>Table1[[#This Row],[Provider Type]] &amp; "+" &amp; Table1[[#This Row],[Provider Type Description]]</f>
        <v>33+Single-Specialty</v>
      </c>
      <c r="Q903" s="7" t="str">
        <f>Table1[[#This Row],[Provider Specialty]] &amp; "+" &amp; Table1[[#This Row],[Provider Specialty Description]]</f>
        <v>342+Thoracic Surgeon</v>
      </c>
      <c r="R903" s="7" t="str">
        <f>Table1[[#This Row],[PDMS Specialty Type ID]] &amp; "+" &amp; Table1[[#This Row],[PDMS Provider Type ID]] &amp; "+" &amp;Table1[[#This Row],[TAXONOMY]]</f>
        <v>2102+51+208G00000X</v>
      </c>
      <c r="S9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(9882, 2102, 51, N'208G00000X', N'Thoracic Surgery (Cardiothoracic Vascular Surgery) - Thoracic Surgery (Cardiothoracic Vascular Surgery)')</v>
      </c>
    </row>
    <row r="904" spans="1:19" ht="47.25" hidden="1" customHeight="1" x14ac:dyDescent="0.25">
      <c r="A904" s="22" t="s">
        <v>1855</v>
      </c>
      <c r="B904" s="3" t="s">
        <v>988</v>
      </c>
      <c r="C904" s="3" t="s">
        <v>646</v>
      </c>
      <c r="D904" s="3" t="s">
        <v>646</v>
      </c>
      <c r="E904" s="3" t="s">
        <v>1401</v>
      </c>
      <c r="F904" s="3">
        <f>VLOOKUP(Table1[[#This Row],[Column2]], TAXONOMY_TYPE, 2, FALSE)</f>
        <v>9883</v>
      </c>
      <c r="G904" s="3">
        <v>31</v>
      </c>
      <c r="H904" s="3" t="s">
        <v>991</v>
      </c>
      <c r="I904" s="3">
        <f>VLOOKUP(Table1[[#This Row],[Provider Type]] &amp; Table1[[#This Row],[Provider Type Description]], PROVIDER_TYPE, 2, FALSE)</f>
        <v>114</v>
      </c>
      <c r="J904" s="3">
        <v>343</v>
      </c>
      <c r="K904" s="3" t="s">
        <v>1402</v>
      </c>
      <c r="L904" s="3">
        <f>VLOOKUP(TRIM(Table1[[#This Row],[Provider Specialty]]) &amp; TRIM(Table1[[#This Row],[Provider Specialty Description]]), SPECIALTY_TYPE, 2, FALSE)</f>
        <v>2103</v>
      </c>
      <c r="M904" s="3" t="s">
        <v>19</v>
      </c>
      <c r="N904" s="27" t="s">
        <v>19</v>
      </c>
      <c r="O904" s="38">
        <f>VLOOKUP(TRIM(Table1[[#This Row],[Provider Specialty]]) &amp; TRIM(Table1[[#This Row],[Provider Specialty Description]]), SPECIALTY_TYPE, 2, FALSE)</f>
        <v>2103</v>
      </c>
      <c r="P904" s="3" t="str">
        <f>Table1[[#This Row],[Provider Type]] &amp; "+" &amp; Table1[[#This Row],[Provider Type Description]]</f>
        <v>31+Physician</v>
      </c>
      <c r="Q904" s="7" t="str">
        <f>Table1[[#This Row],[Provider Specialty]] &amp; "+" &amp; Table1[[#This Row],[Provider Specialty Description]]</f>
        <v>343+Urologist</v>
      </c>
      <c r="R904" s="7" t="str">
        <f>Table1[[#This Row],[PDMS Specialty Type ID]] &amp; "+" &amp; Table1[[#This Row],[PDMS Provider Type ID]] &amp; "+" &amp;Table1[[#This Row],[TAXONOMY]]</f>
        <v>2103+114+208800000X</v>
      </c>
      <c r="S9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(9883, 2103, 114, N'208800000X', N'Urology - Urology')</v>
      </c>
    </row>
    <row r="905" spans="1:19" ht="47.25" hidden="1" customHeight="1" x14ac:dyDescent="0.25">
      <c r="A905" s="22" t="s">
        <v>1854</v>
      </c>
      <c r="B905" s="3" t="s">
        <v>988</v>
      </c>
      <c r="C905" s="3" t="s">
        <v>646</v>
      </c>
      <c r="D905" s="3" t="s">
        <v>646</v>
      </c>
      <c r="E905" s="3" t="s">
        <v>1401</v>
      </c>
      <c r="F905" s="3">
        <f>VLOOKUP(Table1[[#This Row],[Column2]], TAXONOMY_TYPE, 2, FALSE)</f>
        <v>9884</v>
      </c>
      <c r="G905" s="3">
        <v>32</v>
      </c>
      <c r="H905" s="3" t="s">
        <v>1444</v>
      </c>
      <c r="I905" s="3">
        <f>VLOOKUP(Table1[[#This Row],[Provider Type]] &amp; Table1[[#This Row],[Provider Type Description]], PROVIDER_TYPE, 2, FALSE)</f>
        <v>50</v>
      </c>
      <c r="J905" s="3">
        <v>343</v>
      </c>
      <c r="K905" s="3" t="s">
        <v>1402</v>
      </c>
      <c r="L905" s="3">
        <f>VLOOKUP(TRIM(Table1[[#This Row],[Provider Specialty]]) &amp; TRIM(Table1[[#This Row],[Provider Specialty Description]]), SPECIALTY_TYPE, 2, FALSE)</f>
        <v>2103</v>
      </c>
      <c r="M905" s="3" t="s">
        <v>18</v>
      </c>
      <c r="N905" s="27" t="s">
        <v>19</v>
      </c>
      <c r="O905" s="38">
        <f>VLOOKUP(TRIM(Table1[[#This Row],[Provider Specialty]]) &amp; TRIM(Table1[[#This Row],[Provider Specialty Description]]), SPECIALTY_TYPE, 2, FALSE)</f>
        <v>2103</v>
      </c>
      <c r="P905" s="3" t="str">
        <f>Table1[[#This Row],[Provider Type]] &amp; "+" &amp; Table1[[#This Row],[Provider Type Description]]</f>
        <v>32+Multi-Specialty</v>
      </c>
      <c r="Q905" s="7" t="str">
        <f>Table1[[#This Row],[Provider Specialty]] &amp; "+" &amp; Table1[[#This Row],[Provider Specialty Description]]</f>
        <v>343+Urologist</v>
      </c>
      <c r="R905" s="7" t="str">
        <f>Table1[[#This Row],[PDMS Specialty Type ID]] &amp; "+" &amp; Table1[[#This Row],[PDMS Provider Type ID]] &amp; "+" &amp;Table1[[#This Row],[TAXONOMY]]</f>
        <v>2103+50+208800000X</v>
      </c>
      <c r="S9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(9884, 2103, 50, N'208800000X', N'Urology - Urology')</v>
      </c>
    </row>
    <row r="906" spans="1:19" ht="47.25" hidden="1" customHeight="1" x14ac:dyDescent="0.25">
      <c r="A906" s="22" t="s">
        <v>1854</v>
      </c>
      <c r="B906" s="3" t="s">
        <v>988</v>
      </c>
      <c r="C906" s="3" t="s">
        <v>646</v>
      </c>
      <c r="D906" s="3" t="s">
        <v>646</v>
      </c>
      <c r="E906" s="3" t="s">
        <v>1401</v>
      </c>
      <c r="F906" s="3">
        <f>VLOOKUP(Table1[[#This Row],[Column2]], TAXONOMY_TYPE, 2, FALSE)</f>
        <v>9885</v>
      </c>
      <c r="G906" s="3">
        <v>33</v>
      </c>
      <c r="H906" s="3" t="s">
        <v>1953</v>
      </c>
      <c r="I906" s="3">
        <f>VLOOKUP(Table1[[#This Row],[Provider Type]] &amp; Table1[[#This Row],[Provider Type Description]], PROVIDER_TYPE, 2, FALSE)</f>
        <v>51</v>
      </c>
      <c r="J906" s="3">
        <v>343</v>
      </c>
      <c r="K906" s="3" t="s">
        <v>1402</v>
      </c>
      <c r="L906" s="3">
        <f>VLOOKUP(TRIM(Table1[[#This Row],[Provider Specialty]]) &amp; TRIM(Table1[[#This Row],[Provider Specialty Description]]), SPECIALTY_TYPE, 2, FALSE)</f>
        <v>2103</v>
      </c>
      <c r="M906" s="3" t="s">
        <v>18</v>
      </c>
      <c r="N906" s="27" t="s">
        <v>19</v>
      </c>
      <c r="O906" s="38">
        <f>VLOOKUP(TRIM(Table1[[#This Row],[Provider Specialty]]) &amp; TRIM(Table1[[#This Row],[Provider Specialty Description]]), SPECIALTY_TYPE, 2, FALSE)</f>
        <v>2103</v>
      </c>
      <c r="P906" s="3" t="str">
        <f>Table1[[#This Row],[Provider Type]] &amp; "+" &amp; Table1[[#This Row],[Provider Type Description]]</f>
        <v>33+Single-Specialty</v>
      </c>
      <c r="Q906" s="7" t="str">
        <f>Table1[[#This Row],[Provider Specialty]] &amp; "+" &amp; Table1[[#This Row],[Provider Specialty Description]]</f>
        <v>343+Urologist</v>
      </c>
      <c r="R906" s="7" t="str">
        <f>Table1[[#This Row],[PDMS Specialty Type ID]] &amp; "+" &amp; Table1[[#This Row],[PDMS Provider Type ID]] &amp; "+" &amp;Table1[[#This Row],[TAXONOMY]]</f>
        <v>2103+51+208800000X</v>
      </c>
      <c r="S9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(9885, 2103, 51, N'208800000X', N'Urology - Urology')</v>
      </c>
    </row>
    <row r="907" spans="1:19" ht="47.25" hidden="1" customHeight="1" x14ac:dyDescent="0.25">
      <c r="A907" s="22" t="s">
        <v>1855</v>
      </c>
      <c r="B907" s="3" t="s">
        <v>988</v>
      </c>
      <c r="C907" s="3" t="s">
        <v>646</v>
      </c>
      <c r="D907" s="3" t="s">
        <v>1403</v>
      </c>
      <c r="E907" s="3" t="s">
        <v>1404</v>
      </c>
      <c r="F907" s="3">
        <f>VLOOKUP(Table1[[#This Row],[Column2]], TAXONOMY_TYPE, 2, FALSE)</f>
        <v>9886</v>
      </c>
      <c r="G907" s="3">
        <v>31</v>
      </c>
      <c r="H907" s="3" t="s">
        <v>991</v>
      </c>
      <c r="I907" s="3">
        <f>VLOOKUP(Table1[[#This Row],[Provider Type]] &amp; Table1[[#This Row],[Provider Type Description]], PROVIDER_TYPE, 2, FALSE)</f>
        <v>114</v>
      </c>
      <c r="J907" s="3">
        <v>343</v>
      </c>
      <c r="K907" s="3" t="s">
        <v>1402</v>
      </c>
      <c r="L907" s="3">
        <f>VLOOKUP(TRIM(Table1[[#This Row],[Provider Specialty]]) &amp; TRIM(Table1[[#This Row],[Provider Specialty Description]]), SPECIALTY_TYPE, 2, FALSE)</f>
        <v>2103</v>
      </c>
      <c r="M907" s="3" t="s">
        <v>19</v>
      </c>
      <c r="N907" s="27" t="s">
        <v>19</v>
      </c>
      <c r="O907" s="38">
        <f>VLOOKUP(TRIM(Table1[[#This Row],[Provider Specialty]]) &amp; TRIM(Table1[[#This Row],[Provider Specialty Description]]), SPECIALTY_TYPE, 2, FALSE)</f>
        <v>2103</v>
      </c>
      <c r="P907" s="3" t="str">
        <f>Table1[[#This Row],[Provider Type]] &amp; "+" &amp; Table1[[#This Row],[Provider Type Description]]</f>
        <v>31+Physician</v>
      </c>
      <c r="Q907" s="7" t="str">
        <f>Table1[[#This Row],[Provider Specialty]] &amp; "+" &amp; Table1[[#This Row],[Provider Specialty Description]]</f>
        <v>343+Urologist</v>
      </c>
      <c r="R907" s="7" t="str">
        <f>Table1[[#This Row],[PDMS Specialty Type ID]] &amp; "+" &amp; Table1[[#This Row],[PDMS Provider Type ID]] &amp; "+" &amp;Table1[[#This Row],[TAXONOMY]]</f>
        <v>2103+114+2088P0231X</v>
      </c>
      <c r="S9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(9886, 2103, 114, N'2088P0231X', N'Urology - Pediatric Urology')</v>
      </c>
    </row>
    <row r="908" spans="1:19" ht="47.25" hidden="1" customHeight="1" x14ac:dyDescent="0.25">
      <c r="A908" s="22" t="s">
        <v>1854</v>
      </c>
      <c r="B908" s="3" t="s">
        <v>988</v>
      </c>
      <c r="C908" s="3" t="s">
        <v>646</v>
      </c>
      <c r="D908" s="3" t="s">
        <v>1403</v>
      </c>
      <c r="E908" s="3" t="s">
        <v>1404</v>
      </c>
      <c r="F908" s="3">
        <f>VLOOKUP(Table1[[#This Row],[Column2]], TAXONOMY_TYPE, 2, FALSE)</f>
        <v>9887</v>
      </c>
      <c r="G908" s="3">
        <v>32</v>
      </c>
      <c r="H908" s="3" t="s">
        <v>1444</v>
      </c>
      <c r="I908" s="3">
        <f>VLOOKUP(Table1[[#This Row],[Provider Type]] &amp; Table1[[#This Row],[Provider Type Description]], PROVIDER_TYPE, 2, FALSE)</f>
        <v>50</v>
      </c>
      <c r="J908" s="3">
        <v>343</v>
      </c>
      <c r="K908" s="3" t="s">
        <v>1402</v>
      </c>
      <c r="L908" s="3">
        <f>VLOOKUP(TRIM(Table1[[#This Row],[Provider Specialty]]) &amp; TRIM(Table1[[#This Row],[Provider Specialty Description]]), SPECIALTY_TYPE, 2, FALSE)</f>
        <v>2103</v>
      </c>
      <c r="M908" s="3" t="s">
        <v>18</v>
      </c>
      <c r="N908" s="27" t="s">
        <v>19</v>
      </c>
      <c r="O908" s="38">
        <f>VLOOKUP(TRIM(Table1[[#This Row],[Provider Specialty]]) &amp; TRIM(Table1[[#This Row],[Provider Specialty Description]]), SPECIALTY_TYPE, 2, FALSE)</f>
        <v>2103</v>
      </c>
      <c r="P908" s="3" t="str">
        <f>Table1[[#This Row],[Provider Type]] &amp; "+" &amp; Table1[[#This Row],[Provider Type Description]]</f>
        <v>32+Multi-Specialty</v>
      </c>
      <c r="Q908" s="7" t="str">
        <f>Table1[[#This Row],[Provider Specialty]] &amp; "+" &amp; Table1[[#This Row],[Provider Specialty Description]]</f>
        <v>343+Urologist</v>
      </c>
      <c r="R908" s="7" t="str">
        <f>Table1[[#This Row],[PDMS Specialty Type ID]] &amp; "+" &amp; Table1[[#This Row],[PDMS Provider Type ID]] &amp; "+" &amp;Table1[[#This Row],[TAXONOMY]]</f>
        <v>2103+50+2088P0231X</v>
      </c>
      <c r="S9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(9887, 2103, 50, N'2088P0231X', N'Urology - Pediatric Urology')</v>
      </c>
    </row>
    <row r="909" spans="1:19" ht="47.25" hidden="1" customHeight="1" x14ac:dyDescent="0.25">
      <c r="A909" s="22" t="s">
        <v>1854</v>
      </c>
      <c r="B909" s="3" t="s">
        <v>988</v>
      </c>
      <c r="C909" s="3" t="s">
        <v>646</v>
      </c>
      <c r="D909" s="3" t="s">
        <v>1403</v>
      </c>
      <c r="E909" s="3" t="s">
        <v>1404</v>
      </c>
      <c r="F909" s="3">
        <f>VLOOKUP(Table1[[#This Row],[Column2]], TAXONOMY_TYPE, 2, FALSE)</f>
        <v>9888</v>
      </c>
      <c r="G909" s="3">
        <v>33</v>
      </c>
      <c r="H909" s="3" t="s">
        <v>1953</v>
      </c>
      <c r="I909" s="3">
        <f>VLOOKUP(Table1[[#This Row],[Provider Type]] &amp; Table1[[#This Row],[Provider Type Description]], PROVIDER_TYPE, 2, FALSE)</f>
        <v>51</v>
      </c>
      <c r="J909" s="3">
        <v>343</v>
      </c>
      <c r="K909" s="3" t="s">
        <v>1402</v>
      </c>
      <c r="L909" s="3">
        <f>VLOOKUP(TRIM(Table1[[#This Row],[Provider Specialty]]) &amp; TRIM(Table1[[#This Row],[Provider Specialty Description]]), SPECIALTY_TYPE, 2, FALSE)</f>
        <v>2103</v>
      </c>
      <c r="M909" s="3" t="s">
        <v>18</v>
      </c>
      <c r="N909" s="27" t="s">
        <v>19</v>
      </c>
      <c r="O909" s="38">
        <f>VLOOKUP(TRIM(Table1[[#This Row],[Provider Specialty]]) &amp; TRIM(Table1[[#This Row],[Provider Specialty Description]]), SPECIALTY_TYPE, 2, FALSE)</f>
        <v>2103</v>
      </c>
      <c r="P909" s="3" t="str">
        <f>Table1[[#This Row],[Provider Type]] &amp; "+" &amp; Table1[[#This Row],[Provider Type Description]]</f>
        <v>33+Single-Specialty</v>
      </c>
      <c r="Q909" s="7" t="str">
        <f>Table1[[#This Row],[Provider Specialty]] &amp; "+" &amp; Table1[[#This Row],[Provider Specialty Description]]</f>
        <v>343+Urologist</v>
      </c>
      <c r="R909" s="7" t="str">
        <f>Table1[[#This Row],[PDMS Specialty Type ID]] &amp; "+" &amp; Table1[[#This Row],[PDMS Provider Type ID]] &amp; "+" &amp;Table1[[#This Row],[TAXONOMY]]</f>
        <v>2103+51+2088P0231X</v>
      </c>
      <c r="S9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(9888, 2103, 51, N'2088P0231X', N'Urology - Pediatric Urology')</v>
      </c>
    </row>
    <row r="910" spans="1:19" ht="47.25" hidden="1" customHeight="1" x14ac:dyDescent="0.25">
      <c r="A910" s="22" t="s">
        <v>1855</v>
      </c>
      <c r="B910" s="3" t="s">
        <v>1262</v>
      </c>
      <c r="C910" s="3" t="s">
        <v>646</v>
      </c>
      <c r="D910" s="3" t="s">
        <v>1437</v>
      </c>
      <c r="E910" s="3" t="s">
        <v>1442</v>
      </c>
      <c r="F910" s="3">
        <f>VLOOKUP(Table1[[#This Row],[Column2]], TAXONOMY_TYPE, 2, FALSE)</f>
        <v>9889</v>
      </c>
      <c r="G910" s="3">
        <v>31</v>
      </c>
      <c r="H910" s="3" t="s">
        <v>991</v>
      </c>
      <c r="I910" s="3">
        <f>VLOOKUP(Table1[[#This Row],[Provider Type]] &amp; Table1[[#This Row],[Provider Type Description]], PROVIDER_TYPE, 2, FALSE)</f>
        <v>114</v>
      </c>
      <c r="J910" s="3">
        <v>343</v>
      </c>
      <c r="K910" s="3" t="s">
        <v>1402</v>
      </c>
      <c r="L910" s="3">
        <f>VLOOKUP(TRIM(Table1[[#This Row],[Provider Specialty]]) &amp; TRIM(Table1[[#This Row],[Provider Specialty Description]]), SPECIALTY_TYPE, 2, FALSE)</f>
        <v>2103</v>
      </c>
      <c r="M910" s="3" t="s">
        <v>19</v>
      </c>
      <c r="N910" s="27" t="s">
        <v>19</v>
      </c>
      <c r="O910" s="38">
        <f>VLOOKUP(TRIM(Table1[[#This Row],[Provider Specialty]]) &amp; TRIM(Table1[[#This Row],[Provider Specialty Description]]), SPECIALTY_TYPE, 2, FALSE)</f>
        <v>2103</v>
      </c>
      <c r="P910" s="3" t="str">
        <f>Table1[[#This Row],[Provider Type]] &amp; "+" &amp; Table1[[#This Row],[Provider Type Description]]</f>
        <v>31+Physician</v>
      </c>
      <c r="Q910" s="7" t="str">
        <f>Table1[[#This Row],[Provider Specialty]] &amp; "+" &amp; Table1[[#This Row],[Provider Specialty Description]]</f>
        <v>343+Urologist</v>
      </c>
      <c r="R910" s="7" t="str">
        <f>Table1[[#This Row],[PDMS Specialty Type ID]] &amp; "+" &amp; Table1[[#This Row],[PDMS Provider Type ID]] &amp; "+" &amp;Table1[[#This Row],[TAXONOMY]]</f>
        <v>2103+114+2088F0040X</v>
      </c>
      <c r="S9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(9889, 2103, 114, N'2088F0040X', N'Urology - Female Pelvic Medicine and Reconstructive Surgery')</v>
      </c>
    </row>
    <row r="911" spans="1:19" ht="47.25" hidden="1" customHeight="1" x14ac:dyDescent="0.25">
      <c r="A911" s="22" t="s">
        <v>1854</v>
      </c>
      <c r="B911" s="3" t="s">
        <v>1262</v>
      </c>
      <c r="C911" s="3" t="s">
        <v>646</v>
      </c>
      <c r="D911" s="3" t="s">
        <v>1437</v>
      </c>
      <c r="E911" s="3" t="s">
        <v>1442</v>
      </c>
      <c r="F911" s="3">
        <f>VLOOKUP(Table1[[#This Row],[Column2]], TAXONOMY_TYPE, 2, FALSE)</f>
        <v>9890</v>
      </c>
      <c r="G911" s="3">
        <v>32</v>
      </c>
      <c r="H911" s="3" t="s">
        <v>1444</v>
      </c>
      <c r="I911" s="3">
        <f>VLOOKUP(Table1[[#This Row],[Provider Type]] &amp; Table1[[#This Row],[Provider Type Description]], PROVIDER_TYPE, 2, FALSE)</f>
        <v>50</v>
      </c>
      <c r="J911" s="3">
        <v>343</v>
      </c>
      <c r="K911" s="3" t="s">
        <v>1402</v>
      </c>
      <c r="L911" s="3">
        <f>VLOOKUP(TRIM(Table1[[#This Row],[Provider Specialty]]) &amp; TRIM(Table1[[#This Row],[Provider Specialty Description]]), SPECIALTY_TYPE, 2, FALSE)</f>
        <v>2103</v>
      </c>
      <c r="M911" s="3" t="s">
        <v>18</v>
      </c>
      <c r="N911" s="27" t="s">
        <v>19</v>
      </c>
      <c r="O911" s="38">
        <f>VLOOKUP(TRIM(Table1[[#This Row],[Provider Specialty]]) &amp; TRIM(Table1[[#This Row],[Provider Specialty Description]]), SPECIALTY_TYPE, 2, FALSE)</f>
        <v>2103</v>
      </c>
      <c r="P911" s="3" t="str">
        <f>Table1[[#This Row],[Provider Type]] &amp; "+" &amp; Table1[[#This Row],[Provider Type Description]]</f>
        <v>32+Multi-Specialty</v>
      </c>
      <c r="Q911" s="7" t="str">
        <f>Table1[[#This Row],[Provider Specialty]] &amp; "+" &amp; Table1[[#This Row],[Provider Specialty Description]]</f>
        <v>343+Urologist</v>
      </c>
      <c r="R911" s="7" t="str">
        <f>Table1[[#This Row],[PDMS Specialty Type ID]] &amp; "+" &amp; Table1[[#This Row],[PDMS Provider Type ID]] &amp; "+" &amp;Table1[[#This Row],[TAXONOMY]]</f>
        <v>2103+50+2088F0040X</v>
      </c>
      <c r="S9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(9890, 2103, 50, N'2088F0040X', N'Urology - Female Pelvic Medicine and Reconstructive Surgery')</v>
      </c>
    </row>
    <row r="912" spans="1:19" ht="47.25" hidden="1" customHeight="1" x14ac:dyDescent="0.25">
      <c r="A912" s="22" t="s">
        <v>1854</v>
      </c>
      <c r="B912" s="3" t="s">
        <v>1262</v>
      </c>
      <c r="C912" s="3" t="s">
        <v>646</v>
      </c>
      <c r="D912" s="3" t="s">
        <v>1437</v>
      </c>
      <c r="E912" s="3" t="s">
        <v>1442</v>
      </c>
      <c r="F912" s="3">
        <f>VLOOKUP(Table1[[#This Row],[Column2]], TAXONOMY_TYPE, 2, FALSE)</f>
        <v>9891</v>
      </c>
      <c r="G912" s="3">
        <v>33</v>
      </c>
      <c r="H912" s="3" t="s">
        <v>1953</v>
      </c>
      <c r="I912" s="3">
        <f>VLOOKUP(Table1[[#This Row],[Provider Type]] &amp; Table1[[#This Row],[Provider Type Description]], PROVIDER_TYPE, 2, FALSE)</f>
        <v>51</v>
      </c>
      <c r="J912" s="3">
        <v>343</v>
      </c>
      <c r="K912" s="3" t="s">
        <v>1402</v>
      </c>
      <c r="L912" s="3">
        <f>VLOOKUP(TRIM(Table1[[#This Row],[Provider Specialty]]) &amp; TRIM(Table1[[#This Row],[Provider Specialty Description]]), SPECIALTY_TYPE, 2, FALSE)</f>
        <v>2103</v>
      </c>
      <c r="M912" s="3" t="s">
        <v>18</v>
      </c>
      <c r="N912" s="27" t="s">
        <v>19</v>
      </c>
      <c r="O912" s="38">
        <f>VLOOKUP(TRIM(Table1[[#This Row],[Provider Specialty]]) &amp; TRIM(Table1[[#This Row],[Provider Specialty Description]]), SPECIALTY_TYPE, 2, FALSE)</f>
        <v>2103</v>
      </c>
      <c r="P912" s="3" t="str">
        <f>Table1[[#This Row],[Provider Type]] &amp; "+" &amp; Table1[[#This Row],[Provider Type Description]]</f>
        <v>33+Single-Specialty</v>
      </c>
      <c r="Q912" s="7" t="str">
        <f>Table1[[#This Row],[Provider Specialty]] &amp; "+" &amp; Table1[[#This Row],[Provider Specialty Description]]</f>
        <v>343+Urologist</v>
      </c>
      <c r="R912" s="7" t="str">
        <f>Table1[[#This Row],[PDMS Specialty Type ID]] &amp; "+" &amp; Table1[[#This Row],[PDMS Provider Type ID]] &amp; "+" &amp;Table1[[#This Row],[TAXONOMY]]</f>
        <v>2103+51+2088F0040X</v>
      </c>
      <c r="S9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(9891, 2103, 51, N'2088F0040X', N'Urology - Female Pelvic Medicine and Reconstructive Surgery')</v>
      </c>
    </row>
    <row r="913" spans="1:19" ht="47.25" hidden="1" customHeight="1" x14ac:dyDescent="0.25">
      <c r="A913" s="22" t="s">
        <v>1855</v>
      </c>
      <c r="B913" s="3" t="s">
        <v>988</v>
      </c>
      <c r="C913" s="3" t="s">
        <v>999</v>
      </c>
      <c r="D913" s="3" t="s">
        <v>1002</v>
      </c>
      <c r="E913" s="3" t="s">
        <v>1003</v>
      </c>
      <c r="F913" s="3">
        <f>VLOOKUP(Table1[[#This Row],[Column2]], TAXONOMY_TYPE, 2, FALSE)</f>
        <v>9892</v>
      </c>
      <c r="G913" s="3">
        <v>31</v>
      </c>
      <c r="H913" s="3" t="s">
        <v>991</v>
      </c>
      <c r="I913" s="3">
        <f>VLOOKUP(Table1[[#This Row],[Provider Type]] &amp; Table1[[#This Row],[Provider Type Description]], PROVIDER_TYPE, 2, FALSE)</f>
        <v>114</v>
      </c>
      <c r="J913" s="3">
        <v>344</v>
      </c>
      <c r="K913" s="3" t="s">
        <v>1004</v>
      </c>
      <c r="L913" s="3">
        <f>VLOOKUP(TRIM(Table1[[#This Row],[Provider Specialty]]) &amp; TRIM(Table1[[#This Row],[Provider Specialty Description]]), SPECIALTY_TYPE, 2, FALSE)</f>
        <v>2104</v>
      </c>
      <c r="M913" s="3" t="s">
        <v>18</v>
      </c>
      <c r="N913" s="27" t="s">
        <v>19</v>
      </c>
      <c r="O913" s="38">
        <f>VLOOKUP(TRIM(Table1[[#This Row],[Provider Specialty]]) &amp; TRIM(Table1[[#This Row],[Provider Specialty Description]]), SPECIALTY_TYPE, 2, FALSE)</f>
        <v>2104</v>
      </c>
      <c r="P913" s="3" t="str">
        <f>Table1[[#This Row],[Provider Type]] &amp; "+" &amp; Table1[[#This Row],[Provider Type Description]]</f>
        <v>31+Physician</v>
      </c>
      <c r="Q913" s="7" t="str">
        <f>Table1[[#This Row],[Provider Specialty]] &amp; "+" &amp; Table1[[#This Row],[Provider Specialty Description]]</f>
        <v>344+General Internist</v>
      </c>
      <c r="R913" s="7" t="str">
        <f>Table1[[#This Row],[PDMS Specialty Type ID]] &amp; "+" &amp; Table1[[#This Row],[PDMS Provider Type ID]] &amp; "+" &amp;Table1[[#This Row],[TAXONOMY]]</f>
        <v>2104+114+207RE0101X</v>
      </c>
      <c r="S9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(9892, 2104, 114, N'207RE0101X', N'Internal Medicine - Endocrinology, Diabetes &amp; Metabolism')</v>
      </c>
    </row>
    <row r="914" spans="1:19" ht="47.25" hidden="1" customHeight="1" x14ac:dyDescent="0.25">
      <c r="A914" s="22" t="s">
        <v>1854</v>
      </c>
      <c r="B914" s="3" t="s">
        <v>988</v>
      </c>
      <c r="C914" s="3" t="s">
        <v>999</v>
      </c>
      <c r="D914" s="3" t="s">
        <v>1002</v>
      </c>
      <c r="E914" s="3" t="s">
        <v>1003</v>
      </c>
      <c r="F914" s="3">
        <f>VLOOKUP(Table1[[#This Row],[Column2]], TAXONOMY_TYPE, 2, FALSE)</f>
        <v>9893</v>
      </c>
      <c r="G914" s="3">
        <v>32</v>
      </c>
      <c r="H914" s="3" t="s">
        <v>1444</v>
      </c>
      <c r="I914" s="3">
        <f>VLOOKUP(Table1[[#This Row],[Provider Type]] &amp; Table1[[#This Row],[Provider Type Description]], PROVIDER_TYPE, 2, FALSE)</f>
        <v>50</v>
      </c>
      <c r="J914" s="3">
        <v>344</v>
      </c>
      <c r="K914" s="3" t="s">
        <v>1004</v>
      </c>
      <c r="L914" s="3">
        <f>VLOOKUP(TRIM(Table1[[#This Row],[Provider Specialty]]) &amp; TRIM(Table1[[#This Row],[Provider Specialty Description]]), SPECIALTY_TYPE, 2, FALSE)</f>
        <v>2104</v>
      </c>
      <c r="M914" s="3" t="s">
        <v>18</v>
      </c>
      <c r="N914" s="27" t="s">
        <v>19</v>
      </c>
      <c r="O914" s="38">
        <f>VLOOKUP(TRIM(Table1[[#This Row],[Provider Specialty]]) &amp; TRIM(Table1[[#This Row],[Provider Specialty Description]]), SPECIALTY_TYPE, 2, FALSE)</f>
        <v>2104</v>
      </c>
      <c r="P914" s="3" t="str">
        <f>Table1[[#This Row],[Provider Type]] &amp; "+" &amp; Table1[[#This Row],[Provider Type Description]]</f>
        <v>32+Multi-Specialty</v>
      </c>
      <c r="Q914" s="7" t="str">
        <f>Table1[[#This Row],[Provider Specialty]] &amp; "+" &amp; Table1[[#This Row],[Provider Specialty Description]]</f>
        <v>344+General Internist</v>
      </c>
      <c r="R914" s="7" t="str">
        <f>Table1[[#This Row],[PDMS Specialty Type ID]] &amp; "+" &amp; Table1[[#This Row],[PDMS Provider Type ID]] &amp; "+" &amp;Table1[[#This Row],[TAXONOMY]]</f>
        <v>2104+50+207RE0101X</v>
      </c>
      <c r="S9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(9893, 2104, 50, N'207RE0101X', N'Internal Medicine - Endocrinology, Diabetes &amp; Metabolism')</v>
      </c>
    </row>
    <row r="915" spans="1:19" ht="47.25" hidden="1" customHeight="1" x14ac:dyDescent="0.25">
      <c r="A915" s="22" t="s">
        <v>1854</v>
      </c>
      <c r="B915" s="3" t="s">
        <v>988</v>
      </c>
      <c r="C915" s="3" t="s">
        <v>999</v>
      </c>
      <c r="D915" s="3" t="s">
        <v>1002</v>
      </c>
      <c r="E915" s="3" t="s">
        <v>1003</v>
      </c>
      <c r="F915" s="3">
        <f>VLOOKUP(Table1[[#This Row],[Column2]], TAXONOMY_TYPE, 2, FALSE)</f>
        <v>9894</v>
      </c>
      <c r="G915" s="3">
        <v>33</v>
      </c>
      <c r="H915" s="3" t="s">
        <v>1953</v>
      </c>
      <c r="I915" s="3">
        <f>VLOOKUP(Table1[[#This Row],[Provider Type]] &amp; Table1[[#This Row],[Provider Type Description]], PROVIDER_TYPE, 2, FALSE)</f>
        <v>51</v>
      </c>
      <c r="J915" s="3">
        <v>344</v>
      </c>
      <c r="K915" s="3" t="s">
        <v>1004</v>
      </c>
      <c r="L915" s="3">
        <f>VLOOKUP(TRIM(Table1[[#This Row],[Provider Specialty]]) &amp; TRIM(Table1[[#This Row],[Provider Specialty Description]]), SPECIALTY_TYPE, 2, FALSE)</f>
        <v>2104</v>
      </c>
      <c r="M915" s="3" t="s">
        <v>18</v>
      </c>
      <c r="N915" s="27" t="s">
        <v>19</v>
      </c>
      <c r="O915" s="38">
        <f>VLOOKUP(TRIM(Table1[[#This Row],[Provider Specialty]]) &amp; TRIM(Table1[[#This Row],[Provider Specialty Description]]), SPECIALTY_TYPE, 2, FALSE)</f>
        <v>2104</v>
      </c>
      <c r="P915" s="3" t="str">
        <f>Table1[[#This Row],[Provider Type]] &amp; "+" &amp; Table1[[#This Row],[Provider Type Description]]</f>
        <v>33+Single-Specialty</v>
      </c>
      <c r="Q915" s="7" t="str">
        <f>Table1[[#This Row],[Provider Specialty]] &amp; "+" &amp; Table1[[#This Row],[Provider Specialty Description]]</f>
        <v>344+General Internist</v>
      </c>
      <c r="R915" s="7" t="str">
        <f>Table1[[#This Row],[PDMS Specialty Type ID]] &amp; "+" &amp; Table1[[#This Row],[PDMS Provider Type ID]] &amp; "+" &amp;Table1[[#This Row],[TAXONOMY]]</f>
        <v>2104+51+207RE0101X</v>
      </c>
      <c r="S9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(9894, 2104, 51, N'207RE0101X', N'Internal Medicine - Endocrinology, Diabetes &amp; Metabolism')</v>
      </c>
    </row>
    <row r="916" spans="1:19" ht="47.25" hidden="1" customHeight="1" x14ac:dyDescent="0.25">
      <c r="A916" s="22" t="s">
        <v>1855</v>
      </c>
      <c r="B916" s="3" t="s">
        <v>988</v>
      </c>
      <c r="C916" s="3" t="s">
        <v>325</v>
      </c>
      <c r="D916" s="3" t="s">
        <v>325</v>
      </c>
      <c r="E916" s="3" t="s">
        <v>1259</v>
      </c>
      <c r="F916" s="3">
        <f>VLOOKUP(Table1[[#This Row],[Column2]], TAXONOMY_TYPE, 2, FALSE)</f>
        <v>9895</v>
      </c>
      <c r="G916" s="3">
        <v>31</v>
      </c>
      <c r="H916" s="3" t="s">
        <v>991</v>
      </c>
      <c r="I916" s="3">
        <f>VLOOKUP(Table1[[#This Row],[Provider Type]] &amp; Table1[[#This Row],[Provider Type Description]], PROVIDER_TYPE, 2, FALSE)</f>
        <v>114</v>
      </c>
      <c r="J916" s="3">
        <v>345</v>
      </c>
      <c r="K916" s="3" t="s">
        <v>1260</v>
      </c>
      <c r="L916" s="3">
        <f>VLOOKUP(TRIM(Table1[[#This Row],[Provider Specialty]]) &amp; TRIM(Table1[[#This Row],[Provider Specialty Description]]), SPECIALTY_TYPE, 2, FALSE)</f>
        <v>2105</v>
      </c>
      <c r="M916" s="3" t="s">
        <v>19</v>
      </c>
      <c r="N916" s="27" t="s">
        <v>19</v>
      </c>
      <c r="O916" s="38">
        <f>VLOOKUP(TRIM(Table1[[#This Row],[Provider Specialty]]) &amp; TRIM(Table1[[#This Row],[Provider Specialty Description]]), SPECIALTY_TYPE, 2, FALSE)</f>
        <v>2105</v>
      </c>
      <c r="P916" s="3" t="str">
        <f>Table1[[#This Row],[Provider Type]] &amp; "+" &amp; Table1[[#This Row],[Provider Type Description]]</f>
        <v>31+Physician</v>
      </c>
      <c r="Q916" s="7" t="str">
        <f>Table1[[#This Row],[Provider Specialty]] &amp; "+" &amp; Table1[[#This Row],[Provider Specialty Description]]</f>
        <v>345+General Pediatrician</v>
      </c>
      <c r="R916" s="7" t="str">
        <f>Table1[[#This Row],[PDMS Specialty Type ID]] &amp; "+" &amp; Table1[[#This Row],[PDMS Provider Type ID]] &amp; "+" &amp;Table1[[#This Row],[TAXONOMY]]</f>
        <v>2105+114+208000000X</v>
      </c>
      <c r="S9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(9895, 2105, 114, N'208000000X', N'Pediatrics - Pediatrics')</v>
      </c>
    </row>
    <row r="917" spans="1:19" ht="47.25" hidden="1" customHeight="1" x14ac:dyDescent="0.25">
      <c r="A917" s="22" t="s">
        <v>1854</v>
      </c>
      <c r="B917" s="3" t="s">
        <v>988</v>
      </c>
      <c r="C917" s="3" t="s">
        <v>325</v>
      </c>
      <c r="D917" s="3" t="s">
        <v>325</v>
      </c>
      <c r="E917" s="3" t="s">
        <v>1259</v>
      </c>
      <c r="F917" s="3">
        <f>VLOOKUP(Table1[[#This Row],[Column2]], TAXONOMY_TYPE, 2, FALSE)</f>
        <v>9896</v>
      </c>
      <c r="G917" s="3">
        <v>32</v>
      </c>
      <c r="H917" s="3" t="s">
        <v>1444</v>
      </c>
      <c r="I917" s="3">
        <f>VLOOKUP(Table1[[#This Row],[Provider Type]] &amp; Table1[[#This Row],[Provider Type Description]], PROVIDER_TYPE, 2, FALSE)</f>
        <v>50</v>
      </c>
      <c r="J917" s="3">
        <v>345</v>
      </c>
      <c r="K917" s="3" t="s">
        <v>1260</v>
      </c>
      <c r="L917" s="3">
        <f>VLOOKUP(TRIM(Table1[[#This Row],[Provider Specialty]]) &amp; TRIM(Table1[[#This Row],[Provider Specialty Description]]), SPECIALTY_TYPE, 2, FALSE)</f>
        <v>2105</v>
      </c>
      <c r="M917" s="3" t="s">
        <v>18</v>
      </c>
      <c r="N917" s="27" t="s">
        <v>19</v>
      </c>
      <c r="O917" s="38">
        <f>VLOOKUP(TRIM(Table1[[#This Row],[Provider Specialty]]) &amp; TRIM(Table1[[#This Row],[Provider Specialty Description]]), SPECIALTY_TYPE, 2, FALSE)</f>
        <v>2105</v>
      </c>
      <c r="P917" s="3" t="str">
        <f>Table1[[#This Row],[Provider Type]] &amp; "+" &amp; Table1[[#This Row],[Provider Type Description]]</f>
        <v>32+Multi-Specialty</v>
      </c>
      <c r="Q917" s="7" t="str">
        <f>Table1[[#This Row],[Provider Specialty]] &amp; "+" &amp; Table1[[#This Row],[Provider Specialty Description]]</f>
        <v>345+General Pediatrician</v>
      </c>
      <c r="R917" s="7" t="str">
        <f>Table1[[#This Row],[PDMS Specialty Type ID]] &amp; "+" &amp; Table1[[#This Row],[PDMS Provider Type ID]] &amp; "+" &amp;Table1[[#This Row],[TAXONOMY]]</f>
        <v>2105+50+208000000X</v>
      </c>
      <c r="S9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(9896, 2105, 50, N'208000000X', N'Pediatrics - Pediatrics')</v>
      </c>
    </row>
    <row r="918" spans="1:19" ht="47.25" hidden="1" customHeight="1" x14ac:dyDescent="0.25">
      <c r="A918" s="22" t="s">
        <v>1854</v>
      </c>
      <c r="B918" s="3" t="s">
        <v>988</v>
      </c>
      <c r="C918" s="3" t="s">
        <v>325</v>
      </c>
      <c r="D918" s="3" t="s">
        <v>325</v>
      </c>
      <c r="E918" s="3" t="s">
        <v>1259</v>
      </c>
      <c r="F918" s="3">
        <f>VLOOKUP(Table1[[#This Row],[Column2]], TAXONOMY_TYPE, 2, FALSE)</f>
        <v>9897</v>
      </c>
      <c r="G918" s="3">
        <v>33</v>
      </c>
      <c r="H918" s="3" t="s">
        <v>1953</v>
      </c>
      <c r="I918" s="3">
        <f>VLOOKUP(Table1[[#This Row],[Provider Type]] &amp; Table1[[#This Row],[Provider Type Description]], PROVIDER_TYPE, 2, FALSE)</f>
        <v>51</v>
      </c>
      <c r="J918" s="3">
        <v>345</v>
      </c>
      <c r="K918" s="3" t="s">
        <v>1260</v>
      </c>
      <c r="L918" s="3">
        <f>VLOOKUP(TRIM(Table1[[#This Row],[Provider Specialty]]) &amp; TRIM(Table1[[#This Row],[Provider Specialty Description]]), SPECIALTY_TYPE, 2, FALSE)</f>
        <v>2105</v>
      </c>
      <c r="M918" s="3" t="s">
        <v>18</v>
      </c>
      <c r="N918" s="27" t="s">
        <v>19</v>
      </c>
      <c r="O918" s="38">
        <f>VLOOKUP(TRIM(Table1[[#This Row],[Provider Specialty]]) &amp; TRIM(Table1[[#This Row],[Provider Specialty Description]]), SPECIALTY_TYPE, 2, FALSE)</f>
        <v>2105</v>
      </c>
      <c r="P918" s="3" t="str">
        <f>Table1[[#This Row],[Provider Type]] &amp; "+" &amp; Table1[[#This Row],[Provider Type Description]]</f>
        <v>33+Single-Specialty</v>
      </c>
      <c r="Q918" s="7" t="str">
        <f>Table1[[#This Row],[Provider Specialty]] &amp; "+" &amp; Table1[[#This Row],[Provider Specialty Description]]</f>
        <v>345+General Pediatrician</v>
      </c>
      <c r="R918" s="7" t="str">
        <f>Table1[[#This Row],[PDMS Specialty Type ID]] &amp; "+" &amp; Table1[[#This Row],[PDMS Provider Type ID]] &amp; "+" &amp;Table1[[#This Row],[TAXONOMY]]</f>
        <v>2105+51+208000000X</v>
      </c>
      <c r="S9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(9897, 2105, 51, N'208000000X', N'Pediatrics - Pediatrics')</v>
      </c>
    </row>
    <row r="919" spans="1:19" ht="47.25" hidden="1" customHeight="1" x14ac:dyDescent="0.25">
      <c r="A919" s="22" t="s">
        <v>1855</v>
      </c>
      <c r="B919" s="3" t="s">
        <v>988</v>
      </c>
      <c r="C919" s="3" t="s">
        <v>325</v>
      </c>
      <c r="D919" s="3" t="s">
        <v>1116</v>
      </c>
      <c r="E919" s="3" t="s">
        <v>1261</v>
      </c>
      <c r="F919" s="3">
        <f>VLOOKUP(Table1[[#This Row],[Column2]], TAXONOMY_TYPE, 2, FALSE)</f>
        <v>9898</v>
      </c>
      <c r="G919" s="3">
        <v>31</v>
      </c>
      <c r="H919" s="3" t="s">
        <v>991</v>
      </c>
      <c r="I919" s="3">
        <f>VLOOKUP(Table1[[#This Row],[Provider Type]] &amp; Table1[[#This Row],[Provider Type Description]], PROVIDER_TYPE, 2, FALSE)</f>
        <v>114</v>
      </c>
      <c r="J919" s="3">
        <v>345</v>
      </c>
      <c r="K919" s="3" t="s">
        <v>1260</v>
      </c>
      <c r="L919" s="3">
        <f>VLOOKUP(TRIM(Table1[[#This Row],[Provider Specialty]]) &amp; TRIM(Table1[[#This Row],[Provider Specialty Description]]), SPECIALTY_TYPE, 2, FALSE)</f>
        <v>2105</v>
      </c>
      <c r="M919" s="3" t="s">
        <v>19</v>
      </c>
      <c r="N919" s="27" t="s">
        <v>19</v>
      </c>
      <c r="O919" s="38">
        <f>VLOOKUP(TRIM(Table1[[#This Row],[Provider Specialty]]) &amp; TRIM(Table1[[#This Row],[Provider Specialty Description]]), SPECIALTY_TYPE, 2, FALSE)</f>
        <v>2105</v>
      </c>
      <c r="P919" s="3" t="str">
        <f>Table1[[#This Row],[Provider Type]] &amp; "+" &amp; Table1[[#This Row],[Provider Type Description]]</f>
        <v>31+Physician</v>
      </c>
      <c r="Q919" s="7" t="str">
        <f>Table1[[#This Row],[Provider Specialty]] &amp; "+" &amp; Table1[[#This Row],[Provider Specialty Description]]</f>
        <v>345+General Pediatrician</v>
      </c>
      <c r="R919" s="7" t="str">
        <f>Table1[[#This Row],[PDMS Specialty Type ID]] &amp; "+" &amp; Table1[[#This Row],[PDMS Provider Type ID]] &amp; "+" &amp;Table1[[#This Row],[TAXONOMY]]</f>
        <v>2105+114+2080A0000X</v>
      </c>
      <c r="S9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(9898, 2105, 114, N'2080A0000X', N'Pediatrics - Adolescent Medicine')</v>
      </c>
    </row>
    <row r="920" spans="1:19" ht="47.25" hidden="1" customHeight="1" x14ac:dyDescent="0.25">
      <c r="A920" s="22" t="s">
        <v>1854</v>
      </c>
      <c r="B920" s="3" t="s">
        <v>988</v>
      </c>
      <c r="C920" s="3" t="s">
        <v>325</v>
      </c>
      <c r="D920" s="3" t="s">
        <v>1116</v>
      </c>
      <c r="E920" s="3" t="s">
        <v>1261</v>
      </c>
      <c r="F920" s="3">
        <f>VLOOKUP(Table1[[#This Row],[Column2]], TAXONOMY_TYPE, 2, FALSE)</f>
        <v>9899</v>
      </c>
      <c r="G920" s="3">
        <v>32</v>
      </c>
      <c r="H920" s="3" t="s">
        <v>1444</v>
      </c>
      <c r="I920" s="3">
        <f>VLOOKUP(Table1[[#This Row],[Provider Type]] &amp; Table1[[#This Row],[Provider Type Description]], PROVIDER_TYPE, 2, FALSE)</f>
        <v>50</v>
      </c>
      <c r="J920" s="3">
        <v>345</v>
      </c>
      <c r="K920" s="3" t="s">
        <v>1260</v>
      </c>
      <c r="L920" s="3">
        <f>VLOOKUP(TRIM(Table1[[#This Row],[Provider Specialty]]) &amp; TRIM(Table1[[#This Row],[Provider Specialty Description]]), SPECIALTY_TYPE, 2, FALSE)</f>
        <v>2105</v>
      </c>
      <c r="M920" s="3" t="s">
        <v>18</v>
      </c>
      <c r="N920" s="27" t="s">
        <v>19</v>
      </c>
      <c r="O920" s="38">
        <f>VLOOKUP(TRIM(Table1[[#This Row],[Provider Specialty]]) &amp; TRIM(Table1[[#This Row],[Provider Specialty Description]]), SPECIALTY_TYPE, 2, FALSE)</f>
        <v>2105</v>
      </c>
      <c r="P920" s="3" t="str">
        <f>Table1[[#This Row],[Provider Type]] &amp; "+" &amp; Table1[[#This Row],[Provider Type Description]]</f>
        <v>32+Multi-Specialty</v>
      </c>
      <c r="Q920" s="7" t="str">
        <f>Table1[[#This Row],[Provider Specialty]] &amp; "+" &amp; Table1[[#This Row],[Provider Specialty Description]]</f>
        <v>345+General Pediatrician</v>
      </c>
      <c r="R920" s="7" t="str">
        <f>Table1[[#This Row],[PDMS Specialty Type ID]] &amp; "+" &amp; Table1[[#This Row],[PDMS Provider Type ID]] &amp; "+" &amp;Table1[[#This Row],[TAXONOMY]]</f>
        <v>2105+50+2080A0000X</v>
      </c>
      <c r="S9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(9899, 2105, 50, N'2080A0000X', N'Pediatrics - Adolescent Medicine')</v>
      </c>
    </row>
    <row r="921" spans="1:19" ht="47.25" hidden="1" customHeight="1" x14ac:dyDescent="0.25">
      <c r="A921" s="22" t="s">
        <v>1854</v>
      </c>
      <c r="B921" s="3" t="s">
        <v>988</v>
      </c>
      <c r="C921" s="3" t="s">
        <v>325</v>
      </c>
      <c r="D921" s="3" t="s">
        <v>1116</v>
      </c>
      <c r="E921" s="3" t="s">
        <v>1261</v>
      </c>
      <c r="F921" s="3">
        <f>VLOOKUP(Table1[[#This Row],[Column2]], TAXONOMY_TYPE, 2, FALSE)</f>
        <v>9900</v>
      </c>
      <c r="G921" s="3">
        <v>33</v>
      </c>
      <c r="H921" s="3" t="s">
        <v>1953</v>
      </c>
      <c r="I921" s="3">
        <f>VLOOKUP(Table1[[#This Row],[Provider Type]] &amp; Table1[[#This Row],[Provider Type Description]], PROVIDER_TYPE, 2, FALSE)</f>
        <v>51</v>
      </c>
      <c r="J921" s="3">
        <v>345</v>
      </c>
      <c r="K921" s="3" t="s">
        <v>1260</v>
      </c>
      <c r="L921" s="3">
        <f>VLOOKUP(TRIM(Table1[[#This Row],[Provider Specialty]]) &amp; TRIM(Table1[[#This Row],[Provider Specialty Description]]), SPECIALTY_TYPE, 2, FALSE)</f>
        <v>2105</v>
      </c>
      <c r="M921" s="3" t="s">
        <v>18</v>
      </c>
      <c r="N921" s="27" t="s">
        <v>19</v>
      </c>
      <c r="O921" s="38">
        <f>VLOOKUP(TRIM(Table1[[#This Row],[Provider Specialty]]) &amp; TRIM(Table1[[#This Row],[Provider Specialty Description]]), SPECIALTY_TYPE, 2, FALSE)</f>
        <v>2105</v>
      </c>
      <c r="P921" s="3" t="str">
        <f>Table1[[#This Row],[Provider Type]] &amp; "+" &amp; Table1[[#This Row],[Provider Type Description]]</f>
        <v>33+Single-Specialty</v>
      </c>
      <c r="Q921" s="7" t="str">
        <f>Table1[[#This Row],[Provider Specialty]] &amp; "+" &amp; Table1[[#This Row],[Provider Specialty Description]]</f>
        <v>345+General Pediatrician</v>
      </c>
      <c r="R921" s="7" t="str">
        <f>Table1[[#This Row],[PDMS Specialty Type ID]] &amp; "+" &amp; Table1[[#This Row],[PDMS Provider Type ID]] &amp; "+" &amp;Table1[[#This Row],[TAXONOMY]]</f>
        <v>2105+51+2080A0000X</v>
      </c>
      <c r="S9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(9900, 2105, 51, N'2080A0000X', N'Pediatrics - Adolescent Medicine')</v>
      </c>
    </row>
    <row r="922" spans="1:19" ht="47.25" hidden="1" customHeight="1" x14ac:dyDescent="0.25">
      <c r="A922" s="22" t="s">
        <v>1855</v>
      </c>
      <c r="B922" s="3" t="s">
        <v>988</v>
      </c>
      <c r="C922" s="3" t="s">
        <v>325</v>
      </c>
      <c r="D922" s="3" t="s">
        <v>1266</v>
      </c>
      <c r="E922" s="3" t="s">
        <v>1267</v>
      </c>
      <c r="F922" s="3">
        <f>VLOOKUP(Table1[[#This Row],[Column2]], TAXONOMY_TYPE, 2, FALSE)</f>
        <v>9901</v>
      </c>
      <c r="G922" s="3">
        <v>31</v>
      </c>
      <c r="H922" s="3" t="s">
        <v>991</v>
      </c>
      <c r="I922" s="3">
        <f>VLOOKUP(Table1[[#This Row],[Provider Type]] &amp; Table1[[#This Row],[Provider Type Description]], PROVIDER_TYPE, 2, FALSE)</f>
        <v>114</v>
      </c>
      <c r="J922" s="3">
        <v>345</v>
      </c>
      <c r="K922" s="3" t="s">
        <v>1260</v>
      </c>
      <c r="L922" s="3">
        <f>VLOOKUP(TRIM(Table1[[#This Row],[Provider Specialty]]) &amp; TRIM(Table1[[#This Row],[Provider Specialty Description]]), SPECIALTY_TYPE, 2, FALSE)</f>
        <v>2105</v>
      </c>
      <c r="M922" s="3" t="s">
        <v>19</v>
      </c>
      <c r="N922" s="27" t="s">
        <v>19</v>
      </c>
      <c r="O922" s="38">
        <f>VLOOKUP(TRIM(Table1[[#This Row],[Provider Specialty]]) &amp; TRIM(Table1[[#This Row],[Provider Specialty Description]]), SPECIALTY_TYPE, 2, FALSE)</f>
        <v>2105</v>
      </c>
      <c r="P922" s="3" t="str">
        <f>Table1[[#This Row],[Provider Type]] &amp; "+" &amp; Table1[[#This Row],[Provider Type Description]]</f>
        <v>31+Physician</v>
      </c>
      <c r="Q922" s="7" t="str">
        <f>Table1[[#This Row],[Provider Specialty]] &amp; "+" &amp; Table1[[#This Row],[Provider Specialty Description]]</f>
        <v>345+General Pediatrician</v>
      </c>
      <c r="R922" s="7" t="str">
        <f>Table1[[#This Row],[PDMS Specialty Type ID]] &amp; "+" &amp; Table1[[#This Row],[PDMS Provider Type ID]] &amp; "+" &amp;Table1[[#This Row],[TAXONOMY]]</f>
        <v>2105+114+2080H0002X</v>
      </c>
      <c r="S9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(9901, 2105, 114, N'2080H0002X', N'Pediatrics - Hospice and Palliative Medicine**')</v>
      </c>
    </row>
    <row r="923" spans="1:19" ht="47.25" hidden="1" customHeight="1" x14ac:dyDescent="0.25">
      <c r="A923" s="22" t="s">
        <v>1854</v>
      </c>
      <c r="B923" s="3" t="s">
        <v>988</v>
      </c>
      <c r="C923" s="3" t="s">
        <v>325</v>
      </c>
      <c r="D923" s="3" t="s">
        <v>1266</v>
      </c>
      <c r="E923" s="3" t="s">
        <v>1267</v>
      </c>
      <c r="F923" s="3">
        <f>VLOOKUP(Table1[[#This Row],[Column2]], TAXONOMY_TYPE, 2, FALSE)</f>
        <v>9902</v>
      </c>
      <c r="G923" s="3">
        <v>32</v>
      </c>
      <c r="H923" s="3" t="s">
        <v>1444</v>
      </c>
      <c r="I923" s="3">
        <f>VLOOKUP(Table1[[#This Row],[Provider Type]] &amp; Table1[[#This Row],[Provider Type Description]], PROVIDER_TYPE, 2, FALSE)</f>
        <v>50</v>
      </c>
      <c r="J923" s="3">
        <v>345</v>
      </c>
      <c r="K923" s="3" t="s">
        <v>1260</v>
      </c>
      <c r="L923" s="3">
        <f>VLOOKUP(TRIM(Table1[[#This Row],[Provider Specialty]]) &amp; TRIM(Table1[[#This Row],[Provider Specialty Description]]), SPECIALTY_TYPE, 2, FALSE)</f>
        <v>2105</v>
      </c>
      <c r="M923" s="3" t="s">
        <v>18</v>
      </c>
      <c r="N923" s="27" t="s">
        <v>19</v>
      </c>
      <c r="O923" s="38">
        <f>VLOOKUP(TRIM(Table1[[#This Row],[Provider Specialty]]) &amp; TRIM(Table1[[#This Row],[Provider Specialty Description]]), SPECIALTY_TYPE, 2, FALSE)</f>
        <v>2105</v>
      </c>
      <c r="P923" s="3" t="str">
        <f>Table1[[#This Row],[Provider Type]] &amp; "+" &amp; Table1[[#This Row],[Provider Type Description]]</f>
        <v>32+Multi-Specialty</v>
      </c>
      <c r="Q923" s="7" t="str">
        <f>Table1[[#This Row],[Provider Specialty]] &amp; "+" &amp; Table1[[#This Row],[Provider Specialty Description]]</f>
        <v>345+General Pediatrician</v>
      </c>
      <c r="R923" s="7" t="str">
        <f>Table1[[#This Row],[PDMS Specialty Type ID]] &amp; "+" &amp; Table1[[#This Row],[PDMS Provider Type ID]] &amp; "+" &amp;Table1[[#This Row],[TAXONOMY]]</f>
        <v>2105+50+2080H0002X</v>
      </c>
      <c r="S9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(9902, 2105, 50, N'2080H0002X', N'Pediatrics - Hospice and Palliative Medicine**')</v>
      </c>
    </row>
    <row r="924" spans="1:19" ht="47.25" hidden="1" customHeight="1" x14ac:dyDescent="0.25">
      <c r="A924" s="22" t="s">
        <v>1854</v>
      </c>
      <c r="B924" s="3" t="s">
        <v>988</v>
      </c>
      <c r="C924" s="3" t="s">
        <v>325</v>
      </c>
      <c r="D924" s="3" t="s">
        <v>1266</v>
      </c>
      <c r="E924" s="3" t="s">
        <v>1267</v>
      </c>
      <c r="F924" s="3">
        <f>VLOOKUP(Table1[[#This Row],[Column2]], TAXONOMY_TYPE, 2, FALSE)</f>
        <v>9903</v>
      </c>
      <c r="G924" s="3">
        <v>33</v>
      </c>
      <c r="H924" s="3" t="s">
        <v>1953</v>
      </c>
      <c r="I924" s="3">
        <f>VLOOKUP(Table1[[#This Row],[Provider Type]] &amp; Table1[[#This Row],[Provider Type Description]], PROVIDER_TYPE, 2, FALSE)</f>
        <v>51</v>
      </c>
      <c r="J924" s="3">
        <v>345</v>
      </c>
      <c r="K924" s="3" t="s">
        <v>1260</v>
      </c>
      <c r="L924" s="3">
        <f>VLOOKUP(TRIM(Table1[[#This Row],[Provider Specialty]]) &amp; TRIM(Table1[[#This Row],[Provider Specialty Description]]), SPECIALTY_TYPE, 2, FALSE)</f>
        <v>2105</v>
      </c>
      <c r="M924" s="3" t="s">
        <v>18</v>
      </c>
      <c r="N924" s="27" t="s">
        <v>19</v>
      </c>
      <c r="O924" s="38">
        <f>VLOOKUP(TRIM(Table1[[#This Row],[Provider Specialty]]) &amp; TRIM(Table1[[#This Row],[Provider Specialty Description]]), SPECIALTY_TYPE, 2, FALSE)</f>
        <v>2105</v>
      </c>
      <c r="P924" s="3" t="str">
        <f>Table1[[#This Row],[Provider Type]] &amp; "+" &amp; Table1[[#This Row],[Provider Type Description]]</f>
        <v>33+Single-Specialty</v>
      </c>
      <c r="Q924" s="7" t="str">
        <f>Table1[[#This Row],[Provider Specialty]] &amp; "+" &amp; Table1[[#This Row],[Provider Specialty Description]]</f>
        <v>345+General Pediatrician</v>
      </c>
      <c r="R924" s="7" t="str">
        <f>Table1[[#This Row],[PDMS Specialty Type ID]] &amp; "+" &amp; Table1[[#This Row],[PDMS Provider Type ID]] &amp; "+" &amp;Table1[[#This Row],[TAXONOMY]]</f>
        <v>2105+51+2080H0002X</v>
      </c>
      <c r="S9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(9903, 2105, 51, N'2080H0002X', N'Pediatrics - Hospice and Palliative Medicine**')</v>
      </c>
    </row>
    <row r="925" spans="1:19" ht="47.25" hidden="1" customHeight="1" x14ac:dyDescent="0.25">
      <c r="A925" s="22" t="s">
        <v>1855</v>
      </c>
      <c r="B925" s="3" t="s">
        <v>988</v>
      </c>
      <c r="C925" s="3" t="s">
        <v>325</v>
      </c>
      <c r="D925" s="3" t="s">
        <v>1268</v>
      </c>
      <c r="E925" s="3" t="s">
        <v>1269</v>
      </c>
      <c r="F925" s="3">
        <f>VLOOKUP(Table1[[#This Row],[Column2]], TAXONOMY_TYPE, 2, FALSE)</f>
        <v>9904</v>
      </c>
      <c r="G925" s="3">
        <v>31</v>
      </c>
      <c r="H925" s="3" t="s">
        <v>991</v>
      </c>
      <c r="I925" s="3">
        <f>VLOOKUP(Table1[[#This Row],[Provider Type]] &amp; Table1[[#This Row],[Provider Type Description]], PROVIDER_TYPE, 2, FALSE)</f>
        <v>114</v>
      </c>
      <c r="J925" s="3">
        <v>345</v>
      </c>
      <c r="K925" s="3" t="s">
        <v>1260</v>
      </c>
      <c r="L925" s="3">
        <f>VLOOKUP(TRIM(Table1[[#This Row],[Provider Specialty]]) &amp; TRIM(Table1[[#This Row],[Provider Specialty Description]]), SPECIALTY_TYPE, 2, FALSE)</f>
        <v>2105</v>
      </c>
      <c r="M925" s="3" t="s">
        <v>19</v>
      </c>
      <c r="N925" s="27" t="s">
        <v>19</v>
      </c>
      <c r="O925" s="38">
        <f>VLOOKUP(TRIM(Table1[[#This Row],[Provider Specialty]]) &amp; TRIM(Table1[[#This Row],[Provider Specialty Description]]), SPECIALTY_TYPE, 2, FALSE)</f>
        <v>2105</v>
      </c>
      <c r="P925" s="3" t="str">
        <f>Table1[[#This Row],[Provider Type]] &amp; "+" &amp; Table1[[#This Row],[Provider Type Description]]</f>
        <v>31+Physician</v>
      </c>
      <c r="Q925" s="7" t="str">
        <f>Table1[[#This Row],[Provider Specialty]] &amp; "+" &amp; Table1[[#This Row],[Provider Specialty Description]]</f>
        <v>345+General Pediatrician</v>
      </c>
      <c r="R925" s="7" t="str">
        <f>Table1[[#This Row],[PDMS Specialty Type ID]] &amp; "+" &amp; Table1[[#This Row],[PDMS Provider Type ID]] &amp; "+" &amp;Table1[[#This Row],[TAXONOMY]]</f>
        <v>2105+114+2080I0007X</v>
      </c>
      <c r="S9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(9904, 2105, 114, N'2080I0007X', N'Pediatrics - Clinical &amp; Laboratory Immunology')</v>
      </c>
    </row>
    <row r="926" spans="1:19" ht="47.25" hidden="1" customHeight="1" x14ac:dyDescent="0.25">
      <c r="A926" s="22" t="s">
        <v>1854</v>
      </c>
      <c r="B926" s="3" t="s">
        <v>988</v>
      </c>
      <c r="C926" s="3" t="s">
        <v>325</v>
      </c>
      <c r="D926" s="3" t="s">
        <v>1268</v>
      </c>
      <c r="E926" s="3" t="s">
        <v>1269</v>
      </c>
      <c r="F926" s="3">
        <f>VLOOKUP(Table1[[#This Row],[Column2]], TAXONOMY_TYPE, 2, FALSE)</f>
        <v>9905</v>
      </c>
      <c r="G926" s="3">
        <v>32</v>
      </c>
      <c r="H926" s="3" t="s">
        <v>1444</v>
      </c>
      <c r="I926" s="3">
        <f>VLOOKUP(Table1[[#This Row],[Provider Type]] &amp; Table1[[#This Row],[Provider Type Description]], PROVIDER_TYPE, 2, FALSE)</f>
        <v>50</v>
      </c>
      <c r="J926" s="3">
        <v>345</v>
      </c>
      <c r="K926" s="3" t="s">
        <v>1260</v>
      </c>
      <c r="L926" s="3">
        <f>VLOOKUP(TRIM(Table1[[#This Row],[Provider Specialty]]) &amp; TRIM(Table1[[#This Row],[Provider Specialty Description]]), SPECIALTY_TYPE, 2, FALSE)</f>
        <v>2105</v>
      </c>
      <c r="M926" s="3" t="s">
        <v>18</v>
      </c>
      <c r="N926" s="27" t="s">
        <v>19</v>
      </c>
      <c r="O926" s="38">
        <f>VLOOKUP(TRIM(Table1[[#This Row],[Provider Specialty]]) &amp; TRIM(Table1[[#This Row],[Provider Specialty Description]]), SPECIALTY_TYPE, 2, FALSE)</f>
        <v>2105</v>
      </c>
      <c r="P926" s="3" t="str">
        <f>Table1[[#This Row],[Provider Type]] &amp; "+" &amp; Table1[[#This Row],[Provider Type Description]]</f>
        <v>32+Multi-Specialty</v>
      </c>
      <c r="Q926" s="7" t="str">
        <f>Table1[[#This Row],[Provider Specialty]] &amp; "+" &amp; Table1[[#This Row],[Provider Specialty Description]]</f>
        <v>345+General Pediatrician</v>
      </c>
      <c r="R926" s="7" t="str">
        <f>Table1[[#This Row],[PDMS Specialty Type ID]] &amp; "+" &amp; Table1[[#This Row],[PDMS Provider Type ID]] &amp; "+" &amp;Table1[[#This Row],[TAXONOMY]]</f>
        <v>2105+50+2080I0007X</v>
      </c>
      <c r="S9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(9905, 2105, 50, N'2080I0007X', N'Pediatrics - Clinical &amp; Laboratory Immunology')</v>
      </c>
    </row>
    <row r="927" spans="1:19" ht="47.25" hidden="1" customHeight="1" x14ac:dyDescent="0.25">
      <c r="A927" s="22" t="s">
        <v>1854</v>
      </c>
      <c r="B927" s="3" t="s">
        <v>988</v>
      </c>
      <c r="C927" s="3" t="s">
        <v>325</v>
      </c>
      <c r="D927" s="3" t="s">
        <v>1268</v>
      </c>
      <c r="E927" s="3" t="s">
        <v>1269</v>
      </c>
      <c r="F927" s="3">
        <f>VLOOKUP(Table1[[#This Row],[Column2]], TAXONOMY_TYPE, 2, FALSE)</f>
        <v>9906</v>
      </c>
      <c r="G927" s="3">
        <v>33</v>
      </c>
      <c r="H927" s="3" t="s">
        <v>1953</v>
      </c>
      <c r="I927" s="3">
        <f>VLOOKUP(Table1[[#This Row],[Provider Type]] &amp; Table1[[#This Row],[Provider Type Description]], PROVIDER_TYPE, 2, FALSE)</f>
        <v>51</v>
      </c>
      <c r="J927" s="3">
        <v>345</v>
      </c>
      <c r="K927" s="3" t="s">
        <v>1260</v>
      </c>
      <c r="L927" s="3">
        <f>VLOOKUP(TRIM(Table1[[#This Row],[Provider Specialty]]) &amp; TRIM(Table1[[#This Row],[Provider Specialty Description]]), SPECIALTY_TYPE, 2, FALSE)</f>
        <v>2105</v>
      </c>
      <c r="M927" s="3" t="s">
        <v>18</v>
      </c>
      <c r="N927" s="27" t="s">
        <v>19</v>
      </c>
      <c r="O927" s="38">
        <f>VLOOKUP(TRIM(Table1[[#This Row],[Provider Specialty]]) &amp; TRIM(Table1[[#This Row],[Provider Specialty Description]]), SPECIALTY_TYPE, 2, FALSE)</f>
        <v>2105</v>
      </c>
      <c r="P927" s="3" t="str">
        <f>Table1[[#This Row],[Provider Type]] &amp; "+" &amp; Table1[[#This Row],[Provider Type Description]]</f>
        <v>33+Single-Specialty</v>
      </c>
      <c r="Q927" s="7" t="str">
        <f>Table1[[#This Row],[Provider Specialty]] &amp; "+" &amp; Table1[[#This Row],[Provider Specialty Description]]</f>
        <v>345+General Pediatrician</v>
      </c>
      <c r="R927" s="7" t="str">
        <f>Table1[[#This Row],[PDMS Specialty Type ID]] &amp; "+" &amp; Table1[[#This Row],[PDMS Provider Type ID]] &amp; "+" &amp;Table1[[#This Row],[TAXONOMY]]</f>
        <v>2105+51+2080I0007X</v>
      </c>
      <c r="S9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(9906, 2105, 51, N'2080I0007X', N'Pediatrics - Clinical &amp; Laboratory Immunology')</v>
      </c>
    </row>
    <row r="928" spans="1:19" ht="47.25" hidden="1" customHeight="1" x14ac:dyDescent="0.25">
      <c r="A928" s="22" t="s">
        <v>1855</v>
      </c>
      <c r="B928" s="3" t="s">
        <v>988</v>
      </c>
      <c r="C928" s="3" t="s">
        <v>325</v>
      </c>
      <c r="D928" s="3" t="s">
        <v>1270</v>
      </c>
      <c r="E928" s="3" t="s">
        <v>1271</v>
      </c>
      <c r="F928" s="3">
        <f>VLOOKUP(Table1[[#This Row],[Column2]], TAXONOMY_TYPE, 2, FALSE)</f>
        <v>9907</v>
      </c>
      <c r="G928" s="3">
        <v>31</v>
      </c>
      <c r="H928" s="3" t="s">
        <v>991</v>
      </c>
      <c r="I928" s="3">
        <f>VLOOKUP(Table1[[#This Row],[Provider Type]] &amp; Table1[[#This Row],[Provider Type Description]], PROVIDER_TYPE, 2, FALSE)</f>
        <v>114</v>
      </c>
      <c r="J928" s="3">
        <v>345</v>
      </c>
      <c r="K928" s="3" t="s">
        <v>1260</v>
      </c>
      <c r="L928" s="3">
        <f>VLOOKUP(TRIM(Table1[[#This Row],[Provider Specialty]]) &amp; TRIM(Table1[[#This Row],[Provider Specialty Description]]), SPECIALTY_TYPE, 2, FALSE)</f>
        <v>2105</v>
      </c>
      <c r="M928" s="3" t="s">
        <v>19</v>
      </c>
      <c r="N928" s="27" t="s">
        <v>19</v>
      </c>
      <c r="O928" s="38">
        <f>VLOOKUP(TRIM(Table1[[#This Row],[Provider Specialty]]) &amp; TRIM(Table1[[#This Row],[Provider Specialty Description]]), SPECIALTY_TYPE, 2, FALSE)</f>
        <v>2105</v>
      </c>
      <c r="P928" s="3" t="str">
        <f>Table1[[#This Row],[Provider Type]] &amp; "+" &amp; Table1[[#This Row],[Provider Type Description]]</f>
        <v>31+Physician</v>
      </c>
      <c r="Q928" s="7" t="str">
        <f>Table1[[#This Row],[Provider Specialty]] &amp; "+" &amp; Table1[[#This Row],[Provider Specialty Description]]</f>
        <v>345+General Pediatrician</v>
      </c>
      <c r="R928" s="7" t="str">
        <f>Table1[[#This Row],[PDMS Specialty Type ID]] &amp; "+" &amp; Table1[[#This Row],[PDMS Provider Type ID]] &amp; "+" &amp;Table1[[#This Row],[TAXONOMY]]</f>
        <v>2105+114+2080P0006X</v>
      </c>
      <c r="S9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(9907, 2105, 114, N'2080P0006X', N'Pediatrics - Developmental – Behavioral Pediatrics')</v>
      </c>
    </row>
    <row r="929" spans="1:19" ht="47.25" hidden="1" customHeight="1" x14ac:dyDescent="0.25">
      <c r="A929" s="22" t="s">
        <v>1854</v>
      </c>
      <c r="B929" s="3" t="s">
        <v>988</v>
      </c>
      <c r="C929" s="3" t="s">
        <v>325</v>
      </c>
      <c r="D929" s="3" t="s">
        <v>1270</v>
      </c>
      <c r="E929" s="3" t="s">
        <v>1271</v>
      </c>
      <c r="F929" s="3">
        <f>VLOOKUP(Table1[[#This Row],[Column2]], TAXONOMY_TYPE, 2, FALSE)</f>
        <v>9908</v>
      </c>
      <c r="G929" s="3">
        <v>32</v>
      </c>
      <c r="H929" s="3" t="s">
        <v>1444</v>
      </c>
      <c r="I929" s="3">
        <f>VLOOKUP(Table1[[#This Row],[Provider Type]] &amp; Table1[[#This Row],[Provider Type Description]], PROVIDER_TYPE, 2, FALSE)</f>
        <v>50</v>
      </c>
      <c r="J929" s="3">
        <v>345</v>
      </c>
      <c r="K929" s="3" t="s">
        <v>1260</v>
      </c>
      <c r="L929" s="3">
        <f>VLOOKUP(TRIM(Table1[[#This Row],[Provider Specialty]]) &amp; TRIM(Table1[[#This Row],[Provider Specialty Description]]), SPECIALTY_TYPE, 2, FALSE)</f>
        <v>2105</v>
      </c>
      <c r="M929" s="3" t="s">
        <v>18</v>
      </c>
      <c r="N929" s="27" t="s">
        <v>19</v>
      </c>
      <c r="O929" s="38">
        <f>VLOOKUP(TRIM(Table1[[#This Row],[Provider Specialty]]) &amp; TRIM(Table1[[#This Row],[Provider Specialty Description]]), SPECIALTY_TYPE, 2, FALSE)</f>
        <v>2105</v>
      </c>
      <c r="P929" s="3" t="str">
        <f>Table1[[#This Row],[Provider Type]] &amp; "+" &amp; Table1[[#This Row],[Provider Type Description]]</f>
        <v>32+Multi-Specialty</v>
      </c>
      <c r="Q929" s="7" t="str">
        <f>Table1[[#This Row],[Provider Specialty]] &amp; "+" &amp; Table1[[#This Row],[Provider Specialty Description]]</f>
        <v>345+General Pediatrician</v>
      </c>
      <c r="R929" s="7" t="str">
        <f>Table1[[#This Row],[PDMS Specialty Type ID]] &amp; "+" &amp; Table1[[#This Row],[PDMS Provider Type ID]] &amp; "+" &amp;Table1[[#This Row],[TAXONOMY]]</f>
        <v>2105+50+2080P0006X</v>
      </c>
      <c r="S9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(9908, 2105, 50, N'2080P0006X', N'Pediatrics - Developmental – Behavioral Pediatrics')</v>
      </c>
    </row>
    <row r="930" spans="1:19" ht="47.25" hidden="1" customHeight="1" x14ac:dyDescent="0.25">
      <c r="A930" s="22" t="s">
        <v>1854</v>
      </c>
      <c r="B930" s="3" t="s">
        <v>988</v>
      </c>
      <c r="C930" s="3" t="s">
        <v>325</v>
      </c>
      <c r="D930" s="3" t="s">
        <v>1270</v>
      </c>
      <c r="E930" s="3" t="s">
        <v>1271</v>
      </c>
      <c r="F930" s="3">
        <f>VLOOKUP(Table1[[#This Row],[Column2]], TAXONOMY_TYPE, 2, FALSE)</f>
        <v>9909</v>
      </c>
      <c r="G930" s="3">
        <v>33</v>
      </c>
      <c r="H930" s="3" t="s">
        <v>1953</v>
      </c>
      <c r="I930" s="3">
        <f>VLOOKUP(Table1[[#This Row],[Provider Type]] &amp; Table1[[#This Row],[Provider Type Description]], PROVIDER_TYPE, 2, FALSE)</f>
        <v>51</v>
      </c>
      <c r="J930" s="3">
        <v>345</v>
      </c>
      <c r="K930" s="3" t="s">
        <v>1260</v>
      </c>
      <c r="L930" s="3">
        <f>VLOOKUP(TRIM(Table1[[#This Row],[Provider Specialty]]) &amp; TRIM(Table1[[#This Row],[Provider Specialty Description]]), SPECIALTY_TYPE, 2, FALSE)</f>
        <v>2105</v>
      </c>
      <c r="M930" s="3" t="s">
        <v>18</v>
      </c>
      <c r="N930" s="27" t="s">
        <v>19</v>
      </c>
      <c r="O930" s="38">
        <f>VLOOKUP(TRIM(Table1[[#This Row],[Provider Specialty]]) &amp; TRIM(Table1[[#This Row],[Provider Specialty Description]]), SPECIALTY_TYPE, 2, FALSE)</f>
        <v>2105</v>
      </c>
      <c r="P930" s="3" t="str">
        <f>Table1[[#This Row],[Provider Type]] &amp; "+" &amp; Table1[[#This Row],[Provider Type Description]]</f>
        <v>33+Single-Specialty</v>
      </c>
      <c r="Q930" s="7" t="str">
        <f>Table1[[#This Row],[Provider Specialty]] &amp; "+" &amp; Table1[[#This Row],[Provider Specialty Description]]</f>
        <v>345+General Pediatrician</v>
      </c>
      <c r="R930" s="7" t="str">
        <f>Table1[[#This Row],[PDMS Specialty Type ID]] &amp; "+" &amp; Table1[[#This Row],[PDMS Provider Type ID]] &amp; "+" &amp;Table1[[#This Row],[TAXONOMY]]</f>
        <v>2105+51+2080P0006X</v>
      </c>
      <c r="S9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(9909, 2105, 51, N'2080P0006X', N'Pediatrics - Developmental – Behavioral Pediatrics')</v>
      </c>
    </row>
    <row r="931" spans="1:19" ht="47.25" hidden="1" customHeight="1" x14ac:dyDescent="0.25">
      <c r="A931" s="22" t="s">
        <v>1855</v>
      </c>
      <c r="B931" s="3" t="s">
        <v>988</v>
      </c>
      <c r="C931" s="3" t="s">
        <v>325</v>
      </c>
      <c r="D931" s="3" t="s">
        <v>1272</v>
      </c>
      <c r="E931" s="3" t="s">
        <v>1273</v>
      </c>
      <c r="F931" s="3">
        <f>VLOOKUP(Table1[[#This Row],[Column2]], TAXONOMY_TYPE, 2, FALSE)</f>
        <v>9910</v>
      </c>
      <c r="G931" s="3">
        <v>31</v>
      </c>
      <c r="H931" s="3" t="s">
        <v>991</v>
      </c>
      <c r="I931" s="3">
        <f>VLOOKUP(Table1[[#This Row],[Provider Type]] &amp; Table1[[#This Row],[Provider Type Description]], PROVIDER_TYPE, 2, FALSE)</f>
        <v>114</v>
      </c>
      <c r="J931" s="3">
        <v>345</v>
      </c>
      <c r="K931" s="3" t="s">
        <v>1260</v>
      </c>
      <c r="L931" s="3">
        <f>VLOOKUP(TRIM(Table1[[#This Row],[Provider Specialty]]) &amp; TRIM(Table1[[#This Row],[Provider Specialty Description]]), SPECIALTY_TYPE, 2, FALSE)</f>
        <v>2105</v>
      </c>
      <c r="M931" s="3" t="s">
        <v>19</v>
      </c>
      <c r="N931" s="27" t="s">
        <v>19</v>
      </c>
      <c r="O931" s="38">
        <f>VLOOKUP(TRIM(Table1[[#This Row],[Provider Specialty]]) &amp; TRIM(Table1[[#This Row],[Provider Specialty Description]]), SPECIALTY_TYPE, 2, FALSE)</f>
        <v>2105</v>
      </c>
      <c r="P931" s="3" t="str">
        <f>Table1[[#This Row],[Provider Type]] &amp; "+" &amp; Table1[[#This Row],[Provider Type Description]]</f>
        <v>31+Physician</v>
      </c>
      <c r="Q931" s="7" t="str">
        <f>Table1[[#This Row],[Provider Specialty]] &amp; "+" &amp; Table1[[#This Row],[Provider Specialty Description]]</f>
        <v>345+General Pediatrician</v>
      </c>
      <c r="R931" s="7" t="str">
        <f>Table1[[#This Row],[PDMS Specialty Type ID]] &amp; "+" &amp; Table1[[#This Row],[PDMS Provider Type ID]] &amp; "+" &amp;Table1[[#This Row],[TAXONOMY]]</f>
        <v>2105+114+2080P0008X</v>
      </c>
      <c r="S9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(9910, 2105, 114, N'2080P0008X', N'Pediatrics - Neurodevelopmental Disabilities')</v>
      </c>
    </row>
    <row r="932" spans="1:19" ht="47.25" hidden="1" customHeight="1" x14ac:dyDescent="0.25">
      <c r="A932" s="22" t="s">
        <v>1854</v>
      </c>
      <c r="B932" s="3" t="s">
        <v>988</v>
      </c>
      <c r="C932" s="3" t="s">
        <v>325</v>
      </c>
      <c r="D932" s="3" t="s">
        <v>1272</v>
      </c>
      <c r="E932" s="3" t="s">
        <v>1273</v>
      </c>
      <c r="F932" s="3">
        <f>VLOOKUP(Table1[[#This Row],[Column2]], TAXONOMY_TYPE, 2, FALSE)</f>
        <v>9911</v>
      </c>
      <c r="G932" s="3">
        <v>32</v>
      </c>
      <c r="H932" s="3" t="s">
        <v>1444</v>
      </c>
      <c r="I932" s="3">
        <f>VLOOKUP(Table1[[#This Row],[Provider Type]] &amp; Table1[[#This Row],[Provider Type Description]], PROVIDER_TYPE, 2, FALSE)</f>
        <v>50</v>
      </c>
      <c r="J932" s="3">
        <v>345</v>
      </c>
      <c r="K932" s="3" t="s">
        <v>1260</v>
      </c>
      <c r="L932" s="3">
        <f>VLOOKUP(TRIM(Table1[[#This Row],[Provider Specialty]]) &amp; TRIM(Table1[[#This Row],[Provider Specialty Description]]), SPECIALTY_TYPE, 2, FALSE)</f>
        <v>2105</v>
      </c>
      <c r="M932" s="3" t="s">
        <v>18</v>
      </c>
      <c r="N932" s="27" t="s">
        <v>19</v>
      </c>
      <c r="O932" s="38">
        <f>VLOOKUP(TRIM(Table1[[#This Row],[Provider Specialty]]) &amp; TRIM(Table1[[#This Row],[Provider Specialty Description]]), SPECIALTY_TYPE, 2, FALSE)</f>
        <v>2105</v>
      </c>
      <c r="P932" s="3" t="str">
        <f>Table1[[#This Row],[Provider Type]] &amp; "+" &amp; Table1[[#This Row],[Provider Type Description]]</f>
        <v>32+Multi-Specialty</v>
      </c>
      <c r="Q932" s="7" t="str">
        <f>Table1[[#This Row],[Provider Specialty]] &amp; "+" &amp; Table1[[#This Row],[Provider Specialty Description]]</f>
        <v>345+General Pediatrician</v>
      </c>
      <c r="R932" s="7" t="str">
        <f>Table1[[#This Row],[PDMS Specialty Type ID]] &amp; "+" &amp; Table1[[#This Row],[PDMS Provider Type ID]] &amp; "+" &amp;Table1[[#This Row],[TAXONOMY]]</f>
        <v>2105+50+2080P0008X</v>
      </c>
      <c r="S9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(9911, 2105, 50, N'2080P0008X', N'Pediatrics - Neurodevelopmental Disabilities')</v>
      </c>
    </row>
    <row r="933" spans="1:19" ht="47.25" hidden="1" customHeight="1" x14ac:dyDescent="0.25">
      <c r="A933" s="22" t="s">
        <v>1854</v>
      </c>
      <c r="B933" s="3" t="s">
        <v>988</v>
      </c>
      <c r="C933" s="3" t="s">
        <v>325</v>
      </c>
      <c r="D933" s="3" t="s">
        <v>1272</v>
      </c>
      <c r="E933" s="3" t="s">
        <v>1273</v>
      </c>
      <c r="F933" s="3">
        <f>VLOOKUP(Table1[[#This Row],[Column2]], TAXONOMY_TYPE, 2, FALSE)</f>
        <v>9912</v>
      </c>
      <c r="G933" s="3">
        <v>33</v>
      </c>
      <c r="H933" s="3" t="s">
        <v>1953</v>
      </c>
      <c r="I933" s="3">
        <f>VLOOKUP(Table1[[#This Row],[Provider Type]] &amp; Table1[[#This Row],[Provider Type Description]], PROVIDER_TYPE, 2, FALSE)</f>
        <v>51</v>
      </c>
      <c r="J933" s="3">
        <v>345</v>
      </c>
      <c r="K933" s="3" t="s">
        <v>1260</v>
      </c>
      <c r="L933" s="3">
        <f>VLOOKUP(TRIM(Table1[[#This Row],[Provider Specialty]]) &amp; TRIM(Table1[[#This Row],[Provider Specialty Description]]), SPECIALTY_TYPE, 2, FALSE)</f>
        <v>2105</v>
      </c>
      <c r="M933" s="3" t="s">
        <v>18</v>
      </c>
      <c r="N933" s="27" t="s">
        <v>19</v>
      </c>
      <c r="O933" s="38">
        <f>VLOOKUP(TRIM(Table1[[#This Row],[Provider Specialty]]) &amp; TRIM(Table1[[#This Row],[Provider Specialty Description]]), SPECIALTY_TYPE, 2, FALSE)</f>
        <v>2105</v>
      </c>
      <c r="P933" s="3" t="str">
        <f>Table1[[#This Row],[Provider Type]] &amp; "+" &amp; Table1[[#This Row],[Provider Type Description]]</f>
        <v>33+Single-Specialty</v>
      </c>
      <c r="Q933" s="7" t="str">
        <f>Table1[[#This Row],[Provider Specialty]] &amp; "+" &amp; Table1[[#This Row],[Provider Specialty Description]]</f>
        <v>345+General Pediatrician</v>
      </c>
      <c r="R933" s="7" t="str">
        <f>Table1[[#This Row],[PDMS Specialty Type ID]] &amp; "+" &amp; Table1[[#This Row],[PDMS Provider Type ID]] &amp; "+" &amp;Table1[[#This Row],[TAXONOMY]]</f>
        <v>2105+51+2080P0008X</v>
      </c>
      <c r="S9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(9912, 2105, 51, N'2080P0008X', N'Pediatrics - Neurodevelopmental Disabilities')</v>
      </c>
    </row>
    <row r="934" spans="1:19" ht="47.25" hidden="1" customHeight="1" x14ac:dyDescent="0.25">
      <c r="A934" s="22" t="s">
        <v>1855</v>
      </c>
      <c r="B934" s="3" t="s">
        <v>988</v>
      </c>
      <c r="C934" s="3" t="s">
        <v>325</v>
      </c>
      <c r="D934" s="3" t="s">
        <v>1278</v>
      </c>
      <c r="E934" s="3" t="s">
        <v>1279</v>
      </c>
      <c r="F934" s="3">
        <f>VLOOKUP(Table1[[#This Row],[Column2]], TAXONOMY_TYPE, 2, FALSE)</f>
        <v>9913</v>
      </c>
      <c r="G934" s="3">
        <v>31</v>
      </c>
      <c r="H934" s="3" t="s">
        <v>991</v>
      </c>
      <c r="I934" s="3">
        <f>VLOOKUP(Table1[[#This Row],[Provider Type]] &amp; Table1[[#This Row],[Provider Type Description]], PROVIDER_TYPE, 2, FALSE)</f>
        <v>114</v>
      </c>
      <c r="J934" s="3">
        <v>345</v>
      </c>
      <c r="K934" s="3" t="s">
        <v>1260</v>
      </c>
      <c r="L934" s="3">
        <f>VLOOKUP(TRIM(Table1[[#This Row],[Provider Specialty]]) &amp; TRIM(Table1[[#This Row],[Provider Specialty Description]]), SPECIALTY_TYPE, 2, FALSE)</f>
        <v>2105</v>
      </c>
      <c r="M934" s="3" t="s">
        <v>19</v>
      </c>
      <c r="N934" s="27" t="s">
        <v>19</v>
      </c>
      <c r="O934" s="38">
        <f>VLOOKUP(TRIM(Table1[[#This Row],[Provider Specialty]]) &amp; TRIM(Table1[[#This Row],[Provider Specialty Description]]), SPECIALTY_TYPE, 2, FALSE)</f>
        <v>2105</v>
      </c>
      <c r="P934" s="3" t="str">
        <f>Table1[[#This Row],[Provider Type]] &amp; "+" &amp; Table1[[#This Row],[Provider Type Description]]</f>
        <v>31+Physician</v>
      </c>
      <c r="Q934" s="7" t="str">
        <f>Table1[[#This Row],[Provider Specialty]] &amp; "+" &amp; Table1[[#This Row],[Provider Specialty Description]]</f>
        <v>345+General Pediatrician</v>
      </c>
      <c r="R934" s="7" t="str">
        <f>Table1[[#This Row],[PDMS Specialty Type ID]] &amp; "+" &amp; Table1[[#This Row],[PDMS Provider Type ID]] &amp; "+" &amp;Table1[[#This Row],[TAXONOMY]]</f>
        <v>2105+114+2080P0203X</v>
      </c>
      <c r="S9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(9913, 2105, 114, N'2080P0203X', N'Pediatrics - Pediatric Critical Care Medicine')</v>
      </c>
    </row>
    <row r="935" spans="1:19" ht="47.25" hidden="1" customHeight="1" x14ac:dyDescent="0.25">
      <c r="A935" s="22" t="s">
        <v>1854</v>
      </c>
      <c r="B935" s="3" t="s">
        <v>988</v>
      </c>
      <c r="C935" s="3" t="s">
        <v>325</v>
      </c>
      <c r="D935" s="3" t="s">
        <v>1278</v>
      </c>
      <c r="E935" s="3" t="s">
        <v>1279</v>
      </c>
      <c r="F935" s="3">
        <f>VLOOKUP(Table1[[#This Row],[Column2]], TAXONOMY_TYPE, 2, FALSE)</f>
        <v>9914</v>
      </c>
      <c r="G935" s="3">
        <v>32</v>
      </c>
      <c r="H935" s="3" t="s">
        <v>1444</v>
      </c>
      <c r="I935" s="3">
        <f>VLOOKUP(Table1[[#This Row],[Provider Type]] &amp; Table1[[#This Row],[Provider Type Description]], PROVIDER_TYPE, 2, FALSE)</f>
        <v>50</v>
      </c>
      <c r="J935" s="3">
        <v>345</v>
      </c>
      <c r="K935" s="3" t="s">
        <v>1260</v>
      </c>
      <c r="L935" s="3">
        <f>VLOOKUP(TRIM(Table1[[#This Row],[Provider Specialty]]) &amp; TRIM(Table1[[#This Row],[Provider Specialty Description]]), SPECIALTY_TYPE, 2, FALSE)</f>
        <v>2105</v>
      </c>
      <c r="M935" s="3" t="s">
        <v>18</v>
      </c>
      <c r="N935" s="27" t="s">
        <v>19</v>
      </c>
      <c r="O935" s="38">
        <f>VLOOKUP(TRIM(Table1[[#This Row],[Provider Specialty]]) &amp; TRIM(Table1[[#This Row],[Provider Specialty Description]]), SPECIALTY_TYPE, 2, FALSE)</f>
        <v>2105</v>
      </c>
      <c r="P935" s="3" t="str">
        <f>Table1[[#This Row],[Provider Type]] &amp; "+" &amp; Table1[[#This Row],[Provider Type Description]]</f>
        <v>32+Multi-Specialty</v>
      </c>
      <c r="Q935" s="7" t="str">
        <f>Table1[[#This Row],[Provider Specialty]] &amp; "+" &amp; Table1[[#This Row],[Provider Specialty Description]]</f>
        <v>345+General Pediatrician</v>
      </c>
      <c r="R935" s="7" t="str">
        <f>Table1[[#This Row],[PDMS Specialty Type ID]] &amp; "+" &amp; Table1[[#This Row],[PDMS Provider Type ID]] &amp; "+" &amp;Table1[[#This Row],[TAXONOMY]]</f>
        <v>2105+50+2080P0203X</v>
      </c>
      <c r="S9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(9914, 2105, 50, N'2080P0203X', N'Pediatrics - Pediatric Critical Care Medicine')</v>
      </c>
    </row>
    <row r="936" spans="1:19" ht="47.25" hidden="1" customHeight="1" x14ac:dyDescent="0.25">
      <c r="A936" s="22" t="s">
        <v>1854</v>
      </c>
      <c r="B936" s="3" t="s">
        <v>988</v>
      </c>
      <c r="C936" s="3" t="s">
        <v>325</v>
      </c>
      <c r="D936" s="3" t="s">
        <v>1278</v>
      </c>
      <c r="E936" s="3" t="s">
        <v>1279</v>
      </c>
      <c r="F936" s="3">
        <f>VLOOKUP(Table1[[#This Row],[Column2]], TAXONOMY_TYPE, 2, FALSE)</f>
        <v>9915</v>
      </c>
      <c r="G936" s="3">
        <v>33</v>
      </c>
      <c r="H936" s="3" t="s">
        <v>1953</v>
      </c>
      <c r="I936" s="3">
        <f>VLOOKUP(Table1[[#This Row],[Provider Type]] &amp; Table1[[#This Row],[Provider Type Description]], PROVIDER_TYPE, 2, FALSE)</f>
        <v>51</v>
      </c>
      <c r="J936" s="3">
        <v>345</v>
      </c>
      <c r="K936" s="3" t="s">
        <v>1260</v>
      </c>
      <c r="L936" s="3">
        <f>VLOOKUP(TRIM(Table1[[#This Row],[Provider Specialty]]) &amp; TRIM(Table1[[#This Row],[Provider Specialty Description]]), SPECIALTY_TYPE, 2, FALSE)</f>
        <v>2105</v>
      </c>
      <c r="M936" s="3" t="s">
        <v>18</v>
      </c>
      <c r="N936" s="27" t="s">
        <v>19</v>
      </c>
      <c r="O936" s="38">
        <f>VLOOKUP(TRIM(Table1[[#This Row],[Provider Specialty]]) &amp; TRIM(Table1[[#This Row],[Provider Specialty Description]]), SPECIALTY_TYPE, 2, FALSE)</f>
        <v>2105</v>
      </c>
      <c r="P936" s="3" t="str">
        <f>Table1[[#This Row],[Provider Type]] &amp; "+" &amp; Table1[[#This Row],[Provider Type Description]]</f>
        <v>33+Single-Specialty</v>
      </c>
      <c r="Q936" s="7" t="str">
        <f>Table1[[#This Row],[Provider Specialty]] &amp; "+" &amp; Table1[[#This Row],[Provider Specialty Description]]</f>
        <v>345+General Pediatrician</v>
      </c>
      <c r="R936" s="7" t="str">
        <f>Table1[[#This Row],[PDMS Specialty Type ID]] &amp; "+" &amp; Table1[[#This Row],[PDMS Provider Type ID]] &amp; "+" &amp;Table1[[#This Row],[TAXONOMY]]</f>
        <v>2105+51+2080P0203X</v>
      </c>
      <c r="S9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(9915, 2105, 51, N'2080P0203X', N'Pediatrics - Pediatric Critical Care Medicine')</v>
      </c>
    </row>
    <row r="937" spans="1:19" ht="47.25" hidden="1" customHeight="1" x14ac:dyDescent="0.25">
      <c r="A937" s="22" t="s">
        <v>1855</v>
      </c>
      <c r="B937" s="3" t="s">
        <v>988</v>
      </c>
      <c r="C937" s="3" t="s">
        <v>325</v>
      </c>
      <c r="D937" s="3" t="s">
        <v>1282</v>
      </c>
      <c r="E937" s="3" t="s">
        <v>1283</v>
      </c>
      <c r="F937" s="3">
        <f>VLOOKUP(Table1[[#This Row],[Column2]], TAXONOMY_TYPE, 2, FALSE)</f>
        <v>9916</v>
      </c>
      <c r="G937" s="3">
        <v>31</v>
      </c>
      <c r="H937" s="3" t="s">
        <v>991</v>
      </c>
      <c r="I937" s="3">
        <f>VLOOKUP(Table1[[#This Row],[Provider Type]] &amp; Table1[[#This Row],[Provider Type Description]], PROVIDER_TYPE, 2, FALSE)</f>
        <v>114</v>
      </c>
      <c r="J937" s="3">
        <v>345</v>
      </c>
      <c r="K937" s="3" t="s">
        <v>1260</v>
      </c>
      <c r="L937" s="3">
        <f>VLOOKUP(TRIM(Table1[[#This Row],[Provider Specialty]]) &amp; TRIM(Table1[[#This Row],[Provider Specialty Description]]), SPECIALTY_TYPE, 2, FALSE)</f>
        <v>2105</v>
      </c>
      <c r="M937" s="3" t="s">
        <v>19</v>
      </c>
      <c r="N937" s="27" t="s">
        <v>19</v>
      </c>
      <c r="O937" s="38">
        <f>VLOOKUP(TRIM(Table1[[#This Row],[Provider Specialty]]) &amp; TRIM(Table1[[#This Row],[Provider Specialty Description]]), SPECIALTY_TYPE, 2, FALSE)</f>
        <v>2105</v>
      </c>
      <c r="P937" s="3" t="str">
        <f>Table1[[#This Row],[Provider Type]] &amp; "+" &amp; Table1[[#This Row],[Provider Type Description]]</f>
        <v>31+Physician</v>
      </c>
      <c r="Q937" s="7" t="str">
        <f>Table1[[#This Row],[Provider Specialty]] &amp; "+" &amp; Table1[[#This Row],[Provider Specialty Description]]</f>
        <v>345+General Pediatrician</v>
      </c>
      <c r="R937" s="7" t="str">
        <f>Table1[[#This Row],[PDMS Specialty Type ID]] &amp; "+" &amp; Table1[[#This Row],[PDMS Provider Type ID]] &amp; "+" &amp;Table1[[#This Row],[TAXONOMY]]</f>
        <v>2105+114+2080P0205X</v>
      </c>
      <c r="S9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(9916, 2105, 114, N'2080P0205X', N'Pediatrics - Pediatric Endocrinology')</v>
      </c>
    </row>
    <row r="938" spans="1:19" ht="47.25" hidden="1" customHeight="1" x14ac:dyDescent="0.25">
      <c r="A938" s="22" t="s">
        <v>1854</v>
      </c>
      <c r="B938" s="3" t="s">
        <v>988</v>
      </c>
      <c r="C938" s="3" t="s">
        <v>325</v>
      </c>
      <c r="D938" s="3" t="s">
        <v>1282</v>
      </c>
      <c r="E938" s="3" t="s">
        <v>1283</v>
      </c>
      <c r="F938" s="3">
        <f>VLOOKUP(Table1[[#This Row],[Column2]], TAXONOMY_TYPE, 2, FALSE)</f>
        <v>9917</v>
      </c>
      <c r="G938" s="3">
        <v>32</v>
      </c>
      <c r="H938" s="3" t="s">
        <v>1444</v>
      </c>
      <c r="I938" s="3">
        <f>VLOOKUP(Table1[[#This Row],[Provider Type]] &amp; Table1[[#This Row],[Provider Type Description]], PROVIDER_TYPE, 2, FALSE)</f>
        <v>50</v>
      </c>
      <c r="J938" s="3">
        <v>345</v>
      </c>
      <c r="K938" s="3" t="s">
        <v>1260</v>
      </c>
      <c r="L938" s="3">
        <f>VLOOKUP(TRIM(Table1[[#This Row],[Provider Specialty]]) &amp; TRIM(Table1[[#This Row],[Provider Specialty Description]]), SPECIALTY_TYPE, 2, FALSE)</f>
        <v>2105</v>
      </c>
      <c r="M938" s="3" t="s">
        <v>18</v>
      </c>
      <c r="N938" s="27" t="s">
        <v>19</v>
      </c>
      <c r="O938" s="38">
        <f>VLOOKUP(TRIM(Table1[[#This Row],[Provider Specialty]]) &amp; TRIM(Table1[[#This Row],[Provider Specialty Description]]), SPECIALTY_TYPE, 2, FALSE)</f>
        <v>2105</v>
      </c>
      <c r="P938" s="3" t="str">
        <f>Table1[[#This Row],[Provider Type]] &amp; "+" &amp; Table1[[#This Row],[Provider Type Description]]</f>
        <v>32+Multi-Specialty</v>
      </c>
      <c r="Q938" s="7" t="str">
        <f>Table1[[#This Row],[Provider Specialty]] &amp; "+" &amp; Table1[[#This Row],[Provider Specialty Description]]</f>
        <v>345+General Pediatrician</v>
      </c>
      <c r="R938" s="7" t="str">
        <f>Table1[[#This Row],[PDMS Specialty Type ID]] &amp; "+" &amp; Table1[[#This Row],[PDMS Provider Type ID]] &amp; "+" &amp;Table1[[#This Row],[TAXONOMY]]</f>
        <v>2105+50+2080P0205X</v>
      </c>
      <c r="S9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(9917, 2105, 50, N'2080P0205X', N'Pediatrics - Pediatric Endocrinology')</v>
      </c>
    </row>
    <row r="939" spans="1:19" ht="47.25" hidden="1" customHeight="1" x14ac:dyDescent="0.25">
      <c r="A939" s="22" t="s">
        <v>1854</v>
      </c>
      <c r="B939" s="3" t="s">
        <v>988</v>
      </c>
      <c r="C939" s="3" t="s">
        <v>325</v>
      </c>
      <c r="D939" s="3" t="s">
        <v>1282</v>
      </c>
      <c r="E939" s="3" t="s">
        <v>1283</v>
      </c>
      <c r="F939" s="3">
        <f>VLOOKUP(Table1[[#This Row],[Column2]], TAXONOMY_TYPE, 2, FALSE)</f>
        <v>9918</v>
      </c>
      <c r="G939" s="3">
        <v>33</v>
      </c>
      <c r="H939" s="3" t="s">
        <v>1953</v>
      </c>
      <c r="I939" s="3">
        <f>VLOOKUP(Table1[[#This Row],[Provider Type]] &amp; Table1[[#This Row],[Provider Type Description]], PROVIDER_TYPE, 2, FALSE)</f>
        <v>51</v>
      </c>
      <c r="J939" s="3">
        <v>345</v>
      </c>
      <c r="K939" s="3" t="s">
        <v>1260</v>
      </c>
      <c r="L939" s="3">
        <f>VLOOKUP(TRIM(Table1[[#This Row],[Provider Specialty]]) &amp; TRIM(Table1[[#This Row],[Provider Specialty Description]]), SPECIALTY_TYPE, 2, FALSE)</f>
        <v>2105</v>
      </c>
      <c r="M939" s="3" t="s">
        <v>18</v>
      </c>
      <c r="N939" s="27" t="s">
        <v>19</v>
      </c>
      <c r="O939" s="38">
        <f>VLOOKUP(TRIM(Table1[[#This Row],[Provider Specialty]]) &amp; TRIM(Table1[[#This Row],[Provider Specialty Description]]), SPECIALTY_TYPE, 2, FALSE)</f>
        <v>2105</v>
      </c>
      <c r="P939" s="3" t="str">
        <f>Table1[[#This Row],[Provider Type]] &amp; "+" &amp; Table1[[#This Row],[Provider Type Description]]</f>
        <v>33+Single-Specialty</v>
      </c>
      <c r="Q939" s="7" t="str">
        <f>Table1[[#This Row],[Provider Specialty]] &amp; "+" &amp; Table1[[#This Row],[Provider Specialty Description]]</f>
        <v>345+General Pediatrician</v>
      </c>
      <c r="R939" s="7" t="str">
        <f>Table1[[#This Row],[PDMS Specialty Type ID]] &amp; "+" &amp; Table1[[#This Row],[PDMS Provider Type ID]] &amp; "+" &amp;Table1[[#This Row],[TAXONOMY]]</f>
        <v>2105+51+2080P0205X</v>
      </c>
      <c r="S9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(9918, 2105, 51, N'2080P0205X', N'Pediatrics - Pediatric Endocrinology')</v>
      </c>
    </row>
    <row r="940" spans="1:19" ht="47.25" hidden="1" customHeight="1" x14ac:dyDescent="0.25">
      <c r="A940" s="22" t="s">
        <v>1855</v>
      </c>
      <c r="B940" s="3" t="s">
        <v>988</v>
      </c>
      <c r="C940" s="3" t="s">
        <v>325</v>
      </c>
      <c r="D940" s="3" t="s">
        <v>1286</v>
      </c>
      <c r="E940" s="3" t="s">
        <v>1287</v>
      </c>
      <c r="F940" s="3">
        <f>VLOOKUP(Table1[[#This Row],[Column2]], TAXONOMY_TYPE, 2, FALSE)</f>
        <v>9919</v>
      </c>
      <c r="G940" s="3">
        <v>31</v>
      </c>
      <c r="H940" s="3" t="s">
        <v>991</v>
      </c>
      <c r="I940" s="3">
        <f>VLOOKUP(Table1[[#This Row],[Provider Type]] &amp; Table1[[#This Row],[Provider Type Description]], PROVIDER_TYPE, 2, FALSE)</f>
        <v>114</v>
      </c>
      <c r="J940" s="3">
        <v>345</v>
      </c>
      <c r="K940" s="3" t="s">
        <v>1260</v>
      </c>
      <c r="L940" s="3">
        <f>VLOOKUP(TRIM(Table1[[#This Row],[Provider Specialty]]) &amp; TRIM(Table1[[#This Row],[Provider Specialty Description]]), SPECIALTY_TYPE, 2, FALSE)</f>
        <v>2105</v>
      </c>
      <c r="M940" s="3" t="s">
        <v>19</v>
      </c>
      <c r="N940" s="27" t="s">
        <v>19</v>
      </c>
      <c r="O940" s="38">
        <f>VLOOKUP(TRIM(Table1[[#This Row],[Provider Specialty]]) &amp; TRIM(Table1[[#This Row],[Provider Specialty Description]]), SPECIALTY_TYPE, 2, FALSE)</f>
        <v>2105</v>
      </c>
      <c r="P940" s="3" t="str">
        <f>Table1[[#This Row],[Provider Type]] &amp; "+" &amp; Table1[[#This Row],[Provider Type Description]]</f>
        <v>31+Physician</v>
      </c>
      <c r="Q940" s="7" t="str">
        <f>Table1[[#This Row],[Provider Specialty]] &amp; "+" &amp; Table1[[#This Row],[Provider Specialty Description]]</f>
        <v>345+General Pediatrician</v>
      </c>
      <c r="R940" s="7" t="str">
        <f>Table1[[#This Row],[PDMS Specialty Type ID]] &amp; "+" &amp; Table1[[#This Row],[PDMS Provider Type ID]] &amp; "+" &amp;Table1[[#This Row],[TAXONOMY]]</f>
        <v>2105+114+2080P0208X</v>
      </c>
      <c r="S9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(9919, 2105, 114, N'2080P0208X', N'Pediatrics - Pediatric Infectious Diseases')</v>
      </c>
    </row>
    <row r="941" spans="1:19" ht="47.25" hidden="1" customHeight="1" x14ac:dyDescent="0.25">
      <c r="A941" s="22" t="s">
        <v>1854</v>
      </c>
      <c r="B941" s="3" t="s">
        <v>988</v>
      </c>
      <c r="C941" s="3" t="s">
        <v>325</v>
      </c>
      <c r="D941" s="3" t="s">
        <v>1286</v>
      </c>
      <c r="E941" s="3" t="s">
        <v>1287</v>
      </c>
      <c r="F941" s="3">
        <f>VLOOKUP(Table1[[#This Row],[Column2]], TAXONOMY_TYPE, 2, FALSE)</f>
        <v>9920</v>
      </c>
      <c r="G941" s="3">
        <v>32</v>
      </c>
      <c r="H941" s="3" t="s">
        <v>1444</v>
      </c>
      <c r="I941" s="3">
        <f>VLOOKUP(Table1[[#This Row],[Provider Type]] &amp; Table1[[#This Row],[Provider Type Description]], PROVIDER_TYPE, 2, FALSE)</f>
        <v>50</v>
      </c>
      <c r="J941" s="3">
        <v>345</v>
      </c>
      <c r="K941" s="3" t="s">
        <v>1260</v>
      </c>
      <c r="L941" s="3">
        <f>VLOOKUP(TRIM(Table1[[#This Row],[Provider Specialty]]) &amp; TRIM(Table1[[#This Row],[Provider Specialty Description]]), SPECIALTY_TYPE, 2, FALSE)</f>
        <v>2105</v>
      </c>
      <c r="M941" s="3" t="s">
        <v>18</v>
      </c>
      <c r="N941" s="27" t="s">
        <v>19</v>
      </c>
      <c r="O941" s="38">
        <f>VLOOKUP(TRIM(Table1[[#This Row],[Provider Specialty]]) &amp; TRIM(Table1[[#This Row],[Provider Specialty Description]]), SPECIALTY_TYPE, 2, FALSE)</f>
        <v>2105</v>
      </c>
      <c r="P941" s="3" t="str">
        <f>Table1[[#This Row],[Provider Type]] &amp; "+" &amp; Table1[[#This Row],[Provider Type Description]]</f>
        <v>32+Multi-Specialty</v>
      </c>
      <c r="Q941" s="7" t="str">
        <f>Table1[[#This Row],[Provider Specialty]] &amp; "+" &amp; Table1[[#This Row],[Provider Specialty Description]]</f>
        <v>345+General Pediatrician</v>
      </c>
      <c r="R941" s="7" t="str">
        <f>Table1[[#This Row],[PDMS Specialty Type ID]] &amp; "+" &amp; Table1[[#This Row],[PDMS Provider Type ID]] &amp; "+" &amp;Table1[[#This Row],[TAXONOMY]]</f>
        <v>2105+50+2080P0208X</v>
      </c>
      <c r="S9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(9920, 2105, 50, N'2080P0208X', N'Pediatrics - Pediatric Infectious Diseases')</v>
      </c>
    </row>
    <row r="942" spans="1:19" ht="47.25" hidden="1" customHeight="1" x14ac:dyDescent="0.25">
      <c r="A942" s="22" t="s">
        <v>1854</v>
      </c>
      <c r="B942" s="3" t="s">
        <v>988</v>
      </c>
      <c r="C942" s="3" t="s">
        <v>325</v>
      </c>
      <c r="D942" s="3" t="s">
        <v>1286</v>
      </c>
      <c r="E942" s="3" t="s">
        <v>1287</v>
      </c>
      <c r="F942" s="3">
        <f>VLOOKUP(Table1[[#This Row],[Column2]], TAXONOMY_TYPE, 2, FALSE)</f>
        <v>9921</v>
      </c>
      <c r="G942" s="3">
        <v>33</v>
      </c>
      <c r="H942" s="3" t="s">
        <v>1953</v>
      </c>
      <c r="I942" s="3">
        <f>VLOOKUP(Table1[[#This Row],[Provider Type]] &amp; Table1[[#This Row],[Provider Type Description]], PROVIDER_TYPE, 2, FALSE)</f>
        <v>51</v>
      </c>
      <c r="J942" s="3">
        <v>345</v>
      </c>
      <c r="K942" s="3" t="s">
        <v>1260</v>
      </c>
      <c r="L942" s="3">
        <f>VLOOKUP(TRIM(Table1[[#This Row],[Provider Specialty]]) &amp; TRIM(Table1[[#This Row],[Provider Specialty Description]]), SPECIALTY_TYPE, 2, FALSE)</f>
        <v>2105</v>
      </c>
      <c r="M942" s="3" t="s">
        <v>18</v>
      </c>
      <c r="N942" s="27" t="s">
        <v>19</v>
      </c>
      <c r="O942" s="38">
        <f>VLOOKUP(TRIM(Table1[[#This Row],[Provider Specialty]]) &amp; TRIM(Table1[[#This Row],[Provider Specialty Description]]), SPECIALTY_TYPE, 2, FALSE)</f>
        <v>2105</v>
      </c>
      <c r="P942" s="3" t="str">
        <f>Table1[[#This Row],[Provider Type]] &amp; "+" &amp; Table1[[#This Row],[Provider Type Description]]</f>
        <v>33+Single-Specialty</v>
      </c>
      <c r="Q942" s="7" t="str">
        <f>Table1[[#This Row],[Provider Specialty]] &amp; "+" &amp; Table1[[#This Row],[Provider Specialty Description]]</f>
        <v>345+General Pediatrician</v>
      </c>
      <c r="R942" s="7" t="str">
        <f>Table1[[#This Row],[PDMS Specialty Type ID]] &amp; "+" &amp; Table1[[#This Row],[PDMS Provider Type ID]] &amp; "+" &amp;Table1[[#This Row],[TAXONOMY]]</f>
        <v>2105+51+2080P0208X</v>
      </c>
      <c r="S9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(9921, 2105, 51, N'2080P0208X', N'Pediatrics - Pediatric Infectious Diseases')</v>
      </c>
    </row>
    <row r="943" spans="1:19" ht="47.25" hidden="1" customHeight="1" x14ac:dyDescent="0.25">
      <c r="A943" s="22" t="s">
        <v>1855</v>
      </c>
      <c r="B943" s="3" t="s">
        <v>988</v>
      </c>
      <c r="C943" s="3" t="s">
        <v>325</v>
      </c>
      <c r="D943" s="3" t="s">
        <v>1290</v>
      </c>
      <c r="E943" s="3" t="s">
        <v>1291</v>
      </c>
      <c r="F943" s="3">
        <f>VLOOKUP(Table1[[#This Row],[Column2]], TAXONOMY_TYPE, 2, FALSE)</f>
        <v>9922</v>
      </c>
      <c r="G943" s="3">
        <v>31</v>
      </c>
      <c r="H943" s="3" t="s">
        <v>991</v>
      </c>
      <c r="I943" s="3">
        <f>VLOOKUP(Table1[[#This Row],[Provider Type]] &amp; Table1[[#This Row],[Provider Type Description]], PROVIDER_TYPE, 2, FALSE)</f>
        <v>114</v>
      </c>
      <c r="J943" s="3">
        <v>345</v>
      </c>
      <c r="K943" s="3" t="s">
        <v>1260</v>
      </c>
      <c r="L943" s="3">
        <f>VLOOKUP(TRIM(Table1[[#This Row],[Provider Specialty]]) &amp; TRIM(Table1[[#This Row],[Provider Specialty Description]]), SPECIALTY_TYPE, 2, FALSE)</f>
        <v>2105</v>
      </c>
      <c r="M943" s="3" t="s">
        <v>19</v>
      </c>
      <c r="N943" s="27" t="s">
        <v>19</v>
      </c>
      <c r="O943" s="38">
        <f>VLOOKUP(TRIM(Table1[[#This Row],[Provider Specialty]]) &amp; TRIM(Table1[[#This Row],[Provider Specialty Description]]), SPECIALTY_TYPE, 2, FALSE)</f>
        <v>2105</v>
      </c>
      <c r="P943" s="3" t="str">
        <f>Table1[[#This Row],[Provider Type]] &amp; "+" &amp; Table1[[#This Row],[Provider Type Description]]</f>
        <v>31+Physician</v>
      </c>
      <c r="Q943" s="7" t="str">
        <f>Table1[[#This Row],[Provider Specialty]] &amp; "+" &amp; Table1[[#This Row],[Provider Specialty Description]]</f>
        <v>345+General Pediatrician</v>
      </c>
      <c r="R943" s="7" t="str">
        <f>Table1[[#This Row],[PDMS Specialty Type ID]] &amp; "+" &amp; Table1[[#This Row],[PDMS Provider Type ID]] &amp; "+" &amp;Table1[[#This Row],[TAXONOMY]]</f>
        <v>2105+114+2080P0214X</v>
      </c>
      <c r="S9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(9922, 2105, 114, N'2080P0214X', N'Pediatrics - Pediatric Pulmonology')</v>
      </c>
    </row>
    <row r="944" spans="1:19" ht="47.25" hidden="1" customHeight="1" x14ac:dyDescent="0.25">
      <c r="A944" s="22" t="s">
        <v>1854</v>
      </c>
      <c r="B944" s="3" t="s">
        <v>988</v>
      </c>
      <c r="C944" s="3" t="s">
        <v>325</v>
      </c>
      <c r="D944" s="3" t="s">
        <v>1290</v>
      </c>
      <c r="E944" s="3" t="s">
        <v>1291</v>
      </c>
      <c r="F944" s="3">
        <f>VLOOKUP(Table1[[#This Row],[Column2]], TAXONOMY_TYPE, 2, FALSE)</f>
        <v>9923</v>
      </c>
      <c r="G944" s="3">
        <v>32</v>
      </c>
      <c r="H944" s="3" t="s">
        <v>1444</v>
      </c>
      <c r="I944" s="3">
        <f>VLOOKUP(Table1[[#This Row],[Provider Type]] &amp; Table1[[#This Row],[Provider Type Description]], PROVIDER_TYPE, 2, FALSE)</f>
        <v>50</v>
      </c>
      <c r="J944" s="3">
        <v>345</v>
      </c>
      <c r="K944" s="3" t="s">
        <v>1260</v>
      </c>
      <c r="L944" s="3">
        <f>VLOOKUP(TRIM(Table1[[#This Row],[Provider Specialty]]) &amp; TRIM(Table1[[#This Row],[Provider Specialty Description]]), SPECIALTY_TYPE, 2, FALSE)</f>
        <v>2105</v>
      </c>
      <c r="M944" s="3" t="s">
        <v>18</v>
      </c>
      <c r="N944" s="27" t="s">
        <v>19</v>
      </c>
      <c r="O944" s="38">
        <f>VLOOKUP(TRIM(Table1[[#This Row],[Provider Specialty]]) &amp; TRIM(Table1[[#This Row],[Provider Specialty Description]]), SPECIALTY_TYPE, 2, FALSE)</f>
        <v>2105</v>
      </c>
      <c r="P944" s="3" t="str">
        <f>Table1[[#This Row],[Provider Type]] &amp; "+" &amp; Table1[[#This Row],[Provider Type Description]]</f>
        <v>32+Multi-Specialty</v>
      </c>
      <c r="Q944" s="7" t="str">
        <f>Table1[[#This Row],[Provider Specialty]] &amp; "+" &amp; Table1[[#This Row],[Provider Specialty Description]]</f>
        <v>345+General Pediatrician</v>
      </c>
      <c r="R944" s="7" t="str">
        <f>Table1[[#This Row],[PDMS Specialty Type ID]] &amp; "+" &amp; Table1[[#This Row],[PDMS Provider Type ID]] &amp; "+" &amp;Table1[[#This Row],[TAXONOMY]]</f>
        <v>2105+50+2080P0214X</v>
      </c>
      <c r="S9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(9923, 2105, 50, N'2080P0214X', N'Pediatrics - Pediatric Pulmonology')</v>
      </c>
    </row>
    <row r="945" spans="1:19" ht="47.25" hidden="1" customHeight="1" x14ac:dyDescent="0.25">
      <c r="A945" s="22" t="s">
        <v>1854</v>
      </c>
      <c r="B945" s="3" t="s">
        <v>988</v>
      </c>
      <c r="C945" s="3" t="s">
        <v>325</v>
      </c>
      <c r="D945" s="3" t="s">
        <v>1290</v>
      </c>
      <c r="E945" s="3" t="s">
        <v>1291</v>
      </c>
      <c r="F945" s="3">
        <f>VLOOKUP(Table1[[#This Row],[Column2]], TAXONOMY_TYPE, 2, FALSE)</f>
        <v>9924</v>
      </c>
      <c r="G945" s="3">
        <v>33</v>
      </c>
      <c r="H945" s="3" t="s">
        <v>1953</v>
      </c>
      <c r="I945" s="3">
        <f>VLOOKUP(Table1[[#This Row],[Provider Type]] &amp; Table1[[#This Row],[Provider Type Description]], PROVIDER_TYPE, 2, FALSE)</f>
        <v>51</v>
      </c>
      <c r="J945" s="3">
        <v>345</v>
      </c>
      <c r="K945" s="3" t="s">
        <v>1260</v>
      </c>
      <c r="L945" s="3">
        <f>VLOOKUP(TRIM(Table1[[#This Row],[Provider Specialty]]) &amp; TRIM(Table1[[#This Row],[Provider Specialty Description]]), SPECIALTY_TYPE, 2, FALSE)</f>
        <v>2105</v>
      </c>
      <c r="M945" s="3" t="s">
        <v>18</v>
      </c>
      <c r="N945" s="27" t="s">
        <v>19</v>
      </c>
      <c r="O945" s="38">
        <f>VLOOKUP(TRIM(Table1[[#This Row],[Provider Specialty]]) &amp; TRIM(Table1[[#This Row],[Provider Specialty Description]]), SPECIALTY_TYPE, 2, FALSE)</f>
        <v>2105</v>
      </c>
      <c r="P945" s="3" t="str">
        <f>Table1[[#This Row],[Provider Type]] &amp; "+" &amp; Table1[[#This Row],[Provider Type Description]]</f>
        <v>33+Single-Specialty</v>
      </c>
      <c r="Q945" s="7" t="str">
        <f>Table1[[#This Row],[Provider Specialty]] &amp; "+" &amp; Table1[[#This Row],[Provider Specialty Description]]</f>
        <v>345+General Pediatrician</v>
      </c>
      <c r="R945" s="7" t="str">
        <f>Table1[[#This Row],[PDMS Specialty Type ID]] &amp; "+" &amp; Table1[[#This Row],[PDMS Provider Type ID]] &amp; "+" &amp;Table1[[#This Row],[TAXONOMY]]</f>
        <v>2105+51+2080P0214X</v>
      </c>
      <c r="S9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(9924, 2105, 51, N'2080P0214X', N'Pediatrics - Pediatric Pulmonology')</v>
      </c>
    </row>
    <row r="946" spans="1:19" ht="47.25" hidden="1" customHeight="1" x14ac:dyDescent="0.25">
      <c r="A946" s="22" t="s">
        <v>1855</v>
      </c>
      <c r="B946" s="3" t="s">
        <v>988</v>
      </c>
      <c r="C946" s="3" t="s">
        <v>325</v>
      </c>
      <c r="D946" s="3" t="s">
        <v>1292</v>
      </c>
      <c r="E946" s="3" t="s">
        <v>1293</v>
      </c>
      <c r="F946" s="3">
        <f>VLOOKUP(Table1[[#This Row],[Column2]], TAXONOMY_TYPE, 2, FALSE)</f>
        <v>9925</v>
      </c>
      <c r="G946" s="3">
        <v>31</v>
      </c>
      <c r="H946" s="3" t="s">
        <v>991</v>
      </c>
      <c r="I946" s="3">
        <f>VLOOKUP(Table1[[#This Row],[Provider Type]] &amp; Table1[[#This Row],[Provider Type Description]], PROVIDER_TYPE, 2, FALSE)</f>
        <v>114</v>
      </c>
      <c r="J946" s="3">
        <v>345</v>
      </c>
      <c r="K946" s="3" t="s">
        <v>1260</v>
      </c>
      <c r="L946" s="3">
        <f>VLOOKUP(TRIM(Table1[[#This Row],[Provider Specialty]]) &amp; TRIM(Table1[[#This Row],[Provider Specialty Description]]), SPECIALTY_TYPE, 2, FALSE)</f>
        <v>2105</v>
      </c>
      <c r="M946" s="3" t="s">
        <v>19</v>
      </c>
      <c r="N946" s="27" t="s">
        <v>19</v>
      </c>
      <c r="O946" s="38">
        <f>VLOOKUP(TRIM(Table1[[#This Row],[Provider Specialty]]) &amp; TRIM(Table1[[#This Row],[Provider Specialty Description]]), SPECIALTY_TYPE, 2, FALSE)</f>
        <v>2105</v>
      </c>
      <c r="P946" s="3" t="str">
        <f>Table1[[#This Row],[Provider Type]] &amp; "+" &amp; Table1[[#This Row],[Provider Type Description]]</f>
        <v>31+Physician</v>
      </c>
      <c r="Q946" s="7" t="str">
        <f>Table1[[#This Row],[Provider Specialty]] &amp; "+" &amp; Table1[[#This Row],[Provider Specialty Description]]</f>
        <v>345+General Pediatrician</v>
      </c>
      <c r="R946" s="7" t="str">
        <f>Table1[[#This Row],[PDMS Specialty Type ID]] &amp; "+" &amp; Table1[[#This Row],[PDMS Provider Type ID]] &amp; "+" &amp;Table1[[#This Row],[TAXONOMY]]</f>
        <v>2105+114+2080P0216X</v>
      </c>
      <c r="S9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(9925, 2105, 114, N'2080P0216X', N'Pediatrics - Pediatric Rheumatology')</v>
      </c>
    </row>
    <row r="947" spans="1:19" ht="47.25" hidden="1" customHeight="1" x14ac:dyDescent="0.25">
      <c r="A947" s="22" t="s">
        <v>1854</v>
      </c>
      <c r="B947" s="3" t="s">
        <v>988</v>
      </c>
      <c r="C947" s="3" t="s">
        <v>325</v>
      </c>
      <c r="D947" s="3" t="s">
        <v>1292</v>
      </c>
      <c r="E947" s="3" t="s">
        <v>1293</v>
      </c>
      <c r="F947" s="3">
        <f>VLOOKUP(Table1[[#This Row],[Column2]], TAXONOMY_TYPE, 2, FALSE)</f>
        <v>9926</v>
      </c>
      <c r="G947" s="3">
        <v>32</v>
      </c>
      <c r="H947" s="3" t="s">
        <v>1444</v>
      </c>
      <c r="I947" s="3">
        <f>VLOOKUP(Table1[[#This Row],[Provider Type]] &amp; Table1[[#This Row],[Provider Type Description]], PROVIDER_TYPE, 2, FALSE)</f>
        <v>50</v>
      </c>
      <c r="J947" s="3">
        <v>345</v>
      </c>
      <c r="K947" s="3" t="s">
        <v>1260</v>
      </c>
      <c r="L947" s="3">
        <f>VLOOKUP(TRIM(Table1[[#This Row],[Provider Specialty]]) &amp; TRIM(Table1[[#This Row],[Provider Specialty Description]]), SPECIALTY_TYPE, 2, FALSE)</f>
        <v>2105</v>
      </c>
      <c r="M947" s="3" t="s">
        <v>18</v>
      </c>
      <c r="N947" s="27" t="s">
        <v>19</v>
      </c>
      <c r="O947" s="38">
        <f>VLOOKUP(TRIM(Table1[[#This Row],[Provider Specialty]]) &amp; TRIM(Table1[[#This Row],[Provider Specialty Description]]), SPECIALTY_TYPE, 2, FALSE)</f>
        <v>2105</v>
      </c>
      <c r="P947" s="3" t="str">
        <f>Table1[[#This Row],[Provider Type]] &amp; "+" &amp; Table1[[#This Row],[Provider Type Description]]</f>
        <v>32+Multi-Specialty</v>
      </c>
      <c r="Q947" s="7" t="str">
        <f>Table1[[#This Row],[Provider Specialty]] &amp; "+" &amp; Table1[[#This Row],[Provider Specialty Description]]</f>
        <v>345+General Pediatrician</v>
      </c>
      <c r="R947" s="7" t="str">
        <f>Table1[[#This Row],[PDMS Specialty Type ID]] &amp; "+" &amp; Table1[[#This Row],[PDMS Provider Type ID]] &amp; "+" &amp;Table1[[#This Row],[TAXONOMY]]</f>
        <v>2105+50+2080P0216X</v>
      </c>
      <c r="S9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(9926, 2105, 50, N'2080P0216X', N'Pediatrics - Pediatric Rheumatology')</v>
      </c>
    </row>
    <row r="948" spans="1:19" ht="47.25" hidden="1" customHeight="1" x14ac:dyDescent="0.25">
      <c r="A948" s="22" t="s">
        <v>1854</v>
      </c>
      <c r="B948" s="3" t="s">
        <v>988</v>
      </c>
      <c r="C948" s="3" t="s">
        <v>325</v>
      </c>
      <c r="D948" s="3" t="s">
        <v>1292</v>
      </c>
      <c r="E948" s="3" t="s">
        <v>1293</v>
      </c>
      <c r="F948" s="3">
        <f>VLOOKUP(Table1[[#This Row],[Column2]], TAXONOMY_TYPE, 2, FALSE)</f>
        <v>9927</v>
      </c>
      <c r="G948" s="3">
        <v>33</v>
      </c>
      <c r="H948" s="3" t="s">
        <v>1953</v>
      </c>
      <c r="I948" s="3">
        <f>VLOOKUP(Table1[[#This Row],[Provider Type]] &amp; Table1[[#This Row],[Provider Type Description]], PROVIDER_TYPE, 2, FALSE)</f>
        <v>51</v>
      </c>
      <c r="J948" s="3">
        <v>345</v>
      </c>
      <c r="K948" s="3" t="s">
        <v>1260</v>
      </c>
      <c r="L948" s="3">
        <f>VLOOKUP(TRIM(Table1[[#This Row],[Provider Specialty]]) &amp; TRIM(Table1[[#This Row],[Provider Specialty Description]]), SPECIALTY_TYPE, 2, FALSE)</f>
        <v>2105</v>
      </c>
      <c r="M948" s="3" t="s">
        <v>18</v>
      </c>
      <c r="N948" s="27" t="s">
        <v>19</v>
      </c>
      <c r="O948" s="38">
        <f>VLOOKUP(TRIM(Table1[[#This Row],[Provider Specialty]]) &amp; TRIM(Table1[[#This Row],[Provider Specialty Description]]), SPECIALTY_TYPE, 2, FALSE)</f>
        <v>2105</v>
      </c>
      <c r="P948" s="3" t="str">
        <f>Table1[[#This Row],[Provider Type]] &amp; "+" &amp; Table1[[#This Row],[Provider Type Description]]</f>
        <v>33+Single-Specialty</v>
      </c>
      <c r="Q948" s="7" t="str">
        <f>Table1[[#This Row],[Provider Specialty]] &amp; "+" &amp; Table1[[#This Row],[Provider Specialty Description]]</f>
        <v>345+General Pediatrician</v>
      </c>
      <c r="R948" s="7" t="str">
        <f>Table1[[#This Row],[PDMS Specialty Type ID]] &amp; "+" &amp; Table1[[#This Row],[PDMS Provider Type ID]] &amp; "+" &amp;Table1[[#This Row],[TAXONOMY]]</f>
        <v>2105+51+2080P0216X</v>
      </c>
      <c r="S9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(9927, 2105, 51, N'2080P0216X', N'Pediatrics - Pediatric Rheumatology')</v>
      </c>
    </row>
    <row r="949" spans="1:19" ht="47.25" hidden="1" customHeight="1" x14ac:dyDescent="0.25">
      <c r="A949" s="22" t="s">
        <v>1855</v>
      </c>
      <c r="B949" s="3" t="s">
        <v>988</v>
      </c>
      <c r="C949" s="3" t="s">
        <v>325</v>
      </c>
      <c r="D949" s="3" t="s">
        <v>566</v>
      </c>
      <c r="E949" s="3" t="s">
        <v>1294</v>
      </c>
      <c r="F949" s="3">
        <f>VLOOKUP(Table1[[#This Row],[Column2]], TAXONOMY_TYPE, 2, FALSE)</f>
        <v>9928</v>
      </c>
      <c r="G949" s="3">
        <v>31</v>
      </c>
      <c r="H949" s="3" t="s">
        <v>991</v>
      </c>
      <c r="I949" s="3">
        <f>VLOOKUP(Table1[[#This Row],[Provider Type]] &amp; Table1[[#This Row],[Provider Type Description]], PROVIDER_TYPE, 2, FALSE)</f>
        <v>114</v>
      </c>
      <c r="J949" s="3">
        <v>345</v>
      </c>
      <c r="K949" s="3" t="s">
        <v>1260</v>
      </c>
      <c r="L949" s="3">
        <f>VLOOKUP(TRIM(Table1[[#This Row],[Provider Specialty]]) &amp; TRIM(Table1[[#This Row],[Provider Specialty Description]]), SPECIALTY_TYPE, 2, FALSE)</f>
        <v>2105</v>
      </c>
      <c r="M949" s="3" t="s">
        <v>19</v>
      </c>
      <c r="N949" s="27" t="s">
        <v>19</v>
      </c>
      <c r="O949" s="38">
        <f>VLOOKUP(TRIM(Table1[[#This Row],[Provider Specialty]]) &amp; TRIM(Table1[[#This Row],[Provider Specialty Description]]), SPECIALTY_TYPE, 2, FALSE)</f>
        <v>2105</v>
      </c>
      <c r="P949" s="3" t="str">
        <f>Table1[[#This Row],[Provider Type]] &amp; "+" &amp; Table1[[#This Row],[Provider Type Description]]</f>
        <v>31+Physician</v>
      </c>
      <c r="Q949" s="7" t="str">
        <f>Table1[[#This Row],[Provider Specialty]] &amp; "+" &amp; Table1[[#This Row],[Provider Specialty Description]]</f>
        <v>345+General Pediatrician</v>
      </c>
      <c r="R949" s="7" t="str">
        <f>Table1[[#This Row],[PDMS Specialty Type ID]] &amp; "+" &amp; Table1[[#This Row],[PDMS Provider Type ID]] &amp; "+" &amp;Table1[[#This Row],[TAXONOMY]]</f>
        <v>2105+114+2080S0010X</v>
      </c>
      <c r="S9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(9928, 2105, 114, N'2080S0010X', N'Pediatrics - Sports Medicine')</v>
      </c>
    </row>
    <row r="950" spans="1:19" ht="47.25" hidden="1" customHeight="1" x14ac:dyDescent="0.25">
      <c r="A950" s="22" t="s">
        <v>1854</v>
      </c>
      <c r="B950" s="3" t="s">
        <v>988</v>
      </c>
      <c r="C950" s="3" t="s">
        <v>325</v>
      </c>
      <c r="D950" s="3" t="s">
        <v>566</v>
      </c>
      <c r="E950" s="3" t="s">
        <v>1294</v>
      </c>
      <c r="F950" s="3">
        <f>VLOOKUP(Table1[[#This Row],[Column2]], TAXONOMY_TYPE, 2, FALSE)</f>
        <v>9929</v>
      </c>
      <c r="G950" s="3">
        <v>32</v>
      </c>
      <c r="H950" s="3" t="s">
        <v>1444</v>
      </c>
      <c r="I950" s="3">
        <f>VLOOKUP(Table1[[#This Row],[Provider Type]] &amp; Table1[[#This Row],[Provider Type Description]], PROVIDER_TYPE, 2, FALSE)</f>
        <v>50</v>
      </c>
      <c r="J950" s="3">
        <v>345</v>
      </c>
      <c r="K950" s="3" t="s">
        <v>1260</v>
      </c>
      <c r="L950" s="3">
        <f>VLOOKUP(TRIM(Table1[[#This Row],[Provider Specialty]]) &amp; TRIM(Table1[[#This Row],[Provider Specialty Description]]), SPECIALTY_TYPE, 2, FALSE)</f>
        <v>2105</v>
      </c>
      <c r="M950" s="3" t="s">
        <v>18</v>
      </c>
      <c r="N950" s="27" t="s">
        <v>19</v>
      </c>
      <c r="O950" s="38">
        <f>VLOOKUP(TRIM(Table1[[#This Row],[Provider Specialty]]) &amp; TRIM(Table1[[#This Row],[Provider Specialty Description]]), SPECIALTY_TYPE, 2, FALSE)</f>
        <v>2105</v>
      </c>
      <c r="P950" s="3" t="str">
        <f>Table1[[#This Row],[Provider Type]] &amp; "+" &amp; Table1[[#This Row],[Provider Type Description]]</f>
        <v>32+Multi-Specialty</v>
      </c>
      <c r="Q950" s="7" t="str">
        <f>Table1[[#This Row],[Provider Specialty]] &amp; "+" &amp; Table1[[#This Row],[Provider Specialty Description]]</f>
        <v>345+General Pediatrician</v>
      </c>
      <c r="R950" s="7" t="str">
        <f>Table1[[#This Row],[PDMS Specialty Type ID]] &amp; "+" &amp; Table1[[#This Row],[PDMS Provider Type ID]] &amp; "+" &amp;Table1[[#This Row],[TAXONOMY]]</f>
        <v>2105+50+2080S0010X</v>
      </c>
      <c r="S9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(9929, 2105, 50, N'2080S0010X', N'Pediatrics - Sports Medicine')</v>
      </c>
    </row>
    <row r="951" spans="1:19" ht="47.25" hidden="1" customHeight="1" x14ac:dyDescent="0.25">
      <c r="A951" s="22" t="s">
        <v>1854</v>
      </c>
      <c r="B951" s="3" t="s">
        <v>988</v>
      </c>
      <c r="C951" s="3" t="s">
        <v>325</v>
      </c>
      <c r="D951" s="3" t="s">
        <v>566</v>
      </c>
      <c r="E951" s="3" t="s">
        <v>1294</v>
      </c>
      <c r="F951" s="3">
        <f>VLOOKUP(Table1[[#This Row],[Column2]], TAXONOMY_TYPE, 2, FALSE)</f>
        <v>9930</v>
      </c>
      <c r="G951" s="3">
        <v>33</v>
      </c>
      <c r="H951" s="3" t="s">
        <v>1953</v>
      </c>
      <c r="I951" s="3">
        <f>VLOOKUP(Table1[[#This Row],[Provider Type]] &amp; Table1[[#This Row],[Provider Type Description]], PROVIDER_TYPE, 2, FALSE)</f>
        <v>51</v>
      </c>
      <c r="J951" s="3">
        <v>345</v>
      </c>
      <c r="K951" s="3" t="s">
        <v>1260</v>
      </c>
      <c r="L951" s="3">
        <f>VLOOKUP(TRIM(Table1[[#This Row],[Provider Specialty]]) &amp; TRIM(Table1[[#This Row],[Provider Specialty Description]]), SPECIALTY_TYPE, 2, FALSE)</f>
        <v>2105</v>
      </c>
      <c r="M951" s="3" t="s">
        <v>18</v>
      </c>
      <c r="N951" s="27" t="s">
        <v>19</v>
      </c>
      <c r="O951" s="38">
        <f>VLOOKUP(TRIM(Table1[[#This Row],[Provider Specialty]]) &amp; TRIM(Table1[[#This Row],[Provider Specialty Description]]), SPECIALTY_TYPE, 2, FALSE)</f>
        <v>2105</v>
      </c>
      <c r="P951" s="3" t="str">
        <f>Table1[[#This Row],[Provider Type]] &amp; "+" &amp; Table1[[#This Row],[Provider Type Description]]</f>
        <v>33+Single-Specialty</v>
      </c>
      <c r="Q951" s="7" t="str">
        <f>Table1[[#This Row],[Provider Specialty]] &amp; "+" &amp; Table1[[#This Row],[Provider Specialty Description]]</f>
        <v>345+General Pediatrician</v>
      </c>
      <c r="R951" s="7" t="str">
        <f>Table1[[#This Row],[PDMS Specialty Type ID]] &amp; "+" &amp; Table1[[#This Row],[PDMS Provider Type ID]] &amp; "+" &amp;Table1[[#This Row],[TAXONOMY]]</f>
        <v>2105+51+2080S0010X</v>
      </c>
      <c r="S9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(9930, 2105, 51, N'2080S0010X', N'Pediatrics - Sports Medicine')</v>
      </c>
    </row>
    <row r="952" spans="1:19" ht="47.25" hidden="1" customHeight="1" x14ac:dyDescent="0.25">
      <c r="A952" s="22" t="s">
        <v>1855</v>
      </c>
      <c r="B952" s="3" t="s">
        <v>988</v>
      </c>
      <c r="C952" s="3" t="s">
        <v>325</v>
      </c>
      <c r="D952" s="3" t="s">
        <v>1295</v>
      </c>
      <c r="E952" s="3" t="s">
        <v>1296</v>
      </c>
      <c r="F952" s="3">
        <f>VLOOKUP(Table1[[#This Row],[Column2]], TAXONOMY_TYPE, 2, FALSE)</f>
        <v>9931</v>
      </c>
      <c r="G952" s="3">
        <v>31</v>
      </c>
      <c r="H952" s="3" t="s">
        <v>991</v>
      </c>
      <c r="I952" s="3">
        <f>VLOOKUP(Table1[[#This Row],[Provider Type]] &amp; Table1[[#This Row],[Provider Type Description]], PROVIDER_TYPE, 2, FALSE)</f>
        <v>114</v>
      </c>
      <c r="J952" s="3">
        <v>345</v>
      </c>
      <c r="K952" s="3" t="s">
        <v>1260</v>
      </c>
      <c r="L952" s="3">
        <f>VLOOKUP(TRIM(Table1[[#This Row],[Provider Specialty]]) &amp; TRIM(Table1[[#This Row],[Provider Specialty Description]]), SPECIALTY_TYPE, 2, FALSE)</f>
        <v>2105</v>
      </c>
      <c r="M952" s="3" t="s">
        <v>19</v>
      </c>
      <c r="N952" s="27" t="s">
        <v>19</v>
      </c>
      <c r="O952" s="38">
        <f>VLOOKUP(TRIM(Table1[[#This Row],[Provider Specialty]]) &amp; TRIM(Table1[[#This Row],[Provider Specialty Description]]), SPECIALTY_TYPE, 2, FALSE)</f>
        <v>2105</v>
      </c>
      <c r="P952" s="3" t="str">
        <f>Table1[[#This Row],[Provider Type]] &amp; "+" &amp; Table1[[#This Row],[Provider Type Description]]</f>
        <v>31+Physician</v>
      </c>
      <c r="Q952" s="7" t="str">
        <f>Table1[[#This Row],[Provider Specialty]] &amp; "+" &amp; Table1[[#This Row],[Provider Specialty Description]]</f>
        <v>345+General Pediatrician</v>
      </c>
      <c r="R952" s="7" t="str">
        <f>Table1[[#This Row],[PDMS Specialty Type ID]] &amp; "+" &amp; Table1[[#This Row],[PDMS Provider Type ID]] &amp; "+" &amp;Table1[[#This Row],[TAXONOMY]]</f>
        <v>2105+114+2080S0012X</v>
      </c>
      <c r="S9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(9931, 2105, 114, N'2080S0012X', N'Pediatrics - Sleep Medicine')</v>
      </c>
    </row>
    <row r="953" spans="1:19" ht="47.25" hidden="1" customHeight="1" x14ac:dyDescent="0.25">
      <c r="A953" s="22" t="s">
        <v>1854</v>
      </c>
      <c r="B953" s="3" t="s">
        <v>988</v>
      </c>
      <c r="C953" s="3" t="s">
        <v>325</v>
      </c>
      <c r="D953" s="3" t="s">
        <v>1295</v>
      </c>
      <c r="E953" s="3" t="s">
        <v>1296</v>
      </c>
      <c r="F953" s="3">
        <f>VLOOKUP(Table1[[#This Row],[Column2]], TAXONOMY_TYPE, 2, FALSE)</f>
        <v>9932</v>
      </c>
      <c r="G953" s="3">
        <v>32</v>
      </c>
      <c r="H953" s="3" t="s">
        <v>1444</v>
      </c>
      <c r="I953" s="3">
        <f>VLOOKUP(Table1[[#This Row],[Provider Type]] &amp; Table1[[#This Row],[Provider Type Description]], PROVIDER_TYPE, 2, FALSE)</f>
        <v>50</v>
      </c>
      <c r="J953" s="3">
        <v>345</v>
      </c>
      <c r="K953" s="3" t="s">
        <v>1260</v>
      </c>
      <c r="L953" s="3">
        <f>VLOOKUP(TRIM(Table1[[#This Row],[Provider Specialty]]) &amp; TRIM(Table1[[#This Row],[Provider Specialty Description]]), SPECIALTY_TYPE, 2, FALSE)</f>
        <v>2105</v>
      </c>
      <c r="M953" s="3" t="s">
        <v>18</v>
      </c>
      <c r="N953" s="27" t="s">
        <v>19</v>
      </c>
      <c r="O953" s="38">
        <f>VLOOKUP(TRIM(Table1[[#This Row],[Provider Specialty]]) &amp; TRIM(Table1[[#This Row],[Provider Specialty Description]]), SPECIALTY_TYPE, 2, FALSE)</f>
        <v>2105</v>
      </c>
      <c r="P953" s="3" t="str">
        <f>Table1[[#This Row],[Provider Type]] &amp; "+" &amp; Table1[[#This Row],[Provider Type Description]]</f>
        <v>32+Multi-Specialty</v>
      </c>
      <c r="Q953" s="7" t="str">
        <f>Table1[[#This Row],[Provider Specialty]] &amp; "+" &amp; Table1[[#This Row],[Provider Specialty Description]]</f>
        <v>345+General Pediatrician</v>
      </c>
      <c r="R953" s="7" t="str">
        <f>Table1[[#This Row],[PDMS Specialty Type ID]] &amp; "+" &amp; Table1[[#This Row],[PDMS Provider Type ID]] &amp; "+" &amp;Table1[[#This Row],[TAXONOMY]]</f>
        <v>2105+50+2080S0012X</v>
      </c>
      <c r="S9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(9932, 2105, 50, N'2080S0012X', N'Pediatrics - Sleep Medicine')</v>
      </c>
    </row>
    <row r="954" spans="1:19" ht="47.25" hidden="1" customHeight="1" x14ac:dyDescent="0.25">
      <c r="A954" s="22" t="s">
        <v>1854</v>
      </c>
      <c r="B954" s="3" t="s">
        <v>988</v>
      </c>
      <c r="C954" s="3" t="s">
        <v>325</v>
      </c>
      <c r="D954" s="3" t="s">
        <v>1295</v>
      </c>
      <c r="E954" s="3" t="s">
        <v>1296</v>
      </c>
      <c r="F954" s="3">
        <f>VLOOKUP(Table1[[#This Row],[Column2]], TAXONOMY_TYPE, 2, FALSE)</f>
        <v>9933</v>
      </c>
      <c r="G954" s="3">
        <v>33</v>
      </c>
      <c r="H954" s="3" t="s">
        <v>1953</v>
      </c>
      <c r="I954" s="3">
        <f>VLOOKUP(Table1[[#This Row],[Provider Type]] &amp; Table1[[#This Row],[Provider Type Description]], PROVIDER_TYPE, 2, FALSE)</f>
        <v>51</v>
      </c>
      <c r="J954" s="3">
        <v>345</v>
      </c>
      <c r="K954" s="3" t="s">
        <v>1260</v>
      </c>
      <c r="L954" s="3">
        <f>VLOOKUP(TRIM(Table1[[#This Row],[Provider Specialty]]) &amp; TRIM(Table1[[#This Row],[Provider Specialty Description]]), SPECIALTY_TYPE, 2, FALSE)</f>
        <v>2105</v>
      </c>
      <c r="M954" s="3" t="s">
        <v>18</v>
      </c>
      <c r="N954" s="27" t="s">
        <v>19</v>
      </c>
      <c r="O954" s="38">
        <f>VLOOKUP(TRIM(Table1[[#This Row],[Provider Specialty]]) &amp; TRIM(Table1[[#This Row],[Provider Specialty Description]]), SPECIALTY_TYPE, 2, FALSE)</f>
        <v>2105</v>
      </c>
      <c r="P954" s="3" t="str">
        <f>Table1[[#This Row],[Provider Type]] &amp; "+" &amp; Table1[[#This Row],[Provider Type Description]]</f>
        <v>33+Single-Specialty</v>
      </c>
      <c r="Q954" s="7" t="str">
        <f>Table1[[#This Row],[Provider Specialty]] &amp; "+" &amp; Table1[[#This Row],[Provider Specialty Description]]</f>
        <v>345+General Pediatrician</v>
      </c>
      <c r="R954" s="7" t="str">
        <f>Table1[[#This Row],[PDMS Specialty Type ID]] &amp; "+" &amp; Table1[[#This Row],[PDMS Provider Type ID]] &amp; "+" &amp;Table1[[#This Row],[TAXONOMY]]</f>
        <v>2105+51+2080S0012X</v>
      </c>
      <c r="S9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(9933, 2105, 51, N'2080S0012X', N'Pediatrics - Sleep Medicine')</v>
      </c>
    </row>
    <row r="955" spans="1:19" ht="47.25" hidden="1" customHeight="1" x14ac:dyDescent="0.25">
      <c r="A955" s="22" t="s">
        <v>1855</v>
      </c>
      <c r="B955" s="3" t="s">
        <v>988</v>
      </c>
      <c r="C955" s="3" t="s">
        <v>325</v>
      </c>
      <c r="D955" s="3" t="s">
        <v>1297</v>
      </c>
      <c r="E955" s="3" t="s">
        <v>1298</v>
      </c>
      <c r="F955" s="3">
        <f>VLOOKUP(Table1[[#This Row],[Column2]], TAXONOMY_TYPE, 2, FALSE)</f>
        <v>9934</v>
      </c>
      <c r="G955" s="3">
        <v>31</v>
      </c>
      <c r="H955" s="3" t="s">
        <v>991</v>
      </c>
      <c r="I955" s="3">
        <f>VLOOKUP(Table1[[#This Row],[Provider Type]] &amp; Table1[[#This Row],[Provider Type Description]], PROVIDER_TYPE, 2, FALSE)</f>
        <v>114</v>
      </c>
      <c r="J955" s="3">
        <v>345</v>
      </c>
      <c r="K955" s="3" t="s">
        <v>1260</v>
      </c>
      <c r="L955" s="3">
        <f>VLOOKUP(TRIM(Table1[[#This Row],[Provider Specialty]]) &amp; TRIM(Table1[[#This Row],[Provider Specialty Description]]), SPECIALTY_TYPE, 2, FALSE)</f>
        <v>2105</v>
      </c>
      <c r="M955" s="3" t="s">
        <v>19</v>
      </c>
      <c r="N955" s="27" t="s">
        <v>19</v>
      </c>
      <c r="O955" s="38">
        <f>VLOOKUP(TRIM(Table1[[#This Row],[Provider Specialty]]) &amp; TRIM(Table1[[#This Row],[Provider Specialty Description]]), SPECIALTY_TYPE, 2, FALSE)</f>
        <v>2105</v>
      </c>
      <c r="P955" s="3" t="str">
        <f>Table1[[#This Row],[Provider Type]] &amp; "+" &amp; Table1[[#This Row],[Provider Type Description]]</f>
        <v>31+Physician</v>
      </c>
      <c r="Q955" s="7" t="str">
        <f>Table1[[#This Row],[Provider Specialty]] &amp; "+" &amp; Table1[[#This Row],[Provider Specialty Description]]</f>
        <v>345+General Pediatrician</v>
      </c>
      <c r="R955" s="7" t="str">
        <f>Table1[[#This Row],[PDMS Specialty Type ID]] &amp; "+" &amp; Table1[[#This Row],[PDMS Provider Type ID]] &amp; "+" &amp;Table1[[#This Row],[TAXONOMY]]</f>
        <v>2105+114+2080T0002X</v>
      </c>
      <c r="S9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(9934, 2105, 114, N'2080T0002X', N'Pediatrics - Medical Toxicology')</v>
      </c>
    </row>
    <row r="956" spans="1:19" ht="47.25" hidden="1" customHeight="1" x14ac:dyDescent="0.25">
      <c r="A956" s="22" t="s">
        <v>1854</v>
      </c>
      <c r="B956" s="3" t="s">
        <v>988</v>
      </c>
      <c r="C956" s="3" t="s">
        <v>325</v>
      </c>
      <c r="D956" s="3" t="s">
        <v>1297</v>
      </c>
      <c r="E956" s="3" t="s">
        <v>1298</v>
      </c>
      <c r="F956" s="3">
        <f>VLOOKUP(Table1[[#This Row],[Column2]], TAXONOMY_TYPE, 2, FALSE)</f>
        <v>9935</v>
      </c>
      <c r="G956" s="3">
        <v>32</v>
      </c>
      <c r="H956" s="3" t="s">
        <v>1444</v>
      </c>
      <c r="I956" s="3">
        <f>VLOOKUP(Table1[[#This Row],[Provider Type]] &amp; Table1[[#This Row],[Provider Type Description]], PROVIDER_TYPE, 2, FALSE)</f>
        <v>50</v>
      </c>
      <c r="J956" s="3">
        <v>345</v>
      </c>
      <c r="K956" s="3" t="s">
        <v>1260</v>
      </c>
      <c r="L956" s="3">
        <f>VLOOKUP(TRIM(Table1[[#This Row],[Provider Specialty]]) &amp; TRIM(Table1[[#This Row],[Provider Specialty Description]]), SPECIALTY_TYPE, 2, FALSE)</f>
        <v>2105</v>
      </c>
      <c r="M956" s="3" t="s">
        <v>18</v>
      </c>
      <c r="N956" s="27" t="s">
        <v>19</v>
      </c>
      <c r="O956" s="38">
        <f>VLOOKUP(TRIM(Table1[[#This Row],[Provider Specialty]]) &amp; TRIM(Table1[[#This Row],[Provider Specialty Description]]), SPECIALTY_TYPE, 2, FALSE)</f>
        <v>2105</v>
      </c>
      <c r="P956" s="3" t="str">
        <f>Table1[[#This Row],[Provider Type]] &amp; "+" &amp; Table1[[#This Row],[Provider Type Description]]</f>
        <v>32+Multi-Specialty</v>
      </c>
      <c r="Q956" s="7" t="str">
        <f>Table1[[#This Row],[Provider Specialty]] &amp; "+" &amp; Table1[[#This Row],[Provider Specialty Description]]</f>
        <v>345+General Pediatrician</v>
      </c>
      <c r="R956" s="7" t="str">
        <f>Table1[[#This Row],[PDMS Specialty Type ID]] &amp; "+" &amp; Table1[[#This Row],[PDMS Provider Type ID]] &amp; "+" &amp;Table1[[#This Row],[TAXONOMY]]</f>
        <v>2105+50+2080T0002X</v>
      </c>
      <c r="S9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(9935, 2105, 50, N'2080T0002X', N'Pediatrics - Medical Toxicology')</v>
      </c>
    </row>
    <row r="957" spans="1:19" ht="47.25" hidden="1" customHeight="1" x14ac:dyDescent="0.25">
      <c r="A957" s="22" t="s">
        <v>1854</v>
      </c>
      <c r="B957" s="3" t="s">
        <v>988</v>
      </c>
      <c r="C957" s="3" t="s">
        <v>325</v>
      </c>
      <c r="D957" s="3" t="s">
        <v>1297</v>
      </c>
      <c r="E957" s="3" t="s">
        <v>1298</v>
      </c>
      <c r="F957" s="3">
        <f>VLOOKUP(Table1[[#This Row],[Column2]], TAXONOMY_TYPE, 2, FALSE)</f>
        <v>9936</v>
      </c>
      <c r="G957" s="3">
        <v>33</v>
      </c>
      <c r="H957" s="3" t="s">
        <v>1953</v>
      </c>
      <c r="I957" s="3">
        <f>VLOOKUP(Table1[[#This Row],[Provider Type]] &amp; Table1[[#This Row],[Provider Type Description]], PROVIDER_TYPE, 2, FALSE)</f>
        <v>51</v>
      </c>
      <c r="J957" s="3">
        <v>345</v>
      </c>
      <c r="K957" s="3" t="s">
        <v>1260</v>
      </c>
      <c r="L957" s="3">
        <f>VLOOKUP(TRIM(Table1[[#This Row],[Provider Specialty]]) &amp; TRIM(Table1[[#This Row],[Provider Specialty Description]]), SPECIALTY_TYPE, 2, FALSE)</f>
        <v>2105</v>
      </c>
      <c r="M957" s="3" t="s">
        <v>18</v>
      </c>
      <c r="N957" s="27" t="s">
        <v>19</v>
      </c>
      <c r="O957" s="38">
        <f>VLOOKUP(TRIM(Table1[[#This Row],[Provider Specialty]]) &amp; TRIM(Table1[[#This Row],[Provider Specialty Description]]), SPECIALTY_TYPE, 2, FALSE)</f>
        <v>2105</v>
      </c>
      <c r="P957" s="3" t="str">
        <f>Table1[[#This Row],[Provider Type]] &amp; "+" &amp; Table1[[#This Row],[Provider Type Description]]</f>
        <v>33+Single-Specialty</v>
      </c>
      <c r="Q957" s="7" t="str">
        <f>Table1[[#This Row],[Provider Specialty]] &amp; "+" &amp; Table1[[#This Row],[Provider Specialty Description]]</f>
        <v>345+General Pediatrician</v>
      </c>
      <c r="R957" s="7" t="str">
        <f>Table1[[#This Row],[PDMS Specialty Type ID]] &amp; "+" &amp; Table1[[#This Row],[PDMS Provider Type ID]] &amp; "+" &amp;Table1[[#This Row],[TAXONOMY]]</f>
        <v>2105+51+2080T0002X</v>
      </c>
      <c r="S9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(9936, 2105, 51, N'2080T0002X', N'Pediatrics - Medical Toxicology')</v>
      </c>
    </row>
    <row r="958" spans="1:19" ht="47.25" hidden="1" customHeight="1" x14ac:dyDescent="0.25">
      <c r="A958" s="22" t="s">
        <v>1855</v>
      </c>
      <c r="B958" s="3" t="s">
        <v>988</v>
      </c>
      <c r="C958" s="3" t="s">
        <v>325</v>
      </c>
      <c r="D958" s="3" t="s">
        <v>1299</v>
      </c>
      <c r="E958" s="3" t="s">
        <v>1300</v>
      </c>
      <c r="F958" s="3">
        <f>VLOOKUP(Table1[[#This Row],[Column2]], TAXONOMY_TYPE, 2, FALSE)</f>
        <v>9937</v>
      </c>
      <c r="G958" s="3">
        <v>31</v>
      </c>
      <c r="H958" s="3" t="s">
        <v>991</v>
      </c>
      <c r="I958" s="3">
        <f>VLOOKUP(Table1[[#This Row],[Provider Type]] &amp; Table1[[#This Row],[Provider Type Description]], PROVIDER_TYPE, 2, FALSE)</f>
        <v>114</v>
      </c>
      <c r="J958" s="3">
        <v>345</v>
      </c>
      <c r="K958" s="3" t="s">
        <v>1260</v>
      </c>
      <c r="L958" s="3">
        <f>VLOOKUP(TRIM(Table1[[#This Row],[Provider Specialty]]) &amp; TRIM(Table1[[#This Row],[Provider Specialty Description]]), SPECIALTY_TYPE, 2, FALSE)</f>
        <v>2105</v>
      </c>
      <c r="M958" s="3" t="s">
        <v>19</v>
      </c>
      <c r="N958" s="27" t="s">
        <v>19</v>
      </c>
      <c r="O958" s="38">
        <f>VLOOKUP(TRIM(Table1[[#This Row],[Provider Specialty]]) &amp; TRIM(Table1[[#This Row],[Provider Specialty Description]]), SPECIALTY_TYPE, 2, FALSE)</f>
        <v>2105</v>
      </c>
      <c r="P958" s="3" t="str">
        <f>Table1[[#This Row],[Provider Type]] &amp; "+" &amp; Table1[[#This Row],[Provider Type Description]]</f>
        <v>31+Physician</v>
      </c>
      <c r="Q958" s="7" t="str">
        <f>Table1[[#This Row],[Provider Specialty]] &amp; "+" &amp; Table1[[#This Row],[Provider Specialty Description]]</f>
        <v>345+General Pediatrician</v>
      </c>
      <c r="R958" s="7" t="str">
        <f>Table1[[#This Row],[PDMS Specialty Type ID]] &amp; "+" &amp; Table1[[#This Row],[PDMS Provider Type ID]] &amp; "+" &amp;Table1[[#This Row],[TAXONOMY]]</f>
        <v>2105+114+2080T0004X</v>
      </c>
      <c r="S9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(9937, 2105, 114, N'2080T0004X', N'Pediatrics - Pediatric Transplant Hepatology****')</v>
      </c>
    </row>
    <row r="959" spans="1:19" ht="47.25" hidden="1" customHeight="1" x14ac:dyDescent="0.25">
      <c r="A959" s="22" t="s">
        <v>1854</v>
      </c>
      <c r="B959" s="3" t="s">
        <v>988</v>
      </c>
      <c r="C959" s="3" t="s">
        <v>325</v>
      </c>
      <c r="D959" s="3" t="s">
        <v>1299</v>
      </c>
      <c r="E959" s="3" t="s">
        <v>1300</v>
      </c>
      <c r="F959" s="3">
        <f>VLOOKUP(Table1[[#This Row],[Column2]], TAXONOMY_TYPE, 2, FALSE)</f>
        <v>9938</v>
      </c>
      <c r="G959" s="3">
        <v>32</v>
      </c>
      <c r="H959" s="3" t="s">
        <v>1444</v>
      </c>
      <c r="I959" s="3">
        <f>VLOOKUP(Table1[[#This Row],[Provider Type]] &amp; Table1[[#This Row],[Provider Type Description]], PROVIDER_TYPE, 2, FALSE)</f>
        <v>50</v>
      </c>
      <c r="J959" s="3">
        <v>345</v>
      </c>
      <c r="K959" s="3" t="s">
        <v>1260</v>
      </c>
      <c r="L959" s="3">
        <f>VLOOKUP(TRIM(Table1[[#This Row],[Provider Specialty]]) &amp; TRIM(Table1[[#This Row],[Provider Specialty Description]]), SPECIALTY_TYPE, 2, FALSE)</f>
        <v>2105</v>
      </c>
      <c r="M959" s="3" t="s">
        <v>18</v>
      </c>
      <c r="N959" s="27" t="s">
        <v>19</v>
      </c>
      <c r="O959" s="38">
        <f>VLOOKUP(TRIM(Table1[[#This Row],[Provider Specialty]]) &amp; TRIM(Table1[[#This Row],[Provider Specialty Description]]), SPECIALTY_TYPE, 2, FALSE)</f>
        <v>2105</v>
      </c>
      <c r="P959" s="3" t="str">
        <f>Table1[[#This Row],[Provider Type]] &amp; "+" &amp; Table1[[#This Row],[Provider Type Description]]</f>
        <v>32+Multi-Specialty</v>
      </c>
      <c r="Q959" s="7" t="str">
        <f>Table1[[#This Row],[Provider Specialty]] &amp; "+" &amp; Table1[[#This Row],[Provider Specialty Description]]</f>
        <v>345+General Pediatrician</v>
      </c>
      <c r="R959" s="7" t="str">
        <f>Table1[[#This Row],[PDMS Specialty Type ID]] &amp; "+" &amp; Table1[[#This Row],[PDMS Provider Type ID]] &amp; "+" &amp;Table1[[#This Row],[TAXONOMY]]</f>
        <v>2105+50+2080T0004X</v>
      </c>
      <c r="S9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(9938, 2105, 50, N'2080T0004X', N'Pediatrics - Pediatric Transplant Hepatology****')</v>
      </c>
    </row>
    <row r="960" spans="1:19" ht="47.25" hidden="1" customHeight="1" x14ac:dyDescent="0.25">
      <c r="A960" s="22" t="s">
        <v>1854</v>
      </c>
      <c r="B960" s="3" t="s">
        <v>988</v>
      </c>
      <c r="C960" s="3" t="s">
        <v>325</v>
      </c>
      <c r="D960" s="3" t="s">
        <v>1299</v>
      </c>
      <c r="E960" s="3" t="s">
        <v>1300</v>
      </c>
      <c r="F960" s="3">
        <f>VLOOKUP(Table1[[#This Row],[Column2]], TAXONOMY_TYPE, 2, FALSE)</f>
        <v>9939</v>
      </c>
      <c r="G960" s="3">
        <v>33</v>
      </c>
      <c r="H960" s="3" t="s">
        <v>1953</v>
      </c>
      <c r="I960" s="3">
        <f>VLOOKUP(Table1[[#This Row],[Provider Type]] &amp; Table1[[#This Row],[Provider Type Description]], PROVIDER_TYPE, 2, FALSE)</f>
        <v>51</v>
      </c>
      <c r="J960" s="3">
        <v>345</v>
      </c>
      <c r="K960" s="3" t="s">
        <v>1260</v>
      </c>
      <c r="L960" s="3">
        <f>VLOOKUP(TRIM(Table1[[#This Row],[Provider Specialty]]) &amp; TRIM(Table1[[#This Row],[Provider Specialty Description]]), SPECIALTY_TYPE, 2, FALSE)</f>
        <v>2105</v>
      </c>
      <c r="M960" s="3" t="s">
        <v>18</v>
      </c>
      <c r="N960" s="27" t="s">
        <v>19</v>
      </c>
      <c r="O960" s="38">
        <f>VLOOKUP(TRIM(Table1[[#This Row],[Provider Specialty]]) &amp; TRIM(Table1[[#This Row],[Provider Specialty Description]]), SPECIALTY_TYPE, 2, FALSE)</f>
        <v>2105</v>
      </c>
      <c r="P960" s="3" t="str">
        <f>Table1[[#This Row],[Provider Type]] &amp; "+" &amp; Table1[[#This Row],[Provider Type Description]]</f>
        <v>33+Single-Specialty</v>
      </c>
      <c r="Q960" s="7" t="str">
        <f>Table1[[#This Row],[Provider Specialty]] &amp; "+" &amp; Table1[[#This Row],[Provider Specialty Description]]</f>
        <v>345+General Pediatrician</v>
      </c>
      <c r="R960" s="7" t="str">
        <f>Table1[[#This Row],[PDMS Specialty Type ID]] &amp; "+" &amp; Table1[[#This Row],[PDMS Provider Type ID]] &amp; "+" &amp;Table1[[#This Row],[TAXONOMY]]</f>
        <v>2105+51+2080T0004X</v>
      </c>
      <c r="S9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(9939, 2105, 51, N'2080T0004X', N'Pediatrics - Pediatric Transplant Hepatology****')</v>
      </c>
    </row>
    <row r="961" spans="1:19" ht="47.25" hidden="1" customHeight="1" x14ac:dyDescent="0.25">
      <c r="A961" s="22" t="s">
        <v>1855</v>
      </c>
      <c r="B961" s="3" t="s">
        <v>988</v>
      </c>
      <c r="C961" s="3" t="s">
        <v>1364</v>
      </c>
      <c r="D961" s="3" t="s">
        <v>1380</v>
      </c>
      <c r="E961" s="3" t="s">
        <v>1381</v>
      </c>
      <c r="F961" s="3">
        <f>VLOOKUP(Table1[[#This Row],[Column2]], TAXONOMY_TYPE, 2, FALSE)</f>
        <v>9940</v>
      </c>
      <c r="G961" s="3">
        <v>31</v>
      </c>
      <c r="H961" s="3" t="s">
        <v>991</v>
      </c>
      <c r="I961" s="3">
        <f>VLOOKUP(Table1[[#This Row],[Provider Type]] &amp; Table1[[#This Row],[Provider Type Description]], PROVIDER_TYPE, 2, FALSE)</f>
        <v>114</v>
      </c>
      <c r="J961" s="3">
        <v>347</v>
      </c>
      <c r="K961" s="3" t="s">
        <v>1382</v>
      </c>
      <c r="L961" s="3">
        <f>VLOOKUP(TRIM(Table1[[#This Row],[Provider Specialty]]) &amp; TRIM(Table1[[#This Row],[Provider Specialty Description]]), SPECIALTY_TYPE, 2, FALSE)</f>
        <v>2106</v>
      </c>
      <c r="M961" s="3" t="s">
        <v>19</v>
      </c>
      <c r="N961" s="27" t="s">
        <v>19</v>
      </c>
      <c r="O961" s="38">
        <f>VLOOKUP(TRIM(Table1[[#This Row],[Provider Specialty]]) &amp; TRIM(Table1[[#This Row],[Provider Specialty Description]]), SPECIALTY_TYPE, 2, FALSE)</f>
        <v>2106</v>
      </c>
      <c r="P961" s="3" t="str">
        <f>Table1[[#This Row],[Provider Type]] &amp; "+" &amp; Table1[[#This Row],[Provider Type Description]]</f>
        <v>31+Physician</v>
      </c>
      <c r="Q961" s="7" t="str">
        <f>Table1[[#This Row],[Provider Specialty]] &amp; "+" &amp; Table1[[#This Row],[Provider Specialty Description]]</f>
        <v>347+Radiation Therapist</v>
      </c>
      <c r="R961" s="7" t="str">
        <f>Table1[[#This Row],[PDMS Specialty Type ID]] &amp; "+" &amp; Table1[[#This Row],[PDMS Provider Type ID]] &amp; "+" &amp;Table1[[#This Row],[TAXONOMY]]</f>
        <v>2106+114+2085R0203X</v>
      </c>
      <c r="S9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(9940, 2106, 114, N'2085R0203X', N'Radiology - - Therapeutic Radiology')</v>
      </c>
    </row>
    <row r="962" spans="1:19" ht="47.25" hidden="1" customHeight="1" x14ac:dyDescent="0.25">
      <c r="A962" s="22" t="s">
        <v>1854</v>
      </c>
      <c r="B962" s="3" t="s">
        <v>988</v>
      </c>
      <c r="C962" s="3" t="s">
        <v>1364</v>
      </c>
      <c r="D962" s="3" t="s">
        <v>1380</v>
      </c>
      <c r="E962" s="3" t="s">
        <v>1381</v>
      </c>
      <c r="F962" s="3">
        <f>VLOOKUP(Table1[[#This Row],[Column2]], TAXONOMY_TYPE, 2, FALSE)</f>
        <v>9941</v>
      </c>
      <c r="G962" s="3">
        <v>32</v>
      </c>
      <c r="H962" s="3" t="s">
        <v>1444</v>
      </c>
      <c r="I962" s="3">
        <f>VLOOKUP(Table1[[#This Row],[Provider Type]] &amp; Table1[[#This Row],[Provider Type Description]], PROVIDER_TYPE, 2, FALSE)</f>
        <v>50</v>
      </c>
      <c r="J962" s="3">
        <v>347</v>
      </c>
      <c r="K962" s="3" t="s">
        <v>1382</v>
      </c>
      <c r="L962" s="3">
        <f>VLOOKUP(TRIM(Table1[[#This Row],[Provider Specialty]]) &amp; TRIM(Table1[[#This Row],[Provider Specialty Description]]), SPECIALTY_TYPE, 2, FALSE)</f>
        <v>2106</v>
      </c>
      <c r="M962" s="3" t="s">
        <v>18</v>
      </c>
      <c r="N962" s="27" t="s">
        <v>19</v>
      </c>
      <c r="O962" s="38">
        <f>VLOOKUP(TRIM(Table1[[#This Row],[Provider Specialty]]) &amp; TRIM(Table1[[#This Row],[Provider Specialty Description]]), SPECIALTY_TYPE, 2, FALSE)</f>
        <v>2106</v>
      </c>
      <c r="P962" s="3" t="str">
        <f>Table1[[#This Row],[Provider Type]] &amp; "+" &amp; Table1[[#This Row],[Provider Type Description]]</f>
        <v>32+Multi-Specialty</v>
      </c>
      <c r="Q962" s="7" t="str">
        <f>Table1[[#This Row],[Provider Specialty]] &amp; "+" &amp; Table1[[#This Row],[Provider Specialty Description]]</f>
        <v>347+Radiation Therapist</v>
      </c>
      <c r="R962" s="7" t="str">
        <f>Table1[[#This Row],[PDMS Specialty Type ID]] &amp; "+" &amp; Table1[[#This Row],[PDMS Provider Type ID]] &amp; "+" &amp;Table1[[#This Row],[TAXONOMY]]</f>
        <v>2106+50+2085R0203X</v>
      </c>
      <c r="S9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(9941, 2106, 50, N'2085R0203X', N'Radiology - - Therapeutic Radiology')</v>
      </c>
    </row>
    <row r="963" spans="1:19" ht="47.25" hidden="1" customHeight="1" x14ac:dyDescent="0.25">
      <c r="A963" s="22" t="s">
        <v>1854</v>
      </c>
      <c r="B963" s="3" t="s">
        <v>988</v>
      </c>
      <c r="C963" s="3" t="s">
        <v>1364</v>
      </c>
      <c r="D963" s="3" t="s">
        <v>1380</v>
      </c>
      <c r="E963" s="3" t="s">
        <v>1381</v>
      </c>
      <c r="F963" s="3">
        <f>VLOOKUP(Table1[[#This Row],[Column2]], TAXONOMY_TYPE, 2, FALSE)</f>
        <v>9942</v>
      </c>
      <c r="G963" s="3">
        <v>33</v>
      </c>
      <c r="H963" s="3" t="s">
        <v>1953</v>
      </c>
      <c r="I963" s="3">
        <f>VLOOKUP(Table1[[#This Row],[Provider Type]] &amp; Table1[[#This Row],[Provider Type Description]], PROVIDER_TYPE, 2, FALSE)</f>
        <v>51</v>
      </c>
      <c r="J963" s="3">
        <v>347</v>
      </c>
      <c r="K963" s="3" t="s">
        <v>1382</v>
      </c>
      <c r="L963" s="3">
        <f>VLOOKUP(TRIM(Table1[[#This Row],[Provider Specialty]]) &amp; TRIM(Table1[[#This Row],[Provider Specialty Description]]), SPECIALTY_TYPE, 2, FALSE)</f>
        <v>2106</v>
      </c>
      <c r="M963" s="3" t="s">
        <v>18</v>
      </c>
      <c r="N963" s="27" t="s">
        <v>19</v>
      </c>
      <c r="O963" s="38">
        <f>VLOOKUP(TRIM(Table1[[#This Row],[Provider Specialty]]) &amp; TRIM(Table1[[#This Row],[Provider Specialty Description]]), SPECIALTY_TYPE, 2, FALSE)</f>
        <v>2106</v>
      </c>
      <c r="P963" s="3" t="str">
        <f>Table1[[#This Row],[Provider Type]] &amp; "+" &amp; Table1[[#This Row],[Provider Type Description]]</f>
        <v>33+Single-Specialty</v>
      </c>
      <c r="Q963" s="7" t="str">
        <f>Table1[[#This Row],[Provider Specialty]] &amp; "+" &amp; Table1[[#This Row],[Provider Specialty Description]]</f>
        <v>347+Radiation Therapist</v>
      </c>
      <c r="R963" s="7" t="str">
        <f>Table1[[#This Row],[PDMS Specialty Type ID]] &amp; "+" &amp; Table1[[#This Row],[PDMS Provider Type ID]] &amp; "+" &amp;Table1[[#This Row],[TAXONOMY]]</f>
        <v>2106+51+2085R0203X</v>
      </c>
      <c r="S9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(9942, 2106, 51, N'2085R0203X', N'Radiology - - Therapeutic Radiology')</v>
      </c>
    </row>
    <row r="964" spans="1:19" ht="47.25" hidden="1" customHeight="1" x14ac:dyDescent="0.25">
      <c r="A964" s="22" t="s">
        <v>1855</v>
      </c>
      <c r="B964" s="3" t="s">
        <v>988</v>
      </c>
      <c r="C964" s="3" t="s">
        <v>1061</v>
      </c>
      <c r="D964" s="3" t="s">
        <v>1061</v>
      </c>
      <c r="E964" s="3" t="s">
        <v>1062</v>
      </c>
      <c r="F964" s="3">
        <f>VLOOKUP(Table1[[#This Row],[Column2]], TAXONOMY_TYPE, 2, FALSE)</f>
        <v>9943</v>
      </c>
      <c r="G964" s="3">
        <v>31</v>
      </c>
      <c r="H964" s="3" t="s">
        <v>991</v>
      </c>
      <c r="I964" s="3">
        <f>VLOOKUP(Table1[[#This Row],[Provider Type]] &amp; Table1[[#This Row],[Provider Type Description]], PROVIDER_TYPE, 2, FALSE)</f>
        <v>114</v>
      </c>
      <c r="J964" s="3">
        <v>348</v>
      </c>
      <c r="K964" s="3" t="s">
        <v>1063</v>
      </c>
      <c r="L964" s="3">
        <f>VLOOKUP(TRIM(Table1[[#This Row],[Provider Specialty]]) &amp; TRIM(Table1[[#This Row],[Provider Specialty Description]]), SPECIALTY_TYPE, 2, FALSE)</f>
        <v>2107</v>
      </c>
      <c r="M964" s="3" t="s">
        <v>19</v>
      </c>
      <c r="N964" s="27" t="s">
        <v>19</v>
      </c>
      <c r="O964" s="38">
        <f>VLOOKUP(TRIM(Table1[[#This Row],[Provider Specialty]]) &amp; TRIM(Table1[[#This Row],[Provider Specialty Description]]), SPECIALTY_TYPE, 2, FALSE)</f>
        <v>2107</v>
      </c>
      <c r="P964" s="3" t="str">
        <f>Table1[[#This Row],[Provider Type]] &amp; "+" &amp; Table1[[#This Row],[Provider Type Description]]</f>
        <v>31+Physician</v>
      </c>
      <c r="Q964" s="7" t="str">
        <f>Table1[[#This Row],[Provider Specialty]] &amp; "+" &amp; Table1[[#This Row],[Provider Specialty Description]]</f>
        <v>348+Osteopathic Manipulative Medicine</v>
      </c>
      <c r="R964" s="7" t="str">
        <f>Table1[[#This Row],[PDMS Specialty Type ID]] &amp; "+" &amp; Table1[[#This Row],[PDMS Provider Type ID]] &amp; "+" &amp;Table1[[#This Row],[TAXONOMY]]</f>
        <v>2107+114+204D00000X</v>
      </c>
      <c r="S9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(9943, 2107, 114, N'204D00000X', N'Neuromusculoskeletal Medicine &amp; OMM - Neuromusculoskeletal Medicine &amp; OMM')</v>
      </c>
    </row>
    <row r="965" spans="1:19" ht="47.25" hidden="1" customHeight="1" x14ac:dyDescent="0.25">
      <c r="A965" s="22" t="s">
        <v>1854</v>
      </c>
      <c r="B965" s="3" t="s">
        <v>988</v>
      </c>
      <c r="C965" s="3" t="s">
        <v>1061</v>
      </c>
      <c r="D965" s="3" t="s">
        <v>1061</v>
      </c>
      <c r="E965" s="3" t="s">
        <v>1062</v>
      </c>
      <c r="F965" s="3">
        <f>VLOOKUP(Table1[[#This Row],[Column2]], TAXONOMY_TYPE, 2, FALSE)</f>
        <v>9944</v>
      </c>
      <c r="G965" s="3">
        <v>32</v>
      </c>
      <c r="H965" s="3" t="s">
        <v>1444</v>
      </c>
      <c r="I965" s="3">
        <f>VLOOKUP(Table1[[#This Row],[Provider Type]] &amp; Table1[[#This Row],[Provider Type Description]], PROVIDER_TYPE, 2, FALSE)</f>
        <v>50</v>
      </c>
      <c r="J965" s="3">
        <v>349</v>
      </c>
      <c r="K965" s="3" t="s">
        <v>1063</v>
      </c>
      <c r="L965" s="3">
        <f>VLOOKUP(TRIM(Table1[[#This Row],[Provider Specialty]]) &amp; TRIM(Table1[[#This Row],[Provider Specialty Description]]), SPECIALTY_TYPE, 2, FALSE)</f>
        <v>2261</v>
      </c>
      <c r="M965" s="3" t="s">
        <v>18</v>
      </c>
      <c r="N965" s="27" t="s">
        <v>19</v>
      </c>
      <c r="O965" s="38">
        <f>VLOOKUP(TRIM(Table1[[#This Row],[Provider Specialty]]) &amp; TRIM(Table1[[#This Row],[Provider Specialty Description]]), SPECIALTY_TYPE, 2, FALSE)</f>
        <v>2261</v>
      </c>
      <c r="P965" s="3" t="str">
        <f>Table1[[#This Row],[Provider Type]] &amp; "+" &amp; Table1[[#This Row],[Provider Type Description]]</f>
        <v>32+Multi-Specialty</v>
      </c>
      <c r="Q965" s="7" t="str">
        <f>Table1[[#This Row],[Provider Specialty]] &amp; "+" &amp; Table1[[#This Row],[Provider Specialty Description]]</f>
        <v>349+Osteopathic Manipulative Medicine</v>
      </c>
      <c r="R965" s="7" t="str">
        <f>Table1[[#This Row],[PDMS Specialty Type ID]] &amp; "+" &amp; Table1[[#This Row],[PDMS Provider Type ID]] &amp; "+" &amp;Table1[[#This Row],[TAXONOMY]]</f>
        <v>2261+50+204D00000X</v>
      </c>
      <c r="S9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(9944, 2261, 50, N'204D00000X', N'Neuromusculoskeletal Medicine &amp; OMM - Neuromusculoskeletal Medicine &amp; OMM')</v>
      </c>
    </row>
    <row r="966" spans="1:19" ht="47.25" hidden="1" customHeight="1" x14ac:dyDescent="0.25">
      <c r="A966" s="22" t="s">
        <v>1854</v>
      </c>
      <c r="B966" s="3" t="s">
        <v>988</v>
      </c>
      <c r="C966" s="3" t="s">
        <v>1061</v>
      </c>
      <c r="D966" s="3" t="s">
        <v>1061</v>
      </c>
      <c r="E966" s="3" t="s">
        <v>1062</v>
      </c>
      <c r="F966" s="3">
        <f>VLOOKUP(Table1[[#This Row],[Column2]], TAXONOMY_TYPE, 2, FALSE)</f>
        <v>9945</v>
      </c>
      <c r="G966" s="3">
        <v>33</v>
      </c>
      <c r="H966" s="3" t="s">
        <v>1953</v>
      </c>
      <c r="I966" s="3">
        <f>VLOOKUP(Table1[[#This Row],[Provider Type]] &amp; Table1[[#This Row],[Provider Type Description]], PROVIDER_TYPE, 2, FALSE)</f>
        <v>51</v>
      </c>
      <c r="J966" s="3">
        <v>350</v>
      </c>
      <c r="K966" s="3" t="s">
        <v>1063</v>
      </c>
      <c r="L966" s="3">
        <f>VLOOKUP(TRIM(Table1[[#This Row],[Provider Specialty]]) &amp; TRIM(Table1[[#This Row],[Provider Specialty Description]]), SPECIALTY_TYPE, 2, FALSE)</f>
        <v>2262</v>
      </c>
      <c r="M966" s="3" t="s">
        <v>18</v>
      </c>
      <c r="N966" s="27" t="s">
        <v>19</v>
      </c>
      <c r="O966" s="38">
        <f>VLOOKUP(TRIM(Table1[[#This Row],[Provider Specialty]]) &amp; TRIM(Table1[[#This Row],[Provider Specialty Description]]), SPECIALTY_TYPE, 2, FALSE)</f>
        <v>2262</v>
      </c>
      <c r="P966" s="3" t="str">
        <f>Table1[[#This Row],[Provider Type]] &amp; "+" &amp; Table1[[#This Row],[Provider Type Description]]</f>
        <v>33+Single-Specialty</v>
      </c>
      <c r="Q966" s="7" t="str">
        <f>Table1[[#This Row],[Provider Specialty]] &amp; "+" &amp; Table1[[#This Row],[Provider Specialty Description]]</f>
        <v>350+Osteopathic Manipulative Medicine</v>
      </c>
      <c r="R966" s="7" t="str">
        <f>Table1[[#This Row],[PDMS Specialty Type ID]] &amp; "+" &amp; Table1[[#This Row],[PDMS Provider Type ID]] &amp; "+" &amp;Table1[[#This Row],[TAXONOMY]]</f>
        <v>2262+51+204D00000X</v>
      </c>
      <c r="S9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(9945, 2262, 51, N'204D00000X', N'Neuromusculoskeletal Medicine &amp; OMM - Neuromusculoskeletal Medicine &amp; OMM')</v>
      </c>
    </row>
    <row r="967" spans="1:19" ht="47.25" hidden="1" customHeight="1" x14ac:dyDescent="0.25">
      <c r="A967" s="22" t="s">
        <v>1855</v>
      </c>
      <c r="B967" s="3" t="s">
        <v>988</v>
      </c>
      <c r="C967" s="3" t="s">
        <v>325</v>
      </c>
      <c r="D967" s="3" t="s">
        <v>1042</v>
      </c>
      <c r="E967" s="3" t="s">
        <v>1043</v>
      </c>
      <c r="F967" s="3">
        <f>VLOOKUP(Table1[[#This Row],[Column2]], TAXONOMY_TYPE, 2, FALSE)</f>
        <v>9946</v>
      </c>
      <c r="G967" s="3">
        <v>31</v>
      </c>
      <c r="H967" s="3" t="s">
        <v>991</v>
      </c>
      <c r="I967" s="3">
        <f>VLOOKUP(Table1[[#This Row],[Provider Type]] &amp; Table1[[#This Row],[Provider Type Description]], PROVIDER_TYPE, 2, FALSE)</f>
        <v>114</v>
      </c>
      <c r="J967" s="3">
        <v>349</v>
      </c>
      <c r="K967" s="3" t="s">
        <v>1044</v>
      </c>
      <c r="L967" s="3">
        <f>VLOOKUP(TRIM(Table1[[#This Row],[Provider Specialty]]) &amp; TRIM(Table1[[#This Row],[Provider Specialty Description]]), SPECIALTY_TYPE, 2, FALSE)</f>
        <v>2108</v>
      </c>
      <c r="M967" s="3" t="s">
        <v>18</v>
      </c>
      <c r="N967" s="27" t="s">
        <v>19</v>
      </c>
      <c r="O967" s="38">
        <f>VLOOKUP(TRIM(Table1[[#This Row],[Provider Specialty]]) &amp; TRIM(Table1[[#This Row],[Provider Specialty Description]]), SPECIALTY_TYPE, 2, FALSE)</f>
        <v>2108</v>
      </c>
      <c r="P967" s="3" t="str">
        <f>Table1[[#This Row],[Provider Type]] &amp; "+" &amp; Table1[[#This Row],[Provider Type Description]]</f>
        <v>31+Physician</v>
      </c>
      <c r="Q967" s="7" t="str">
        <f>Table1[[#This Row],[Provider Specialty]] &amp; "+" &amp; Table1[[#This Row],[Provider Specialty Description]]</f>
        <v>349+Pediatric Oncology</v>
      </c>
      <c r="R967" s="7" t="str">
        <f>Table1[[#This Row],[PDMS Specialty Type ID]] &amp; "+" &amp; Table1[[#This Row],[PDMS Provider Type ID]] &amp; "+" &amp;Table1[[#This Row],[TAXONOMY]]</f>
        <v>2108+114+2080P0207X</v>
      </c>
      <c r="S9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(9946, 2108, 114, N'2080P0207X', N'Pediatrics - Pediatric Hematology-Oncology')</v>
      </c>
    </row>
    <row r="968" spans="1:19" ht="47.25" hidden="1" customHeight="1" x14ac:dyDescent="0.25">
      <c r="A968" s="22" t="s">
        <v>1854</v>
      </c>
      <c r="B968" s="3" t="s">
        <v>988</v>
      </c>
      <c r="C968" s="3" t="s">
        <v>325</v>
      </c>
      <c r="D968" s="3" t="s">
        <v>1042</v>
      </c>
      <c r="E968" s="3" t="s">
        <v>1043</v>
      </c>
      <c r="F968" s="3">
        <f>VLOOKUP(Table1[[#This Row],[Column2]], TAXONOMY_TYPE, 2, FALSE)</f>
        <v>9947</v>
      </c>
      <c r="G968" s="3">
        <v>32</v>
      </c>
      <c r="H968" s="3" t="s">
        <v>1444</v>
      </c>
      <c r="I968" s="3">
        <f>VLOOKUP(Table1[[#This Row],[Provider Type]] &amp; Table1[[#This Row],[Provider Type Description]], PROVIDER_TYPE, 2, FALSE)</f>
        <v>50</v>
      </c>
      <c r="J968" s="3">
        <v>349</v>
      </c>
      <c r="K968" s="3" t="s">
        <v>1044</v>
      </c>
      <c r="L968" s="3">
        <f>VLOOKUP(TRIM(Table1[[#This Row],[Provider Specialty]]) &amp; TRIM(Table1[[#This Row],[Provider Specialty Description]]), SPECIALTY_TYPE, 2, FALSE)</f>
        <v>2108</v>
      </c>
      <c r="M968" s="3" t="s">
        <v>18</v>
      </c>
      <c r="N968" s="27" t="s">
        <v>19</v>
      </c>
      <c r="O968" s="38">
        <f>VLOOKUP(TRIM(Table1[[#This Row],[Provider Specialty]]) &amp; TRIM(Table1[[#This Row],[Provider Specialty Description]]), SPECIALTY_TYPE, 2, FALSE)</f>
        <v>2108</v>
      </c>
      <c r="P968" s="3" t="str">
        <f>Table1[[#This Row],[Provider Type]] &amp; "+" &amp; Table1[[#This Row],[Provider Type Description]]</f>
        <v>32+Multi-Specialty</v>
      </c>
      <c r="Q968" s="7" t="str">
        <f>Table1[[#This Row],[Provider Specialty]] &amp; "+" &amp; Table1[[#This Row],[Provider Specialty Description]]</f>
        <v>349+Pediatric Oncology</v>
      </c>
      <c r="R968" s="7" t="str">
        <f>Table1[[#This Row],[PDMS Specialty Type ID]] &amp; "+" &amp; Table1[[#This Row],[PDMS Provider Type ID]] &amp; "+" &amp;Table1[[#This Row],[TAXONOMY]]</f>
        <v>2108+50+2080P0207X</v>
      </c>
      <c r="S9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(9947, 2108, 50, N'2080P0207X', N'Pediatrics - Pediatric Hematology-Oncology')</v>
      </c>
    </row>
    <row r="969" spans="1:19" ht="47.25" hidden="1" customHeight="1" x14ac:dyDescent="0.25">
      <c r="A969" s="22" t="s">
        <v>1854</v>
      </c>
      <c r="B969" s="3" t="s">
        <v>988</v>
      </c>
      <c r="C969" s="3" t="s">
        <v>325</v>
      </c>
      <c r="D969" s="3" t="s">
        <v>1042</v>
      </c>
      <c r="E969" s="3" t="s">
        <v>1043</v>
      </c>
      <c r="F969" s="3">
        <f>VLOOKUP(Table1[[#This Row],[Column2]], TAXONOMY_TYPE, 2, FALSE)</f>
        <v>9948</v>
      </c>
      <c r="G969" s="3">
        <v>33</v>
      </c>
      <c r="H969" s="3" t="s">
        <v>1953</v>
      </c>
      <c r="I969" s="3">
        <f>VLOOKUP(Table1[[#This Row],[Provider Type]] &amp; Table1[[#This Row],[Provider Type Description]], PROVIDER_TYPE, 2, FALSE)</f>
        <v>51</v>
      </c>
      <c r="J969" s="3">
        <v>349</v>
      </c>
      <c r="K969" s="3" t="s">
        <v>1044</v>
      </c>
      <c r="L969" s="3">
        <f>VLOOKUP(TRIM(Table1[[#This Row],[Provider Specialty]]) &amp; TRIM(Table1[[#This Row],[Provider Specialty Description]]), SPECIALTY_TYPE, 2, FALSE)</f>
        <v>2108</v>
      </c>
      <c r="M969" s="3" t="s">
        <v>18</v>
      </c>
      <c r="N969" s="27" t="s">
        <v>19</v>
      </c>
      <c r="O969" s="38">
        <f>VLOOKUP(TRIM(Table1[[#This Row],[Provider Specialty]]) &amp; TRIM(Table1[[#This Row],[Provider Specialty Description]]), SPECIALTY_TYPE, 2, FALSE)</f>
        <v>2108</v>
      </c>
      <c r="P969" s="3" t="str">
        <f>Table1[[#This Row],[Provider Type]] &amp; "+" &amp; Table1[[#This Row],[Provider Type Description]]</f>
        <v>33+Single-Specialty</v>
      </c>
      <c r="Q969" s="7" t="str">
        <f>Table1[[#This Row],[Provider Specialty]] &amp; "+" &amp; Table1[[#This Row],[Provider Specialty Description]]</f>
        <v>349+Pediatric Oncology</v>
      </c>
      <c r="R969" s="7" t="str">
        <f>Table1[[#This Row],[PDMS Specialty Type ID]] &amp; "+" &amp; Table1[[#This Row],[PDMS Provider Type ID]] &amp; "+" &amp;Table1[[#This Row],[TAXONOMY]]</f>
        <v>2108+51+2080P0207X</v>
      </c>
      <c r="S9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(9948, 2108, 51, N'2080P0207X', N'Pediatrics - Pediatric Hematology-Oncology')</v>
      </c>
    </row>
    <row r="970" spans="1:19" ht="47.25" hidden="1" customHeight="1" x14ac:dyDescent="0.25">
      <c r="A970" s="22" t="s">
        <v>1855</v>
      </c>
      <c r="B970" s="3" t="s">
        <v>988</v>
      </c>
      <c r="C970" s="3" t="s">
        <v>999</v>
      </c>
      <c r="D970" s="3" t="s">
        <v>1013</v>
      </c>
      <c r="E970" s="3" t="s">
        <v>1014</v>
      </c>
      <c r="F970" s="3">
        <f>VLOOKUP(Table1[[#This Row],[Column2]], TAXONOMY_TYPE, 2, FALSE)</f>
        <v>9949</v>
      </c>
      <c r="G970" s="3">
        <v>31</v>
      </c>
      <c r="H970" s="3" t="s">
        <v>991</v>
      </c>
      <c r="I970" s="3">
        <f>VLOOKUP(Table1[[#This Row],[Provider Type]] &amp; Table1[[#This Row],[Provider Type Description]], PROVIDER_TYPE, 2, FALSE)</f>
        <v>114</v>
      </c>
      <c r="J970" s="3">
        <v>350</v>
      </c>
      <c r="K970" s="3" t="s">
        <v>1015</v>
      </c>
      <c r="L970" s="3">
        <f>VLOOKUP(TRIM(Table1[[#This Row],[Provider Specialty]]) &amp; TRIM(Table1[[#This Row],[Provider Specialty Description]]), SPECIALTY_TYPE, 2, FALSE)</f>
        <v>2109</v>
      </c>
      <c r="M970" s="3" t="s">
        <v>18</v>
      </c>
      <c r="N970" s="27" t="s">
        <v>19</v>
      </c>
      <c r="O970" s="38">
        <f>VLOOKUP(TRIM(Table1[[#This Row],[Provider Specialty]]) &amp; TRIM(Table1[[#This Row],[Provider Specialty Description]]), SPECIALTY_TYPE, 2, FALSE)</f>
        <v>2109</v>
      </c>
      <c r="P970" s="3" t="str">
        <f>Table1[[#This Row],[Provider Type]] &amp; "+" &amp; Table1[[#This Row],[Provider Type Description]]</f>
        <v>31+Physician</v>
      </c>
      <c r="Q970" s="7" t="str">
        <f>Table1[[#This Row],[Provider Specialty]] &amp; "+" &amp; Table1[[#This Row],[Provider Specialty Description]]</f>
        <v>350+Rheumatologist</v>
      </c>
      <c r="R970" s="7" t="str">
        <f>Table1[[#This Row],[PDMS Specialty Type ID]] &amp; "+" &amp; Table1[[#This Row],[PDMS Provider Type ID]] &amp; "+" &amp;Table1[[#This Row],[TAXONOMY]]</f>
        <v>2109+114+207RR0500X</v>
      </c>
      <c r="S9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(9949, 2109, 114, N'207RR0500X', N'Internal Medicine - Rheumatology')</v>
      </c>
    </row>
    <row r="971" spans="1:19" ht="47.25" hidden="1" customHeight="1" x14ac:dyDescent="0.25">
      <c r="A971" s="22" t="s">
        <v>1854</v>
      </c>
      <c r="B971" s="3" t="s">
        <v>988</v>
      </c>
      <c r="C971" s="3" t="s">
        <v>999</v>
      </c>
      <c r="D971" s="3" t="s">
        <v>1013</v>
      </c>
      <c r="E971" s="3" t="s">
        <v>1014</v>
      </c>
      <c r="F971" s="3">
        <f>VLOOKUP(Table1[[#This Row],[Column2]], TAXONOMY_TYPE, 2, FALSE)</f>
        <v>9950</v>
      </c>
      <c r="G971" s="3">
        <v>32</v>
      </c>
      <c r="H971" s="3" t="s">
        <v>1444</v>
      </c>
      <c r="I971" s="3">
        <f>VLOOKUP(Table1[[#This Row],[Provider Type]] &amp; Table1[[#This Row],[Provider Type Description]], PROVIDER_TYPE, 2, FALSE)</f>
        <v>50</v>
      </c>
      <c r="J971" s="3">
        <v>350</v>
      </c>
      <c r="K971" s="3" t="s">
        <v>1015</v>
      </c>
      <c r="L971" s="3">
        <f>VLOOKUP(TRIM(Table1[[#This Row],[Provider Specialty]]) &amp; TRIM(Table1[[#This Row],[Provider Specialty Description]]), SPECIALTY_TYPE, 2, FALSE)</f>
        <v>2109</v>
      </c>
      <c r="M971" s="3" t="s">
        <v>18</v>
      </c>
      <c r="N971" s="27" t="s">
        <v>19</v>
      </c>
      <c r="O971" s="38">
        <f>VLOOKUP(TRIM(Table1[[#This Row],[Provider Specialty]]) &amp; TRIM(Table1[[#This Row],[Provider Specialty Description]]), SPECIALTY_TYPE, 2, FALSE)</f>
        <v>2109</v>
      </c>
      <c r="P971" s="3" t="str">
        <f>Table1[[#This Row],[Provider Type]] &amp; "+" &amp; Table1[[#This Row],[Provider Type Description]]</f>
        <v>32+Multi-Specialty</v>
      </c>
      <c r="Q971" s="7" t="str">
        <f>Table1[[#This Row],[Provider Specialty]] &amp; "+" &amp; Table1[[#This Row],[Provider Specialty Description]]</f>
        <v>350+Rheumatologist</v>
      </c>
      <c r="R971" s="7" t="str">
        <f>Table1[[#This Row],[PDMS Specialty Type ID]] &amp; "+" &amp; Table1[[#This Row],[PDMS Provider Type ID]] &amp; "+" &amp;Table1[[#This Row],[TAXONOMY]]</f>
        <v>2109+50+207RR0500X</v>
      </c>
      <c r="S9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(9950, 2109, 50, N'207RR0500X', N'Internal Medicine - Rheumatology')</v>
      </c>
    </row>
    <row r="972" spans="1:19" ht="47.25" hidden="1" customHeight="1" x14ac:dyDescent="0.25">
      <c r="A972" s="22" t="s">
        <v>1854</v>
      </c>
      <c r="B972" s="3" t="s">
        <v>988</v>
      </c>
      <c r="C972" s="3" t="s">
        <v>999</v>
      </c>
      <c r="D972" s="3" t="s">
        <v>1013</v>
      </c>
      <c r="E972" s="3" t="s">
        <v>1014</v>
      </c>
      <c r="F972" s="3">
        <f>VLOOKUP(Table1[[#This Row],[Column2]], TAXONOMY_TYPE, 2, FALSE)</f>
        <v>9951</v>
      </c>
      <c r="G972" s="3">
        <v>33</v>
      </c>
      <c r="H972" s="3" t="s">
        <v>1953</v>
      </c>
      <c r="I972" s="3">
        <f>VLOOKUP(Table1[[#This Row],[Provider Type]] &amp; Table1[[#This Row],[Provider Type Description]], PROVIDER_TYPE, 2, FALSE)</f>
        <v>51</v>
      </c>
      <c r="J972" s="3">
        <v>350</v>
      </c>
      <c r="K972" s="3" t="s">
        <v>1015</v>
      </c>
      <c r="L972" s="3">
        <f>VLOOKUP(TRIM(Table1[[#This Row],[Provider Specialty]]) &amp; TRIM(Table1[[#This Row],[Provider Specialty Description]]), SPECIALTY_TYPE, 2, FALSE)</f>
        <v>2109</v>
      </c>
      <c r="M972" s="3" t="s">
        <v>18</v>
      </c>
      <c r="N972" s="27" t="s">
        <v>19</v>
      </c>
      <c r="O972" s="38">
        <f>VLOOKUP(TRIM(Table1[[#This Row],[Provider Specialty]]) &amp; TRIM(Table1[[#This Row],[Provider Specialty Description]]), SPECIALTY_TYPE, 2, FALSE)</f>
        <v>2109</v>
      </c>
      <c r="P972" s="3" t="str">
        <f>Table1[[#This Row],[Provider Type]] &amp; "+" &amp; Table1[[#This Row],[Provider Type Description]]</f>
        <v>33+Single-Specialty</v>
      </c>
      <c r="Q972" s="7" t="str">
        <f>Table1[[#This Row],[Provider Specialty]] &amp; "+" &amp; Table1[[#This Row],[Provider Specialty Description]]</f>
        <v>350+Rheumatologist</v>
      </c>
      <c r="R972" s="7" t="str">
        <f>Table1[[#This Row],[PDMS Specialty Type ID]] &amp; "+" &amp; Table1[[#This Row],[PDMS Provider Type ID]] &amp; "+" &amp;Table1[[#This Row],[TAXONOMY]]</f>
        <v>2109+51+207RR0500X</v>
      </c>
      <c r="S9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(9951, 2109, 51, N'207RR0500X', N'Internal Medicine - Rheumatology')</v>
      </c>
    </row>
    <row r="973" spans="1:19" ht="47.25" hidden="1" customHeight="1" x14ac:dyDescent="0.25">
      <c r="A973" s="22" t="s">
        <v>1855</v>
      </c>
      <c r="B973" s="3" t="s">
        <v>988</v>
      </c>
      <c r="C973" s="3" t="s">
        <v>1364</v>
      </c>
      <c r="D973" s="3" t="s">
        <v>1375</v>
      </c>
      <c r="E973" s="3" t="s">
        <v>1376</v>
      </c>
      <c r="F973" s="3">
        <f>VLOOKUP(Table1[[#This Row],[Column2]], TAXONOMY_TYPE, 2, FALSE)</f>
        <v>9952</v>
      </c>
      <c r="G973" s="3">
        <v>31</v>
      </c>
      <c r="H973" s="3" t="s">
        <v>991</v>
      </c>
      <c r="I973" s="3">
        <f>VLOOKUP(Table1[[#This Row],[Provider Type]] &amp; Table1[[#This Row],[Provider Type Description]], PROVIDER_TYPE, 2, FALSE)</f>
        <v>114</v>
      </c>
      <c r="J973" s="3">
        <v>351</v>
      </c>
      <c r="K973" s="3" t="s">
        <v>1377</v>
      </c>
      <c r="L973" s="3">
        <f>VLOOKUP(TRIM(Table1[[#This Row],[Provider Specialty]]) &amp; TRIM(Table1[[#This Row],[Provider Specialty Description]]), SPECIALTY_TYPE, 2, FALSE)</f>
        <v>170</v>
      </c>
      <c r="M973" s="3" t="s">
        <v>19</v>
      </c>
      <c r="N973" s="27" t="s">
        <v>19</v>
      </c>
      <c r="O973" s="38">
        <f>VLOOKUP(TRIM(Table1[[#This Row],[Provider Specialty]]) &amp; TRIM(Table1[[#This Row],[Provider Specialty Description]]), SPECIALTY_TYPE, 2, FALSE)</f>
        <v>170</v>
      </c>
      <c r="P973" s="3" t="str">
        <f>Table1[[#This Row],[Provider Type]] &amp; "+" &amp; Table1[[#This Row],[Provider Type Description]]</f>
        <v>31+Physician</v>
      </c>
      <c r="Q973" s="7" t="str">
        <f>Table1[[#This Row],[Provider Specialty]] &amp; "+" &amp; Table1[[#This Row],[Provider Specialty Description]]</f>
        <v>351+Radiation Oncology</v>
      </c>
      <c r="R973" s="7" t="str">
        <f>Table1[[#This Row],[PDMS Specialty Type ID]] &amp; "+" &amp; Table1[[#This Row],[PDMS Provider Type ID]] &amp; "+" &amp;Table1[[#This Row],[TAXONOMY]]</f>
        <v>170+114+2085R0001X</v>
      </c>
      <c r="S9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(9952, 170, 114, N'2085R0001X', N'Radiology - - Radiation Oncology')</v>
      </c>
    </row>
    <row r="974" spans="1:19" ht="47.25" hidden="1" customHeight="1" x14ac:dyDescent="0.25">
      <c r="A974" s="22" t="s">
        <v>1854</v>
      </c>
      <c r="B974" s="3" t="s">
        <v>988</v>
      </c>
      <c r="C974" s="3" t="s">
        <v>1364</v>
      </c>
      <c r="D974" s="3" t="s">
        <v>1375</v>
      </c>
      <c r="E974" s="3" t="s">
        <v>1376</v>
      </c>
      <c r="F974" s="3">
        <f>VLOOKUP(Table1[[#This Row],[Column2]], TAXONOMY_TYPE, 2, FALSE)</f>
        <v>9953</v>
      </c>
      <c r="G974" s="3">
        <v>32</v>
      </c>
      <c r="H974" s="3" t="s">
        <v>1444</v>
      </c>
      <c r="I974" s="3">
        <f>VLOOKUP(Table1[[#This Row],[Provider Type]] &amp; Table1[[#This Row],[Provider Type Description]], PROVIDER_TYPE, 2, FALSE)</f>
        <v>50</v>
      </c>
      <c r="J974" s="3">
        <v>351</v>
      </c>
      <c r="K974" s="3" t="s">
        <v>1377</v>
      </c>
      <c r="L974" s="3">
        <f>VLOOKUP(TRIM(Table1[[#This Row],[Provider Specialty]]) &amp; TRIM(Table1[[#This Row],[Provider Specialty Description]]), SPECIALTY_TYPE, 2, FALSE)</f>
        <v>170</v>
      </c>
      <c r="M974" s="3" t="s">
        <v>18</v>
      </c>
      <c r="N974" s="27" t="s">
        <v>19</v>
      </c>
      <c r="O974" s="38">
        <f>VLOOKUP(TRIM(Table1[[#This Row],[Provider Specialty]]) &amp; TRIM(Table1[[#This Row],[Provider Specialty Description]]), SPECIALTY_TYPE, 2, FALSE)</f>
        <v>170</v>
      </c>
      <c r="P974" s="3" t="str">
        <f>Table1[[#This Row],[Provider Type]] &amp; "+" &amp; Table1[[#This Row],[Provider Type Description]]</f>
        <v>32+Multi-Specialty</v>
      </c>
      <c r="Q974" s="7" t="str">
        <f>Table1[[#This Row],[Provider Specialty]] &amp; "+" &amp; Table1[[#This Row],[Provider Specialty Description]]</f>
        <v>351+Radiation Oncology</v>
      </c>
      <c r="R974" s="7" t="str">
        <f>Table1[[#This Row],[PDMS Specialty Type ID]] &amp; "+" &amp; Table1[[#This Row],[PDMS Provider Type ID]] &amp; "+" &amp;Table1[[#This Row],[TAXONOMY]]</f>
        <v>170+50+2085R0001X</v>
      </c>
      <c r="S9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(9953, 170, 50, N'2085R0001X', N'Radiology - - Radiation Oncology')</v>
      </c>
    </row>
    <row r="975" spans="1:19" ht="47.25" hidden="1" customHeight="1" x14ac:dyDescent="0.25">
      <c r="A975" s="22" t="s">
        <v>1854</v>
      </c>
      <c r="B975" s="3" t="s">
        <v>988</v>
      </c>
      <c r="C975" s="3" t="s">
        <v>1364</v>
      </c>
      <c r="D975" s="3" t="s">
        <v>1375</v>
      </c>
      <c r="E975" s="3" t="s">
        <v>1376</v>
      </c>
      <c r="F975" s="3">
        <f>VLOOKUP(Table1[[#This Row],[Column2]], TAXONOMY_TYPE, 2, FALSE)</f>
        <v>9954</v>
      </c>
      <c r="G975" s="3">
        <v>33</v>
      </c>
      <c r="H975" s="3" t="s">
        <v>1953</v>
      </c>
      <c r="I975" s="3">
        <f>VLOOKUP(Table1[[#This Row],[Provider Type]] &amp; Table1[[#This Row],[Provider Type Description]], PROVIDER_TYPE, 2, FALSE)</f>
        <v>51</v>
      </c>
      <c r="J975" s="3">
        <v>351</v>
      </c>
      <c r="K975" s="3" t="s">
        <v>1377</v>
      </c>
      <c r="L975" s="3">
        <f>VLOOKUP(TRIM(Table1[[#This Row],[Provider Specialty]]) &amp; TRIM(Table1[[#This Row],[Provider Specialty Description]]), SPECIALTY_TYPE, 2, FALSE)</f>
        <v>170</v>
      </c>
      <c r="M975" s="3" t="s">
        <v>18</v>
      </c>
      <c r="N975" s="27" t="s">
        <v>19</v>
      </c>
      <c r="O975" s="38">
        <f>VLOOKUP(TRIM(Table1[[#This Row],[Provider Specialty]]) &amp; TRIM(Table1[[#This Row],[Provider Specialty Description]]), SPECIALTY_TYPE, 2, FALSE)</f>
        <v>170</v>
      </c>
      <c r="P975" s="3" t="str">
        <f>Table1[[#This Row],[Provider Type]] &amp; "+" &amp; Table1[[#This Row],[Provider Type Description]]</f>
        <v>33+Single-Specialty</v>
      </c>
      <c r="Q975" s="7" t="str">
        <f>Table1[[#This Row],[Provider Specialty]] &amp; "+" &amp; Table1[[#This Row],[Provider Specialty Description]]</f>
        <v>351+Radiation Oncology</v>
      </c>
      <c r="R975" s="7" t="str">
        <f>Table1[[#This Row],[PDMS Specialty Type ID]] &amp; "+" &amp; Table1[[#This Row],[PDMS Provider Type ID]] &amp; "+" &amp;Table1[[#This Row],[TAXONOMY]]</f>
        <v>170+51+2085R0001X</v>
      </c>
      <c r="S9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(9954, 170, 51, N'2085R0001X', N'Radiology - - Radiation Oncology')</v>
      </c>
    </row>
    <row r="976" spans="1:19" ht="47.25" hidden="1" customHeight="1" x14ac:dyDescent="0.25">
      <c r="A976" s="22" t="s">
        <v>1855</v>
      </c>
      <c r="B976" s="3" t="s">
        <v>988</v>
      </c>
      <c r="C976" s="3" t="s">
        <v>1048</v>
      </c>
      <c r="D976" s="3" t="s">
        <v>1052</v>
      </c>
      <c r="E976" s="3" t="s">
        <v>1053</v>
      </c>
      <c r="F976" s="3">
        <f>VLOOKUP(Table1[[#This Row],[Column2]], TAXONOMY_TYPE, 2, FALSE)</f>
        <v>9955</v>
      </c>
      <c r="G976" s="3">
        <v>31</v>
      </c>
      <c r="H976" s="3" t="s">
        <v>991</v>
      </c>
      <c r="I976" s="3">
        <f>VLOOKUP(Table1[[#This Row],[Provider Type]] &amp; Table1[[#This Row],[Provider Type Description]], PROVIDER_TYPE, 2, FALSE)</f>
        <v>114</v>
      </c>
      <c r="J976" s="3">
        <v>352</v>
      </c>
      <c r="K976" s="3" t="s">
        <v>1054</v>
      </c>
      <c r="L976" s="3">
        <f>VLOOKUP(TRIM(Table1[[#This Row],[Provider Specialty]]) &amp; TRIM(Table1[[#This Row],[Provider Specialty Description]]), SPECIALTY_TYPE, 2, FALSE)</f>
        <v>2110</v>
      </c>
      <c r="M976" s="3" t="s">
        <v>18</v>
      </c>
      <c r="N976" s="27" t="s">
        <v>19</v>
      </c>
      <c r="O976" s="38">
        <f>VLOOKUP(TRIM(Table1[[#This Row],[Provider Specialty]]) &amp; TRIM(Table1[[#This Row],[Provider Specialty Description]]), SPECIALTY_TYPE, 2, FALSE)</f>
        <v>2110</v>
      </c>
      <c r="P976" s="3" t="str">
        <f>Table1[[#This Row],[Provider Type]] &amp; "+" &amp; Table1[[#This Row],[Provider Type Description]]</f>
        <v>31+Physician</v>
      </c>
      <c r="Q976" s="7" t="str">
        <f>Table1[[#This Row],[Provider Specialty]] &amp; "+" &amp; Table1[[#This Row],[Provider Specialty Description]]</f>
        <v>352+Surgical Oncology</v>
      </c>
      <c r="R976" s="7" t="str">
        <f>Table1[[#This Row],[PDMS Specialty Type ID]] &amp; "+" &amp; Table1[[#This Row],[PDMS Provider Type ID]] &amp; "+" &amp;Table1[[#This Row],[TAXONOMY]]</f>
        <v>2110+114+2086X0206X</v>
      </c>
      <c r="S9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(9955, 2110, 114, N'2086X0206X', N'Surgery - Surgical Oncology##')</v>
      </c>
    </row>
    <row r="977" spans="1:19" ht="47.25" hidden="1" customHeight="1" x14ac:dyDescent="0.25">
      <c r="A977" s="22" t="s">
        <v>1854</v>
      </c>
      <c r="B977" s="3" t="s">
        <v>988</v>
      </c>
      <c r="C977" s="3" t="s">
        <v>1048</v>
      </c>
      <c r="D977" s="3" t="s">
        <v>1052</v>
      </c>
      <c r="E977" s="3" t="s">
        <v>1053</v>
      </c>
      <c r="F977" s="3">
        <f>VLOOKUP(Table1[[#This Row],[Column2]], TAXONOMY_TYPE, 2, FALSE)</f>
        <v>9956</v>
      </c>
      <c r="G977" s="3">
        <v>32</v>
      </c>
      <c r="H977" s="3" t="s">
        <v>1444</v>
      </c>
      <c r="I977" s="3">
        <f>VLOOKUP(Table1[[#This Row],[Provider Type]] &amp; Table1[[#This Row],[Provider Type Description]], PROVIDER_TYPE, 2, FALSE)</f>
        <v>50</v>
      </c>
      <c r="J977" s="3">
        <v>352</v>
      </c>
      <c r="K977" s="3" t="s">
        <v>1054</v>
      </c>
      <c r="L977" s="3">
        <f>VLOOKUP(TRIM(Table1[[#This Row],[Provider Specialty]]) &amp; TRIM(Table1[[#This Row],[Provider Specialty Description]]), SPECIALTY_TYPE, 2, FALSE)</f>
        <v>2110</v>
      </c>
      <c r="M977" s="3" t="s">
        <v>18</v>
      </c>
      <c r="N977" s="27" t="s">
        <v>19</v>
      </c>
      <c r="O977" s="38">
        <f>VLOOKUP(TRIM(Table1[[#This Row],[Provider Specialty]]) &amp; TRIM(Table1[[#This Row],[Provider Specialty Description]]), SPECIALTY_TYPE, 2, FALSE)</f>
        <v>2110</v>
      </c>
      <c r="P977" s="3" t="str">
        <f>Table1[[#This Row],[Provider Type]] &amp; "+" &amp; Table1[[#This Row],[Provider Type Description]]</f>
        <v>32+Multi-Specialty</v>
      </c>
      <c r="Q977" s="7" t="str">
        <f>Table1[[#This Row],[Provider Specialty]] &amp; "+" &amp; Table1[[#This Row],[Provider Specialty Description]]</f>
        <v>352+Surgical Oncology</v>
      </c>
      <c r="R977" s="7" t="str">
        <f>Table1[[#This Row],[PDMS Specialty Type ID]] &amp; "+" &amp; Table1[[#This Row],[PDMS Provider Type ID]] &amp; "+" &amp;Table1[[#This Row],[TAXONOMY]]</f>
        <v>2110+50+2086X0206X</v>
      </c>
      <c r="S9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(9956, 2110, 50, N'2086X0206X', N'Surgery - Surgical Oncology##')</v>
      </c>
    </row>
    <row r="978" spans="1:19" ht="47.25" hidden="1" customHeight="1" x14ac:dyDescent="0.25">
      <c r="A978" s="22" t="s">
        <v>1854</v>
      </c>
      <c r="B978" s="3" t="s">
        <v>988</v>
      </c>
      <c r="C978" s="3" t="s">
        <v>1048</v>
      </c>
      <c r="D978" s="3" t="s">
        <v>1052</v>
      </c>
      <c r="E978" s="3" t="s">
        <v>1053</v>
      </c>
      <c r="F978" s="3">
        <f>VLOOKUP(Table1[[#This Row],[Column2]], TAXONOMY_TYPE, 2, FALSE)</f>
        <v>9957</v>
      </c>
      <c r="G978" s="3">
        <v>33</v>
      </c>
      <c r="H978" s="3" t="s">
        <v>1953</v>
      </c>
      <c r="I978" s="3">
        <f>VLOOKUP(Table1[[#This Row],[Provider Type]] &amp; Table1[[#This Row],[Provider Type Description]], PROVIDER_TYPE, 2, FALSE)</f>
        <v>51</v>
      </c>
      <c r="J978" s="3">
        <v>352</v>
      </c>
      <c r="K978" s="3" t="s">
        <v>1054</v>
      </c>
      <c r="L978" s="3">
        <f>VLOOKUP(TRIM(Table1[[#This Row],[Provider Specialty]]) &amp; TRIM(Table1[[#This Row],[Provider Specialty Description]]), SPECIALTY_TYPE, 2, FALSE)</f>
        <v>2110</v>
      </c>
      <c r="M978" s="3" t="s">
        <v>18</v>
      </c>
      <c r="N978" s="27" t="s">
        <v>19</v>
      </c>
      <c r="O978" s="38">
        <f>VLOOKUP(TRIM(Table1[[#This Row],[Provider Specialty]]) &amp; TRIM(Table1[[#This Row],[Provider Specialty Description]]), SPECIALTY_TYPE, 2, FALSE)</f>
        <v>2110</v>
      </c>
      <c r="P978" s="3" t="str">
        <f>Table1[[#This Row],[Provider Type]] &amp; "+" &amp; Table1[[#This Row],[Provider Type Description]]</f>
        <v>33+Single-Specialty</v>
      </c>
      <c r="Q978" s="7" t="str">
        <f>Table1[[#This Row],[Provider Specialty]] &amp; "+" &amp; Table1[[#This Row],[Provider Specialty Description]]</f>
        <v>352+Surgical Oncology</v>
      </c>
      <c r="R978" s="7" t="str">
        <f>Table1[[#This Row],[PDMS Specialty Type ID]] &amp; "+" &amp; Table1[[#This Row],[PDMS Provider Type ID]] &amp; "+" &amp;Table1[[#This Row],[TAXONOMY]]</f>
        <v>2110+51+2086X0206X</v>
      </c>
      <c r="S9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(9957, 2110, 51, N'2086X0206X', N'Surgery - Surgical Oncology##')</v>
      </c>
    </row>
    <row r="979" spans="1:19" ht="47.25" hidden="1" customHeight="1" x14ac:dyDescent="0.25">
      <c r="A979" s="22" t="s">
        <v>1855</v>
      </c>
      <c r="B979" s="3" t="s">
        <v>988</v>
      </c>
      <c r="C979" s="3" t="s">
        <v>1032</v>
      </c>
      <c r="D979" s="3" t="s">
        <v>1183</v>
      </c>
      <c r="E979" s="3" t="s">
        <v>1184</v>
      </c>
      <c r="F979" s="3">
        <f>VLOOKUP(Table1[[#This Row],[Column2]], TAXONOMY_TYPE, 2, FALSE)</f>
        <v>9958</v>
      </c>
      <c r="G979" s="3">
        <v>31</v>
      </c>
      <c r="H979" s="3" t="s">
        <v>991</v>
      </c>
      <c r="I979" s="3">
        <f>VLOOKUP(Table1[[#This Row],[Provider Type]] &amp; Table1[[#This Row],[Provider Type Description]], PROVIDER_TYPE, 2, FALSE)</f>
        <v>114</v>
      </c>
      <c r="J979" s="3">
        <v>353</v>
      </c>
      <c r="K979" s="3" t="s">
        <v>1185</v>
      </c>
      <c r="L979" s="3">
        <f>VLOOKUP(TRIM(Table1[[#This Row],[Provider Specialty]]) &amp; TRIM(Table1[[#This Row],[Provider Specialty Description]]), SPECIALTY_TYPE, 2, FALSE)</f>
        <v>2111</v>
      </c>
      <c r="M979" s="3" t="s">
        <v>19</v>
      </c>
      <c r="N979" s="27" t="s">
        <v>19</v>
      </c>
      <c r="O979" s="38">
        <f>VLOOKUP(TRIM(Table1[[#This Row],[Provider Specialty]]) &amp; TRIM(Table1[[#This Row],[Provider Specialty Description]]), SPECIALTY_TYPE, 2, FALSE)</f>
        <v>2111</v>
      </c>
      <c r="P979" s="3" t="str">
        <f>Table1[[#This Row],[Provider Type]] &amp; "+" &amp; Table1[[#This Row],[Provider Type Description]]</f>
        <v>31+Physician</v>
      </c>
      <c r="Q979" s="7" t="str">
        <f>Table1[[#This Row],[Provider Specialty]] &amp; "+" &amp; Table1[[#This Row],[Provider Specialty Description]]</f>
        <v>353+Gynecologist</v>
      </c>
      <c r="R979" s="7" t="str">
        <f>Table1[[#This Row],[PDMS Specialty Type ID]] &amp; "+" &amp; Table1[[#This Row],[PDMS Provider Type ID]] &amp; "+" &amp;Table1[[#This Row],[TAXONOMY]]</f>
        <v>2111+114+207VG0400X</v>
      </c>
      <c r="S9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(9958, 2111, 114, N'207VG0400X', N'Obstetrics &amp; Gynecology - Gynecology')</v>
      </c>
    </row>
    <row r="980" spans="1:19" ht="47.25" hidden="1" customHeight="1" x14ac:dyDescent="0.25">
      <c r="A980" s="22" t="s">
        <v>1854</v>
      </c>
      <c r="B980" s="3" t="s">
        <v>988</v>
      </c>
      <c r="C980" s="3" t="s">
        <v>1032</v>
      </c>
      <c r="D980" s="3" t="s">
        <v>1183</v>
      </c>
      <c r="E980" s="3" t="s">
        <v>1184</v>
      </c>
      <c r="F980" s="3">
        <f>VLOOKUP(Table1[[#This Row],[Column2]], TAXONOMY_TYPE, 2, FALSE)</f>
        <v>9959</v>
      </c>
      <c r="G980" s="3">
        <v>32</v>
      </c>
      <c r="H980" s="3" t="s">
        <v>1444</v>
      </c>
      <c r="I980" s="3">
        <f>VLOOKUP(Table1[[#This Row],[Provider Type]] &amp; Table1[[#This Row],[Provider Type Description]], PROVIDER_TYPE, 2, FALSE)</f>
        <v>50</v>
      </c>
      <c r="J980" s="3">
        <v>353</v>
      </c>
      <c r="K980" s="3" t="s">
        <v>1185</v>
      </c>
      <c r="L980" s="3">
        <f>VLOOKUP(TRIM(Table1[[#This Row],[Provider Specialty]]) &amp; TRIM(Table1[[#This Row],[Provider Specialty Description]]), SPECIALTY_TYPE, 2, FALSE)</f>
        <v>2111</v>
      </c>
      <c r="M980" s="3" t="s">
        <v>18</v>
      </c>
      <c r="N980" s="27" t="s">
        <v>19</v>
      </c>
      <c r="O980" s="38">
        <f>VLOOKUP(TRIM(Table1[[#This Row],[Provider Specialty]]) &amp; TRIM(Table1[[#This Row],[Provider Specialty Description]]), SPECIALTY_TYPE, 2, FALSE)</f>
        <v>2111</v>
      </c>
      <c r="P980" s="3" t="str">
        <f>Table1[[#This Row],[Provider Type]] &amp; "+" &amp; Table1[[#This Row],[Provider Type Description]]</f>
        <v>32+Multi-Specialty</v>
      </c>
      <c r="Q980" s="7" t="str">
        <f>Table1[[#This Row],[Provider Specialty]] &amp; "+" &amp; Table1[[#This Row],[Provider Specialty Description]]</f>
        <v>353+Gynecologist</v>
      </c>
      <c r="R980" s="7" t="str">
        <f>Table1[[#This Row],[PDMS Specialty Type ID]] &amp; "+" &amp; Table1[[#This Row],[PDMS Provider Type ID]] &amp; "+" &amp;Table1[[#This Row],[TAXONOMY]]</f>
        <v>2111+50+207VG0400X</v>
      </c>
      <c r="S9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(9959, 2111, 50, N'207VG0400X', N'Obstetrics &amp; Gynecology - Gynecology')</v>
      </c>
    </row>
    <row r="981" spans="1:19" ht="47.25" hidden="1" customHeight="1" x14ac:dyDescent="0.25">
      <c r="A981" s="22" t="s">
        <v>1854</v>
      </c>
      <c r="B981" s="3" t="s">
        <v>988</v>
      </c>
      <c r="C981" s="3" t="s">
        <v>1032</v>
      </c>
      <c r="D981" s="3" t="s">
        <v>1183</v>
      </c>
      <c r="E981" s="3" t="s">
        <v>1184</v>
      </c>
      <c r="F981" s="3">
        <f>VLOOKUP(Table1[[#This Row],[Column2]], TAXONOMY_TYPE, 2, FALSE)</f>
        <v>9960</v>
      </c>
      <c r="G981" s="3">
        <v>33</v>
      </c>
      <c r="H981" s="3" t="s">
        <v>1953</v>
      </c>
      <c r="I981" s="3">
        <f>VLOOKUP(Table1[[#This Row],[Provider Type]] &amp; Table1[[#This Row],[Provider Type Description]], PROVIDER_TYPE, 2, FALSE)</f>
        <v>51</v>
      </c>
      <c r="J981" s="3">
        <v>353</v>
      </c>
      <c r="K981" s="3" t="s">
        <v>1185</v>
      </c>
      <c r="L981" s="3">
        <f>VLOOKUP(TRIM(Table1[[#This Row],[Provider Specialty]]) &amp; TRIM(Table1[[#This Row],[Provider Specialty Description]]), SPECIALTY_TYPE, 2, FALSE)</f>
        <v>2111</v>
      </c>
      <c r="M981" s="3" t="s">
        <v>18</v>
      </c>
      <c r="N981" s="27" t="s">
        <v>19</v>
      </c>
      <c r="O981" s="38">
        <f>VLOOKUP(TRIM(Table1[[#This Row],[Provider Specialty]]) &amp; TRIM(Table1[[#This Row],[Provider Specialty Description]]), SPECIALTY_TYPE, 2, FALSE)</f>
        <v>2111</v>
      </c>
      <c r="P981" s="3" t="str">
        <f>Table1[[#This Row],[Provider Type]] &amp; "+" &amp; Table1[[#This Row],[Provider Type Description]]</f>
        <v>33+Single-Specialty</v>
      </c>
      <c r="Q981" s="7" t="str">
        <f>Table1[[#This Row],[Provider Specialty]] &amp; "+" &amp; Table1[[#This Row],[Provider Specialty Description]]</f>
        <v>353+Gynecologist</v>
      </c>
      <c r="R981" s="7" t="str">
        <f>Table1[[#This Row],[PDMS Specialty Type ID]] &amp; "+" &amp; Table1[[#This Row],[PDMS Provider Type ID]] &amp; "+" &amp;Table1[[#This Row],[TAXONOMY]]</f>
        <v>2111+51+207VG0400X</v>
      </c>
      <c r="S9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(9960, 2111, 51, N'207VG0400X', N'Obstetrics &amp; Gynecology - Gynecology')</v>
      </c>
    </row>
    <row r="982" spans="1:19" ht="47.25" hidden="1" customHeight="1" x14ac:dyDescent="0.25">
      <c r="A982" s="22" t="s">
        <v>1855</v>
      </c>
      <c r="B982" s="3" t="s">
        <v>988</v>
      </c>
      <c r="C982" s="3" t="s">
        <v>1032</v>
      </c>
      <c r="D982" s="3" t="s">
        <v>1190</v>
      </c>
      <c r="E982" s="3" t="s">
        <v>1191</v>
      </c>
      <c r="F982" s="3">
        <f>VLOOKUP(Table1[[#This Row],[Column2]], TAXONOMY_TYPE, 2, FALSE)</f>
        <v>9961</v>
      </c>
      <c r="G982" s="3">
        <v>31</v>
      </c>
      <c r="H982" s="3" t="s">
        <v>991</v>
      </c>
      <c r="I982" s="3">
        <f>VLOOKUP(Table1[[#This Row],[Provider Type]] &amp; Table1[[#This Row],[Provider Type Description]], PROVIDER_TYPE, 2, FALSE)</f>
        <v>114</v>
      </c>
      <c r="J982" s="3">
        <v>353</v>
      </c>
      <c r="K982" s="3" t="s">
        <v>1185</v>
      </c>
      <c r="L982" s="3">
        <f>VLOOKUP(TRIM(Table1[[#This Row],[Provider Specialty]]) &amp; TRIM(Table1[[#This Row],[Provider Specialty Description]]), SPECIALTY_TYPE, 2, FALSE)</f>
        <v>2111</v>
      </c>
      <c r="M982" s="3" t="s">
        <v>19</v>
      </c>
      <c r="N982" s="27" t="s">
        <v>19</v>
      </c>
      <c r="O982" s="38">
        <f>VLOOKUP(TRIM(Table1[[#This Row],[Provider Specialty]]) &amp; TRIM(Table1[[#This Row],[Provider Specialty Description]]), SPECIALTY_TYPE, 2, FALSE)</f>
        <v>2111</v>
      </c>
      <c r="P982" s="3" t="str">
        <f>Table1[[#This Row],[Provider Type]] &amp; "+" &amp; Table1[[#This Row],[Provider Type Description]]</f>
        <v>31+Physician</v>
      </c>
      <c r="Q982" s="7" t="str">
        <f>Table1[[#This Row],[Provider Specialty]] &amp; "+" &amp; Table1[[#This Row],[Provider Specialty Description]]</f>
        <v>353+Gynecologist</v>
      </c>
      <c r="R982" s="7" t="str">
        <f>Table1[[#This Row],[PDMS Specialty Type ID]] &amp; "+" &amp; Table1[[#This Row],[PDMS Provider Type ID]] &amp; "+" &amp;Table1[[#This Row],[TAXONOMY]]</f>
        <v>2111+114+207VX0201X</v>
      </c>
      <c r="S9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(9961, 2111, 114, N'207VX0201X', N'Obstetrics &amp; Gynecology - Gynecologic Oncology')</v>
      </c>
    </row>
    <row r="983" spans="1:19" ht="47.25" hidden="1" customHeight="1" x14ac:dyDescent="0.25">
      <c r="A983" s="22" t="s">
        <v>1854</v>
      </c>
      <c r="B983" s="3" t="s">
        <v>988</v>
      </c>
      <c r="C983" s="3" t="s">
        <v>1032</v>
      </c>
      <c r="D983" s="3" t="s">
        <v>1190</v>
      </c>
      <c r="E983" s="3" t="s">
        <v>1191</v>
      </c>
      <c r="F983" s="3">
        <f>VLOOKUP(Table1[[#This Row],[Column2]], TAXONOMY_TYPE, 2, FALSE)</f>
        <v>9962</v>
      </c>
      <c r="G983" s="3">
        <v>32</v>
      </c>
      <c r="H983" s="3" t="s">
        <v>1444</v>
      </c>
      <c r="I983" s="3">
        <f>VLOOKUP(Table1[[#This Row],[Provider Type]] &amp; Table1[[#This Row],[Provider Type Description]], PROVIDER_TYPE, 2, FALSE)</f>
        <v>50</v>
      </c>
      <c r="J983" s="3">
        <v>353</v>
      </c>
      <c r="K983" s="3" t="s">
        <v>1185</v>
      </c>
      <c r="L983" s="3">
        <f>VLOOKUP(TRIM(Table1[[#This Row],[Provider Specialty]]) &amp; TRIM(Table1[[#This Row],[Provider Specialty Description]]), SPECIALTY_TYPE, 2, FALSE)</f>
        <v>2111</v>
      </c>
      <c r="M983" s="3" t="s">
        <v>18</v>
      </c>
      <c r="N983" s="27" t="s">
        <v>19</v>
      </c>
      <c r="O983" s="38">
        <f>VLOOKUP(TRIM(Table1[[#This Row],[Provider Specialty]]) &amp; TRIM(Table1[[#This Row],[Provider Specialty Description]]), SPECIALTY_TYPE, 2, FALSE)</f>
        <v>2111</v>
      </c>
      <c r="P983" s="3" t="str">
        <f>Table1[[#This Row],[Provider Type]] &amp; "+" &amp; Table1[[#This Row],[Provider Type Description]]</f>
        <v>32+Multi-Specialty</v>
      </c>
      <c r="Q983" s="7" t="str">
        <f>Table1[[#This Row],[Provider Specialty]] &amp; "+" &amp; Table1[[#This Row],[Provider Specialty Description]]</f>
        <v>353+Gynecologist</v>
      </c>
      <c r="R983" s="7" t="str">
        <f>Table1[[#This Row],[PDMS Specialty Type ID]] &amp; "+" &amp; Table1[[#This Row],[PDMS Provider Type ID]] &amp; "+" &amp;Table1[[#This Row],[TAXONOMY]]</f>
        <v>2111+50+207VX0201X</v>
      </c>
      <c r="S9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(9962, 2111, 50, N'207VX0201X', N'Obstetrics &amp; Gynecology - Gynecologic Oncology')</v>
      </c>
    </row>
    <row r="984" spans="1:19" ht="47.25" hidden="1" customHeight="1" x14ac:dyDescent="0.25">
      <c r="A984" s="22" t="s">
        <v>1854</v>
      </c>
      <c r="B984" s="3" t="s">
        <v>988</v>
      </c>
      <c r="C984" s="3" t="s">
        <v>1032</v>
      </c>
      <c r="D984" s="3" t="s">
        <v>1190</v>
      </c>
      <c r="E984" s="3" t="s">
        <v>1191</v>
      </c>
      <c r="F984" s="3">
        <f>VLOOKUP(Table1[[#This Row],[Column2]], TAXONOMY_TYPE, 2, FALSE)</f>
        <v>9963</v>
      </c>
      <c r="G984" s="3">
        <v>33</v>
      </c>
      <c r="H984" s="3" t="s">
        <v>1953</v>
      </c>
      <c r="I984" s="3">
        <f>VLOOKUP(Table1[[#This Row],[Provider Type]] &amp; Table1[[#This Row],[Provider Type Description]], PROVIDER_TYPE, 2, FALSE)</f>
        <v>51</v>
      </c>
      <c r="J984" s="3">
        <v>353</v>
      </c>
      <c r="K984" s="3" t="s">
        <v>1185</v>
      </c>
      <c r="L984" s="3">
        <f>VLOOKUP(TRIM(Table1[[#This Row],[Provider Specialty]]) &amp; TRIM(Table1[[#This Row],[Provider Specialty Description]]), SPECIALTY_TYPE, 2, FALSE)</f>
        <v>2111</v>
      </c>
      <c r="M984" s="3" t="s">
        <v>18</v>
      </c>
      <c r="N984" s="27" t="s">
        <v>19</v>
      </c>
      <c r="O984" s="38">
        <f>VLOOKUP(TRIM(Table1[[#This Row],[Provider Specialty]]) &amp; TRIM(Table1[[#This Row],[Provider Specialty Description]]), SPECIALTY_TYPE, 2, FALSE)</f>
        <v>2111</v>
      </c>
      <c r="P984" s="3" t="str">
        <f>Table1[[#This Row],[Provider Type]] &amp; "+" &amp; Table1[[#This Row],[Provider Type Description]]</f>
        <v>33+Single-Specialty</v>
      </c>
      <c r="Q984" s="7" t="str">
        <f>Table1[[#This Row],[Provider Specialty]] &amp; "+" &amp; Table1[[#This Row],[Provider Specialty Description]]</f>
        <v>353+Gynecologist</v>
      </c>
      <c r="R984" s="7" t="str">
        <f>Table1[[#This Row],[PDMS Specialty Type ID]] &amp; "+" &amp; Table1[[#This Row],[PDMS Provider Type ID]] &amp; "+" &amp;Table1[[#This Row],[TAXONOMY]]</f>
        <v>2111+51+207VX0201X</v>
      </c>
      <c r="S9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(9963, 2111, 51, N'207VX0201X', N'Obstetrics &amp; Gynecology - Gynecologic Oncology')</v>
      </c>
    </row>
    <row r="985" spans="1:19" ht="47.25" hidden="1" customHeight="1" x14ac:dyDescent="0.25">
      <c r="A985" s="22" t="s">
        <v>1855</v>
      </c>
      <c r="B985" s="3" t="s">
        <v>988</v>
      </c>
      <c r="C985" s="3" t="s">
        <v>1032</v>
      </c>
      <c r="D985" s="3" t="s">
        <v>1187</v>
      </c>
      <c r="E985" s="3" t="s">
        <v>1188</v>
      </c>
      <c r="F985" s="3">
        <f>VLOOKUP(Table1[[#This Row],[Column2]], TAXONOMY_TYPE, 2, FALSE)</f>
        <v>9964</v>
      </c>
      <c r="G985" s="3">
        <v>31</v>
      </c>
      <c r="H985" s="3" t="s">
        <v>991</v>
      </c>
      <c r="I985" s="3">
        <f>VLOOKUP(Table1[[#This Row],[Provider Type]] &amp; Table1[[#This Row],[Provider Type Description]], PROVIDER_TYPE, 2, FALSE)</f>
        <v>114</v>
      </c>
      <c r="J985" s="3">
        <v>354</v>
      </c>
      <c r="K985" s="3" t="s">
        <v>1189</v>
      </c>
      <c r="L985" s="3">
        <f>VLOOKUP(TRIM(Table1[[#This Row],[Provider Specialty]]) &amp; TRIM(Table1[[#This Row],[Provider Specialty Description]]), SPECIALTY_TYPE, 2, FALSE)</f>
        <v>2112</v>
      </c>
      <c r="M985" s="3" t="s">
        <v>19</v>
      </c>
      <c r="N985" s="27" t="s">
        <v>19</v>
      </c>
      <c r="O985" s="38">
        <f>VLOOKUP(TRIM(Table1[[#This Row],[Provider Specialty]]) &amp; TRIM(Table1[[#This Row],[Provider Specialty Description]]), SPECIALTY_TYPE, 2, FALSE)</f>
        <v>2112</v>
      </c>
      <c r="P985" s="3" t="str">
        <f>Table1[[#This Row],[Provider Type]] &amp; "+" &amp; Table1[[#This Row],[Provider Type Description]]</f>
        <v>31+Physician</v>
      </c>
      <c r="Q985" s="7" t="str">
        <f>Table1[[#This Row],[Provider Specialty]] &amp; "+" &amp; Table1[[#This Row],[Provider Specialty Description]]</f>
        <v>354+Obstetrician</v>
      </c>
      <c r="R985" s="7" t="str">
        <f>Table1[[#This Row],[PDMS Specialty Type ID]] &amp; "+" &amp; Table1[[#This Row],[PDMS Provider Type ID]] &amp; "+" &amp;Table1[[#This Row],[TAXONOMY]]</f>
        <v>2112+114+207VX0000X</v>
      </c>
      <c r="S9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(9964, 2112, 114, N'207VX0000X', N'Obstetrics &amp; Gynecology - Obstetrics')</v>
      </c>
    </row>
    <row r="986" spans="1:19" ht="47.25" hidden="1" customHeight="1" x14ac:dyDescent="0.25">
      <c r="A986" s="22" t="s">
        <v>1854</v>
      </c>
      <c r="B986" s="3" t="s">
        <v>988</v>
      </c>
      <c r="C986" s="3" t="s">
        <v>1032</v>
      </c>
      <c r="D986" s="3" t="s">
        <v>1187</v>
      </c>
      <c r="E986" s="3" t="s">
        <v>1188</v>
      </c>
      <c r="F986" s="3">
        <f>VLOOKUP(Table1[[#This Row],[Column2]], TAXONOMY_TYPE, 2, FALSE)</f>
        <v>9965</v>
      </c>
      <c r="G986" s="3">
        <v>32</v>
      </c>
      <c r="H986" s="3" t="s">
        <v>1444</v>
      </c>
      <c r="I986" s="3">
        <f>VLOOKUP(Table1[[#This Row],[Provider Type]] &amp; Table1[[#This Row],[Provider Type Description]], PROVIDER_TYPE, 2, FALSE)</f>
        <v>50</v>
      </c>
      <c r="J986" s="3">
        <v>354</v>
      </c>
      <c r="K986" s="3" t="s">
        <v>1189</v>
      </c>
      <c r="L986" s="3">
        <f>VLOOKUP(TRIM(Table1[[#This Row],[Provider Specialty]]) &amp; TRIM(Table1[[#This Row],[Provider Specialty Description]]), SPECIALTY_TYPE, 2, FALSE)</f>
        <v>2112</v>
      </c>
      <c r="M986" s="3" t="s">
        <v>18</v>
      </c>
      <c r="N986" s="27" t="s">
        <v>19</v>
      </c>
      <c r="O986" s="38">
        <f>VLOOKUP(TRIM(Table1[[#This Row],[Provider Specialty]]) &amp; TRIM(Table1[[#This Row],[Provider Specialty Description]]), SPECIALTY_TYPE, 2, FALSE)</f>
        <v>2112</v>
      </c>
      <c r="P986" s="3" t="str">
        <f>Table1[[#This Row],[Provider Type]] &amp; "+" &amp; Table1[[#This Row],[Provider Type Description]]</f>
        <v>32+Multi-Specialty</v>
      </c>
      <c r="Q986" s="7" t="str">
        <f>Table1[[#This Row],[Provider Specialty]] &amp; "+" &amp; Table1[[#This Row],[Provider Specialty Description]]</f>
        <v>354+Obstetrician</v>
      </c>
      <c r="R986" s="7" t="str">
        <f>Table1[[#This Row],[PDMS Specialty Type ID]] &amp; "+" &amp; Table1[[#This Row],[PDMS Provider Type ID]] &amp; "+" &amp;Table1[[#This Row],[TAXONOMY]]</f>
        <v>2112+50+207VX0000X</v>
      </c>
      <c r="S9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(9965, 2112, 50, N'207VX0000X', N'Obstetrics &amp; Gynecology - Obstetrics')</v>
      </c>
    </row>
    <row r="987" spans="1:19" ht="47.25" hidden="1" customHeight="1" x14ac:dyDescent="0.25">
      <c r="A987" s="22" t="s">
        <v>1854</v>
      </c>
      <c r="B987" s="3" t="s">
        <v>988</v>
      </c>
      <c r="C987" s="3" t="s">
        <v>1032</v>
      </c>
      <c r="D987" s="3" t="s">
        <v>1187</v>
      </c>
      <c r="E987" s="3" t="s">
        <v>1188</v>
      </c>
      <c r="F987" s="3">
        <f>VLOOKUP(Table1[[#This Row],[Column2]], TAXONOMY_TYPE, 2, FALSE)</f>
        <v>9966</v>
      </c>
      <c r="G987" s="3">
        <v>33</v>
      </c>
      <c r="H987" s="3" t="s">
        <v>1953</v>
      </c>
      <c r="I987" s="3">
        <f>VLOOKUP(Table1[[#This Row],[Provider Type]] &amp; Table1[[#This Row],[Provider Type Description]], PROVIDER_TYPE, 2, FALSE)</f>
        <v>51</v>
      </c>
      <c r="J987" s="3">
        <v>354</v>
      </c>
      <c r="K987" s="3" t="s">
        <v>1189</v>
      </c>
      <c r="L987" s="3">
        <f>VLOOKUP(TRIM(Table1[[#This Row],[Provider Specialty]]) &amp; TRIM(Table1[[#This Row],[Provider Specialty Description]]), SPECIALTY_TYPE, 2, FALSE)</f>
        <v>2112</v>
      </c>
      <c r="M987" s="3" t="s">
        <v>18</v>
      </c>
      <c r="N987" s="27" t="s">
        <v>19</v>
      </c>
      <c r="O987" s="38">
        <f>VLOOKUP(TRIM(Table1[[#This Row],[Provider Specialty]]) &amp; TRIM(Table1[[#This Row],[Provider Specialty Description]]), SPECIALTY_TYPE, 2, FALSE)</f>
        <v>2112</v>
      </c>
      <c r="P987" s="3" t="str">
        <f>Table1[[#This Row],[Provider Type]] &amp; "+" &amp; Table1[[#This Row],[Provider Type Description]]</f>
        <v>33+Single-Specialty</v>
      </c>
      <c r="Q987" s="7" t="str">
        <f>Table1[[#This Row],[Provider Specialty]] &amp; "+" &amp; Table1[[#This Row],[Provider Specialty Description]]</f>
        <v>354+Obstetrician</v>
      </c>
      <c r="R987" s="7" t="str">
        <f>Table1[[#This Row],[PDMS Specialty Type ID]] &amp; "+" &amp; Table1[[#This Row],[PDMS Provider Type ID]] &amp; "+" &amp;Table1[[#This Row],[TAXONOMY]]</f>
        <v>2112+51+207VX0000X</v>
      </c>
      <c r="S9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(9966, 2112, 51, N'207VX0000X', N'Obstetrics &amp; Gynecology - Obstetrics')</v>
      </c>
    </row>
    <row r="988" spans="1:19" ht="47.25" hidden="1" customHeight="1" x14ac:dyDescent="0.25">
      <c r="A988" s="22" t="s">
        <v>1855</v>
      </c>
      <c r="B988" s="3" t="s">
        <v>988</v>
      </c>
      <c r="C988" s="3" t="s">
        <v>1036</v>
      </c>
      <c r="D988" s="3" t="s">
        <v>1232</v>
      </c>
      <c r="E988" s="3" t="s">
        <v>1233</v>
      </c>
      <c r="F988" s="3">
        <f>VLOOKUP(Table1[[#This Row],[Column2]], TAXONOMY_TYPE, 2, FALSE)</f>
        <v>9967</v>
      </c>
      <c r="G988" s="3">
        <v>31</v>
      </c>
      <c r="H988" s="3" t="s">
        <v>991</v>
      </c>
      <c r="I988" s="3">
        <f>VLOOKUP(Table1[[#This Row],[Provider Type]] &amp; Table1[[#This Row],[Provider Type Description]], PROVIDER_TYPE, 2, FALSE)</f>
        <v>114</v>
      </c>
      <c r="J988" s="3">
        <v>355</v>
      </c>
      <c r="K988" s="3" t="s">
        <v>1234</v>
      </c>
      <c r="L988" s="3">
        <f>VLOOKUP(TRIM(Table1[[#This Row],[Provider Specialty]]) &amp; TRIM(Table1[[#This Row],[Provider Specialty Description]]), SPECIALTY_TYPE, 2, FALSE)</f>
        <v>2113</v>
      </c>
      <c r="M988" s="3" t="s">
        <v>19</v>
      </c>
      <c r="N988" s="27" t="s">
        <v>18</v>
      </c>
      <c r="O988" s="38">
        <f>VLOOKUP(TRIM(Table1[[#This Row],[Provider Specialty]]) &amp; TRIM(Table1[[#This Row],[Provider Specialty Description]]), SPECIALTY_TYPE, 2, FALSE)</f>
        <v>2113</v>
      </c>
      <c r="P988" s="3" t="str">
        <f>Table1[[#This Row],[Provider Type]] &amp; "+" &amp; Table1[[#This Row],[Provider Type Description]]</f>
        <v>31+Physician</v>
      </c>
      <c r="Q988" s="7" t="str">
        <f>Table1[[#This Row],[Provider Specialty]] &amp; "+" &amp; Table1[[#This Row],[Provider Specialty Description]]</f>
        <v>355+Pathology - Clinical</v>
      </c>
      <c r="R988" s="7" t="str">
        <f>Table1[[#This Row],[PDMS Specialty Type ID]] &amp; "+" &amp; Table1[[#This Row],[PDMS Provider Type ID]] &amp; "+" &amp;Table1[[#This Row],[TAXONOMY]]</f>
        <v>2113+114+207ZC0006X</v>
      </c>
      <c r="S9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(9967, 2113, 114, N'207ZC0006X', N'Pathology - - Clinical Pathology****')</v>
      </c>
    </row>
    <row r="989" spans="1:19" ht="47.25" hidden="1" customHeight="1" x14ac:dyDescent="0.25">
      <c r="A989" s="22" t="s">
        <v>1854</v>
      </c>
      <c r="B989" s="3" t="s">
        <v>988</v>
      </c>
      <c r="C989" s="3" t="s">
        <v>1036</v>
      </c>
      <c r="D989" s="3" t="s">
        <v>1232</v>
      </c>
      <c r="E989" s="3" t="s">
        <v>1233</v>
      </c>
      <c r="F989" s="3">
        <f>VLOOKUP(Table1[[#This Row],[Column2]], TAXONOMY_TYPE, 2, FALSE)</f>
        <v>9968</v>
      </c>
      <c r="G989" s="3">
        <v>32</v>
      </c>
      <c r="H989" s="3" t="s">
        <v>1444</v>
      </c>
      <c r="I989" s="3">
        <f>VLOOKUP(Table1[[#This Row],[Provider Type]] &amp; Table1[[#This Row],[Provider Type Description]], PROVIDER_TYPE, 2, FALSE)</f>
        <v>50</v>
      </c>
      <c r="J989" s="3">
        <v>355</v>
      </c>
      <c r="K989" s="3" t="s">
        <v>1234</v>
      </c>
      <c r="L989" s="3">
        <f>VLOOKUP(TRIM(Table1[[#This Row],[Provider Specialty]]) &amp; TRIM(Table1[[#This Row],[Provider Specialty Description]]), SPECIALTY_TYPE, 2, FALSE)</f>
        <v>2113</v>
      </c>
      <c r="M989" s="3" t="s">
        <v>18</v>
      </c>
      <c r="N989" s="27" t="s">
        <v>19</v>
      </c>
      <c r="O989" s="38">
        <f>VLOOKUP(TRIM(Table1[[#This Row],[Provider Specialty]]) &amp; TRIM(Table1[[#This Row],[Provider Specialty Description]]), SPECIALTY_TYPE, 2, FALSE)</f>
        <v>2113</v>
      </c>
      <c r="P989" s="3" t="str">
        <f>Table1[[#This Row],[Provider Type]] &amp; "+" &amp; Table1[[#This Row],[Provider Type Description]]</f>
        <v>32+Multi-Specialty</v>
      </c>
      <c r="Q989" s="7" t="str">
        <f>Table1[[#This Row],[Provider Specialty]] &amp; "+" &amp; Table1[[#This Row],[Provider Specialty Description]]</f>
        <v>355+Pathology - Clinical</v>
      </c>
      <c r="R989" s="7" t="str">
        <f>Table1[[#This Row],[PDMS Specialty Type ID]] &amp; "+" &amp; Table1[[#This Row],[PDMS Provider Type ID]] &amp; "+" &amp;Table1[[#This Row],[TAXONOMY]]</f>
        <v>2113+50+207ZC0006X</v>
      </c>
      <c r="S9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(9968, 2113, 50, N'207ZC0006X', N'Pathology - - Clinical Pathology****')</v>
      </c>
    </row>
    <row r="990" spans="1:19" ht="47.25" hidden="1" customHeight="1" x14ac:dyDescent="0.25">
      <c r="A990" s="22" t="s">
        <v>1854</v>
      </c>
      <c r="B990" s="3" t="s">
        <v>988</v>
      </c>
      <c r="C990" s="3" t="s">
        <v>1036</v>
      </c>
      <c r="D990" s="3" t="s">
        <v>1232</v>
      </c>
      <c r="E990" s="3" t="s">
        <v>1233</v>
      </c>
      <c r="F990" s="3">
        <f>VLOOKUP(Table1[[#This Row],[Column2]], TAXONOMY_TYPE, 2, FALSE)</f>
        <v>9969</v>
      </c>
      <c r="G990" s="3">
        <v>33</v>
      </c>
      <c r="H990" s="3" t="s">
        <v>1953</v>
      </c>
      <c r="I990" s="3">
        <f>VLOOKUP(Table1[[#This Row],[Provider Type]] &amp; Table1[[#This Row],[Provider Type Description]], PROVIDER_TYPE, 2, FALSE)</f>
        <v>51</v>
      </c>
      <c r="J990" s="3">
        <v>355</v>
      </c>
      <c r="K990" s="3" t="s">
        <v>1234</v>
      </c>
      <c r="L990" s="3">
        <f>VLOOKUP(TRIM(Table1[[#This Row],[Provider Specialty]]) &amp; TRIM(Table1[[#This Row],[Provider Specialty Description]]), SPECIALTY_TYPE, 2, FALSE)</f>
        <v>2113</v>
      </c>
      <c r="M990" s="3" t="s">
        <v>18</v>
      </c>
      <c r="N990" s="27" t="s">
        <v>19</v>
      </c>
      <c r="O990" s="38">
        <f>VLOOKUP(TRIM(Table1[[#This Row],[Provider Specialty]]) &amp; TRIM(Table1[[#This Row],[Provider Specialty Description]]), SPECIALTY_TYPE, 2, FALSE)</f>
        <v>2113</v>
      </c>
      <c r="P990" s="3" t="str">
        <f>Table1[[#This Row],[Provider Type]] &amp; "+" &amp; Table1[[#This Row],[Provider Type Description]]</f>
        <v>33+Single-Specialty</v>
      </c>
      <c r="Q990" s="7" t="str">
        <f>Table1[[#This Row],[Provider Specialty]] &amp; "+" &amp; Table1[[#This Row],[Provider Specialty Description]]</f>
        <v>355+Pathology - Clinical</v>
      </c>
      <c r="R990" s="7" t="str">
        <f>Table1[[#This Row],[PDMS Specialty Type ID]] &amp; "+" &amp; Table1[[#This Row],[PDMS Provider Type ID]] &amp; "+" &amp;Table1[[#This Row],[TAXONOMY]]</f>
        <v>2113+51+207ZC0006X</v>
      </c>
      <c r="S9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(9969, 2113, 51, N'207ZC0006X', N'Pathology - - Clinical Pathology****')</v>
      </c>
    </row>
    <row r="991" spans="1:19" ht="47.25" hidden="1" customHeight="1" x14ac:dyDescent="0.25">
      <c r="A991" s="22" t="s">
        <v>1855</v>
      </c>
      <c r="B991" s="3" t="s">
        <v>988</v>
      </c>
      <c r="C991" s="3" t="s">
        <v>1036</v>
      </c>
      <c r="D991" s="3" t="s">
        <v>1251</v>
      </c>
      <c r="E991" s="3" t="s">
        <v>1252</v>
      </c>
      <c r="F991" s="3">
        <f>VLOOKUP(Table1[[#This Row],[Column2]], TAXONOMY_TYPE, 2, FALSE)</f>
        <v>9970</v>
      </c>
      <c r="G991" s="3">
        <v>31</v>
      </c>
      <c r="H991" s="3" t="s">
        <v>991</v>
      </c>
      <c r="I991" s="3">
        <f>VLOOKUP(Table1[[#This Row],[Provider Type]] &amp; Table1[[#This Row],[Provider Type Description]], PROVIDER_TYPE, 2, FALSE)</f>
        <v>114</v>
      </c>
      <c r="J991" s="3">
        <v>355</v>
      </c>
      <c r="K991" s="3" t="s">
        <v>1234</v>
      </c>
      <c r="L991" s="3">
        <f>VLOOKUP(TRIM(Table1[[#This Row],[Provider Specialty]]) &amp; TRIM(Table1[[#This Row],[Provider Specialty Description]]), SPECIALTY_TYPE, 2, FALSE)</f>
        <v>2113</v>
      </c>
      <c r="M991" s="3" t="s">
        <v>19</v>
      </c>
      <c r="N991" s="27" t="s">
        <v>19</v>
      </c>
      <c r="O991" s="38">
        <f>VLOOKUP(TRIM(Table1[[#This Row],[Provider Specialty]]) &amp; TRIM(Table1[[#This Row],[Provider Specialty Description]]), SPECIALTY_TYPE, 2, FALSE)</f>
        <v>2113</v>
      </c>
      <c r="P991" s="3" t="str">
        <f>Table1[[#This Row],[Provider Type]] &amp; "+" &amp; Table1[[#This Row],[Provider Type Description]]</f>
        <v>31+Physician</v>
      </c>
      <c r="Q991" s="7" t="str">
        <f>Table1[[#This Row],[Provider Specialty]] &amp; "+" &amp; Table1[[#This Row],[Provider Specialty Description]]</f>
        <v>355+Pathology - Clinical</v>
      </c>
      <c r="R991" s="7" t="str">
        <f>Table1[[#This Row],[PDMS Specialty Type ID]] &amp; "+" &amp; Table1[[#This Row],[PDMS Provider Type ID]] &amp; "+" &amp;Table1[[#This Row],[TAXONOMY]]</f>
        <v>2113+114+207ZP0102X</v>
      </c>
      <c r="S9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(9970, 2113, 114, N'207ZP0102X', N'Pathology - - Anatomic Pathology &amp; Clinical Pathology')</v>
      </c>
    </row>
    <row r="992" spans="1:19" ht="47.25" hidden="1" customHeight="1" x14ac:dyDescent="0.25">
      <c r="A992" s="22" t="s">
        <v>1854</v>
      </c>
      <c r="B992" s="3" t="s">
        <v>988</v>
      </c>
      <c r="C992" s="3" t="s">
        <v>1036</v>
      </c>
      <c r="D992" s="3" t="s">
        <v>1251</v>
      </c>
      <c r="E992" s="3" t="s">
        <v>1252</v>
      </c>
      <c r="F992" s="3">
        <f>VLOOKUP(Table1[[#This Row],[Column2]], TAXONOMY_TYPE, 2, FALSE)</f>
        <v>9971</v>
      </c>
      <c r="G992" s="3">
        <v>32</v>
      </c>
      <c r="H992" s="3" t="s">
        <v>1444</v>
      </c>
      <c r="I992" s="3">
        <f>VLOOKUP(Table1[[#This Row],[Provider Type]] &amp; Table1[[#This Row],[Provider Type Description]], PROVIDER_TYPE, 2, FALSE)</f>
        <v>50</v>
      </c>
      <c r="J992" s="3">
        <v>355</v>
      </c>
      <c r="K992" s="3" t="s">
        <v>1234</v>
      </c>
      <c r="L992" s="3">
        <f>VLOOKUP(TRIM(Table1[[#This Row],[Provider Specialty]]) &amp; TRIM(Table1[[#This Row],[Provider Specialty Description]]), SPECIALTY_TYPE, 2, FALSE)</f>
        <v>2113</v>
      </c>
      <c r="M992" s="3" t="s">
        <v>18</v>
      </c>
      <c r="N992" s="27" t="s">
        <v>19</v>
      </c>
      <c r="O992" s="38">
        <f>VLOOKUP(TRIM(Table1[[#This Row],[Provider Specialty]]) &amp; TRIM(Table1[[#This Row],[Provider Specialty Description]]), SPECIALTY_TYPE, 2, FALSE)</f>
        <v>2113</v>
      </c>
      <c r="P992" s="3" t="str">
        <f>Table1[[#This Row],[Provider Type]] &amp; "+" &amp; Table1[[#This Row],[Provider Type Description]]</f>
        <v>32+Multi-Specialty</v>
      </c>
      <c r="Q992" s="7" t="str">
        <f>Table1[[#This Row],[Provider Specialty]] &amp; "+" &amp; Table1[[#This Row],[Provider Specialty Description]]</f>
        <v>355+Pathology - Clinical</v>
      </c>
      <c r="R992" s="7" t="str">
        <f>Table1[[#This Row],[PDMS Specialty Type ID]] &amp; "+" &amp; Table1[[#This Row],[PDMS Provider Type ID]] &amp; "+" &amp;Table1[[#This Row],[TAXONOMY]]</f>
        <v>2113+50+207ZP0102X</v>
      </c>
      <c r="S9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(9971, 2113, 50, N'207ZP0102X', N'Pathology - - Anatomic Pathology &amp; Clinical Pathology')</v>
      </c>
    </row>
    <row r="993" spans="1:19" ht="47.25" hidden="1" customHeight="1" x14ac:dyDescent="0.25">
      <c r="A993" s="22" t="s">
        <v>1854</v>
      </c>
      <c r="B993" s="3" t="s">
        <v>988</v>
      </c>
      <c r="C993" s="3" t="s">
        <v>1036</v>
      </c>
      <c r="D993" s="3" t="s">
        <v>1251</v>
      </c>
      <c r="E993" s="3" t="s">
        <v>1252</v>
      </c>
      <c r="F993" s="3">
        <f>VLOOKUP(Table1[[#This Row],[Column2]], TAXONOMY_TYPE, 2, FALSE)</f>
        <v>9972</v>
      </c>
      <c r="G993" s="3">
        <v>33</v>
      </c>
      <c r="H993" s="3" t="s">
        <v>1953</v>
      </c>
      <c r="I993" s="3">
        <f>VLOOKUP(Table1[[#This Row],[Provider Type]] &amp; Table1[[#This Row],[Provider Type Description]], PROVIDER_TYPE, 2, FALSE)</f>
        <v>51</v>
      </c>
      <c r="J993" s="3">
        <v>355</v>
      </c>
      <c r="K993" s="3" t="s">
        <v>1234</v>
      </c>
      <c r="L993" s="3">
        <f>VLOOKUP(TRIM(Table1[[#This Row],[Provider Specialty]]) &amp; TRIM(Table1[[#This Row],[Provider Specialty Description]]), SPECIALTY_TYPE, 2, FALSE)</f>
        <v>2113</v>
      </c>
      <c r="M993" s="3" t="s">
        <v>18</v>
      </c>
      <c r="N993" s="27" t="s">
        <v>19</v>
      </c>
      <c r="O993" s="38">
        <f>VLOOKUP(TRIM(Table1[[#This Row],[Provider Specialty]]) &amp; TRIM(Table1[[#This Row],[Provider Specialty Description]]), SPECIALTY_TYPE, 2, FALSE)</f>
        <v>2113</v>
      </c>
      <c r="P993" s="3" t="str">
        <f>Table1[[#This Row],[Provider Type]] &amp; "+" &amp; Table1[[#This Row],[Provider Type Description]]</f>
        <v>33+Single-Specialty</v>
      </c>
      <c r="Q993" s="7" t="str">
        <f>Table1[[#This Row],[Provider Specialty]] &amp; "+" &amp; Table1[[#This Row],[Provider Specialty Description]]</f>
        <v>355+Pathology - Clinical</v>
      </c>
      <c r="R993" s="7" t="str">
        <f>Table1[[#This Row],[PDMS Specialty Type ID]] &amp; "+" &amp; Table1[[#This Row],[PDMS Provider Type ID]] &amp; "+" &amp;Table1[[#This Row],[TAXONOMY]]</f>
        <v>2113+51+207ZP0102X</v>
      </c>
      <c r="S9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(9972, 2113, 51, N'207ZP0102X', N'Pathology - - Anatomic Pathology &amp; Clinical Pathology')</v>
      </c>
    </row>
    <row r="994" spans="1:19" ht="47.25" hidden="1" customHeight="1" x14ac:dyDescent="0.25">
      <c r="A994" s="22" t="s">
        <v>1855</v>
      </c>
      <c r="B994" s="3" t="s">
        <v>988</v>
      </c>
      <c r="C994" s="3" t="s">
        <v>1036</v>
      </c>
      <c r="D994" s="3" t="s">
        <v>1255</v>
      </c>
      <c r="E994" s="3" t="s">
        <v>1256</v>
      </c>
      <c r="F994" s="3">
        <f>VLOOKUP(Table1[[#This Row],[Column2]], TAXONOMY_TYPE, 2, FALSE)</f>
        <v>9973</v>
      </c>
      <c r="G994" s="3">
        <v>31</v>
      </c>
      <c r="H994" s="3" t="s">
        <v>991</v>
      </c>
      <c r="I994" s="3">
        <f>VLOOKUP(Table1[[#This Row],[Provider Type]] &amp; Table1[[#This Row],[Provider Type Description]], PROVIDER_TYPE, 2, FALSE)</f>
        <v>114</v>
      </c>
      <c r="J994" s="3">
        <v>355</v>
      </c>
      <c r="K994" s="3" t="s">
        <v>1234</v>
      </c>
      <c r="L994" s="3">
        <f>VLOOKUP(TRIM(Table1[[#This Row],[Provider Specialty]]) &amp; TRIM(Table1[[#This Row],[Provider Specialty Description]]), SPECIALTY_TYPE, 2, FALSE)</f>
        <v>2113</v>
      </c>
      <c r="M994" s="3" t="s">
        <v>19</v>
      </c>
      <c r="N994" s="27" t="s">
        <v>19</v>
      </c>
      <c r="O994" s="38">
        <f>VLOOKUP(TRIM(Table1[[#This Row],[Provider Specialty]]) &amp; TRIM(Table1[[#This Row],[Provider Specialty Description]]), SPECIALTY_TYPE, 2, FALSE)</f>
        <v>2113</v>
      </c>
      <c r="P994" s="3" t="str">
        <f>Table1[[#This Row],[Provider Type]] &amp; "+" &amp; Table1[[#This Row],[Provider Type Description]]</f>
        <v>31+Physician</v>
      </c>
      <c r="Q994" s="7" t="str">
        <f>Table1[[#This Row],[Provider Specialty]] &amp; "+" &amp; Table1[[#This Row],[Provider Specialty Description]]</f>
        <v>355+Pathology - Clinical</v>
      </c>
      <c r="R994" s="7" t="str">
        <f>Table1[[#This Row],[PDMS Specialty Type ID]] &amp; "+" &amp; Table1[[#This Row],[PDMS Provider Type ID]] &amp; "+" &amp;Table1[[#This Row],[TAXONOMY]]</f>
        <v>2113+114+207ZP0105X</v>
      </c>
      <c r="S9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(9973, 2113, 114, N'207ZP0105X', N'Pathology - - Clinical Pathology/Laboratory Medicine')</v>
      </c>
    </row>
    <row r="995" spans="1:19" ht="47.25" hidden="1" customHeight="1" x14ac:dyDescent="0.25">
      <c r="A995" s="22" t="s">
        <v>1854</v>
      </c>
      <c r="B995" s="3" t="s">
        <v>988</v>
      </c>
      <c r="C995" s="3" t="s">
        <v>1036</v>
      </c>
      <c r="D995" s="3" t="s">
        <v>1255</v>
      </c>
      <c r="E995" s="3" t="s">
        <v>1256</v>
      </c>
      <c r="F995" s="3">
        <f>VLOOKUP(Table1[[#This Row],[Column2]], TAXONOMY_TYPE, 2, FALSE)</f>
        <v>9974</v>
      </c>
      <c r="G995" s="3">
        <v>32</v>
      </c>
      <c r="H995" s="3" t="s">
        <v>1444</v>
      </c>
      <c r="I995" s="3">
        <f>VLOOKUP(Table1[[#This Row],[Provider Type]] &amp; Table1[[#This Row],[Provider Type Description]], PROVIDER_TYPE, 2, FALSE)</f>
        <v>50</v>
      </c>
      <c r="J995" s="3">
        <v>355</v>
      </c>
      <c r="K995" s="3" t="s">
        <v>1234</v>
      </c>
      <c r="L995" s="3">
        <f>VLOOKUP(TRIM(Table1[[#This Row],[Provider Specialty]]) &amp; TRIM(Table1[[#This Row],[Provider Specialty Description]]), SPECIALTY_TYPE, 2, FALSE)</f>
        <v>2113</v>
      </c>
      <c r="M995" s="3" t="s">
        <v>18</v>
      </c>
      <c r="N995" s="27" t="s">
        <v>19</v>
      </c>
      <c r="O995" s="38">
        <f>VLOOKUP(TRIM(Table1[[#This Row],[Provider Specialty]]) &amp; TRIM(Table1[[#This Row],[Provider Specialty Description]]), SPECIALTY_TYPE, 2, FALSE)</f>
        <v>2113</v>
      </c>
      <c r="P995" s="3" t="str">
        <f>Table1[[#This Row],[Provider Type]] &amp; "+" &amp; Table1[[#This Row],[Provider Type Description]]</f>
        <v>32+Multi-Specialty</v>
      </c>
      <c r="Q995" s="7" t="str">
        <f>Table1[[#This Row],[Provider Specialty]] &amp; "+" &amp; Table1[[#This Row],[Provider Specialty Description]]</f>
        <v>355+Pathology - Clinical</v>
      </c>
      <c r="R995" s="7" t="str">
        <f>Table1[[#This Row],[PDMS Specialty Type ID]] &amp; "+" &amp; Table1[[#This Row],[PDMS Provider Type ID]] &amp; "+" &amp;Table1[[#This Row],[TAXONOMY]]</f>
        <v>2113+50+207ZP0105X</v>
      </c>
      <c r="S9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(9974, 2113, 50, N'207ZP0105X', N'Pathology - - Clinical Pathology/Laboratory Medicine')</v>
      </c>
    </row>
    <row r="996" spans="1:19" ht="47.25" hidden="1" customHeight="1" x14ac:dyDescent="0.25">
      <c r="A996" s="22" t="s">
        <v>1854</v>
      </c>
      <c r="B996" s="3" t="s">
        <v>988</v>
      </c>
      <c r="C996" s="3" t="s">
        <v>1036</v>
      </c>
      <c r="D996" s="3" t="s">
        <v>1255</v>
      </c>
      <c r="E996" s="3" t="s">
        <v>1256</v>
      </c>
      <c r="F996" s="3">
        <f>VLOOKUP(Table1[[#This Row],[Column2]], TAXONOMY_TYPE, 2, FALSE)</f>
        <v>9975</v>
      </c>
      <c r="G996" s="3">
        <v>33</v>
      </c>
      <c r="H996" s="3" t="s">
        <v>1953</v>
      </c>
      <c r="I996" s="3">
        <f>VLOOKUP(Table1[[#This Row],[Provider Type]] &amp; Table1[[#This Row],[Provider Type Description]], PROVIDER_TYPE, 2, FALSE)</f>
        <v>51</v>
      </c>
      <c r="J996" s="3">
        <v>355</v>
      </c>
      <c r="K996" s="3" t="s">
        <v>1234</v>
      </c>
      <c r="L996" s="3">
        <f>VLOOKUP(TRIM(Table1[[#This Row],[Provider Specialty]]) &amp; TRIM(Table1[[#This Row],[Provider Specialty Description]]), SPECIALTY_TYPE, 2, FALSE)</f>
        <v>2113</v>
      </c>
      <c r="M996" s="3" t="s">
        <v>18</v>
      </c>
      <c r="N996" s="27" t="s">
        <v>19</v>
      </c>
      <c r="O996" s="38">
        <f>VLOOKUP(TRIM(Table1[[#This Row],[Provider Specialty]]) &amp; TRIM(Table1[[#This Row],[Provider Specialty Description]]), SPECIALTY_TYPE, 2, FALSE)</f>
        <v>2113</v>
      </c>
      <c r="P996" s="3" t="str">
        <f>Table1[[#This Row],[Provider Type]] &amp; "+" &amp; Table1[[#This Row],[Provider Type Description]]</f>
        <v>33+Single-Specialty</v>
      </c>
      <c r="Q996" s="7" t="str">
        <f>Table1[[#This Row],[Provider Specialty]] &amp; "+" &amp; Table1[[#This Row],[Provider Specialty Description]]</f>
        <v>355+Pathology - Clinical</v>
      </c>
      <c r="R996" s="7" t="str">
        <f>Table1[[#This Row],[PDMS Specialty Type ID]] &amp; "+" &amp; Table1[[#This Row],[PDMS Provider Type ID]] &amp; "+" &amp;Table1[[#This Row],[TAXONOMY]]</f>
        <v>2113+51+207ZP0105X</v>
      </c>
      <c r="S9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(9975, 2113, 51, N'207ZP0105X', N'Pathology - - Clinical Pathology/Laboratory Medicine')</v>
      </c>
    </row>
    <row r="997" spans="1:19" ht="47.25" hidden="1" customHeight="1" x14ac:dyDescent="0.25">
      <c r="A997" s="22" t="s">
        <v>1855</v>
      </c>
      <c r="B997" s="3" t="s">
        <v>988</v>
      </c>
      <c r="C997" s="3" t="s">
        <v>989</v>
      </c>
      <c r="D997" s="3" t="s">
        <v>992</v>
      </c>
      <c r="E997" s="3" t="s">
        <v>993</v>
      </c>
      <c r="F997" s="3">
        <f>VLOOKUP(Table1[[#This Row],[Column2]], TAXONOMY_TYPE, 2, FALSE)</f>
        <v>9976</v>
      </c>
      <c r="G997" s="3">
        <v>31</v>
      </c>
      <c r="H997" s="3" t="s">
        <v>991</v>
      </c>
      <c r="I997" s="3">
        <f>VLOOKUP(Table1[[#This Row],[Provider Type]] &amp; Table1[[#This Row],[Provider Type Description]], PROVIDER_TYPE, 2, FALSE)</f>
        <v>114</v>
      </c>
      <c r="J997" s="3">
        <v>356</v>
      </c>
      <c r="K997" s="3" t="s">
        <v>992</v>
      </c>
      <c r="L997" s="3">
        <f>VLOOKUP(TRIM(Table1[[#This Row],[Provider Specialty]]) &amp; TRIM(Table1[[#This Row],[Provider Specialty Description]]), SPECIALTY_TYPE, 2, FALSE)</f>
        <v>235</v>
      </c>
      <c r="M997" s="3" t="s">
        <v>18</v>
      </c>
      <c r="N997" s="27" t="s">
        <v>19</v>
      </c>
      <c r="O997" s="38">
        <f>VLOOKUP(TRIM(Table1[[#This Row],[Provider Specialty]]) &amp; TRIM(Table1[[#This Row],[Provider Specialty Description]]), SPECIALTY_TYPE, 2, FALSE)</f>
        <v>235</v>
      </c>
      <c r="P997" s="3" t="str">
        <f>Table1[[#This Row],[Provider Type]] &amp; "+" &amp; Table1[[#This Row],[Provider Type Description]]</f>
        <v>31+Physician</v>
      </c>
      <c r="Q997" s="7" t="str">
        <f>Table1[[#This Row],[Provider Specialty]] &amp; "+" &amp; Table1[[#This Row],[Provider Specialty Description]]</f>
        <v>356+Addiction Medicine</v>
      </c>
      <c r="R997" s="7" t="str">
        <f>Table1[[#This Row],[PDMS Specialty Type ID]] &amp; "+" &amp; Table1[[#This Row],[PDMS Provider Type ID]] &amp; "+" &amp;Table1[[#This Row],[TAXONOMY]]</f>
        <v>235+114+207LA0401X</v>
      </c>
      <c r="S9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(9976, 235, 114, N'207LA0401X', N'Anesthesiology - Addiction Medicine')</v>
      </c>
    </row>
    <row r="998" spans="1:19" ht="47.25" hidden="1" customHeight="1" x14ac:dyDescent="0.25">
      <c r="A998" s="22" t="s">
        <v>1854</v>
      </c>
      <c r="B998" s="3" t="s">
        <v>988</v>
      </c>
      <c r="C998" s="3" t="s">
        <v>989</v>
      </c>
      <c r="D998" s="3" t="s">
        <v>992</v>
      </c>
      <c r="E998" s="3" t="s">
        <v>993</v>
      </c>
      <c r="F998" s="3">
        <f>VLOOKUP(Table1[[#This Row],[Column2]], TAXONOMY_TYPE, 2, FALSE)</f>
        <v>9977</v>
      </c>
      <c r="G998" s="3">
        <v>32</v>
      </c>
      <c r="H998" s="3" t="s">
        <v>1444</v>
      </c>
      <c r="I998" s="3">
        <f>VLOOKUP(Table1[[#This Row],[Provider Type]] &amp; Table1[[#This Row],[Provider Type Description]], PROVIDER_TYPE, 2, FALSE)</f>
        <v>50</v>
      </c>
      <c r="J998" s="3">
        <v>356</v>
      </c>
      <c r="K998" s="3" t="s">
        <v>992</v>
      </c>
      <c r="L998" s="3">
        <f>VLOOKUP(TRIM(Table1[[#This Row],[Provider Specialty]]) &amp; TRIM(Table1[[#This Row],[Provider Specialty Description]]), SPECIALTY_TYPE, 2, FALSE)</f>
        <v>235</v>
      </c>
      <c r="M998" s="3" t="s">
        <v>18</v>
      </c>
      <c r="N998" s="27" t="s">
        <v>19</v>
      </c>
      <c r="O998" s="38">
        <f>VLOOKUP(TRIM(Table1[[#This Row],[Provider Specialty]]) &amp; TRIM(Table1[[#This Row],[Provider Specialty Description]]), SPECIALTY_TYPE, 2, FALSE)</f>
        <v>235</v>
      </c>
      <c r="P998" s="3" t="str">
        <f>Table1[[#This Row],[Provider Type]] &amp; "+" &amp; Table1[[#This Row],[Provider Type Description]]</f>
        <v>32+Multi-Specialty</v>
      </c>
      <c r="Q998" s="7" t="str">
        <f>Table1[[#This Row],[Provider Specialty]] &amp; "+" &amp; Table1[[#This Row],[Provider Specialty Description]]</f>
        <v>356+Addiction Medicine</v>
      </c>
      <c r="R998" s="7" t="str">
        <f>Table1[[#This Row],[PDMS Specialty Type ID]] &amp; "+" &amp; Table1[[#This Row],[PDMS Provider Type ID]] &amp; "+" &amp;Table1[[#This Row],[TAXONOMY]]</f>
        <v>235+50+207LA0401X</v>
      </c>
      <c r="S9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(9977, 235, 50, N'207LA0401X', N'Anesthesiology - Addiction Medicine')</v>
      </c>
    </row>
    <row r="999" spans="1:19" ht="47.25" hidden="1" customHeight="1" x14ac:dyDescent="0.25">
      <c r="A999" s="22" t="s">
        <v>1854</v>
      </c>
      <c r="B999" s="3" t="s">
        <v>988</v>
      </c>
      <c r="C999" s="3" t="s">
        <v>989</v>
      </c>
      <c r="D999" s="3" t="s">
        <v>992</v>
      </c>
      <c r="E999" s="3" t="s">
        <v>993</v>
      </c>
      <c r="F999" s="3">
        <f>VLOOKUP(Table1[[#This Row],[Column2]], TAXONOMY_TYPE, 2, FALSE)</f>
        <v>9978</v>
      </c>
      <c r="G999" s="3">
        <v>33</v>
      </c>
      <c r="H999" s="3" t="s">
        <v>1953</v>
      </c>
      <c r="I999" s="3">
        <f>VLOOKUP(Table1[[#This Row],[Provider Type]] &amp; Table1[[#This Row],[Provider Type Description]], PROVIDER_TYPE, 2, FALSE)</f>
        <v>51</v>
      </c>
      <c r="J999" s="3">
        <v>356</v>
      </c>
      <c r="K999" s="3" t="s">
        <v>992</v>
      </c>
      <c r="L999" s="3">
        <f>VLOOKUP(TRIM(Table1[[#This Row],[Provider Specialty]]) &amp; TRIM(Table1[[#This Row],[Provider Specialty Description]]), SPECIALTY_TYPE, 2, FALSE)</f>
        <v>235</v>
      </c>
      <c r="M999" s="3" t="s">
        <v>18</v>
      </c>
      <c r="N999" s="27" t="s">
        <v>19</v>
      </c>
      <c r="O999" s="38">
        <f>VLOOKUP(TRIM(Table1[[#This Row],[Provider Specialty]]) &amp; TRIM(Table1[[#This Row],[Provider Specialty Description]]), SPECIALTY_TYPE, 2, FALSE)</f>
        <v>235</v>
      </c>
      <c r="P999" s="3" t="str">
        <f>Table1[[#This Row],[Provider Type]] &amp; "+" &amp; Table1[[#This Row],[Provider Type Description]]</f>
        <v>33+Single-Specialty</v>
      </c>
      <c r="Q999" s="7" t="str">
        <f>Table1[[#This Row],[Provider Specialty]] &amp; "+" &amp; Table1[[#This Row],[Provider Specialty Description]]</f>
        <v>356+Addiction Medicine</v>
      </c>
      <c r="R999" s="7" t="str">
        <f>Table1[[#This Row],[PDMS Specialty Type ID]] &amp; "+" &amp; Table1[[#This Row],[PDMS Provider Type ID]] &amp; "+" &amp;Table1[[#This Row],[TAXONOMY]]</f>
        <v>235+51+207LA0401X</v>
      </c>
      <c r="S9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(9978, 235, 51, N'207LA0401X', N'Anesthesiology - Addiction Medicine')</v>
      </c>
    </row>
    <row r="1000" spans="1:19" ht="47.25" hidden="1" customHeight="1" x14ac:dyDescent="0.25">
      <c r="A1000" s="22" t="s">
        <v>1855</v>
      </c>
      <c r="B1000" s="3" t="s">
        <v>988</v>
      </c>
      <c r="C1000" s="3" t="s">
        <v>994</v>
      </c>
      <c r="D1000" s="3" t="s">
        <v>992</v>
      </c>
      <c r="E1000" s="3" t="s">
        <v>995</v>
      </c>
      <c r="F1000" s="3">
        <f>VLOOKUP(Table1[[#This Row],[Column2]], TAXONOMY_TYPE, 2, FALSE)</f>
        <v>9979</v>
      </c>
      <c r="G1000" s="3">
        <v>31</v>
      </c>
      <c r="H1000" s="3" t="s">
        <v>991</v>
      </c>
      <c r="I1000" s="3">
        <f>VLOOKUP(Table1[[#This Row],[Provider Type]] &amp; Table1[[#This Row],[Provider Type Description]], PROVIDER_TYPE, 2, FALSE)</f>
        <v>114</v>
      </c>
      <c r="J1000" s="3">
        <v>356</v>
      </c>
      <c r="K1000" s="3" t="s">
        <v>992</v>
      </c>
      <c r="L1000" s="3">
        <f>VLOOKUP(TRIM(Table1[[#This Row],[Provider Specialty]]) &amp; TRIM(Table1[[#This Row],[Provider Specialty Description]]), SPECIALTY_TYPE, 2, FALSE)</f>
        <v>235</v>
      </c>
      <c r="M1000" s="3" t="s">
        <v>18</v>
      </c>
      <c r="N1000" s="27" t="s">
        <v>19</v>
      </c>
      <c r="O1000" s="38">
        <f>VLOOKUP(TRIM(Table1[[#This Row],[Provider Specialty]]) &amp; TRIM(Table1[[#This Row],[Provider Specialty Description]]), SPECIALTY_TYPE, 2, FALSE)</f>
        <v>235</v>
      </c>
      <c r="P1000" s="3" t="str">
        <f>Table1[[#This Row],[Provider Type]] &amp; "+" &amp; Table1[[#This Row],[Provider Type Description]]</f>
        <v>31+Physician</v>
      </c>
      <c r="Q1000" s="7" t="str">
        <f>Table1[[#This Row],[Provider Specialty]] &amp; "+" &amp; Table1[[#This Row],[Provider Specialty Description]]</f>
        <v>356+Addiction Medicine</v>
      </c>
      <c r="R1000" s="7" t="str">
        <f>Table1[[#This Row],[PDMS Specialty Type ID]] &amp; "+" &amp; Table1[[#This Row],[PDMS Provider Type ID]] &amp; "+" &amp;Table1[[#This Row],[TAXONOMY]]</f>
        <v>235+114+207QA0401X</v>
      </c>
      <c r="S10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(9979, 235, 114, N'207QA0401X', N'Family Medicine+  - Addiction Medicine')</v>
      </c>
    </row>
    <row r="1001" spans="1:19" ht="47.25" hidden="1" customHeight="1" x14ac:dyDescent="0.25">
      <c r="A1001" s="22" t="s">
        <v>1854</v>
      </c>
      <c r="B1001" s="3" t="s">
        <v>988</v>
      </c>
      <c r="C1001" s="3" t="s">
        <v>994</v>
      </c>
      <c r="D1001" s="3" t="s">
        <v>992</v>
      </c>
      <c r="E1001" s="3" t="s">
        <v>995</v>
      </c>
      <c r="F1001" s="3">
        <f>VLOOKUP(Table1[[#This Row],[Column2]], TAXONOMY_TYPE, 2, FALSE)</f>
        <v>9980</v>
      </c>
      <c r="G1001" s="3">
        <v>32</v>
      </c>
      <c r="H1001" s="3" t="s">
        <v>1444</v>
      </c>
      <c r="I1001" s="3">
        <f>VLOOKUP(Table1[[#This Row],[Provider Type]] &amp; Table1[[#This Row],[Provider Type Description]], PROVIDER_TYPE, 2, FALSE)</f>
        <v>50</v>
      </c>
      <c r="J1001" s="3">
        <v>356</v>
      </c>
      <c r="K1001" s="3" t="s">
        <v>992</v>
      </c>
      <c r="L1001" s="3">
        <f>VLOOKUP(TRIM(Table1[[#This Row],[Provider Specialty]]) &amp; TRIM(Table1[[#This Row],[Provider Specialty Description]]), SPECIALTY_TYPE, 2, FALSE)</f>
        <v>235</v>
      </c>
      <c r="M1001" s="3" t="s">
        <v>18</v>
      </c>
      <c r="N1001" s="27" t="s">
        <v>19</v>
      </c>
      <c r="O1001" s="38">
        <f>VLOOKUP(TRIM(Table1[[#This Row],[Provider Specialty]]) &amp; TRIM(Table1[[#This Row],[Provider Specialty Description]]), SPECIALTY_TYPE, 2, FALSE)</f>
        <v>235</v>
      </c>
      <c r="P1001" s="3" t="str">
        <f>Table1[[#This Row],[Provider Type]] &amp; "+" &amp; Table1[[#This Row],[Provider Type Description]]</f>
        <v>32+Multi-Specialty</v>
      </c>
      <c r="Q1001" s="7" t="str">
        <f>Table1[[#This Row],[Provider Specialty]] &amp; "+" &amp; Table1[[#This Row],[Provider Specialty Description]]</f>
        <v>356+Addiction Medicine</v>
      </c>
      <c r="R1001" s="7" t="str">
        <f>Table1[[#This Row],[PDMS Specialty Type ID]] &amp; "+" &amp; Table1[[#This Row],[PDMS Provider Type ID]] &amp; "+" &amp;Table1[[#This Row],[TAXONOMY]]</f>
        <v>235+50+207QA0401X</v>
      </c>
      <c r="S10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(9980, 235, 50, N'207QA0401X', N'Family Medicine+  - Addiction Medicine')</v>
      </c>
    </row>
    <row r="1002" spans="1:19" ht="47.25" hidden="1" customHeight="1" x14ac:dyDescent="0.25">
      <c r="A1002" s="22" t="s">
        <v>1854</v>
      </c>
      <c r="B1002" s="3" t="s">
        <v>988</v>
      </c>
      <c r="C1002" s="3" t="s">
        <v>994</v>
      </c>
      <c r="D1002" s="3" t="s">
        <v>992</v>
      </c>
      <c r="E1002" s="3" t="s">
        <v>995</v>
      </c>
      <c r="F1002" s="3">
        <f>VLOOKUP(Table1[[#This Row],[Column2]], TAXONOMY_TYPE, 2, FALSE)</f>
        <v>9981</v>
      </c>
      <c r="G1002" s="3">
        <v>33</v>
      </c>
      <c r="H1002" s="3" t="s">
        <v>1953</v>
      </c>
      <c r="I1002" s="3">
        <f>VLOOKUP(Table1[[#This Row],[Provider Type]] &amp; Table1[[#This Row],[Provider Type Description]], PROVIDER_TYPE, 2, FALSE)</f>
        <v>51</v>
      </c>
      <c r="J1002" s="3">
        <v>356</v>
      </c>
      <c r="K1002" s="3" t="s">
        <v>992</v>
      </c>
      <c r="L1002" s="3">
        <f>VLOOKUP(TRIM(Table1[[#This Row],[Provider Specialty]]) &amp; TRIM(Table1[[#This Row],[Provider Specialty Description]]), SPECIALTY_TYPE, 2, FALSE)</f>
        <v>235</v>
      </c>
      <c r="M1002" s="3" t="s">
        <v>18</v>
      </c>
      <c r="N1002" s="27" t="s">
        <v>19</v>
      </c>
      <c r="O1002" s="38">
        <f>VLOOKUP(TRIM(Table1[[#This Row],[Provider Specialty]]) &amp; TRIM(Table1[[#This Row],[Provider Specialty Description]]), SPECIALTY_TYPE, 2, FALSE)</f>
        <v>235</v>
      </c>
      <c r="P1002" s="3" t="str">
        <f>Table1[[#This Row],[Provider Type]] &amp; "+" &amp; Table1[[#This Row],[Provider Type Description]]</f>
        <v>33+Single-Specialty</v>
      </c>
      <c r="Q1002" s="7" t="str">
        <f>Table1[[#This Row],[Provider Specialty]] &amp; "+" &amp; Table1[[#This Row],[Provider Specialty Description]]</f>
        <v>356+Addiction Medicine</v>
      </c>
      <c r="R1002" s="7" t="str">
        <f>Table1[[#This Row],[PDMS Specialty Type ID]] &amp; "+" &amp; Table1[[#This Row],[PDMS Provider Type ID]] &amp; "+" &amp;Table1[[#This Row],[TAXONOMY]]</f>
        <v>235+51+207QA0401X</v>
      </c>
      <c r="S10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(9981, 235, 51, N'207QA0401X', N'Family Medicine+  - Addiction Medicine')</v>
      </c>
    </row>
    <row r="1003" spans="1:19" ht="47.25" hidden="1" customHeight="1" x14ac:dyDescent="0.25">
      <c r="A1003" s="22" t="s">
        <v>1855</v>
      </c>
      <c r="B1003" s="3" t="s">
        <v>988</v>
      </c>
      <c r="C1003" s="3" t="s">
        <v>999</v>
      </c>
      <c r="D1003" s="3" t="s">
        <v>1000</v>
      </c>
      <c r="E1003" s="3" t="s">
        <v>1001</v>
      </c>
      <c r="F1003" s="3">
        <f>VLOOKUP(Table1[[#This Row],[Column2]], TAXONOMY_TYPE, 2, FALSE)</f>
        <v>9982</v>
      </c>
      <c r="G1003" s="3">
        <v>31</v>
      </c>
      <c r="H1003" s="3" t="s">
        <v>991</v>
      </c>
      <c r="I1003" s="3">
        <f>VLOOKUP(Table1[[#This Row],[Provider Type]] &amp; Table1[[#This Row],[Provider Type Description]], PROVIDER_TYPE, 2, FALSE)</f>
        <v>114</v>
      </c>
      <c r="J1003" s="3">
        <v>356</v>
      </c>
      <c r="K1003" s="3" t="s">
        <v>992</v>
      </c>
      <c r="L1003" s="3">
        <f>VLOOKUP(TRIM(Table1[[#This Row],[Provider Specialty]]) &amp; TRIM(Table1[[#This Row],[Provider Specialty Description]]), SPECIALTY_TYPE, 2, FALSE)</f>
        <v>235</v>
      </c>
      <c r="M1003" s="3" t="s">
        <v>18</v>
      </c>
      <c r="N1003" s="27" t="s">
        <v>19</v>
      </c>
      <c r="O1003" s="38">
        <f>VLOOKUP(TRIM(Table1[[#This Row],[Provider Specialty]]) &amp; TRIM(Table1[[#This Row],[Provider Specialty Description]]), SPECIALTY_TYPE, 2, FALSE)</f>
        <v>235</v>
      </c>
      <c r="P1003" s="3" t="str">
        <f>Table1[[#This Row],[Provider Type]] &amp; "+" &amp; Table1[[#This Row],[Provider Type Description]]</f>
        <v>31+Physician</v>
      </c>
      <c r="Q1003" s="7" t="str">
        <f>Table1[[#This Row],[Provider Specialty]] &amp; "+" &amp; Table1[[#This Row],[Provider Specialty Description]]</f>
        <v>356+Addiction Medicine</v>
      </c>
      <c r="R1003" s="7" t="str">
        <f>Table1[[#This Row],[PDMS Specialty Type ID]] &amp; "+" &amp; Table1[[#This Row],[PDMS Provider Type ID]] &amp; "+" &amp;Table1[[#This Row],[TAXONOMY]]</f>
        <v>235+114+207RA0401X</v>
      </c>
      <c r="S10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(9982, 235, 114, N'207RA0401X', N'Internal Medicine - Addiction Medicine ')</v>
      </c>
    </row>
    <row r="1004" spans="1:19" ht="47.25" hidden="1" customHeight="1" x14ac:dyDescent="0.25">
      <c r="A1004" s="22" t="s">
        <v>1854</v>
      </c>
      <c r="B1004" s="3" t="s">
        <v>988</v>
      </c>
      <c r="C1004" s="3" t="s">
        <v>999</v>
      </c>
      <c r="D1004" s="3" t="s">
        <v>1000</v>
      </c>
      <c r="E1004" s="3" t="s">
        <v>1001</v>
      </c>
      <c r="F1004" s="3">
        <f>VLOOKUP(Table1[[#This Row],[Column2]], TAXONOMY_TYPE, 2, FALSE)</f>
        <v>9983</v>
      </c>
      <c r="G1004" s="3">
        <v>32</v>
      </c>
      <c r="H1004" s="3" t="s">
        <v>1444</v>
      </c>
      <c r="I1004" s="3">
        <f>VLOOKUP(Table1[[#This Row],[Provider Type]] &amp; Table1[[#This Row],[Provider Type Description]], PROVIDER_TYPE, 2, FALSE)</f>
        <v>50</v>
      </c>
      <c r="J1004" s="3">
        <v>356</v>
      </c>
      <c r="K1004" s="3" t="s">
        <v>992</v>
      </c>
      <c r="L1004" s="3">
        <f>VLOOKUP(TRIM(Table1[[#This Row],[Provider Specialty]]) &amp; TRIM(Table1[[#This Row],[Provider Specialty Description]]), SPECIALTY_TYPE, 2, FALSE)</f>
        <v>235</v>
      </c>
      <c r="M1004" s="3" t="s">
        <v>18</v>
      </c>
      <c r="N1004" s="27" t="s">
        <v>19</v>
      </c>
      <c r="O1004" s="38">
        <f>VLOOKUP(TRIM(Table1[[#This Row],[Provider Specialty]]) &amp; TRIM(Table1[[#This Row],[Provider Specialty Description]]), SPECIALTY_TYPE, 2, FALSE)</f>
        <v>235</v>
      </c>
      <c r="P1004" s="3" t="str">
        <f>Table1[[#This Row],[Provider Type]] &amp; "+" &amp; Table1[[#This Row],[Provider Type Description]]</f>
        <v>32+Multi-Specialty</v>
      </c>
      <c r="Q1004" s="7" t="str">
        <f>Table1[[#This Row],[Provider Specialty]] &amp; "+" &amp; Table1[[#This Row],[Provider Specialty Description]]</f>
        <v>356+Addiction Medicine</v>
      </c>
      <c r="R1004" s="7" t="str">
        <f>Table1[[#This Row],[PDMS Specialty Type ID]] &amp; "+" &amp; Table1[[#This Row],[PDMS Provider Type ID]] &amp; "+" &amp;Table1[[#This Row],[TAXONOMY]]</f>
        <v>235+50+207RA0401X</v>
      </c>
      <c r="S10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(9983, 235, 50, N'207RA0401X', N'Internal Medicine - Addiction Medicine ')</v>
      </c>
    </row>
    <row r="1005" spans="1:19" ht="47.25" hidden="1" customHeight="1" x14ac:dyDescent="0.25">
      <c r="A1005" s="22" t="s">
        <v>1854</v>
      </c>
      <c r="B1005" s="3" t="s">
        <v>988</v>
      </c>
      <c r="C1005" s="3" t="s">
        <v>999</v>
      </c>
      <c r="D1005" s="3" t="s">
        <v>1000</v>
      </c>
      <c r="E1005" s="3" t="s">
        <v>1001</v>
      </c>
      <c r="F1005" s="3">
        <f>VLOOKUP(Table1[[#This Row],[Column2]], TAXONOMY_TYPE, 2, FALSE)</f>
        <v>9984</v>
      </c>
      <c r="G1005" s="3">
        <v>33</v>
      </c>
      <c r="H1005" s="3" t="s">
        <v>1953</v>
      </c>
      <c r="I1005" s="3">
        <f>VLOOKUP(Table1[[#This Row],[Provider Type]] &amp; Table1[[#This Row],[Provider Type Description]], PROVIDER_TYPE, 2, FALSE)</f>
        <v>51</v>
      </c>
      <c r="J1005" s="3">
        <v>356</v>
      </c>
      <c r="K1005" s="3" t="s">
        <v>992</v>
      </c>
      <c r="L1005" s="3">
        <f>VLOOKUP(TRIM(Table1[[#This Row],[Provider Specialty]]) &amp; TRIM(Table1[[#This Row],[Provider Specialty Description]]), SPECIALTY_TYPE, 2, FALSE)</f>
        <v>235</v>
      </c>
      <c r="M1005" s="3" t="s">
        <v>18</v>
      </c>
      <c r="N1005" s="27" t="s">
        <v>19</v>
      </c>
      <c r="O1005" s="38">
        <f>VLOOKUP(TRIM(Table1[[#This Row],[Provider Specialty]]) &amp; TRIM(Table1[[#This Row],[Provider Specialty Description]]), SPECIALTY_TYPE, 2, FALSE)</f>
        <v>235</v>
      </c>
      <c r="P1005" s="3" t="str">
        <f>Table1[[#This Row],[Provider Type]] &amp; "+" &amp; Table1[[#This Row],[Provider Type Description]]</f>
        <v>33+Single-Specialty</v>
      </c>
      <c r="Q1005" s="7" t="str">
        <f>Table1[[#This Row],[Provider Specialty]] &amp; "+" &amp; Table1[[#This Row],[Provider Specialty Description]]</f>
        <v>356+Addiction Medicine</v>
      </c>
      <c r="R1005" s="7" t="str">
        <f>Table1[[#This Row],[PDMS Specialty Type ID]] &amp; "+" &amp; Table1[[#This Row],[PDMS Provider Type ID]] &amp; "+" &amp;Table1[[#This Row],[TAXONOMY]]</f>
        <v>235+51+207RA0401X</v>
      </c>
      <c r="S10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(9984, 235, 51, N'207RA0401X', N'Internal Medicine - Addiction Medicine ')</v>
      </c>
    </row>
    <row r="1006" spans="1:19" ht="47.25" hidden="1" customHeight="1" x14ac:dyDescent="0.25">
      <c r="A1006" s="22" t="s">
        <v>1855</v>
      </c>
      <c r="B1006" s="3" t="s">
        <v>988</v>
      </c>
      <c r="C1006" s="3" t="s">
        <v>1045</v>
      </c>
      <c r="D1006" s="3" t="s">
        <v>1046</v>
      </c>
      <c r="E1006" s="3" t="s">
        <v>1047</v>
      </c>
      <c r="F1006" s="3">
        <f>VLOOKUP(Table1[[#This Row],[Column2]], TAXONOMY_TYPE, 2, FALSE)</f>
        <v>9985</v>
      </c>
      <c r="G1006" s="3">
        <v>31</v>
      </c>
      <c r="H1006" s="3" t="s">
        <v>991</v>
      </c>
      <c r="I1006" s="3">
        <f>VLOOKUP(Table1[[#This Row],[Provider Type]] &amp; Table1[[#This Row],[Provider Type Description]], PROVIDER_TYPE, 2, FALSE)</f>
        <v>114</v>
      </c>
      <c r="J1006" s="3">
        <v>356</v>
      </c>
      <c r="K1006" s="3" t="s">
        <v>992</v>
      </c>
      <c r="L1006" s="3">
        <f>VLOOKUP(TRIM(Table1[[#This Row],[Provider Specialty]]) &amp; TRIM(Table1[[#This Row],[Provider Specialty Description]]), SPECIALTY_TYPE, 2, FALSE)</f>
        <v>235</v>
      </c>
      <c r="M1006" s="3" t="s">
        <v>18</v>
      </c>
      <c r="N1006" s="27" t="s">
        <v>19</v>
      </c>
      <c r="O1006" s="38">
        <f>VLOOKUP(TRIM(Table1[[#This Row],[Provider Specialty]]) &amp; TRIM(Table1[[#This Row],[Provider Specialty Description]]), SPECIALTY_TYPE, 2, FALSE)</f>
        <v>235</v>
      </c>
      <c r="P1006" s="3" t="str">
        <f>Table1[[#This Row],[Provider Type]] &amp; "+" &amp; Table1[[#This Row],[Provider Type Description]]</f>
        <v>31+Physician</v>
      </c>
      <c r="Q1006" s="7" t="str">
        <f>Table1[[#This Row],[Provider Specialty]] &amp; "+" &amp; Table1[[#This Row],[Provider Specialty Description]]</f>
        <v>356+Addiction Medicine</v>
      </c>
      <c r="R1006" s="7" t="str">
        <f>Table1[[#This Row],[PDMS Specialty Type ID]] &amp; "+" &amp; Table1[[#This Row],[PDMS Provider Type ID]] &amp; "+" &amp;Table1[[#This Row],[TAXONOMY]]</f>
        <v>235+114+2084A0401X</v>
      </c>
      <c r="S10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(9985, 235, 114, N'2084A0401X', N'Psychiatry &amp; Neurology - - Addiction Medicine##')</v>
      </c>
    </row>
    <row r="1007" spans="1:19" ht="47.25" hidden="1" customHeight="1" x14ac:dyDescent="0.25">
      <c r="A1007" s="22" t="s">
        <v>1854</v>
      </c>
      <c r="B1007" s="3" t="s">
        <v>988</v>
      </c>
      <c r="C1007" s="3" t="s">
        <v>1045</v>
      </c>
      <c r="D1007" s="3" t="s">
        <v>1046</v>
      </c>
      <c r="E1007" s="3" t="s">
        <v>1047</v>
      </c>
      <c r="F1007" s="3">
        <f>VLOOKUP(Table1[[#This Row],[Column2]], TAXONOMY_TYPE, 2, FALSE)</f>
        <v>9986</v>
      </c>
      <c r="G1007" s="3">
        <v>32</v>
      </c>
      <c r="H1007" s="3" t="s">
        <v>1444</v>
      </c>
      <c r="I1007" s="3">
        <f>VLOOKUP(Table1[[#This Row],[Provider Type]] &amp; Table1[[#This Row],[Provider Type Description]], PROVIDER_TYPE, 2, FALSE)</f>
        <v>50</v>
      </c>
      <c r="J1007" s="3">
        <v>356</v>
      </c>
      <c r="K1007" s="3" t="s">
        <v>992</v>
      </c>
      <c r="L1007" s="3">
        <f>VLOOKUP(TRIM(Table1[[#This Row],[Provider Specialty]]) &amp; TRIM(Table1[[#This Row],[Provider Specialty Description]]), SPECIALTY_TYPE, 2, FALSE)</f>
        <v>235</v>
      </c>
      <c r="M1007" s="3" t="s">
        <v>18</v>
      </c>
      <c r="N1007" s="27" t="s">
        <v>19</v>
      </c>
      <c r="O1007" s="38">
        <f>VLOOKUP(TRIM(Table1[[#This Row],[Provider Specialty]]) &amp; TRIM(Table1[[#This Row],[Provider Specialty Description]]), SPECIALTY_TYPE, 2, FALSE)</f>
        <v>235</v>
      </c>
      <c r="P1007" s="3" t="str">
        <f>Table1[[#This Row],[Provider Type]] &amp; "+" &amp; Table1[[#This Row],[Provider Type Description]]</f>
        <v>32+Multi-Specialty</v>
      </c>
      <c r="Q1007" s="7" t="str">
        <f>Table1[[#This Row],[Provider Specialty]] &amp; "+" &amp; Table1[[#This Row],[Provider Specialty Description]]</f>
        <v>356+Addiction Medicine</v>
      </c>
      <c r="R1007" s="7" t="str">
        <f>Table1[[#This Row],[PDMS Specialty Type ID]] &amp; "+" &amp; Table1[[#This Row],[PDMS Provider Type ID]] &amp; "+" &amp;Table1[[#This Row],[TAXONOMY]]</f>
        <v>235+50+2084A0401X</v>
      </c>
      <c r="S10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(9986, 235, 50, N'2084A0401X', N'Psychiatry &amp; Neurology - - Addiction Medicine##')</v>
      </c>
    </row>
    <row r="1008" spans="1:19" ht="47.25" hidden="1" customHeight="1" x14ac:dyDescent="0.25">
      <c r="A1008" s="22" t="s">
        <v>1854</v>
      </c>
      <c r="B1008" s="3" t="s">
        <v>988</v>
      </c>
      <c r="C1008" s="3" t="s">
        <v>1045</v>
      </c>
      <c r="D1008" s="3" t="s">
        <v>1046</v>
      </c>
      <c r="E1008" s="3" t="s">
        <v>1047</v>
      </c>
      <c r="F1008" s="3">
        <f>VLOOKUP(Table1[[#This Row],[Column2]], TAXONOMY_TYPE, 2, FALSE)</f>
        <v>9987</v>
      </c>
      <c r="G1008" s="3">
        <v>33</v>
      </c>
      <c r="H1008" s="3" t="s">
        <v>1953</v>
      </c>
      <c r="I1008" s="3">
        <f>VLOOKUP(Table1[[#This Row],[Provider Type]] &amp; Table1[[#This Row],[Provider Type Description]], PROVIDER_TYPE, 2, FALSE)</f>
        <v>51</v>
      </c>
      <c r="J1008" s="3">
        <v>356</v>
      </c>
      <c r="K1008" s="3" t="s">
        <v>992</v>
      </c>
      <c r="L1008" s="3">
        <f>VLOOKUP(TRIM(Table1[[#This Row],[Provider Specialty]]) &amp; TRIM(Table1[[#This Row],[Provider Specialty Description]]), SPECIALTY_TYPE, 2, FALSE)</f>
        <v>235</v>
      </c>
      <c r="M1008" s="3" t="s">
        <v>18</v>
      </c>
      <c r="N1008" s="27" t="s">
        <v>19</v>
      </c>
      <c r="O1008" s="38">
        <f>VLOOKUP(TRIM(Table1[[#This Row],[Provider Specialty]]) &amp; TRIM(Table1[[#This Row],[Provider Specialty Description]]), SPECIALTY_TYPE, 2, FALSE)</f>
        <v>235</v>
      </c>
      <c r="P1008" s="3" t="str">
        <f>Table1[[#This Row],[Provider Type]] &amp; "+" &amp; Table1[[#This Row],[Provider Type Description]]</f>
        <v>33+Single-Specialty</v>
      </c>
      <c r="Q1008" s="7" t="str">
        <f>Table1[[#This Row],[Provider Specialty]] &amp; "+" &amp; Table1[[#This Row],[Provider Specialty Description]]</f>
        <v>356+Addiction Medicine</v>
      </c>
      <c r="R1008" s="7" t="str">
        <f>Table1[[#This Row],[PDMS Specialty Type ID]] &amp; "+" &amp; Table1[[#This Row],[PDMS Provider Type ID]] &amp; "+" &amp;Table1[[#This Row],[TAXONOMY]]</f>
        <v>235+51+2084A0401X</v>
      </c>
      <c r="S10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(9987, 235, 51, N'2084A0401X', N'Psychiatry &amp; Neurology - - Addiction Medicine##')</v>
      </c>
    </row>
    <row r="1009" spans="1:19" ht="47.25" hidden="1" customHeight="1" x14ac:dyDescent="0.25">
      <c r="A1009" s="22" t="s">
        <v>1855</v>
      </c>
      <c r="B1009" s="3" t="s">
        <v>988</v>
      </c>
      <c r="C1009" s="3" t="s">
        <v>1019</v>
      </c>
      <c r="D1009" s="3" t="s">
        <v>1020</v>
      </c>
      <c r="E1009" s="3" t="s">
        <v>1021</v>
      </c>
      <c r="F1009" s="3">
        <f>VLOOKUP(Table1[[#This Row],[Column2]], TAXONOMY_TYPE, 2, FALSE)</f>
        <v>9988</v>
      </c>
      <c r="G1009" s="3">
        <v>31</v>
      </c>
      <c r="H1009" s="3" t="s">
        <v>991</v>
      </c>
      <c r="I1009" s="3">
        <f>VLOOKUP(Table1[[#This Row],[Provider Type]] &amp; Table1[[#This Row],[Provider Type Description]], PROVIDER_TYPE, 2, FALSE)</f>
        <v>114</v>
      </c>
      <c r="J1009" s="3">
        <v>357</v>
      </c>
      <c r="K1009" s="3" t="s">
        <v>536</v>
      </c>
      <c r="L1009" s="3">
        <f>VLOOKUP(TRIM(Table1[[#This Row],[Provider Specialty]]) &amp; TRIM(Table1[[#This Row],[Provider Specialty Description]]), SPECIALTY_TYPE, 2, FALSE)</f>
        <v>2114</v>
      </c>
      <c r="M1009" s="3" t="s">
        <v>18</v>
      </c>
      <c r="N1009" s="27" t="s">
        <v>19</v>
      </c>
      <c r="O1009" s="38">
        <f>VLOOKUP(TRIM(Table1[[#This Row],[Provider Specialty]]) &amp; TRIM(Table1[[#This Row],[Provider Specialty Description]]), SPECIALTY_TYPE, 2, FALSE)</f>
        <v>2114</v>
      </c>
      <c r="P1009" s="3" t="str">
        <f>Table1[[#This Row],[Provider Type]] &amp; "+" &amp; Table1[[#This Row],[Provider Type Description]]</f>
        <v>31+Physician</v>
      </c>
      <c r="Q1009" s="7" t="str">
        <f>Table1[[#This Row],[Provider Specialty]] &amp; "+" &amp; Table1[[#This Row],[Provider Specialty Description]]</f>
        <v>357+Genetics</v>
      </c>
      <c r="R1009" s="7" t="str">
        <f>Table1[[#This Row],[PDMS Specialty Type ID]] &amp; "+" &amp; Table1[[#This Row],[PDMS Provider Type ID]] &amp; "+" &amp;Table1[[#This Row],[TAXONOMY]]</f>
        <v>2114+114+207SC0300X</v>
      </c>
      <c r="S10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(9988, 2114, 114, N'207SC0300X', N'Medical Genetics - - Clinical Cytogenetic')</v>
      </c>
    </row>
    <row r="1010" spans="1:19" ht="47.25" hidden="1" customHeight="1" x14ac:dyDescent="0.25">
      <c r="A1010" s="22" t="s">
        <v>1854</v>
      </c>
      <c r="B1010" s="3" t="s">
        <v>988</v>
      </c>
      <c r="C1010" s="3" t="s">
        <v>1019</v>
      </c>
      <c r="D1010" s="3" t="s">
        <v>1020</v>
      </c>
      <c r="E1010" s="3" t="s">
        <v>1021</v>
      </c>
      <c r="F1010" s="3">
        <f>VLOOKUP(Table1[[#This Row],[Column2]], TAXONOMY_TYPE, 2, FALSE)</f>
        <v>9989</v>
      </c>
      <c r="G1010" s="3">
        <v>32</v>
      </c>
      <c r="H1010" s="3" t="s">
        <v>1444</v>
      </c>
      <c r="I1010" s="3">
        <f>VLOOKUP(Table1[[#This Row],[Provider Type]] &amp; Table1[[#This Row],[Provider Type Description]], PROVIDER_TYPE, 2, FALSE)</f>
        <v>50</v>
      </c>
      <c r="J1010" s="3">
        <v>357</v>
      </c>
      <c r="K1010" s="3" t="s">
        <v>536</v>
      </c>
      <c r="L1010" s="3">
        <f>VLOOKUP(TRIM(Table1[[#This Row],[Provider Specialty]]) &amp; TRIM(Table1[[#This Row],[Provider Specialty Description]]), SPECIALTY_TYPE, 2, FALSE)</f>
        <v>2114</v>
      </c>
      <c r="M1010" s="3" t="s">
        <v>18</v>
      </c>
      <c r="N1010" s="27" t="s">
        <v>19</v>
      </c>
      <c r="O1010" s="38">
        <f>VLOOKUP(TRIM(Table1[[#This Row],[Provider Specialty]]) &amp; TRIM(Table1[[#This Row],[Provider Specialty Description]]), SPECIALTY_TYPE, 2, FALSE)</f>
        <v>2114</v>
      </c>
      <c r="P1010" s="3" t="str">
        <f>Table1[[#This Row],[Provider Type]] &amp; "+" &amp; Table1[[#This Row],[Provider Type Description]]</f>
        <v>32+Multi-Specialty</v>
      </c>
      <c r="Q1010" s="7" t="str">
        <f>Table1[[#This Row],[Provider Specialty]] &amp; "+" &amp; Table1[[#This Row],[Provider Specialty Description]]</f>
        <v>357+Genetics</v>
      </c>
      <c r="R1010" s="7" t="str">
        <f>Table1[[#This Row],[PDMS Specialty Type ID]] &amp; "+" &amp; Table1[[#This Row],[PDMS Provider Type ID]] &amp; "+" &amp;Table1[[#This Row],[TAXONOMY]]</f>
        <v>2114+50+207SC0300X</v>
      </c>
      <c r="S10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(9989, 2114, 50, N'207SC0300X', N'Medical Genetics - - Clinical Cytogenetic')</v>
      </c>
    </row>
    <row r="1011" spans="1:19" ht="47.25" hidden="1" customHeight="1" x14ac:dyDescent="0.25">
      <c r="A1011" s="22" t="s">
        <v>1854</v>
      </c>
      <c r="B1011" s="3" t="s">
        <v>988</v>
      </c>
      <c r="C1011" s="3" t="s">
        <v>1019</v>
      </c>
      <c r="D1011" s="3" t="s">
        <v>1020</v>
      </c>
      <c r="E1011" s="3" t="s">
        <v>1021</v>
      </c>
      <c r="F1011" s="3">
        <f>VLOOKUP(Table1[[#This Row],[Column2]], TAXONOMY_TYPE, 2, FALSE)</f>
        <v>9990</v>
      </c>
      <c r="G1011" s="3">
        <v>33</v>
      </c>
      <c r="H1011" s="3" t="s">
        <v>1953</v>
      </c>
      <c r="I1011" s="3">
        <f>VLOOKUP(Table1[[#This Row],[Provider Type]] &amp; Table1[[#This Row],[Provider Type Description]], PROVIDER_TYPE, 2, FALSE)</f>
        <v>51</v>
      </c>
      <c r="J1011" s="3">
        <v>357</v>
      </c>
      <c r="K1011" s="3" t="s">
        <v>536</v>
      </c>
      <c r="L1011" s="3">
        <f>VLOOKUP(TRIM(Table1[[#This Row],[Provider Specialty]]) &amp; TRIM(Table1[[#This Row],[Provider Specialty Description]]), SPECIALTY_TYPE, 2, FALSE)</f>
        <v>2114</v>
      </c>
      <c r="M1011" s="3" t="s">
        <v>18</v>
      </c>
      <c r="N1011" s="27" t="s">
        <v>19</v>
      </c>
      <c r="O1011" s="38">
        <f>VLOOKUP(TRIM(Table1[[#This Row],[Provider Specialty]]) &amp; TRIM(Table1[[#This Row],[Provider Specialty Description]]), SPECIALTY_TYPE, 2, FALSE)</f>
        <v>2114</v>
      </c>
      <c r="P1011" s="3" t="str">
        <f>Table1[[#This Row],[Provider Type]] &amp; "+" &amp; Table1[[#This Row],[Provider Type Description]]</f>
        <v>33+Single-Specialty</v>
      </c>
      <c r="Q1011" s="7" t="str">
        <f>Table1[[#This Row],[Provider Specialty]] &amp; "+" &amp; Table1[[#This Row],[Provider Specialty Description]]</f>
        <v>357+Genetics</v>
      </c>
      <c r="R1011" s="7" t="str">
        <f>Table1[[#This Row],[PDMS Specialty Type ID]] &amp; "+" &amp; Table1[[#This Row],[PDMS Provider Type ID]] &amp; "+" &amp;Table1[[#This Row],[TAXONOMY]]</f>
        <v>2114+51+207SC0300X</v>
      </c>
      <c r="S10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(9990, 2114, 51, N'207SC0300X', N'Medical Genetics - - Clinical Cytogenetic')</v>
      </c>
    </row>
    <row r="1012" spans="1:19" ht="47.25" hidden="1" customHeight="1" x14ac:dyDescent="0.25">
      <c r="A1012" s="22" t="s">
        <v>1855</v>
      </c>
      <c r="B1012" s="3" t="s">
        <v>988</v>
      </c>
      <c r="C1012" s="3" t="s">
        <v>1019</v>
      </c>
      <c r="D1012" s="3" t="s">
        <v>1022</v>
      </c>
      <c r="E1012" s="3" t="s">
        <v>1023</v>
      </c>
      <c r="F1012" s="3">
        <f>VLOOKUP(Table1[[#This Row],[Column2]], TAXONOMY_TYPE, 2, FALSE)</f>
        <v>9991</v>
      </c>
      <c r="G1012" s="3">
        <v>31</v>
      </c>
      <c r="H1012" s="3" t="s">
        <v>991</v>
      </c>
      <c r="I1012" s="3">
        <f>VLOOKUP(Table1[[#This Row],[Provider Type]] &amp; Table1[[#This Row],[Provider Type Description]], PROVIDER_TYPE, 2, FALSE)</f>
        <v>114</v>
      </c>
      <c r="J1012" s="3">
        <v>357</v>
      </c>
      <c r="K1012" s="3" t="s">
        <v>536</v>
      </c>
      <c r="L1012" s="3">
        <f>VLOOKUP(TRIM(Table1[[#This Row],[Provider Specialty]]) &amp; TRIM(Table1[[#This Row],[Provider Specialty Description]]), SPECIALTY_TYPE, 2, FALSE)</f>
        <v>2114</v>
      </c>
      <c r="M1012" s="3" t="s">
        <v>18</v>
      </c>
      <c r="N1012" s="27" t="s">
        <v>19</v>
      </c>
      <c r="O1012" s="38">
        <f>VLOOKUP(TRIM(Table1[[#This Row],[Provider Specialty]]) &amp; TRIM(Table1[[#This Row],[Provider Specialty Description]]), SPECIALTY_TYPE, 2, FALSE)</f>
        <v>2114</v>
      </c>
      <c r="P1012" s="3" t="str">
        <f>Table1[[#This Row],[Provider Type]] &amp; "+" &amp; Table1[[#This Row],[Provider Type Description]]</f>
        <v>31+Physician</v>
      </c>
      <c r="Q1012" s="7" t="str">
        <f>Table1[[#This Row],[Provider Specialty]] &amp; "+" &amp; Table1[[#This Row],[Provider Specialty Description]]</f>
        <v>357+Genetics</v>
      </c>
      <c r="R1012" s="7" t="str">
        <f>Table1[[#This Row],[PDMS Specialty Type ID]] &amp; "+" &amp; Table1[[#This Row],[PDMS Provider Type ID]] &amp; "+" &amp;Table1[[#This Row],[TAXONOMY]]</f>
        <v>2114+114+207SG0201X</v>
      </c>
      <c r="S10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(9991, 2114, 114, N'207SG0201X', N'Medical Genetics - - Clinical Genetics (M.D.)')</v>
      </c>
    </row>
    <row r="1013" spans="1:19" ht="47.25" hidden="1" customHeight="1" x14ac:dyDescent="0.25">
      <c r="A1013" s="22" t="s">
        <v>1854</v>
      </c>
      <c r="B1013" s="3" t="s">
        <v>988</v>
      </c>
      <c r="C1013" s="3" t="s">
        <v>1019</v>
      </c>
      <c r="D1013" s="3" t="s">
        <v>1022</v>
      </c>
      <c r="E1013" s="3" t="s">
        <v>1023</v>
      </c>
      <c r="F1013" s="3">
        <f>VLOOKUP(Table1[[#This Row],[Column2]], TAXONOMY_TYPE, 2, FALSE)</f>
        <v>9992</v>
      </c>
      <c r="G1013" s="3">
        <v>32</v>
      </c>
      <c r="H1013" s="3" t="s">
        <v>1444</v>
      </c>
      <c r="I1013" s="3">
        <f>VLOOKUP(Table1[[#This Row],[Provider Type]] &amp; Table1[[#This Row],[Provider Type Description]], PROVIDER_TYPE, 2, FALSE)</f>
        <v>50</v>
      </c>
      <c r="J1013" s="3">
        <v>357</v>
      </c>
      <c r="K1013" s="3" t="s">
        <v>536</v>
      </c>
      <c r="L1013" s="3">
        <f>VLOOKUP(TRIM(Table1[[#This Row],[Provider Specialty]]) &amp; TRIM(Table1[[#This Row],[Provider Specialty Description]]), SPECIALTY_TYPE, 2, FALSE)</f>
        <v>2114</v>
      </c>
      <c r="M1013" s="3" t="s">
        <v>18</v>
      </c>
      <c r="N1013" s="27" t="s">
        <v>19</v>
      </c>
      <c r="O1013" s="38">
        <f>VLOOKUP(TRIM(Table1[[#This Row],[Provider Specialty]]) &amp; TRIM(Table1[[#This Row],[Provider Specialty Description]]), SPECIALTY_TYPE, 2, FALSE)</f>
        <v>2114</v>
      </c>
      <c r="P1013" s="3" t="str">
        <f>Table1[[#This Row],[Provider Type]] &amp; "+" &amp; Table1[[#This Row],[Provider Type Description]]</f>
        <v>32+Multi-Specialty</v>
      </c>
      <c r="Q1013" s="7" t="str">
        <f>Table1[[#This Row],[Provider Specialty]] &amp; "+" &amp; Table1[[#This Row],[Provider Specialty Description]]</f>
        <v>357+Genetics</v>
      </c>
      <c r="R1013" s="7" t="str">
        <f>Table1[[#This Row],[PDMS Specialty Type ID]] &amp; "+" &amp; Table1[[#This Row],[PDMS Provider Type ID]] &amp; "+" &amp;Table1[[#This Row],[TAXONOMY]]</f>
        <v>2114+50+207SG0201X</v>
      </c>
      <c r="S10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(9992, 2114, 50, N'207SG0201X', N'Medical Genetics - - Clinical Genetics (M.D.)')</v>
      </c>
    </row>
    <row r="1014" spans="1:19" ht="47.25" hidden="1" customHeight="1" x14ac:dyDescent="0.25">
      <c r="A1014" s="22" t="s">
        <v>1854</v>
      </c>
      <c r="B1014" s="3" t="s">
        <v>988</v>
      </c>
      <c r="C1014" s="3" t="s">
        <v>1019</v>
      </c>
      <c r="D1014" s="3" t="s">
        <v>1022</v>
      </c>
      <c r="E1014" s="3" t="s">
        <v>1023</v>
      </c>
      <c r="F1014" s="3">
        <f>VLOOKUP(Table1[[#This Row],[Column2]], TAXONOMY_TYPE, 2, FALSE)</f>
        <v>9993</v>
      </c>
      <c r="G1014" s="3">
        <v>33</v>
      </c>
      <c r="H1014" s="3" t="s">
        <v>1953</v>
      </c>
      <c r="I1014" s="3">
        <f>VLOOKUP(Table1[[#This Row],[Provider Type]] &amp; Table1[[#This Row],[Provider Type Description]], PROVIDER_TYPE, 2, FALSE)</f>
        <v>51</v>
      </c>
      <c r="J1014" s="3">
        <v>357</v>
      </c>
      <c r="K1014" s="3" t="s">
        <v>536</v>
      </c>
      <c r="L1014" s="3">
        <f>VLOOKUP(TRIM(Table1[[#This Row],[Provider Specialty]]) &amp; TRIM(Table1[[#This Row],[Provider Specialty Description]]), SPECIALTY_TYPE, 2, FALSE)</f>
        <v>2114</v>
      </c>
      <c r="M1014" s="3" t="s">
        <v>18</v>
      </c>
      <c r="N1014" s="27" t="s">
        <v>19</v>
      </c>
      <c r="O1014" s="38">
        <f>VLOOKUP(TRIM(Table1[[#This Row],[Provider Specialty]]) &amp; TRIM(Table1[[#This Row],[Provider Specialty Description]]), SPECIALTY_TYPE, 2, FALSE)</f>
        <v>2114</v>
      </c>
      <c r="P1014" s="3" t="str">
        <f>Table1[[#This Row],[Provider Type]] &amp; "+" &amp; Table1[[#This Row],[Provider Type Description]]</f>
        <v>33+Single-Specialty</v>
      </c>
      <c r="Q1014" s="7" t="str">
        <f>Table1[[#This Row],[Provider Specialty]] &amp; "+" &amp; Table1[[#This Row],[Provider Specialty Description]]</f>
        <v>357+Genetics</v>
      </c>
      <c r="R1014" s="7" t="str">
        <f>Table1[[#This Row],[PDMS Specialty Type ID]] &amp; "+" &amp; Table1[[#This Row],[PDMS Provider Type ID]] &amp; "+" &amp;Table1[[#This Row],[TAXONOMY]]</f>
        <v>2114+51+207SG0201X</v>
      </c>
      <c r="S10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(9993, 2114, 51, N'207SG0201X', N'Medical Genetics - - Clinical Genetics (M.D.)')</v>
      </c>
    </row>
    <row r="1015" spans="1:19" ht="47.25" hidden="1" customHeight="1" x14ac:dyDescent="0.25">
      <c r="A1015" s="22" t="s">
        <v>1855</v>
      </c>
      <c r="B1015" s="3" t="s">
        <v>988</v>
      </c>
      <c r="C1015" s="3" t="s">
        <v>1019</v>
      </c>
      <c r="D1015" s="3" t="s">
        <v>1024</v>
      </c>
      <c r="E1015" s="3" t="s">
        <v>1025</v>
      </c>
      <c r="F1015" s="3">
        <f>VLOOKUP(Table1[[#This Row],[Column2]], TAXONOMY_TYPE, 2, FALSE)</f>
        <v>9994</v>
      </c>
      <c r="G1015" s="3">
        <v>31</v>
      </c>
      <c r="H1015" s="3" t="s">
        <v>991</v>
      </c>
      <c r="I1015" s="3">
        <f>VLOOKUP(Table1[[#This Row],[Provider Type]] &amp; Table1[[#This Row],[Provider Type Description]], PROVIDER_TYPE, 2, FALSE)</f>
        <v>114</v>
      </c>
      <c r="J1015" s="3">
        <v>357</v>
      </c>
      <c r="K1015" s="3" t="s">
        <v>536</v>
      </c>
      <c r="L1015" s="3">
        <f>VLOOKUP(TRIM(Table1[[#This Row],[Provider Specialty]]) &amp; TRIM(Table1[[#This Row],[Provider Specialty Description]]), SPECIALTY_TYPE, 2, FALSE)</f>
        <v>2114</v>
      </c>
      <c r="M1015" s="3" t="s">
        <v>18</v>
      </c>
      <c r="N1015" s="27" t="s">
        <v>19</v>
      </c>
      <c r="O1015" s="38">
        <f>VLOOKUP(TRIM(Table1[[#This Row],[Provider Specialty]]) &amp; TRIM(Table1[[#This Row],[Provider Specialty Description]]), SPECIALTY_TYPE, 2, FALSE)</f>
        <v>2114</v>
      </c>
      <c r="P1015" s="3" t="str">
        <f>Table1[[#This Row],[Provider Type]] &amp; "+" &amp; Table1[[#This Row],[Provider Type Description]]</f>
        <v>31+Physician</v>
      </c>
      <c r="Q1015" s="7" t="str">
        <f>Table1[[#This Row],[Provider Specialty]] &amp; "+" &amp; Table1[[#This Row],[Provider Specialty Description]]</f>
        <v>357+Genetics</v>
      </c>
      <c r="R1015" s="7" t="str">
        <f>Table1[[#This Row],[PDMS Specialty Type ID]] &amp; "+" &amp; Table1[[#This Row],[PDMS Provider Type ID]] &amp; "+" &amp;Table1[[#This Row],[TAXONOMY]]</f>
        <v>2114+114+207SG0202X</v>
      </c>
      <c r="S10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(9994, 2114, 114, N'207SG0202X', N'Medical Genetics - - Clinical Biochemical Genetics')</v>
      </c>
    </row>
    <row r="1016" spans="1:19" ht="47.25" hidden="1" customHeight="1" x14ac:dyDescent="0.25">
      <c r="A1016" s="22" t="s">
        <v>1854</v>
      </c>
      <c r="B1016" s="3" t="s">
        <v>988</v>
      </c>
      <c r="C1016" s="3" t="s">
        <v>1019</v>
      </c>
      <c r="D1016" s="3" t="s">
        <v>1024</v>
      </c>
      <c r="E1016" s="3" t="s">
        <v>1025</v>
      </c>
      <c r="F1016" s="3">
        <f>VLOOKUP(Table1[[#This Row],[Column2]], TAXONOMY_TYPE, 2, FALSE)</f>
        <v>9995</v>
      </c>
      <c r="G1016" s="3">
        <v>32</v>
      </c>
      <c r="H1016" s="3" t="s">
        <v>1444</v>
      </c>
      <c r="I1016" s="3">
        <f>VLOOKUP(Table1[[#This Row],[Provider Type]] &amp; Table1[[#This Row],[Provider Type Description]], PROVIDER_TYPE, 2, FALSE)</f>
        <v>50</v>
      </c>
      <c r="J1016" s="3">
        <v>357</v>
      </c>
      <c r="K1016" s="3" t="s">
        <v>536</v>
      </c>
      <c r="L1016" s="3">
        <f>VLOOKUP(TRIM(Table1[[#This Row],[Provider Specialty]]) &amp; TRIM(Table1[[#This Row],[Provider Specialty Description]]), SPECIALTY_TYPE, 2, FALSE)</f>
        <v>2114</v>
      </c>
      <c r="M1016" s="3" t="s">
        <v>18</v>
      </c>
      <c r="N1016" s="27" t="s">
        <v>19</v>
      </c>
      <c r="O1016" s="38">
        <f>VLOOKUP(TRIM(Table1[[#This Row],[Provider Specialty]]) &amp; TRIM(Table1[[#This Row],[Provider Specialty Description]]), SPECIALTY_TYPE, 2, FALSE)</f>
        <v>2114</v>
      </c>
      <c r="P1016" s="3" t="str">
        <f>Table1[[#This Row],[Provider Type]] &amp; "+" &amp; Table1[[#This Row],[Provider Type Description]]</f>
        <v>32+Multi-Specialty</v>
      </c>
      <c r="Q1016" s="7" t="str">
        <f>Table1[[#This Row],[Provider Specialty]] &amp; "+" &amp; Table1[[#This Row],[Provider Specialty Description]]</f>
        <v>357+Genetics</v>
      </c>
      <c r="R1016" s="7" t="str">
        <f>Table1[[#This Row],[PDMS Specialty Type ID]] &amp; "+" &amp; Table1[[#This Row],[PDMS Provider Type ID]] &amp; "+" &amp;Table1[[#This Row],[TAXONOMY]]</f>
        <v>2114+50+207SG0202X</v>
      </c>
      <c r="S10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(9995, 2114, 50, N'207SG0202X', N'Medical Genetics - - Clinical Biochemical Genetics')</v>
      </c>
    </row>
    <row r="1017" spans="1:19" ht="47.25" hidden="1" customHeight="1" x14ac:dyDescent="0.25">
      <c r="A1017" s="22" t="s">
        <v>1854</v>
      </c>
      <c r="B1017" s="3" t="s">
        <v>988</v>
      </c>
      <c r="C1017" s="3" t="s">
        <v>1019</v>
      </c>
      <c r="D1017" s="3" t="s">
        <v>1024</v>
      </c>
      <c r="E1017" s="3" t="s">
        <v>1025</v>
      </c>
      <c r="F1017" s="3">
        <f>VLOOKUP(Table1[[#This Row],[Column2]], TAXONOMY_TYPE, 2, FALSE)</f>
        <v>9996</v>
      </c>
      <c r="G1017" s="3">
        <v>33</v>
      </c>
      <c r="H1017" s="3" t="s">
        <v>1953</v>
      </c>
      <c r="I1017" s="3">
        <f>VLOOKUP(Table1[[#This Row],[Provider Type]] &amp; Table1[[#This Row],[Provider Type Description]], PROVIDER_TYPE, 2, FALSE)</f>
        <v>51</v>
      </c>
      <c r="J1017" s="3">
        <v>357</v>
      </c>
      <c r="K1017" s="3" t="s">
        <v>536</v>
      </c>
      <c r="L1017" s="3">
        <f>VLOOKUP(TRIM(Table1[[#This Row],[Provider Specialty]]) &amp; TRIM(Table1[[#This Row],[Provider Specialty Description]]), SPECIALTY_TYPE, 2, FALSE)</f>
        <v>2114</v>
      </c>
      <c r="M1017" s="3" t="s">
        <v>18</v>
      </c>
      <c r="N1017" s="27" t="s">
        <v>19</v>
      </c>
      <c r="O1017" s="38">
        <f>VLOOKUP(TRIM(Table1[[#This Row],[Provider Specialty]]) &amp; TRIM(Table1[[#This Row],[Provider Specialty Description]]), SPECIALTY_TYPE, 2, FALSE)</f>
        <v>2114</v>
      </c>
      <c r="P1017" s="3" t="str">
        <f>Table1[[#This Row],[Provider Type]] &amp; "+" &amp; Table1[[#This Row],[Provider Type Description]]</f>
        <v>33+Single-Specialty</v>
      </c>
      <c r="Q1017" s="7" t="str">
        <f>Table1[[#This Row],[Provider Specialty]] &amp; "+" &amp; Table1[[#This Row],[Provider Specialty Description]]</f>
        <v>357+Genetics</v>
      </c>
      <c r="R1017" s="7" t="str">
        <f>Table1[[#This Row],[PDMS Specialty Type ID]] &amp; "+" &amp; Table1[[#This Row],[PDMS Provider Type ID]] &amp; "+" &amp;Table1[[#This Row],[TAXONOMY]]</f>
        <v>2114+51+207SG0202X</v>
      </c>
      <c r="S10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(9996, 2114, 51, N'207SG0202X', N'Medical Genetics - - Clinical Biochemical Genetics')</v>
      </c>
    </row>
    <row r="1018" spans="1:19" ht="47.25" hidden="1" customHeight="1" x14ac:dyDescent="0.25">
      <c r="A1018" s="22" t="s">
        <v>1855</v>
      </c>
      <c r="B1018" s="3" t="s">
        <v>988</v>
      </c>
      <c r="C1018" s="3" t="s">
        <v>1019</v>
      </c>
      <c r="D1018" s="3" t="s">
        <v>1026</v>
      </c>
      <c r="E1018" s="3" t="s">
        <v>1027</v>
      </c>
      <c r="F1018" s="3">
        <f>VLOOKUP(Table1[[#This Row],[Column2]], TAXONOMY_TYPE, 2, FALSE)</f>
        <v>9997</v>
      </c>
      <c r="G1018" s="3">
        <v>31</v>
      </c>
      <c r="H1018" s="3" t="s">
        <v>991</v>
      </c>
      <c r="I1018" s="3">
        <f>VLOOKUP(Table1[[#This Row],[Provider Type]] &amp; Table1[[#This Row],[Provider Type Description]], PROVIDER_TYPE, 2, FALSE)</f>
        <v>114</v>
      </c>
      <c r="J1018" s="3">
        <v>357</v>
      </c>
      <c r="K1018" s="3" t="s">
        <v>536</v>
      </c>
      <c r="L1018" s="3">
        <f>VLOOKUP(TRIM(Table1[[#This Row],[Provider Specialty]]) &amp; TRIM(Table1[[#This Row],[Provider Specialty Description]]), SPECIALTY_TYPE, 2, FALSE)</f>
        <v>2114</v>
      </c>
      <c r="M1018" s="3" t="s">
        <v>18</v>
      </c>
      <c r="N1018" s="27" t="s">
        <v>19</v>
      </c>
      <c r="O1018" s="38">
        <f>VLOOKUP(TRIM(Table1[[#This Row],[Provider Specialty]]) &amp; TRIM(Table1[[#This Row],[Provider Specialty Description]]), SPECIALTY_TYPE, 2, FALSE)</f>
        <v>2114</v>
      </c>
      <c r="P1018" s="3" t="str">
        <f>Table1[[#This Row],[Provider Type]] &amp; "+" &amp; Table1[[#This Row],[Provider Type Description]]</f>
        <v>31+Physician</v>
      </c>
      <c r="Q1018" s="7" t="str">
        <f>Table1[[#This Row],[Provider Specialty]] &amp; "+" &amp; Table1[[#This Row],[Provider Specialty Description]]</f>
        <v>357+Genetics</v>
      </c>
      <c r="R1018" s="7" t="str">
        <f>Table1[[#This Row],[PDMS Specialty Type ID]] &amp; "+" &amp; Table1[[#This Row],[PDMS Provider Type ID]] &amp; "+" &amp;Table1[[#This Row],[TAXONOMY]]</f>
        <v>2114+114+207SG0203X</v>
      </c>
      <c r="S10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(9997, 2114, 114, N'207SG0203X', N'Medical Genetics - - Clinical Molecular Genetics')</v>
      </c>
    </row>
    <row r="1019" spans="1:19" ht="47.25" hidden="1" customHeight="1" x14ac:dyDescent="0.25">
      <c r="A1019" s="22" t="s">
        <v>1854</v>
      </c>
      <c r="B1019" s="3" t="s">
        <v>988</v>
      </c>
      <c r="C1019" s="3" t="s">
        <v>1019</v>
      </c>
      <c r="D1019" s="3" t="s">
        <v>1026</v>
      </c>
      <c r="E1019" s="3" t="s">
        <v>1027</v>
      </c>
      <c r="F1019" s="3">
        <f>VLOOKUP(Table1[[#This Row],[Column2]], TAXONOMY_TYPE, 2, FALSE)</f>
        <v>9998</v>
      </c>
      <c r="G1019" s="3">
        <v>32</v>
      </c>
      <c r="H1019" s="3" t="s">
        <v>1444</v>
      </c>
      <c r="I1019" s="3">
        <f>VLOOKUP(Table1[[#This Row],[Provider Type]] &amp; Table1[[#This Row],[Provider Type Description]], PROVIDER_TYPE, 2, FALSE)</f>
        <v>50</v>
      </c>
      <c r="J1019" s="3">
        <v>357</v>
      </c>
      <c r="K1019" s="3" t="s">
        <v>536</v>
      </c>
      <c r="L1019" s="3">
        <f>VLOOKUP(TRIM(Table1[[#This Row],[Provider Specialty]]) &amp; TRIM(Table1[[#This Row],[Provider Specialty Description]]), SPECIALTY_TYPE, 2, FALSE)</f>
        <v>2114</v>
      </c>
      <c r="M1019" s="3" t="s">
        <v>18</v>
      </c>
      <c r="N1019" s="27" t="s">
        <v>19</v>
      </c>
      <c r="O1019" s="38">
        <f>VLOOKUP(TRIM(Table1[[#This Row],[Provider Specialty]]) &amp; TRIM(Table1[[#This Row],[Provider Specialty Description]]), SPECIALTY_TYPE, 2, FALSE)</f>
        <v>2114</v>
      </c>
      <c r="P1019" s="3" t="str">
        <f>Table1[[#This Row],[Provider Type]] &amp; "+" &amp; Table1[[#This Row],[Provider Type Description]]</f>
        <v>32+Multi-Specialty</v>
      </c>
      <c r="Q1019" s="7" t="str">
        <f>Table1[[#This Row],[Provider Specialty]] &amp; "+" &amp; Table1[[#This Row],[Provider Specialty Description]]</f>
        <v>357+Genetics</v>
      </c>
      <c r="R1019" s="7" t="str">
        <f>Table1[[#This Row],[PDMS Specialty Type ID]] &amp; "+" &amp; Table1[[#This Row],[PDMS Provider Type ID]] &amp; "+" &amp;Table1[[#This Row],[TAXONOMY]]</f>
        <v>2114+50+207SG0203X</v>
      </c>
      <c r="S10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(9998, 2114, 50, N'207SG0203X', N'Medical Genetics - - Clinical Molecular Genetics')</v>
      </c>
    </row>
    <row r="1020" spans="1:19" ht="47.25" hidden="1" customHeight="1" x14ac:dyDescent="0.25">
      <c r="A1020" s="22" t="s">
        <v>1854</v>
      </c>
      <c r="B1020" s="3" t="s">
        <v>988</v>
      </c>
      <c r="C1020" s="3" t="s">
        <v>1019</v>
      </c>
      <c r="D1020" s="3" t="s">
        <v>1026</v>
      </c>
      <c r="E1020" s="3" t="s">
        <v>1027</v>
      </c>
      <c r="F1020" s="3">
        <f>VLOOKUP(Table1[[#This Row],[Column2]], TAXONOMY_TYPE, 2, FALSE)</f>
        <v>9999</v>
      </c>
      <c r="G1020" s="3">
        <v>33</v>
      </c>
      <c r="H1020" s="3" t="s">
        <v>1953</v>
      </c>
      <c r="I1020" s="3">
        <f>VLOOKUP(Table1[[#This Row],[Provider Type]] &amp; Table1[[#This Row],[Provider Type Description]], PROVIDER_TYPE, 2, FALSE)</f>
        <v>51</v>
      </c>
      <c r="J1020" s="3">
        <v>357</v>
      </c>
      <c r="K1020" s="3" t="s">
        <v>536</v>
      </c>
      <c r="L1020" s="3">
        <f>VLOOKUP(TRIM(Table1[[#This Row],[Provider Specialty]]) &amp; TRIM(Table1[[#This Row],[Provider Specialty Description]]), SPECIALTY_TYPE, 2, FALSE)</f>
        <v>2114</v>
      </c>
      <c r="M1020" s="3" t="s">
        <v>18</v>
      </c>
      <c r="N1020" s="27" t="s">
        <v>19</v>
      </c>
      <c r="O1020" s="38">
        <f>VLOOKUP(TRIM(Table1[[#This Row],[Provider Specialty]]) &amp; TRIM(Table1[[#This Row],[Provider Specialty Description]]), SPECIALTY_TYPE, 2, FALSE)</f>
        <v>2114</v>
      </c>
      <c r="P1020" s="3" t="str">
        <f>Table1[[#This Row],[Provider Type]] &amp; "+" &amp; Table1[[#This Row],[Provider Type Description]]</f>
        <v>33+Single-Specialty</v>
      </c>
      <c r="Q1020" s="7" t="str">
        <f>Table1[[#This Row],[Provider Specialty]] &amp; "+" &amp; Table1[[#This Row],[Provider Specialty Description]]</f>
        <v>357+Genetics</v>
      </c>
      <c r="R1020" s="7" t="str">
        <f>Table1[[#This Row],[PDMS Specialty Type ID]] &amp; "+" &amp; Table1[[#This Row],[PDMS Provider Type ID]] &amp; "+" &amp;Table1[[#This Row],[TAXONOMY]]</f>
        <v>2114+51+207SG0203X</v>
      </c>
      <c r="S10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(9999, 2114, 51, N'207SG0203X', N'Medical Genetics - - Clinical Molecular Genetics')</v>
      </c>
    </row>
    <row r="1021" spans="1:19" ht="47.25" hidden="1" customHeight="1" x14ac:dyDescent="0.25">
      <c r="A1021" s="22" t="s">
        <v>1855</v>
      </c>
      <c r="B1021" s="3" t="s">
        <v>988</v>
      </c>
      <c r="C1021" s="3" t="s">
        <v>1019</v>
      </c>
      <c r="D1021" s="3" t="s">
        <v>1028</v>
      </c>
      <c r="E1021" s="3" t="s">
        <v>1029</v>
      </c>
      <c r="F1021" s="3">
        <f>VLOOKUP(Table1[[#This Row],[Column2]], TAXONOMY_TYPE, 2, FALSE)</f>
        <v>10000</v>
      </c>
      <c r="G1021" s="3">
        <v>31</v>
      </c>
      <c r="H1021" s="3" t="s">
        <v>991</v>
      </c>
      <c r="I1021" s="3">
        <f>VLOOKUP(Table1[[#This Row],[Provider Type]] &amp; Table1[[#This Row],[Provider Type Description]], PROVIDER_TYPE, 2, FALSE)</f>
        <v>114</v>
      </c>
      <c r="J1021" s="3">
        <v>357</v>
      </c>
      <c r="K1021" s="3" t="s">
        <v>536</v>
      </c>
      <c r="L1021" s="3">
        <f>VLOOKUP(TRIM(Table1[[#This Row],[Provider Specialty]]) &amp; TRIM(Table1[[#This Row],[Provider Specialty Description]]), SPECIALTY_TYPE, 2, FALSE)</f>
        <v>2114</v>
      </c>
      <c r="M1021" s="3" t="s">
        <v>18</v>
      </c>
      <c r="N1021" s="27" t="s">
        <v>19</v>
      </c>
      <c r="O1021" s="38">
        <f>VLOOKUP(TRIM(Table1[[#This Row],[Provider Specialty]]) &amp; TRIM(Table1[[#This Row],[Provider Specialty Description]]), SPECIALTY_TYPE, 2, FALSE)</f>
        <v>2114</v>
      </c>
      <c r="P1021" s="3" t="str">
        <f>Table1[[#This Row],[Provider Type]] &amp; "+" &amp; Table1[[#This Row],[Provider Type Description]]</f>
        <v>31+Physician</v>
      </c>
      <c r="Q1021" s="7" t="str">
        <f>Table1[[#This Row],[Provider Specialty]] &amp; "+" &amp; Table1[[#This Row],[Provider Specialty Description]]</f>
        <v>357+Genetics</v>
      </c>
      <c r="R1021" s="7" t="str">
        <f>Table1[[#This Row],[PDMS Specialty Type ID]] &amp; "+" &amp; Table1[[#This Row],[PDMS Provider Type ID]] &amp; "+" &amp;Table1[[#This Row],[TAXONOMY]]</f>
        <v>2114+114+207SG0205X</v>
      </c>
      <c r="S10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(10000, 2114, 114, N'207SG0205X', N'Medical Genetics - - Ph.D. Medical Genetics')</v>
      </c>
    </row>
    <row r="1022" spans="1:19" ht="47.25" hidden="1" customHeight="1" x14ac:dyDescent="0.25">
      <c r="A1022" s="22" t="s">
        <v>1854</v>
      </c>
      <c r="B1022" s="3" t="s">
        <v>988</v>
      </c>
      <c r="C1022" s="3" t="s">
        <v>1019</v>
      </c>
      <c r="D1022" s="3" t="s">
        <v>1028</v>
      </c>
      <c r="E1022" s="3" t="s">
        <v>1029</v>
      </c>
      <c r="F1022" s="3">
        <f>VLOOKUP(Table1[[#This Row],[Column2]], TAXONOMY_TYPE, 2, FALSE)</f>
        <v>10001</v>
      </c>
      <c r="G1022" s="3">
        <v>32</v>
      </c>
      <c r="H1022" s="3" t="s">
        <v>1444</v>
      </c>
      <c r="I1022" s="3">
        <f>VLOOKUP(Table1[[#This Row],[Provider Type]] &amp; Table1[[#This Row],[Provider Type Description]], PROVIDER_TYPE, 2, FALSE)</f>
        <v>50</v>
      </c>
      <c r="J1022" s="3">
        <v>357</v>
      </c>
      <c r="K1022" s="3" t="s">
        <v>536</v>
      </c>
      <c r="L1022" s="3">
        <f>VLOOKUP(TRIM(Table1[[#This Row],[Provider Specialty]]) &amp; TRIM(Table1[[#This Row],[Provider Specialty Description]]), SPECIALTY_TYPE, 2, FALSE)</f>
        <v>2114</v>
      </c>
      <c r="M1022" s="3" t="s">
        <v>18</v>
      </c>
      <c r="N1022" s="27" t="s">
        <v>19</v>
      </c>
      <c r="O1022" s="38">
        <f>VLOOKUP(TRIM(Table1[[#This Row],[Provider Specialty]]) &amp; TRIM(Table1[[#This Row],[Provider Specialty Description]]), SPECIALTY_TYPE, 2, FALSE)</f>
        <v>2114</v>
      </c>
      <c r="P1022" s="3" t="str">
        <f>Table1[[#This Row],[Provider Type]] &amp; "+" &amp; Table1[[#This Row],[Provider Type Description]]</f>
        <v>32+Multi-Specialty</v>
      </c>
      <c r="Q1022" s="7" t="str">
        <f>Table1[[#This Row],[Provider Specialty]] &amp; "+" &amp; Table1[[#This Row],[Provider Specialty Description]]</f>
        <v>357+Genetics</v>
      </c>
      <c r="R1022" s="7" t="str">
        <f>Table1[[#This Row],[PDMS Specialty Type ID]] &amp; "+" &amp; Table1[[#This Row],[PDMS Provider Type ID]] &amp; "+" &amp;Table1[[#This Row],[TAXONOMY]]</f>
        <v>2114+50+207SG0205X</v>
      </c>
      <c r="S10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(10001, 2114, 50, N'207SG0205X', N'Medical Genetics - - Ph.D. Medical Genetics')</v>
      </c>
    </row>
    <row r="1023" spans="1:19" ht="47.25" hidden="1" customHeight="1" x14ac:dyDescent="0.25">
      <c r="A1023" s="22" t="s">
        <v>1854</v>
      </c>
      <c r="B1023" s="3" t="s">
        <v>988</v>
      </c>
      <c r="C1023" s="3" t="s">
        <v>1019</v>
      </c>
      <c r="D1023" s="3" t="s">
        <v>1028</v>
      </c>
      <c r="E1023" s="3" t="s">
        <v>1029</v>
      </c>
      <c r="F1023" s="3">
        <f>VLOOKUP(Table1[[#This Row],[Column2]], TAXONOMY_TYPE, 2, FALSE)</f>
        <v>10002</v>
      </c>
      <c r="G1023" s="3">
        <v>33</v>
      </c>
      <c r="H1023" s="3" t="s">
        <v>1953</v>
      </c>
      <c r="I1023" s="3">
        <f>VLOOKUP(Table1[[#This Row],[Provider Type]] &amp; Table1[[#This Row],[Provider Type Description]], PROVIDER_TYPE, 2, FALSE)</f>
        <v>51</v>
      </c>
      <c r="J1023" s="3">
        <v>357</v>
      </c>
      <c r="K1023" s="3" t="s">
        <v>536</v>
      </c>
      <c r="L1023" s="3">
        <f>VLOOKUP(TRIM(Table1[[#This Row],[Provider Specialty]]) &amp; TRIM(Table1[[#This Row],[Provider Specialty Description]]), SPECIALTY_TYPE, 2, FALSE)</f>
        <v>2114</v>
      </c>
      <c r="M1023" s="3" t="s">
        <v>18</v>
      </c>
      <c r="N1023" s="27" t="s">
        <v>19</v>
      </c>
      <c r="O1023" s="38">
        <f>VLOOKUP(TRIM(Table1[[#This Row],[Provider Specialty]]) &amp; TRIM(Table1[[#This Row],[Provider Specialty Description]]), SPECIALTY_TYPE, 2, FALSE)</f>
        <v>2114</v>
      </c>
      <c r="P1023" s="3" t="str">
        <f>Table1[[#This Row],[Provider Type]] &amp; "+" &amp; Table1[[#This Row],[Provider Type Description]]</f>
        <v>33+Single-Specialty</v>
      </c>
      <c r="Q1023" s="7" t="str">
        <f>Table1[[#This Row],[Provider Specialty]] &amp; "+" &amp; Table1[[#This Row],[Provider Specialty Description]]</f>
        <v>357+Genetics</v>
      </c>
      <c r="R1023" s="7" t="str">
        <f>Table1[[#This Row],[PDMS Specialty Type ID]] &amp; "+" &amp; Table1[[#This Row],[PDMS Provider Type ID]] &amp; "+" &amp;Table1[[#This Row],[TAXONOMY]]</f>
        <v>2114+51+207SG0205X</v>
      </c>
      <c r="S10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(10002, 2114, 51, N'207SG0205X', N'Medical Genetics - - Ph.D. Medical Genetics')</v>
      </c>
    </row>
    <row r="1024" spans="1:19" ht="47.25" hidden="1" customHeight="1" x14ac:dyDescent="0.25">
      <c r="A1024" s="22" t="s">
        <v>1855</v>
      </c>
      <c r="B1024" s="3" t="s">
        <v>988</v>
      </c>
      <c r="C1024" s="3" t="s">
        <v>1019</v>
      </c>
      <c r="D1024" s="3" t="s">
        <v>1030</v>
      </c>
      <c r="E1024" s="3" t="s">
        <v>1031</v>
      </c>
      <c r="F1024" s="3">
        <f>VLOOKUP(Table1[[#This Row],[Column2]], TAXONOMY_TYPE, 2, FALSE)</f>
        <v>10003</v>
      </c>
      <c r="G1024" s="3">
        <v>31</v>
      </c>
      <c r="H1024" s="3" t="s">
        <v>991</v>
      </c>
      <c r="I1024" s="3">
        <f>VLOOKUP(Table1[[#This Row],[Provider Type]] &amp; Table1[[#This Row],[Provider Type Description]], PROVIDER_TYPE, 2, FALSE)</f>
        <v>114</v>
      </c>
      <c r="J1024" s="3">
        <v>357</v>
      </c>
      <c r="K1024" s="3" t="s">
        <v>536</v>
      </c>
      <c r="L1024" s="3">
        <f>VLOOKUP(TRIM(Table1[[#This Row],[Provider Specialty]]) &amp; TRIM(Table1[[#This Row],[Provider Specialty Description]]), SPECIALTY_TYPE, 2, FALSE)</f>
        <v>2114</v>
      </c>
      <c r="M1024" s="3" t="s">
        <v>18</v>
      </c>
      <c r="N1024" s="27" t="s">
        <v>19</v>
      </c>
      <c r="O1024" s="38">
        <f>VLOOKUP(TRIM(Table1[[#This Row],[Provider Specialty]]) &amp; TRIM(Table1[[#This Row],[Provider Specialty Description]]), SPECIALTY_TYPE, 2, FALSE)</f>
        <v>2114</v>
      </c>
      <c r="P1024" s="3" t="str">
        <f>Table1[[#This Row],[Provider Type]] &amp; "+" &amp; Table1[[#This Row],[Provider Type Description]]</f>
        <v>31+Physician</v>
      </c>
      <c r="Q1024" s="7" t="str">
        <f>Table1[[#This Row],[Provider Specialty]] &amp; "+" &amp; Table1[[#This Row],[Provider Specialty Description]]</f>
        <v>357+Genetics</v>
      </c>
      <c r="R1024" s="7" t="str">
        <f>Table1[[#This Row],[PDMS Specialty Type ID]] &amp; "+" &amp; Table1[[#This Row],[PDMS Provider Type ID]] &amp; "+" &amp;Table1[[#This Row],[TAXONOMY]]</f>
        <v>2114+114+207SM0001X</v>
      </c>
      <c r="S10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(10003, 2114, 114, N'207SM0001X', N'Medical Genetics - - Molecular Genetic Pathology')</v>
      </c>
    </row>
    <row r="1025" spans="1:19" ht="47.25" hidden="1" customHeight="1" x14ac:dyDescent="0.25">
      <c r="A1025" s="22" t="s">
        <v>1854</v>
      </c>
      <c r="B1025" s="3" t="s">
        <v>988</v>
      </c>
      <c r="C1025" s="3" t="s">
        <v>1019</v>
      </c>
      <c r="D1025" s="3" t="s">
        <v>1030</v>
      </c>
      <c r="E1025" s="3" t="s">
        <v>1031</v>
      </c>
      <c r="F1025" s="3">
        <f>VLOOKUP(Table1[[#This Row],[Column2]], TAXONOMY_TYPE, 2, FALSE)</f>
        <v>10004</v>
      </c>
      <c r="G1025" s="3">
        <v>32</v>
      </c>
      <c r="H1025" s="3" t="s">
        <v>1444</v>
      </c>
      <c r="I1025" s="3">
        <f>VLOOKUP(Table1[[#This Row],[Provider Type]] &amp; Table1[[#This Row],[Provider Type Description]], PROVIDER_TYPE, 2, FALSE)</f>
        <v>50</v>
      </c>
      <c r="J1025" s="3">
        <v>357</v>
      </c>
      <c r="K1025" s="3" t="s">
        <v>536</v>
      </c>
      <c r="L1025" s="3">
        <f>VLOOKUP(TRIM(Table1[[#This Row],[Provider Specialty]]) &amp; TRIM(Table1[[#This Row],[Provider Specialty Description]]), SPECIALTY_TYPE, 2, FALSE)</f>
        <v>2114</v>
      </c>
      <c r="M1025" s="3" t="s">
        <v>18</v>
      </c>
      <c r="N1025" s="27" t="s">
        <v>19</v>
      </c>
      <c r="O1025" s="38">
        <f>VLOOKUP(TRIM(Table1[[#This Row],[Provider Specialty]]) &amp; TRIM(Table1[[#This Row],[Provider Specialty Description]]), SPECIALTY_TYPE, 2, FALSE)</f>
        <v>2114</v>
      </c>
      <c r="P1025" s="3" t="str">
        <f>Table1[[#This Row],[Provider Type]] &amp; "+" &amp; Table1[[#This Row],[Provider Type Description]]</f>
        <v>32+Multi-Specialty</v>
      </c>
      <c r="Q1025" s="7" t="str">
        <f>Table1[[#This Row],[Provider Specialty]] &amp; "+" &amp; Table1[[#This Row],[Provider Specialty Description]]</f>
        <v>357+Genetics</v>
      </c>
      <c r="R1025" s="7" t="str">
        <f>Table1[[#This Row],[PDMS Specialty Type ID]] &amp; "+" &amp; Table1[[#This Row],[PDMS Provider Type ID]] &amp; "+" &amp;Table1[[#This Row],[TAXONOMY]]</f>
        <v>2114+50+207SM0001X</v>
      </c>
      <c r="S10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(10004, 2114, 50, N'207SM0001X', N'Medical Genetics - - Molecular Genetic Pathology')</v>
      </c>
    </row>
    <row r="1026" spans="1:19" ht="47.25" hidden="1" customHeight="1" x14ac:dyDescent="0.25">
      <c r="A1026" s="22" t="s">
        <v>1854</v>
      </c>
      <c r="B1026" s="3" t="s">
        <v>988</v>
      </c>
      <c r="C1026" s="3" t="s">
        <v>1019</v>
      </c>
      <c r="D1026" s="3" t="s">
        <v>1030</v>
      </c>
      <c r="E1026" s="3" t="s">
        <v>1031</v>
      </c>
      <c r="F1026" s="3">
        <f>VLOOKUP(Table1[[#This Row],[Column2]], TAXONOMY_TYPE, 2, FALSE)</f>
        <v>10005</v>
      </c>
      <c r="G1026" s="3">
        <v>33</v>
      </c>
      <c r="H1026" s="3" t="s">
        <v>1953</v>
      </c>
      <c r="I1026" s="3">
        <f>VLOOKUP(Table1[[#This Row],[Provider Type]] &amp; Table1[[#This Row],[Provider Type Description]], PROVIDER_TYPE, 2, FALSE)</f>
        <v>51</v>
      </c>
      <c r="J1026" s="3">
        <v>357</v>
      </c>
      <c r="K1026" s="3" t="s">
        <v>536</v>
      </c>
      <c r="L1026" s="3">
        <f>VLOOKUP(TRIM(Table1[[#This Row],[Provider Specialty]]) &amp; TRIM(Table1[[#This Row],[Provider Specialty Description]]), SPECIALTY_TYPE, 2, FALSE)</f>
        <v>2114</v>
      </c>
      <c r="M1026" s="3" t="s">
        <v>18</v>
      </c>
      <c r="N1026" s="27" t="s">
        <v>19</v>
      </c>
      <c r="O1026" s="38">
        <f>VLOOKUP(TRIM(Table1[[#This Row],[Provider Specialty]]) &amp; TRIM(Table1[[#This Row],[Provider Specialty Description]]), SPECIALTY_TYPE, 2, FALSE)</f>
        <v>2114</v>
      </c>
      <c r="P1026" s="3" t="str">
        <f>Table1[[#This Row],[Provider Type]] &amp; "+" &amp; Table1[[#This Row],[Provider Type Description]]</f>
        <v>33+Single-Specialty</v>
      </c>
      <c r="Q1026" s="7" t="str">
        <f>Table1[[#This Row],[Provider Specialty]] &amp; "+" &amp; Table1[[#This Row],[Provider Specialty Description]]</f>
        <v>357+Genetics</v>
      </c>
      <c r="R1026" s="7" t="str">
        <f>Table1[[#This Row],[PDMS Specialty Type ID]] &amp; "+" &amp; Table1[[#This Row],[PDMS Provider Type ID]] &amp; "+" &amp;Table1[[#This Row],[TAXONOMY]]</f>
        <v>2114+51+207SM0001X</v>
      </c>
      <c r="S10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(10005, 2114, 51, N'207SM0001X', N'Medical Genetics - - Molecular Genetic Pathology')</v>
      </c>
    </row>
    <row r="1027" spans="1:19" ht="47.25" hidden="1" customHeight="1" x14ac:dyDescent="0.25">
      <c r="A1027" s="22" t="s">
        <v>1855</v>
      </c>
      <c r="B1027" s="3" t="s">
        <v>988</v>
      </c>
      <c r="C1027" s="3" t="s">
        <v>999</v>
      </c>
      <c r="D1027" s="3" t="s">
        <v>1005</v>
      </c>
      <c r="E1027" s="3" t="s">
        <v>1006</v>
      </c>
      <c r="F1027" s="3">
        <f>VLOOKUP(Table1[[#This Row],[Column2]], TAXONOMY_TYPE, 2, FALSE)</f>
        <v>10006</v>
      </c>
      <c r="G1027" s="3">
        <v>31</v>
      </c>
      <c r="H1027" s="3" t="s">
        <v>991</v>
      </c>
      <c r="I1027" s="3">
        <f>VLOOKUP(Table1[[#This Row],[Provider Type]] &amp; Table1[[#This Row],[Provider Type Description]], PROVIDER_TYPE, 2, FALSE)</f>
        <v>114</v>
      </c>
      <c r="J1027" s="3">
        <v>358</v>
      </c>
      <c r="K1027" s="3" t="s">
        <v>1005</v>
      </c>
      <c r="L1027" s="3">
        <f>VLOOKUP(TRIM(Table1[[#This Row],[Provider Specialty]]) &amp; TRIM(Table1[[#This Row],[Provider Specialty Description]]), SPECIALTY_TYPE, 2, FALSE)</f>
        <v>77</v>
      </c>
      <c r="M1027" s="3" t="s">
        <v>18</v>
      </c>
      <c r="N1027" s="27" t="s">
        <v>19</v>
      </c>
      <c r="O1027" s="38">
        <f>VLOOKUP(TRIM(Table1[[#This Row],[Provider Specialty]]) &amp; TRIM(Table1[[#This Row],[Provider Specialty Description]]), SPECIALTY_TYPE, 2, FALSE)</f>
        <v>77</v>
      </c>
      <c r="P1027" s="3" t="str">
        <f>Table1[[#This Row],[Provider Type]] &amp; "+" &amp; Table1[[#This Row],[Provider Type Description]]</f>
        <v>31+Physician</v>
      </c>
      <c r="Q1027" s="7" t="str">
        <f>Table1[[#This Row],[Provider Specialty]] &amp; "+" &amp; Table1[[#This Row],[Provider Specialty Description]]</f>
        <v>358+Hematology</v>
      </c>
      <c r="R1027" s="7" t="str">
        <f>Table1[[#This Row],[PDMS Specialty Type ID]] &amp; "+" &amp; Table1[[#This Row],[PDMS Provider Type ID]] &amp; "+" &amp;Table1[[#This Row],[TAXONOMY]]</f>
        <v>77+114+207RH0000X</v>
      </c>
      <c r="S10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(10006, 77, 114, N'207RH0000X', N'Internal Medicine - Hematology')</v>
      </c>
    </row>
    <row r="1028" spans="1:19" ht="47.25" hidden="1" customHeight="1" x14ac:dyDescent="0.25">
      <c r="A1028" s="22" t="s">
        <v>1854</v>
      </c>
      <c r="B1028" s="3" t="s">
        <v>988</v>
      </c>
      <c r="C1028" s="3" t="s">
        <v>999</v>
      </c>
      <c r="D1028" s="3" t="s">
        <v>1005</v>
      </c>
      <c r="E1028" s="3" t="s">
        <v>1006</v>
      </c>
      <c r="F1028" s="3">
        <f>VLOOKUP(Table1[[#This Row],[Column2]], TAXONOMY_TYPE, 2, FALSE)</f>
        <v>10007</v>
      </c>
      <c r="G1028" s="3">
        <v>32</v>
      </c>
      <c r="H1028" s="3" t="s">
        <v>1444</v>
      </c>
      <c r="I1028" s="3">
        <f>VLOOKUP(Table1[[#This Row],[Provider Type]] &amp; Table1[[#This Row],[Provider Type Description]], PROVIDER_TYPE, 2, FALSE)</f>
        <v>50</v>
      </c>
      <c r="J1028" s="3">
        <v>358</v>
      </c>
      <c r="K1028" s="3" t="s">
        <v>1005</v>
      </c>
      <c r="L1028" s="3">
        <f>VLOOKUP(TRIM(Table1[[#This Row],[Provider Specialty]]) &amp; TRIM(Table1[[#This Row],[Provider Specialty Description]]), SPECIALTY_TYPE, 2, FALSE)</f>
        <v>77</v>
      </c>
      <c r="M1028" s="3" t="s">
        <v>18</v>
      </c>
      <c r="N1028" s="27" t="s">
        <v>19</v>
      </c>
      <c r="O1028" s="38">
        <f>VLOOKUP(TRIM(Table1[[#This Row],[Provider Specialty]]) &amp; TRIM(Table1[[#This Row],[Provider Specialty Description]]), SPECIALTY_TYPE, 2, FALSE)</f>
        <v>77</v>
      </c>
      <c r="P1028" s="3" t="str">
        <f>Table1[[#This Row],[Provider Type]] &amp; "+" &amp; Table1[[#This Row],[Provider Type Description]]</f>
        <v>32+Multi-Specialty</v>
      </c>
      <c r="Q1028" s="7" t="str">
        <f>Table1[[#This Row],[Provider Specialty]] &amp; "+" &amp; Table1[[#This Row],[Provider Specialty Description]]</f>
        <v>358+Hematology</v>
      </c>
      <c r="R1028" s="7" t="str">
        <f>Table1[[#This Row],[PDMS Specialty Type ID]] &amp; "+" &amp; Table1[[#This Row],[PDMS Provider Type ID]] &amp; "+" &amp;Table1[[#This Row],[TAXONOMY]]</f>
        <v>77+50+207RH0000X</v>
      </c>
      <c r="S10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(10007, 77, 50, N'207RH0000X', N'Internal Medicine - Hematology')</v>
      </c>
    </row>
    <row r="1029" spans="1:19" ht="47.25" hidden="1" customHeight="1" x14ac:dyDescent="0.25">
      <c r="A1029" s="22" t="s">
        <v>1854</v>
      </c>
      <c r="B1029" s="3" t="s">
        <v>988</v>
      </c>
      <c r="C1029" s="3" t="s">
        <v>999</v>
      </c>
      <c r="D1029" s="3" t="s">
        <v>1005</v>
      </c>
      <c r="E1029" s="3" t="s">
        <v>1006</v>
      </c>
      <c r="F1029" s="3">
        <f>VLOOKUP(Table1[[#This Row],[Column2]], TAXONOMY_TYPE, 2, FALSE)</f>
        <v>10008</v>
      </c>
      <c r="G1029" s="3">
        <v>33</v>
      </c>
      <c r="H1029" s="3" t="s">
        <v>1953</v>
      </c>
      <c r="I1029" s="3">
        <f>VLOOKUP(Table1[[#This Row],[Provider Type]] &amp; Table1[[#This Row],[Provider Type Description]], PROVIDER_TYPE, 2, FALSE)</f>
        <v>51</v>
      </c>
      <c r="J1029" s="3">
        <v>358</v>
      </c>
      <c r="K1029" s="3" t="s">
        <v>1005</v>
      </c>
      <c r="L1029" s="3">
        <f>VLOOKUP(TRIM(Table1[[#This Row],[Provider Specialty]]) &amp; TRIM(Table1[[#This Row],[Provider Specialty Description]]), SPECIALTY_TYPE, 2, FALSE)</f>
        <v>77</v>
      </c>
      <c r="M1029" s="3" t="s">
        <v>18</v>
      </c>
      <c r="N1029" s="27" t="s">
        <v>19</v>
      </c>
      <c r="O1029" s="38">
        <f>VLOOKUP(TRIM(Table1[[#This Row],[Provider Specialty]]) &amp; TRIM(Table1[[#This Row],[Provider Specialty Description]]), SPECIALTY_TYPE, 2, FALSE)</f>
        <v>77</v>
      </c>
      <c r="P1029" s="3" t="str">
        <f>Table1[[#This Row],[Provider Type]] &amp; "+" &amp; Table1[[#This Row],[Provider Type Description]]</f>
        <v>33+Single-Specialty</v>
      </c>
      <c r="Q1029" s="7" t="str">
        <f>Table1[[#This Row],[Provider Specialty]] &amp; "+" &amp; Table1[[#This Row],[Provider Specialty Description]]</f>
        <v>358+Hematology</v>
      </c>
      <c r="R1029" s="7" t="str">
        <f>Table1[[#This Row],[PDMS Specialty Type ID]] &amp; "+" &amp; Table1[[#This Row],[PDMS Provider Type ID]] &amp; "+" &amp;Table1[[#This Row],[TAXONOMY]]</f>
        <v>77+51+207RH0000X</v>
      </c>
      <c r="S10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(10008, 77, 51, N'207RH0000X', N'Internal Medicine - Hematology')</v>
      </c>
    </row>
    <row r="1030" spans="1:19" ht="47.25" hidden="1" customHeight="1" x14ac:dyDescent="0.25">
      <c r="A1030" s="22" t="s">
        <v>1855</v>
      </c>
      <c r="B1030" s="3" t="s">
        <v>988</v>
      </c>
      <c r="C1030" s="3" t="s">
        <v>1036</v>
      </c>
      <c r="D1030" s="3" t="s">
        <v>1037</v>
      </c>
      <c r="E1030" s="3" t="s">
        <v>1038</v>
      </c>
      <c r="F1030" s="3">
        <f>VLOOKUP(Table1[[#This Row],[Column2]], TAXONOMY_TYPE, 2, FALSE)</f>
        <v>10009</v>
      </c>
      <c r="G1030" s="3">
        <v>31</v>
      </c>
      <c r="H1030" s="3" t="s">
        <v>991</v>
      </c>
      <c r="I1030" s="3">
        <f>VLOOKUP(Table1[[#This Row],[Provider Type]] &amp; Table1[[#This Row],[Provider Type Description]], PROVIDER_TYPE, 2, FALSE)</f>
        <v>114</v>
      </c>
      <c r="J1030" s="3">
        <v>358</v>
      </c>
      <c r="K1030" s="3" t="s">
        <v>1005</v>
      </c>
      <c r="L1030" s="3">
        <f>VLOOKUP(TRIM(Table1[[#This Row],[Provider Specialty]]) &amp; TRIM(Table1[[#This Row],[Provider Specialty Description]]), SPECIALTY_TYPE, 2, FALSE)</f>
        <v>77</v>
      </c>
      <c r="M1030" s="3" t="s">
        <v>18</v>
      </c>
      <c r="N1030" s="27" t="s">
        <v>19</v>
      </c>
      <c r="O1030" s="38">
        <f>VLOOKUP(TRIM(Table1[[#This Row],[Provider Specialty]]) &amp; TRIM(Table1[[#This Row],[Provider Specialty Description]]), SPECIALTY_TYPE, 2, FALSE)</f>
        <v>77</v>
      </c>
      <c r="P1030" s="3" t="str">
        <f>Table1[[#This Row],[Provider Type]] &amp; "+" &amp; Table1[[#This Row],[Provider Type Description]]</f>
        <v>31+Physician</v>
      </c>
      <c r="Q1030" s="7" t="str">
        <f>Table1[[#This Row],[Provider Specialty]] &amp; "+" &amp; Table1[[#This Row],[Provider Specialty Description]]</f>
        <v>358+Hematology</v>
      </c>
      <c r="R1030" s="7" t="str">
        <f>Table1[[#This Row],[PDMS Specialty Type ID]] &amp; "+" &amp; Table1[[#This Row],[PDMS Provider Type ID]] &amp; "+" &amp;Table1[[#This Row],[TAXONOMY]]</f>
        <v>77+114+207ZH0000X</v>
      </c>
      <c r="S10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(10009, 77, 114, N'207ZH0000X', N'Pathology - - Hematology')</v>
      </c>
    </row>
    <row r="1031" spans="1:19" ht="47.25" hidden="1" customHeight="1" x14ac:dyDescent="0.25">
      <c r="A1031" s="22" t="s">
        <v>1854</v>
      </c>
      <c r="B1031" s="3" t="s">
        <v>988</v>
      </c>
      <c r="C1031" s="3" t="s">
        <v>1036</v>
      </c>
      <c r="D1031" s="3" t="s">
        <v>1037</v>
      </c>
      <c r="E1031" s="3" t="s">
        <v>1038</v>
      </c>
      <c r="F1031" s="3">
        <f>VLOOKUP(Table1[[#This Row],[Column2]], TAXONOMY_TYPE, 2, FALSE)</f>
        <v>10010</v>
      </c>
      <c r="G1031" s="3">
        <v>32</v>
      </c>
      <c r="H1031" s="3" t="s">
        <v>1444</v>
      </c>
      <c r="I1031" s="3">
        <f>VLOOKUP(Table1[[#This Row],[Provider Type]] &amp; Table1[[#This Row],[Provider Type Description]], PROVIDER_TYPE, 2, FALSE)</f>
        <v>50</v>
      </c>
      <c r="J1031" s="3">
        <v>358</v>
      </c>
      <c r="K1031" s="3" t="s">
        <v>1005</v>
      </c>
      <c r="L1031" s="3">
        <f>VLOOKUP(TRIM(Table1[[#This Row],[Provider Specialty]]) &amp; TRIM(Table1[[#This Row],[Provider Specialty Description]]), SPECIALTY_TYPE, 2, FALSE)</f>
        <v>77</v>
      </c>
      <c r="M1031" s="3" t="s">
        <v>18</v>
      </c>
      <c r="N1031" s="27" t="s">
        <v>19</v>
      </c>
      <c r="O1031" s="38">
        <f>VLOOKUP(TRIM(Table1[[#This Row],[Provider Specialty]]) &amp; TRIM(Table1[[#This Row],[Provider Specialty Description]]), SPECIALTY_TYPE, 2, FALSE)</f>
        <v>77</v>
      </c>
      <c r="P1031" s="3" t="str">
        <f>Table1[[#This Row],[Provider Type]] &amp; "+" &amp; Table1[[#This Row],[Provider Type Description]]</f>
        <v>32+Multi-Specialty</v>
      </c>
      <c r="Q1031" s="7" t="str">
        <f>Table1[[#This Row],[Provider Specialty]] &amp; "+" &amp; Table1[[#This Row],[Provider Specialty Description]]</f>
        <v>358+Hematology</v>
      </c>
      <c r="R1031" s="7" t="str">
        <f>Table1[[#This Row],[PDMS Specialty Type ID]] &amp; "+" &amp; Table1[[#This Row],[PDMS Provider Type ID]] &amp; "+" &amp;Table1[[#This Row],[TAXONOMY]]</f>
        <v>77+50+207ZH0000X</v>
      </c>
      <c r="S10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(10010, 77, 50, N'207ZH0000X', N'Pathology - - Hematology')</v>
      </c>
    </row>
    <row r="1032" spans="1:19" ht="47.25" hidden="1" customHeight="1" x14ac:dyDescent="0.25">
      <c r="A1032" s="22" t="s">
        <v>1854</v>
      </c>
      <c r="B1032" s="3" t="s">
        <v>988</v>
      </c>
      <c r="C1032" s="3" t="s">
        <v>1036</v>
      </c>
      <c r="D1032" s="3" t="s">
        <v>1037</v>
      </c>
      <c r="E1032" s="3" t="s">
        <v>1038</v>
      </c>
      <c r="F1032" s="3">
        <f>VLOOKUP(Table1[[#This Row],[Column2]], TAXONOMY_TYPE, 2, FALSE)</f>
        <v>10011</v>
      </c>
      <c r="G1032" s="3">
        <v>33</v>
      </c>
      <c r="H1032" s="3" t="s">
        <v>1953</v>
      </c>
      <c r="I1032" s="3">
        <f>VLOOKUP(Table1[[#This Row],[Provider Type]] &amp; Table1[[#This Row],[Provider Type Description]], PROVIDER_TYPE, 2, FALSE)</f>
        <v>51</v>
      </c>
      <c r="J1032" s="3">
        <v>358</v>
      </c>
      <c r="K1032" s="3" t="s">
        <v>1005</v>
      </c>
      <c r="L1032" s="3">
        <f>VLOOKUP(TRIM(Table1[[#This Row],[Provider Specialty]]) &amp; TRIM(Table1[[#This Row],[Provider Specialty Description]]), SPECIALTY_TYPE, 2, FALSE)</f>
        <v>77</v>
      </c>
      <c r="M1032" s="3" t="s">
        <v>18</v>
      </c>
      <c r="N1032" s="27" t="s">
        <v>19</v>
      </c>
      <c r="O1032" s="38">
        <f>VLOOKUP(TRIM(Table1[[#This Row],[Provider Specialty]]) &amp; TRIM(Table1[[#This Row],[Provider Specialty Description]]), SPECIALTY_TYPE, 2, FALSE)</f>
        <v>77</v>
      </c>
      <c r="P1032" s="3" t="str">
        <f>Table1[[#This Row],[Provider Type]] &amp; "+" &amp; Table1[[#This Row],[Provider Type Description]]</f>
        <v>33+Single-Specialty</v>
      </c>
      <c r="Q1032" s="7" t="str">
        <f>Table1[[#This Row],[Provider Specialty]] &amp; "+" &amp; Table1[[#This Row],[Provider Specialty Description]]</f>
        <v>358+Hematology</v>
      </c>
      <c r="R1032" s="7" t="str">
        <f>Table1[[#This Row],[PDMS Specialty Type ID]] &amp; "+" &amp; Table1[[#This Row],[PDMS Provider Type ID]] &amp; "+" &amp;Table1[[#This Row],[TAXONOMY]]</f>
        <v>77+51+207ZH0000X</v>
      </c>
      <c r="S10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(10011, 77, 51, N'207ZH0000X', N'Pathology - - Hematology')</v>
      </c>
    </row>
    <row r="1033" spans="1:19" ht="47.25" hidden="1" customHeight="1" x14ac:dyDescent="0.25">
      <c r="A1033" s="22" t="s">
        <v>1855</v>
      </c>
      <c r="B1033" s="3" t="s">
        <v>988</v>
      </c>
      <c r="C1033" s="3" t="s">
        <v>999</v>
      </c>
      <c r="D1033" s="3" t="s">
        <v>1010</v>
      </c>
      <c r="E1033" s="3" t="s">
        <v>1011</v>
      </c>
      <c r="F1033" s="3">
        <f>VLOOKUP(Table1[[#This Row],[Column2]], TAXONOMY_TYPE, 2, FALSE)</f>
        <v>10012</v>
      </c>
      <c r="G1033" s="3">
        <v>31</v>
      </c>
      <c r="H1033" s="3" t="s">
        <v>991</v>
      </c>
      <c r="I1033" s="3">
        <f>VLOOKUP(Table1[[#This Row],[Provider Type]] &amp; Table1[[#This Row],[Provider Type Description]], PROVIDER_TYPE, 2, FALSE)</f>
        <v>114</v>
      </c>
      <c r="J1033" s="3">
        <v>359</v>
      </c>
      <c r="K1033" s="3" t="s">
        <v>1012</v>
      </c>
      <c r="L1033" s="3">
        <f>VLOOKUP(TRIM(Table1[[#This Row],[Provider Specialty]]) &amp; TRIM(Table1[[#This Row],[Provider Specialty Description]]), SPECIALTY_TYPE, 2, FALSE)</f>
        <v>299</v>
      </c>
      <c r="M1033" s="3" t="s">
        <v>18</v>
      </c>
      <c r="N1033" s="27" t="s">
        <v>19</v>
      </c>
      <c r="O1033" s="38">
        <f>VLOOKUP(TRIM(Table1[[#This Row],[Provider Specialty]]) &amp; TRIM(Table1[[#This Row],[Provider Specialty Description]]), SPECIALTY_TYPE, 2, FALSE)</f>
        <v>299</v>
      </c>
      <c r="P1033" s="3" t="str">
        <f>Table1[[#This Row],[Provider Type]] &amp; "+" &amp; Table1[[#This Row],[Provider Type Description]]</f>
        <v>31+Physician</v>
      </c>
      <c r="Q1033" s="7" t="str">
        <f>Table1[[#This Row],[Provider Specialty]] &amp; "+" &amp; Table1[[#This Row],[Provider Specialty Description]]</f>
        <v>359+Infectious Diseases</v>
      </c>
      <c r="R1033" s="7" t="str">
        <f>Table1[[#This Row],[PDMS Specialty Type ID]] &amp; "+" &amp; Table1[[#This Row],[PDMS Provider Type ID]] &amp; "+" &amp;Table1[[#This Row],[TAXONOMY]]</f>
        <v>299+114+207RI0200X</v>
      </c>
      <c r="S10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(10012, 299, 114, N'207RI0200X', N'Internal Medicine - Infectious Disease')</v>
      </c>
    </row>
    <row r="1034" spans="1:19" ht="47.25" hidden="1" customHeight="1" x14ac:dyDescent="0.25">
      <c r="A1034" s="22" t="s">
        <v>1854</v>
      </c>
      <c r="B1034" s="3" t="s">
        <v>988</v>
      </c>
      <c r="C1034" s="3" t="s">
        <v>999</v>
      </c>
      <c r="D1034" s="3" t="s">
        <v>1010</v>
      </c>
      <c r="E1034" s="3" t="s">
        <v>1011</v>
      </c>
      <c r="F1034" s="3">
        <f>VLOOKUP(Table1[[#This Row],[Column2]], TAXONOMY_TYPE, 2, FALSE)</f>
        <v>10013</v>
      </c>
      <c r="G1034" s="3">
        <v>32</v>
      </c>
      <c r="H1034" s="3" t="s">
        <v>1444</v>
      </c>
      <c r="I1034" s="3">
        <f>VLOOKUP(Table1[[#This Row],[Provider Type]] &amp; Table1[[#This Row],[Provider Type Description]], PROVIDER_TYPE, 2, FALSE)</f>
        <v>50</v>
      </c>
      <c r="J1034" s="3">
        <v>359</v>
      </c>
      <c r="K1034" s="3" t="s">
        <v>1012</v>
      </c>
      <c r="L1034" s="3">
        <f>VLOOKUP(TRIM(Table1[[#This Row],[Provider Specialty]]) &amp; TRIM(Table1[[#This Row],[Provider Specialty Description]]), SPECIALTY_TYPE, 2, FALSE)</f>
        <v>299</v>
      </c>
      <c r="M1034" s="3" t="s">
        <v>18</v>
      </c>
      <c r="N1034" s="27" t="s">
        <v>19</v>
      </c>
      <c r="O1034" s="38">
        <f>VLOOKUP(TRIM(Table1[[#This Row],[Provider Specialty]]) &amp; TRIM(Table1[[#This Row],[Provider Specialty Description]]), SPECIALTY_TYPE, 2, FALSE)</f>
        <v>299</v>
      </c>
      <c r="P1034" s="3" t="str">
        <f>Table1[[#This Row],[Provider Type]] &amp; "+" &amp; Table1[[#This Row],[Provider Type Description]]</f>
        <v>32+Multi-Specialty</v>
      </c>
      <c r="Q1034" s="7" t="str">
        <f>Table1[[#This Row],[Provider Specialty]] &amp; "+" &amp; Table1[[#This Row],[Provider Specialty Description]]</f>
        <v>359+Infectious Diseases</v>
      </c>
      <c r="R1034" s="7" t="str">
        <f>Table1[[#This Row],[PDMS Specialty Type ID]] &amp; "+" &amp; Table1[[#This Row],[PDMS Provider Type ID]] &amp; "+" &amp;Table1[[#This Row],[TAXONOMY]]</f>
        <v>299+50+207RI0200X</v>
      </c>
      <c r="S10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(10013, 299, 50, N'207RI0200X', N'Internal Medicine - Infectious Disease')</v>
      </c>
    </row>
    <row r="1035" spans="1:19" ht="47.25" hidden="1" customHeight="1" x14ac:dyDescent="0.25">
      <c r="A1035" s="22" t="s">
        <v>1854</v>
      </c>
      <c r="B1035" s="3" t="s">
        <v>988</v>
      </c>
      <c r="C1035" s="3" t="s">
        <v>999</v>
      </c>
      <c r="D1035" s="3" t="s">
        <v>1010</v>
      </c>
      <c r="E1035" s="3" t="s">
        <v>1011</v>
      </c>
      <c r="F1035" s="3">
        <f>VLOOKUP(Table1[[#This Row],[Column2]], TAXONOMY_TYPE, 2, FALSE)</f>
        <v>10014</v>
      </c>
      <c r="G1035" s="3">
        <v>33</v>
      </c>
      <c r="H1035" s="3" t="s">
        <v>1953</v>
      </c>
      <c r="I1035" s="3">
        <f>VLOOKUP(Table1[[#This Row],[Provider Type]] &amp; Table1[[#This Row],[Provider Type Description]], PROVIDER_TYPE, 2, FALSE)</f>
        <v>51</v>
      </c>
      <c r="J1035" s="3">
        <v>359</v>
      </c>
      <c r="K1035" s="3" t="s">
        <v>1012</v>
      </c>
      <c r="L1035" s="3">
        <f>VLOOKUP(TRIM(Table1[[#This Row],[Provider Specialty]]) &amp; TRIM(Table1[[#This Row],[Provider Specialty Description]]), SPECIALTY_TYPE, 2, FALSE)</f>
        <v>299</v>
      </c>
      <c r="M1035" s="3" t="s">
        <v>18</v>
      </c>
      <c r="N1035" s="27" t="s">
        <v>19</v>
      </c>
      <c r="O1035" s="38">
        <f>VLOOKUP(TRIM(Table1[[#This Row],[Provider Specialty]]) &amp; TRIM(Table1[[#This Row],[Provider Specialty Description]]), SPECIALTY_TYPE, 2, FALSE)</f>
        <v>299</v>
      </c>
      <c r="P1035" s="3" t="str">
        <f>Table1[[#This Row],[Provider Type]] &amp; "+" &amp; Table1[[#This Row],[Provider Type Description]]</f>
        <v>33+Single-Specialty</v>
      </c>
      <c r="Q1035" s="7" t="str">
        <f>Table1[[#This Row],[Provider Specialty]] &amp; "+" &amp; Table1[[#This Row],[Provider Specialty Description]]</f>
        <v>359+Infectious Diseases</v>
      </c>
      <c r="R1035" s="7" t="str">
        <f>Table1[[#This Row],[PDMS Specialty Type ID]] &amp; "+" &amp; Table1[[#This Row],[PDMS Provider Type ID]] &amp; "+" &amp;Table1[[#This Row],[TAXONOMY]]</f>
        <v>299+51+207RI0200X</v>
      </c>
      <c r="S10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(10014, 299, 51, N'207RI0200X', N'Internal Medicine - Infectious Disease')</v>
      </c>
    </row>
    <row r="1036" spans="1:19" ht="47.25" hidden="1" customHeight="1" x14ac:dyDescent="0.25">
      <c r="A1036" s="22" t="s">
        <v>1855</v>
      </c>
      <c r="B1036" s="3" t="s">
        <v>988</v>
      </c>
      <c r="C1036" s="3" t="s">
        <v>999</v>
      </c>
      <c r="D1036" s="3" t="s">
        <v>1016</v>
      </c>
      <c r="E1036" s="3" t="s">
        <v>1017</v>
      </c>
      <c r="F1036" s="3">
        <f>VLOOKUP(Table1[[#This Row],[Column2]], TAXONOMY_TYPE, 2, FALSE)</f>
        <v>10015</v>
      </c>
      <c r="G1036" s="3">
        <v>31</v>
      </c>
      <c r="H1036" s="3" t="s">
        <v>991</v>
      </c>
      <c r="I1036" s="3">
        <f>VLOOKUP(Table1[[#This Row],[Provider Type]] &amp; Table1[[#This Row],[Provider Type Description]], PROVIDER_TYPE, 2, FALSE)</f>
        <v>114</v>
      </c>
      <c r="J1036" s="3">
        <v>365</v>
      </c>
      <c r="K1036" s="3" t="s">
        <v>1018</v>
      </c>
      <c r="L1036" s="3">
        <f>VLOOKUP(TRIM(Table1[[#This Row],[Provider Specialty]]) &amp; TRIM(Table1[[#This Row],[Provider Specialty Description]]), SPECIALTY_TYPE, 2, FALSE)</f>
        <v>2115</v>
      </c>
      <c r="M1036" s="3" t="s">
        <v>18</v>
      </c>
      <c r="N1036" s="27" t="s">
        <v>19</v>
      </c>
      <c r="O1036" s="38">
        <f>VLOOKUP(TRIM(Table1[[#This Row],[Provider Specialty]]) &amp; TRIM(Table1[[#This Row],[Provider Specialty Description]]), SPECIALTY_TYPE, 2, FALSE)</f>
        <v>2115</v>
      </c>
      <c r="P1036" s="3" t="str">
        <f>Table1[[#This Row],[Provider Type]] &amp; "+" &amp; Table1[[#This Row],[Provider Type Description]]</f>
        <v>31+Physician</v>
      </c>
      <c r="Q1036" s="7" t="str">
        <f>Table1[[#This Row],[Provider Specialty]] &amp; "+" &amp; Table1[[#This Row],[Provider Specialty Description]]</f>
        <v>365+Oncologist</v>
      </c>
      <c r="R1036" s="7" t="str">
        <f>Table1[[#This Row],[PDMS Specialty Type ID]] &amp; "+" &amp; Table1[[#This Row],[PDMS Provider Type ID]] &amp; "+" &amp;Table1[[#This Row],[TAXONOMY]]</f>
        <v>2115+114+207RX0202X</v>
      </c>
      <c r="S10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(10015, 2115, 114, N'207RX0202X', N'Internal Medicine - Medical Oncology')</v>
      </c>
    </row>
    <row r="1037" spans="1:19" ht="47.25" hidden="1" customHeight="1" x14ac:dyDescent="0.25">
      <c r="A1037" s="22" t="s">
        <v>1854</v>
      </c>
      <c r="B1037" s="3" t="s">
        <v>988</v>
      </c>
      <c r="C1037" s="3" t="s">
        <v>999</v>
      </c>
      <c r="D1037" s="3" t="s">
        <v>1016</v>
      </c>
      <c r="E1037" s="3" t="s">
        <v>1017</v>
      </c>
      <c r="F1037" s="3">
        <f>VLOOKUP(Table1[[#This Row],[Column2]], TAXONOMY_TYPE, 2, FALSE)</f>
        <v>10016</v>
      </c>
      <c r="G1037" s="3">
        <v>32</v>
      </c>
      <c r="H1037" s="3" t="s">
        <v>1444</v>
      </c>
      <c r="I1037" s="3">
        <f>VLOOKUP(Table1[[#This Row],[Provider Type]] &amp; Table1[[#This Row],[Provider Type Description]], PROVIDER_TYPE, 2, FALSE)</f>
        <v>50</v>
      </c>
      <c r="J1037" s="3">
        <v>365</v>
      </c>
      <c r="K1037" s="3" t="s">
        <v>1018</v>
      </c>
      <c r="L1037" s="3">
        <f>VLOOKUP(TRIM(Table1[[#This Row],[Provider Specialty]]) &amp; TRIM(Table1[[#This Row],[Provider Specialty Description]]), SPECIALTY_TYPE, 2, FALSE)</f>
        <v>2115</v>
      </c>
      <c r="M1037" s="3" t="s">
        <v>18</v>
      </c>
      <c r="N1037" s="27" t="s">
        <v>19</v>
      </c>
      <c r="O1037" s="38">
        <f>VLOOKUP(TRIM(Table1[[#This Row],[Provider Specialty]]) &amp; TRIM(Table1[[#This Row],[Provider Specialty Description]]), SPECIALTY_TYPE, 2, FALSE)</f>
        <v>2115</v>
      </c>
      <c r="P1037" s="3" t="str">
        <f>Table1[[#This Row],[Provider Type]] &amp; "+" &amp; Table1[[#This Row],[Provider Type Description]]</f>
        <v>32+Multi-Specialty</v>
      </c>
      <c r="Q1037" s="7" t="str">
        <f>Table1[[#This Row],[Provider Specialty]] &amp; "+" &amp; Table1[[#This Row],[Provider Specialty Description]]</f>
        <v>365+Oncologist</v>
      </c>
      <c r="R1037" s="7" t="str">
        <f>Table1[[#This Row],[PDMS Specialty Type ID]] &amp; "+" &amp; Table1[[#This Row],[PDMS Provider Type ID]] &amp; "+" &amp;Table1[[#This Row],[TAXONOMY]]</f>
        <v>2115+50+207RX0202X</v>
      </c>
      <c r="S10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(10016, 2115, 50, N'207RX0202X', N'Internal Medicine - Medical Oncology')</v>
      </c>
    </row>
    <row r="1038" spans="1:19" ht="47.25" hidden="1" customHeight="1" x14ac:dyDescent="0.25">
      <c r="A1038" s="22" t="s">
        <v>1854</v>
      </c>
      <c r="B1038" s="3" t="s">
        <v>988</v>
      </c>
      <c r="C1038" s="3" t="s">
        <v>999</v>
      </c>
      <c r="D1038" s="3" t="s">
        <v>1016</v>
      </c>
      <c r="E1038" s="3" t="s">
        <v>1017</v>
      </c>
      <c r="F1038" s="3">
        <f>VLOOKUP(Table1[[#This Row],[Column2]], TAXONOMY_TYPE, 2, FALSE)</f>
        <v>10017</v>
      </c>
      <c r="G1038" s="3">
        <v>33</v>
      </c>
      <c r="H1038" s="3" t="s">
        <v>1953</v>
      </c>
      <c r="I1038" s="3">
        <f>VLOOKUP(Table1[[#This Row],[Provider Type]] &amp; Table1[[#This Row],[Provider Type Description]], PROVIDER_TYPE, 2, FALSE)</f>
        <v>51</v>
      </c>
      <c r="J1038" s="3">
        <v>365</v>
      </c>
      <c r="K1038" s="3" t="s">
        <v>1018</v>
      </c>
      <c r="L1038" s="3">
        <f>VLOOKUP(TRIM(Table1[[#This Row],[Provider Specialty]]) &amp; TRIM(Table1[[#This Row],[Provider Specialty Description]]), SPECIALTY_TYPE, 2, FALSE)</f>
        <v>2115</v>
      </c>
      <c r="M1038" s="3" t="s">
        <v>18</v>
      </c>
      <c r="N1038" s="27" t="s">
        <v>19</v>
      </c>
      <c r="O1038" s="38">
        <f>VLOOKUP(TRIM(Table1[[#This Row],[Provider Specialty]]) &amp; TRIM(Table1[[#This Row],[Provider Specialty Description]]), SPECIALTY_TYPE, 2, FALSE)</f>
        <v>2115</v>
      </c>
      <c r="P1038" s="3" t="str">
        <f>Table1[[#This Row],[Provider Type]] &amp; "+" &amp; Table1[[#This Row],[Provider Type Description]]</f>
        <v>33+Single-Specialty</v>
      </c>
      <c r="Q1038" s="7" t="str">
        <f>Table1[[#This Row],[Provider Specialty]] &amp; "+" &amp; Table1[[#This Row],[Provider Specialty Description]]</f>
        <v>365+Oncologist</v>
      </c>
      <c r="R1038" s="7" t="str">
        <f>Table1[[#This Row],[PDMS Specialty Type ID]] &amp; "+" &amp; Table1[[#This Row],[PDMS Provider Type ID]] &amp; "+" &amp;Table1[[#This Row],[TAXONOMY]]</f>
        <v>2115+51+207RX0202X</v>
      </c>
      <c r="S10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(10017, 2115, 51, N'207RX0202X', N'Internal Medicine - Medical Oncology')</v>
      </c>
    </row>
    <row r="1039" spans="1:19" ht="47.25" hidden="1" customHeight="1" x14ac:dyDescent="0.25">
      <c r="A1039" s="22" t="s">
        <v>1855</v>
      </c>
      <c r="B1039" s="3" t="s">
        <v>988</v>
      </c>
      <c r="C1039" s="3" t="s">
        <v>1069</v>
      </c>
      <c r="D1039" s="3" t="s">
        <v>1072</v>
      </c>
      <c r="E1039" s="3" t="s">
        <v>1073</v>
      </c>
      <c r="F1039" s="3">
        <f>VLOOKUP(Table1[[#This Row],[Column2]], TAXONOMY_TYPE, 2, FALSE)</f>
        <v>10018</v>
      </c>
      <c r="G1039" s="3">
        <v>31</v>
      </c>
      <c r="H1039" s="3" t="s">
        <v>991</v>
      </c>
      <c r="I1039" s="3">
        <f>VLOOKUP(Table1[[#This Row],[Provider Type]] &amp; Table1[[#This Row],[Provider Type Description]], PROVIDER_TYPE, 2, FALSE)</f>
        <v>114</v>
      </c>
      <c r="J1039" s="3">
        <v>366</v>
      </c>
      <c r="K1039" s="3" t="s">
        <v>1074</v>
      </c>
      <c r="L1039" s="3">
        <f>VLOOKUP(TRIM(Table1[[#This Row],[Provider Specialty]]) &amp; TRIM(Table1[[#This Row],[Provider Specialty Description]]), SPECIALTY_TYPE, 2, FALSE)</f>
        <v>2116</v>
      </c>
      <c r="M1039" s="3" t="s">
        <v>19</v>
      </c>
      <c r="N1039" s="27" t="s">
        <v>19</v>
      </c>
      <c r="O1039" s="38">
        <f>VLOOKUP(TRIM(Table1[[#This Row],[Provider Specialty]]) &amp; TRIM(Table1[[#This Row],[Provider Specialty Description]]), SPECIALTY_TYPE, 2, FALSE)</f>
        <v>2116</v>
      </c>
      <c r="P1039" s="3" t="str">
        <f>Table1[[#This Row],[Provider Type]] &amp; "+" &amp; Table1[[#This Row],[Provider Type Description]]</f>
        <v>31+Physician</v>
      </c>
      <c r="Q1039" s="7" t="str">
        <f>Table1[[#This Row],[Provider Specialty]] &amp; "+" &amp; Table1[[#This Row],[Provider Specialty Description]]</f>
        <v>366+Allergist - Pediatric</v>
      </c>
      <c r="R1039" s="7" t="str">
        <f>Table1[[#This Row],[PDMS Specialty Type ID]] &amp; "+" &amp; Table1[[#This Row],[PDMS Provider Type ID]] &amp; "+" &amp;Table1[[#This Row],[TAXONOMY]]</f>
        <v>2116+114+207KA0200X</v>
      </c>
      <c r="S10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(10018, 2116, 114, N'207KA0200X', N'Allergy &amp; Immunology - Allergy')</v>
      </c>
    </row>
    <row r="1040" spans="1:19" ht="47.25" hidden="1" customHeight="1" x14ac:dyDescent="0.25">
      <c r="A1040" s="22" t="s">
        <v>1854</v>
      </c>
      <c r="B1040" s="3" t="s">
        <v>988</v>
      </c>
      <c r="C1040" s="3" t="s">
        <v>1069</v>
      </c>
      <c r="D1040" s="3" t="s">
        <v>1072</v>
      </c>
      <c r="E1040" s="3" t="s">
        <v>1073</v>
      </c>
      <c r="F1040" s="3">
        <f>VLOOKUP(Table1[[#This Row],[Column2]], TAXONOMY_TYPE, 2, FALSE)</f>
        <v>10019</v>
      </c>
      <c r="G1040" s="3">
        <v>32</v>
      </c>
      <c r="H1040" s="3" t="s">
        <v>1444</v>
      </c>
      <c r="I1040" s="3">
        <f>VLOOKUP(Table1[[#This Row],[Provider Type]] &amp; Table1[[#This Row],[Provider Type Description]], PROVIDER_TYPE, 2, FALSE)</f>
        <v>50</v>
      </c>
      <c r="J1040" s="3">
        <v>366</v>
      </c>
      <c r="K1040" s="3" t="s">
        <v>1074</v>
      </c>
      <c r="L1040" s="3">
        <f>VLOOKUP(TRIM(Table1[[#This Row],[Provider Specialty]]) &amp; TRIM(Table1[[#This Row],[Provider Specialty Description]]), SPECIALTY_TYPE, 2, FALSE)</f>
        <v>2116</v>
      </c>
      <c r="M1040" s="3" t="s">
        <v>18</v>
      </c>
      <c r="N1040" s="27" t="s">
        <v>19</v>
      </c>
      <c r="O1040" s="38">
        <f>VLOOKUP(TRIM(Table1[[#This Row],[Provider Specialty]]) &amp; TRIM(Table1[[#This Row],[Provider Specialty Description]]), SPECIALTY_TYPE, 2, FALSE)</f>
        <v>2116</v>
      </c>
      <c r="P1040" s="3" t="str">
        <f>Table1[[#This Row],[Provider Type]] &amp; "+" &amp; Table1[[#This Row],[Provider Type Description]]</f>
        <v>32+Multi-Specialty</v>
      </c>
      <c r="Q1040" s="7" t="str">
        <f>Table1[[#This Row],[Provider Specialty]] &amp; "+" &amp; Table1[[#This Row],[Provider Specialty Description]]</f>
        <v>366+Allergist - Pediatric</v>
      </c>
      <c r="R1040" s="7" t="str">
        <f>Table1[[#This Row],[PDMS Specialty Type ID]] &amp; "+" &amp; Table1[[#This Row],[PDMS Provider Type ID]] &amp; "+" &amp;Table1[[#This Row],[TAXONOMY]]</f>
        <v>2116+50+207KA0200X</v>
      </c>
      <c r="S10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(10019, 2116, 50, N'207KA0200X', N'Allergy &amp; Immunology - Allergy')</v>
      </c>
    </row>
    <row r="1041" spans="1:19" ht="47.25" hidden="1" customHeight="1" x14ac:dyDescent="0.25">
      <c r="A1041" s="22" t="s">
        <v>1854</v>
      </c>
      <c r="B1041" s="3" t="s">
        <v>988</v>
      </c>
      <c r="C1041" s="3" t="s">
        <v>1069</v>
      </c>
      <c r="D1041" s="3" t="s">
        <v>1072</v>
      </c>
      <c r="E1041" s="3" t="s">
        <v>1073</v>
      </c>
      <c r="F1041" s="3">
        <f>VLOOKUP(Table1[[#This Row],[Column2]], TAXONOMY_TYPE, 2, FALSE)</f>
        <v>10020</v>
      </c>
      <c r="G1041" s="3">
        <v>33</v>
      </c>
      <c r="H1041" s="3" t="s">
        <v>1953</v>
      </c>
      <c r="I1041" s="3">
        <f>VLOOKUP(Table1[[#This Row],[Provider Type]] &amp; Table1[[#This Row],[Provider Type Description]], PROVIDER_TYPE, 2, FALSE)</f>
        <v>51</v>
      </c>
      <c r="J1041" s="3">
        <v>366</v>
      </c>
      <c r="K1041" s="3" t="s">
        <v>1074</v>
      </c>
      <c r="L1041" s="3">
        <f>VLOOKUP(TRIM(Table1[[#This Row],[Provider Specialty]]) &amp; TRIM(Table1[[#This Row],[Provider Specialty Description]]), SPECIALTY_TYPE, 2, FALSE)</f>
        <v>2116</v>
      </c>
      <c r="M1041" s="3" t="s">
        <v>18</v>
      </c>
      <c r="N1041" s="27" t="s">
        <v>19</v>
      </c>
      <c r="O1041" s="38">
        <f>VLOOKUP(TRIM(Table1[[#This Row],[Provider Specialty]]) &amp; TRIM(Table1[[#This Row],[Provider Specialty Description]]), SPECIALTY_TYPE, 2, FALSE)</f>
        <v>2116</v>
      </c>
      <c r="P1041" s="3" t="str">
        <f>Table1[[#This Row],[Provider Type]] &amp; "+" &amp; Table1[[#This Row],[Provider Type Description]]</f>
        <v>33+Single-Specialty</v>
      </c>
      <c r="Q1041" s="7" t="str">
        <f>Table1[[#This Row],[Provider Specialty]] &amp; "+" &amp; Table1[[#This Row],[Provider Specialty Description]]</f>
        <v>366+Allergist - Pediatric</v>
      </c>
      <c r="R1041" s="7" t="str">
        <f>Table1[[#This Row],[PDMS Specialty Type ID]] &amp; "+" &amp; Table1[[#This Row],[PDMS Provider Type ID]] &amp; "+" &amp;Table1[[#This Row],[TAXONOMY]]</f>
        <v>2116+51+207KA0200X</v>
      </c>
      <c r="S10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(10020, 2116, 51, N'207KA0200X', N'Allergy &amp; Immunology - Allergy')</v>
      </c>
    </row>
    <row r="1042" spans="1:19" ht="47.25" hidden="1" customHeight="1" x14ac:dyDescent="0.25">
      <c r="A1042" s="22" t="s">
        <v>1855</v>
      </c>
      <c r="B1042" s="3" t="s">
        <v>988</v>
      </c>
      <c r="C1042" s="3" t="s">
        <v>325</v>
      </c>
      <c r="D1042" s="3" t="s">
        <v>1274</v>
      </c>
      <c r="E1042" s="3" t="s">
        <v>1275</v>
      </c>
      <c r="F1042" s="3">
        <f>VLOOKUP(Table1[[#This Row],[Column2]], TAXONOMY_TYPE, 2, FALSE)</f>
        <v>10021</v>
      </c>
      <c r="G1042" s="3">
        <v>31</v>
      </c>
      <c r="H1042" s="3" t="s">
        <v>991</v>
      </c>
      <c r="I1042" s="3">
        <f>VLOOKUP(Table1[[#This Row],[Provider Type]] &amp; Table1[[#This Row],[Provider Type Description]], PROVIDER_TYPE, 2, FALSE)</f>
        <v>114</v>
      </c>
      <c r="J1042" s="3">
        <v>366</v>
      </c>
      <c r="K1042" s="3" t="s">
        <v>1074</v>
      </c>
      <c r="L1042" s="3">
        <f>VLOOKUP(TRIM(Table1[[#This Row],[Provider Specialty]]) &amp; TRIM(Table1[[#This Row],[Provider Specialty Description]]), SPECIALTY_TYPE, 2, FALSE)</f>
        <v>2116</v>
      </c>
      <c r="M1042" s="3" t="s">
        <v>19</v>
      </c>
      <c r="N1042" s="27" t="s">
        <v>19</v>
      </c>
      <c r="O1042" s="38">
        <f>VLOOKUP(TRIM(Table1[[#This Row],[Provider Specialty]]) &amp; TRIM(Table1[[#This Row],[Provider Specialty Description]]), SPECIALTY_TYPE, 2, FALSE)</f>
        <v>2116</v>
      </c>
      <c r="P1042" s="3" t="str">
        <f>Table1[[#This Row],[Provider Type]] &amp; "+" &amp; Table1[[#This Row],[Provider Type Description]]</f>
        <v>31+Physician</v>
      </c>
      <c r="Q1042" s="7" t="str">
        <f>Table1[[#This Row],[Provider Specialty]] &amp; "+" &amp; Table1[[#This Row],[Provider Specialty Description]]</f>
        <v>366+Allergist - Pediatric</v>
      </c>
      <c r="R1042" s="7" t="str">
        <f>Table1[[#This Row],[PDMS Specialty Type ID]] &amp; "+" &amp; Table1[[#This Row],[PDMS Provider Type ID]] &amp; "+" &amp;Table1[[#This Row],[TAXONOMY]]</f>
        <v>2116+114+2080P0201X</v>
      </c>
      <c r="S10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(10021, 2116, 114, N'2080P0201X', N'Pediatrics - Pediatric Allergy &amp; Immunology')</v>
      </c>
    </row>
    <row r="1043" spans="1:19" ht="47.25" hidden="1" customHeight="1" x14ac:dyDescent="0.25">
      <c r="A1043" s="22" t="s">
        <v>1854</v>
      </c>
      <c r="B1043" s="3" t="s">
        <v>988</v>
      </c>
      <c r="C1043" s="3" t="s">
        <v>325</v>
      </c>
      <c r="D1043" s="3" t="s">
        <v>1274</v>
      </c>
      <c r="E1043" s="3" t="s">
        <v>1275</v>
      </c>
      <c r="F1043" s="3">
        <f>VLOOKUP(Table1[[#This Row],[Column2]], TAXONOMY_TYPE, 2, FALSE)</f>
        <v>10022</v>
      </c>
      <c r="G1043" s="3">
        <v>32</v>
      </c>
      <c r="H1043" s="3" t="s">
        <v>1444</v>
      </c>
      <c r="I1043" s="3">
        <f>VLOOKUP(Table1[[#This Row],[Provider Type]] &amp; Table1[[#This Row],[Provider Type Description]], PROVIDER_TYPE, 2, FALSE)</f>
        <v>50</v>
      </c>
      <c r="J1043" s="3">
        <v>366</v>
      </c>
      <c r="K1043" s="3" t="s">
        <v>1074</v>
      </c>
      <c r="L1043" s="3">
        <f>VLOOKUP(TRIM(Table1[[#This Row],[Provider Specialty]]) &amp; TRIM(Table1[[#This Row],[Provider Specialty Description]]), SPECIALTY_TYPE, 2, FALSE)</f>
        <v>2116</v>
      </c>
      <c r="M1043" s="3" t="s">
        <v>18</v>
      </c>
      <c r="N1043" s="27" t="s">
        <v>19</v>
      </c>
      <c r="O1043" s="38">
        <f>VLOOKUP(TRIM(Table1[[#This Row],[Provider Specialty]]) &amp; TRIM(Table1[[#This Row],[Provider Specialty Description]]), SPECIALTY_TYPE, 2, FALSE)</f>
        <v>2116</v>
      </c>
      <c r="P1043" s="3" t="str">
        <f>Table1[[#This Row],[Provider Type]] &amp; "+" &amp; Table1[[#This Row],[Provider Type Description]]</f>
        <v>32+Multi-Specialty</v>
      </c>
      <c r="Q1043" s="7" t="str">
        <f>Table1[[#This Row],[Provider Specialty]] &amp; "+" &amp; Table1[[#This Row],[Provider Specialty Description]]</f>
        <v>366+Allergist - Pediatric</v>
      </c>
      <c r="R1043" s="7" t="str">
        <f>Table1[[#This Row],[PDMS Specialty Type ID]] &amp; "+" &amp; Table1[[#This Row],[PDMS Provider Type ID]] &amp; "+" &amp;Table1[[#This Row],[TAXONOMY]]</f>
        <v>2116+50+2080P0201X</v>
      </c>
      <c r="S10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(10022, 2116, 50, N'2080P0201X', N'Pediatrics - Pediatric Allergy &amp; Immunology')</v>
      </c>
    </row>
    <row r="1044" spans="1:19" ht="47.25" hidden="1" customHeight="1" x14ac:dyDescent="0.25">
      <c r="A1044" s="22" t="s">
        <v>1854</v>
      </c>
      <c r="B1044" s="3" t="s">
        <v>988</v>
      </c>
      <c r="C1044" s="3" t="s">
        <v>325</v>
      </c>
      <c r="D1044" s="3" t="s">
        <v>1274</v>
      </c>
      <c r="E1044" s="3" t="s">
        <v>1275</v>
      </c>
      <c r="F1044" s="3">
        <f>VLOOKUP(Table1[[#This Row],[Column2]], TAXONOMY_TYPE, 2, FALSE)</f>
        <v>10023</v>
      </c>
      <c r="G1044" s="3">
        <v>33</v>
      </c>
      <c r="H1044" s="3" t="s">
        <v>1953</v>
      </c>
      <c r="I1044" s="3">
        <f>VLOOKUP(Table1[[#This Row],[Provider Type]] &amp; Table1[[#This Row],[Provider Type Description]], PROVIDER_TYPE, 2, FALSE)</f>
        <v>51</v>
      </c>
      <c r="J1044" s="3">
        <v>366</v>
      </c>
      <c r="K1044" s="3" t="s">
        <v>1074</v>
      </c>
      <c r="L1044" s="3">
        <f>VLOOKUP(TRIM(Table1[[#This Row],[Provider Specialty]]) &amp; TRIM(Table1[[#This Row],[Provider Specialty Description]]), SPECIALTY_TYPE, 2, FALSE)</f>
        <v>2116</v>
      </c>
      <c r="M1044" s="3" t="s">
        <v>18</v>
      </c>
      <c r="N1044" s="27" t="s">
        <v>19</v>
      </c>
      <c r="O1044" s="38">
        <f>VLOOKUP(TRIM(Table1[[#This Row],[Provider Specialty]]) &amp; TRIM(Table1[[#This Row],[Provider Specialty Description]]), SPECIALTY_TYPE, 2, FALSE)</f>
        <v>2116</v>
      </c>
      <c r="P1044" s="3" t="str">
        <f>Table1[[#This Row],[Provider Type]] &amp; "+" &amp; Table1[[#This Row],[Provider Type Description]]</f>
        <v>33+Single-Specialty</v>
      </c>
      <c r="Q1044" s="7" t="str">
        <f>Table1[[#This Row],[Provider Specialty]] &amp; "+" &amp; Table1[[#This Row],[Provider Specialty Description]]</f>
        <v>366+Allergist - Pediatric</v>
      </c>
      <c r="R1044" s="7" t="str">
        <f>Table1[[#This Row],[PDMS Specialty Type ID]] &amp; "+" &amp; Table1[[#This Row],[PDMS Provider Type ID]] &amp; "+" &amp;Table1[[#This Row],[TAXONOMY]]</f>
        <v>2116+51+2080P0201X</v>
      </c>
      <c r="S10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(10023, 2116, 51, N'2080P0201X', N'Pediatrics - Pediatric Allergy &amp; Immunology')</v>
      </c>
    </row>
    <row r="1045" spans="1:19" ht="47.25" hidden="1" customHeight="1" x14ac:dyDescent="0.25">
      <c r="A1045" s="22" t="s">
        <v>1855</v>
      </c>
      <c r="B1045" s="3" t="s">
        <v>988</v>
      </c>
      <c r="C1045" s="3" t="s">
        <v>989</v>
      </c>
      <c r="D1045" s="3" t="s">
        <v>989</v>
      </c>
      <c r="E1045" s="3" t="s">
        <v>990</v>
      </c>
      <c r="F1045" s="3">
        <f>VLOOKUP(Table1[[#This Row],[Column2]], TAXONOMY_TYPE, 2, FALSE)</f>
        <v>10024</v>
      </c>
      <c r="G1045" s="3">
        <v>31</v>
      </c>
      <c r="H1045" s="3" t="s">
        <v>991</v>
      </c>
      <c r="I1045" s="3">
        <f>VLOOKUP(Table1[[#This Row],[Provider Type]] &amp; Table1[[#This Row],[Provider Type Description]], PROVIDER_TYPE, 2, FALSE)</f>
        <v>114</v>
      </c>
      <c r="J1045" s="3">
        <v>495</v>
      </c>
      <c r="K1045" s="3" t="s">
        <v>931</v>
      </c>
      <c r="L1045" s="3">
        <f>VLOOKUP(TRIM(Table1[[#This Row],[Provider Specialty]]) &amp; TRIM(Table1[[#This Row],[Provider Specialty Description]]), SPECIALTY_TYPE, 2, FALSE)</f>
        <v>2117</v>
      </c>
      <c r="M1045" s="3" t="s">
        <v>18</v>
      </c>
      <c r="N1045" s="27" t="s">
        <v>19</v>
      </c>
      <c r="O1045" s="38">
        <f>VLOOKUP(TRIM(Table1[[#This Row],[Provider Specialty]]) &amp; TRIM(Table1[[#This Row],[Provider Specialty Description]]), SPECIALTY_TYPE, 2, FALSE)</f>
        <v>2117</v>
      </c>
      <c r="P1045" s="3" t="str">
        <f>Table1[[#This Row],[Provider Type]] &amp; "+" &amp; Table1[[#This Row],[Provider Type Description]]</f>
        <v>31+Physician</v>
      </c>
      <c r="Q1045" s="7" t="str">
        <f>Table1[[#This Row],[Provider Specialty]] &amp; "+" &amp; Table1[[#This Row],[Provider Specialty Description]]</f>
        <v>495+Anesthesiologist - Other</v>
      </c>
      <c r="R1045" s="7" t="str">
        <f>Table1[[#This Row],[PDMS Specialty Type ID]] &amp; "+" &amp; Table1[[#This Row],[PDMS Provider Type ID]] &amp; "+" &amp;Table1[[#This Row],[TAXONOMY]]</f>
        <v>2117+114+207L00000X</v>
      </c>
      <c r="S10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(10024, 2117, 114, N'207L00000X', N'Anesthesiology - Anesthesiology')</v>
      </c>
    </row>
    <row r="1046" spans="1:19" ht="47.25" hidden="1" customHeight="1" x14ac:dyDescent="0.25">
      <c r="A1046" s="22" t="s">
        <v>1854</v>
      </c>
      <c r="B1046" s="3" t="s">
        <v>988</v>
      </c>
      <c r="C1046" s="3" t="s">
        <v>989</v>
      </c>
      <c r="D1046" s="3" t="s">
        <v>989</v>
      </c>
      <c r="E1046" s="3" t="s">
        <v>990</v>
      </c>
      <c r="F1046" s="3">
        <f>VLOOKUP(Table1[[#This Row],[Column2]], TAXONOMY_TYPE, 2, FALSE)</f>
        <v>10025</v>
      </c>
      <c r="G1046" s="3">
        <v>32</v>
      </c>
      <c r="H1046" s="3" t="s">
        <v>1444</v>
      </c>
      <c r="I1046" s="3">
        <f>VLOOKUP(Table1[[#This Row],[Provider Type]] &amp; Table1[[#This Row],[Provider Type Description]], PROVIDER_TYPE, 2, FALSE)</f>
        <v>50</v>
      </c>
      <c r="J1046" s="3">
        <v>495</v>
      </c>
      <c r="K1046" s="3" t="s">
        <v>931</v>
      </c>
      <c r="L1046" s="3">
        <f>VLOOKUP(TRIM(Table1[[#This Row],[Provider Specialty]]) &amp; TRIM(Table1[[#This Row],[Provider Specialty Description]]), SPECIALTY_TYPE, 2, FALSE)</f>
        <v>2117</v>
      </c>
      <c r="M1046" s="3" t="s">
        <v>18</v>
      </c>
      <c r="N1046" s="27" t="s">
        <v>19</v>
      </c>
      <c r="O1046" s="38">
        <f>VLOOKUP(TRIM(Table1[[#This Row],[Provider Specialty]]) &amp; TRIM(Table1[[#This Row],[Provider Specialty Description]]), SPECIALTY_TYPE, 2, FALSE)</f>
        <v>2117</v>
      </c>
      <c r="P1046" s="3" t="str">
        <f>Table1[[#This Row],[Provider Type]] &amp; "+" &amp; Table1[[#This Row],[Provider Type Description]]</f>
        <v>32+Multi-Specialty</v>
      </c>
      <c r="Q1046" s="7" t="str">
        <f>Table1[[#This Row],[Provider Specialty]] &amp; "+" &amp; Table1[[#This Row],[Provider Specialty Description]]</f>
        <v>495+Anesthesiologist - Other</v>
      </c>
      <c r="R1046" s="7" t="str">
        <f>Table1[[#This Row],[PDMS Specialty Type ID]] &amp; "+" &amp; Table1[[#This Row],[PDMS Provider Type ID]] &amp; "+" &amp;Table1[[#This Row],[TAXONOMY]]</f>
        <v>2117+50+207L00000X</v>
      </c>
      <c r="S10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(10025, 2117, 50, N'207L00000X', N'Anesthesiology - Anesthesiology')</v>
      </c>
    </row>
    <row r="1047" spans="1:19" ht="47.25" hidden="1" customHeight="1" x14ac:dyDescent="0.25">
      <c r="A1047" s="22" t="s">
        <v>1854</v>
      </c>
      <c r="B1047" s="3" t="s">
        <v>988</v>
      </c>
      <c r="C1047" s="3" t="s">
        <v>989</v>
      </c>
      <c r="D1047" s="3" t="s">
        <v>989</v>
      </c>
      <c r="E1047" s="3" t="s">
        <v>990</v>
      </c>
      <c r="F1047" s="3">
        <f>VLOOKUP(Table1[[#This Row],[Column2]], TAXONOMY_TYPE, 2, FALSE)</f>
        <v>10026</v>
      </c>
      <c r="G1047" s="3">
        <v>33</v>
      </c>
      <c r="H1047" s="3" t="s">
        <v>1953</v>
      </c>
      <c r="I1047" s="3">
        <f>VLOOKUP(Table1[[#This Row],[Provider Type]] &amp; Table1[[#This Row],[Provider Type Description]], PROVIDER_TYPE, 2, FALSE)</f>
        <v>51</v>
      </c>
      <c r="J1047" s="3">
        <v>495</v>
      </c>
      <c r="K1047" s="3" t="s">
        <v>931</v>
      </c>
      <c r="L1047" s="3">
        <f>VLOOKUP(TRIM(Table1[[#This Row],[Provider Specialty]]) &amp; TRIM(Table1[[#This Row],[Provider Specialty Description]]), SPECIALTY_TYPE, 2, FALSE)</f>
        <v>2117</v>
      </c>
      <c r="M1047" s="3" t="s">
        <v>18</v>
      </c>
      <c r="N1047" s="27" t="s">
        <v>19</v>
      </c>
      <c r="O1047" s="38">
        <f>VLOOKUP(TRIM(Table1[[#This Row],[Provider Specialty]]) &amp; TRIM(Table1[[#This Row],[Provider Specialty Description]]), SPECIALTY_TYPE, 2, FALSE)</f>
        <v>2117</v>
      </c>
      <c r="P1047" s="3" t="str">
        <f>Table1[[#This Row],[Provider Type]] &amp; "+" &amp; Table1[[#This Row],[Provider Type Description]]</f>
        <v>33+Single-Specialty</v>
      </c>
      <c r="Q1047" s="7" t="str">
        <f>Table1[[#This Row],[Provider Specialty]] &amp; "+" &amp; Table1[[#This Row],[Provider Specialty Description]]</f>
        <v>495+Anesthesiologist - Other</v>
      </c>
      <c r="R1047" s="7" t="str">
        <f>Table1[[#This Row],[PDMS Specialty Type ID]] &amp; "+" &amp; Table1[[#This Row],[PDMS Provider Type ID]] &amp; "+" &amp;Table1[[#This Row],[TAXONOMY]]</f>
        <v>2117+51+207L00000X</v>
      </c>
      <c r="S10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(10026, 2117, 51, N'207L00000X', N'Anesthesiology - Anesthesiology')</v>
      </c>
    </row>
    <row r="1048" spans="1:19" ht="47.25" hidden="1" customHeight="1" x14ac:dyDescent="0.25">
      <c r="A1048" s="22" t="s">
        <v>1855</v>
      </c>
      <c r="B1048" s="3" t="s">
        <v>988</v>
      </c>
      <c r="C1048" s="3" t="s">
        <v>1433</v>
      </c>
      <c r="D1048" s="3" t="s">
        <v>1433</v>
      </c>
      <c r="E1048" s="3" t="s">
        <v>1434</v>
      </c>
      <c r="F1048" s="3">
        <f>VLOOKUP(Table1[[#This Row],[Column2]], TAXONOMY_TYPE, 2, FALSE)</f>
        <v>10027</v>
      </c>
      <c r="G1048" s="3">
        <v>31</v>
      </c>
      <c r="H1048" s="3" t="s">
        <v>991</v>
      </c>
      <c r="I1048" s="3">
        <f>VLOOKUP(Table1[[#This Row],[Provider Type]] &amp; Table1[[#This Row],[Provider Type Description]], PROVIDER_TYPE, 2, FALSE)</f>
        <v>114</v>
      </c>
      <c r="J1048" s="3">
        <v>520</v>
      </c>
      <c r="K1048" s="3" t="s">
        <v>1435</v>
      </c>
      <c r="L1048" s="3">
        <f>VLOOKUP(TRIM(Table1[[#This Row],[Provider Specialty]]) &amp; TRIM(Table1[[#This Row],[Provider Specialty Description]]), SPECIALTY_TYPE, 2, FALSE)</f>
        <v>518</v>
      </c>
      <c r="M1048" s="3" t="s">
        <v>18</v>
      </c>
      <c r="N1048" s="27" t="s">
        <v>18</v>
      </c>
      <c r="O1048" s="38">
        <f>VLOOKUP(TRIM(Table1[[#This Row],[Provider Specialty]]) &amp; TRIM(Table1[[#This Row],[Provider Specialty Description]]), SPECIALTY_TYPE, 2, FALSE)</f>
        <v>518</v>
      </c>
      <c r="P1048" s="3" t="str">
        <f>Table1[[#This Row],[Provider Type]] &amp; "+" &amp; Table1[[#This Row],[Provider Type Description]]</f>
        <v>31+Physician</v>
      </c>
      <c r="Q1048" s="7" t="str">
        <f>Table1[[#This Row],[Provider Specialty]] &amp; "+" &amp; Table1[[#This Row],[Provider Specialty Description]]</f>
        <v>520+Clinical Pharmacology</v>
      </c>
      <c r="R1048" s="7" t="str">
        <f>Table1[[#This Row],[PDMS Specialty Type ID]] &amp; "+" &amp; Table1[[#This Row],[PDMS Provider Type ID]] &amp; "+" &amp;Table1[[#This Row],[TAXONOMY]]</f>
        <v>518+114+208U00000X</v>
      </c>
      <c r="S10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(10027, 518, 114, N'208U00000X', N'Clinical Pharmacology  - Clinical Pharmacology ')</v>
      </c>
    </row>
    <row r="1049" spans="1:19" ht="47.25" hidden="1" customHeight="1" x14ac:dyDescent="0.25">
      <c r="A1049" s="22" t="s">
        <v>1854</v>
      </c>
      <c r="B1049" s="3" t="s">
        <v>988</v>
      </c>
      <c r="C1049" s="3" t="s">
        <v>1433</v>
      </c>
      <c r="D1049" s="3" t="s">
        <v>1433</v>
      </c>
      <c r="E1049" s="3" t="s">
        <v>1434</v>
      </c>
      <c r="F1049" s="3">
        <f>VLOOKUP(Table1[[#This Row],[Column2]], TAXONOMY_TYPE, 2, FALSE)</f>
        <v>10028</v>
      </c>
      <c r="G1049" s="3">
        <v>32</v>
      </c>
      <c r="H1049" s="3" t="s">
        <v>1444</v>
      </c>
      <c r="I1049" s="3">
        <f>VLOOKUP(Table1[[#This Row],[Provider Type]] &amp; Table1[[#This Row],[Provider Type Description]], PROVIDER_TYPE, 2, FALSE)</f>
        <v>50</v>
      </c>
      <c r="J1049" s="3">
        <v>520</v>
      </c>
      <c r="K1049" s="3" t="s">
        <v>1435</v>
      </c>
      <c r="L1049" s="3">
        <f>VLOOKUP(TRIM(Table1[[#This Row],[Provider Specialty]]) &amp; TRIM(Table1[[#This Row],[Provider Specialty Description]]), SPECIALTY_TYPE, 2, FALSE)</f>
        <v>518</v>
      </c>
      <c r="M1049" s="3" t="s">
        <v>18</v>
      </c>
      <c r="N1049" s="27" t="s">
        <v>19</v>
      </c>
      <c r="O1049" s="38">
        <f>VLOOKUP(TRIM(Table1[[#This Row],[Provider Specialty]]) &amp; TRIM(Table1[[#This Row],[Provider Specialty Description]]), SPECIALTY_TYPE, 2, FALSE)</f>
        <v>518</v>
      </c>
      <c r="P1049" s="3" t="str">
        <f>Table1[[#This Row],[Provider Type]] &amp; "+" &amp; Table1[[#This Row],[Provider Type Description]]</f>
        <v>32+Multi-Specialty</v>
      </c>
      <c r="Q1049" s="7" t="str">
        <f>Table1[[#This Row],[Provider Specialty]] &amp; "+" &amp; Table1[[#This Row],[Provider Specialty Description]]</f>
        <v>520+Clinical Pharmacology</v>
      </c>
      <c r="R1049" s="7" t="str">
        <f>Table1[[#This Row],[PDMS Specialty Type ID]] &amp; "+" &amp; Table1[[#This Row],[PDMS Provider Type ID]] &amp; "+" &amp;Table1[[#This Row],[TAXONOMY]]</f>
        <v>518+50+208U00000X</v>
      </c>
      <c r="S10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(10028, 518, 50, N'208U00000X', N'Clinical Pharmacology  - Clinical Pharmacology ')</v>
      </c>
    </row>
    <row r="1050" spans="1:19" ht="47.25" hidden="1" customHeight="1" x14ac:dyDescent="0.25">
      <c r="A1050" s="22" t="s">
        <v>1854</v>
      </c>
      <c r="B1050" s="3" t="s">
        <v>988</v>
      </c>
      <c r="C1050" s="3" t="s">
        <v>1433</v>
      </c>
      <c r="D1050" s="3" t="s">
        <v>1433</v>
      </c>
      <c r="E1050" s="3" t="s">
        <v>1434</v>
      </c>
      <c r="F1050" s="3">
        <f>VLOOKUP(Table1[[#This Row],[Column2]], TAXONOMY_TYPE, 2, FALSE)</f>
        <v>10029</v>
      </c>
      <c r="G1050" s="3">
        <v>33</v>
      </c>
      <c r="H1050" s="3" t="s">
        <v>1953</v>
      </c>
      <c r="I1050" s="3">
        <f>VLOOKUP(Table1[[#This Row],[Provider Type]] &amp; Table1[[#This Row],[Provider Type Description]], PROVIDER_TYPE, 2, FALSE)</f>
        <v>51</v>
      </c>
      <c r="J1050" s="3">
        <v>520</v>
      </c>
      <c r="K1050" s="3" t="s">
        <v>1435</v>
      </c>
      <c r="L1050" s="3">
        <f>VLOOKUP(TRIM(Table1[[#This Row],[Provider Specialty]]) &amp; TRIM(Table1[[#This Row],[Provider Specialty Description]]), SPECIALTY_TYPE, 2, FALSE)</f>
        <v>518</v>
      </c>
      <c r="M1050" s="3" t="s">
        <v>18</v>
      </c>
      <c r="N1050" s="27" t="s">
        <v>19</v>
      </c>
      <c r="O1050" s="38">
        <f>VLOOKUP(TRIM(Table1[[#This Row],[Provider Specialty]]) &amp; TRIM(Table1[[#This Row],[Provider Specialty Description]]), SPECIALTY_TYPE, 2, FALSE)</f>
        <v>518</v>
      </c>
      <c r="P1050" s="3" t="str">
        <f>Table1[[#This Row],[Provider Type]] &amp; "+" &amp; Table1[[#This Row],[Provider Type Description]]</f>
        <v>33+Single-Specialty</v>
      </c>
      <c r="Q1050" s="7" t="str">
        <f>Table1[[#This Row],[Provider Specialty]] &amp; "+" &amp; Table1[[#This Row],[Provider Specialty Description]]</f>
        <v>520+Clinical Pharmacology</v>
      </c>
      <c r="R1050" s="7" t="str">
        <f>Table1[[#This Row],[PDMS Specialty Type ID]] &amp; "+" &amp; Table1[[#This Row],[PDMS Provider Type ID]] &amp; "+" &amp;Table1[[#This Row],[TAXONOMY]]</f>
        <v>518+51+208U00000X</v>
      </c>
      <c r="S10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(10029, 518, 51, N'208U00000X', N'Clinical Pharmacology  - Clinical Pharmacology ')</v>
      </c>
    </row>
    <row r="1051" spans="1:19" ht="47.25" hidden="1" customHeight="1" x14ac:dyDescent="0.25">
      <c r="A1051" s="22" t="s">
        <v>1855</v>
      </c>
      <c r="B1051" s="3" t="s">
        <v>337</v>
      </c>
      <c r="C1051" s="3" t="s">
        <v>1419</v>
      </c>
      <c r="D1051" s="3" t="s">
        <v>1419</v>
      </c>
      <c r="E1051" s="3" t="s">
        <v>1420</v>
      </c>
      <c r="F1051" s="3">
        <f>VLOOKUP(Table1[[#This Row],[Column2]], TAXONOMY_TYPE, 2, FALSE)</f>
        <v>10030</v>
      </c>
      <c r="G1051" s="3">
        <v>31</v>
      </c>
      <c r="H1051" s="3" t="s">
        <v>991</v>
      </c>
      <c r="I1051" s="3">
        <f>VLOOKUP(Table1[[#This Row],[Provider Type]] &amp; Table1[[#This Row],[Provider Type Description]], PROVIDER_TYPE, 2, FALSE)</f>
        <v>114</v>
      </c>
      <c r="J1051" s="3">
        <v>530</v>
      </c>
      <c r="K1051" s="3" t="s">
        <v>1421</v>
      </c>
      <c r="L1051" s="3">
        <f>VLOOKUP(TRIM(Table1[[#This Row],[Provider Specialty]]) &amp; TRIM(Table1[[#This Row],[Provider Specialty Description]]), SPECIALTY_TYPE, 2, FALSE)</f>
        <v>622</v>
      </c>
      <c r="M1051" s="3" t="s">
        <v>18</v>
      </c>
      <c r="N1051" s="27" t="s">
        <v>18</v>
      </c>
      <c r="O1051" s="38">
        <f>VLOOKUP(TRIM(Table1[[#This Row],[Provider Specialty]]) &amp; TRIM(Table1[[#This Row],[Provider Specialty Description]]), SPECIALTY_TYPE, 2, FALSE)</f>
        <v>622</v>
      </c>
      <c r="P1051" s="3" t="str">
        <f>Table1[[#This Row],[Provider Type]] &amp; "+" &amp; Table1[[#This Row],[Provider Type Description]]</f>
        <v>31+Physician</v>
      </c>
      <c r="Q1051" s="7" t="str">
        <f>Table1[[#This Row],[Provider Specialty]] &amp; "+" &amp; Table1[[#This Row],[Provider Specialty Description]]</f>
        <v>530+Legal Medicine</v>
      </c>
      <c r="R1051" s="7" t="str">
        <f>Table1[[#This Row],[PDMS Specialty Type ID]] &amp; "+" &amp; Table1[[#This Row],[PDMS Provider Type ID]] &amp; "+" &amp;Table1[[#This Row],[TAXONOMY]]</f>
        <v>622+114+173000000X</v>
      </c>
      <c r="S10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(10030, 622, 114, N'173000000X', N'Legal Medicine - Legal Medicine')</v>
      </c>
    </row>
    <row r="1052" spans="1:19" ht="47.25" hidden="1" customHeight="1" x14ac:dyDescent="0.25">
      <c r="A1052" s="22" t="s">
        <v>1854</v>
      </c>
      <c r="B1052" s="3" t="s">
        <v>337</v>
      </c>
      <c r="C1052" s="3" t="s">
        <v>1419</v>
      </c>
      <c r="D1052" s="3" t="s">
        <v>1419</v>
      </c>
      <c r="E1052" s="3" t="s">
        <v>1420</v>
      </c>
      <c r="F1052" s="3">
        <f>VLOOKUP(Table1[[#This Row],[Column2]], TAXONOMY_TYPE, 2, FALSE)</f>
        <v>10031</v>
      </c>
      <c r="G1052" s="3">
        <v>32</v>
      </c>
      <c r="H1052" s="3" t="s">
        <v>1444</v>
      </c>
      <c r="I1052" s="3">
        <f>VLOOKUP(Table1[[#This Row],[Provider Type]] &amp; Table1[[#This Row],[Provider Type Description]], PROVIDER_TYPE, 2, FALSE)</f>
        <v>50</v>
      </c>
      <c r="J1052" s="3">
        <v>530</v>
      </c>
      <c r="K1052" s="3" t="s">
        <v>1421</v>
      </c>
      <c r="L1052" s="3">
        <f>VLOOKUP(TRIM(Table1[[#This Row],[Provider Specialty]]) &amp; TRIM(Table1[[#This Row],[Provider Specialty Description]]), SPECIALTY_TYPE, 2, FALSE)</f>
        <v>622</v>
      </c>
      <c r="M1052" s="3" t="s">
        <v>18</v>
      </c>
      <c r="N1052" s="27" t="s">
        <v>18</v>
      </c>
      <c r="O1052" s="38">
        <f>VLOOKUP(TRIM(Table1[[#This Row],[Provider Specialty]]) &amp; TRIM(Table1[[#This Row],[Provider Specialty Description]]), SPECIALTY_TYPE, 2, FALSE)</f>
        <v>622</v>
      </c>
      <c r="P1052" s="3" t="str">
        <f>Table1[[#This Row],[Provider Type]] &amp; "+" &amp; Table1[[#This Row],[Provider Type Description]]</f>
        <v>32+Multi-Specialty</v>
      </c>
      <c r="Q1052" s="7" t="str">
        <f>Table1[[#This Row],[Provider Specialty]] &amp; "+" &amp; Table1[[#This Row],[Provider Specialty Description]]</f>
        <v>530+Legal Medicine</v>
      </c>
      <c r="R1052" s="7" t="str">
        <f>Table1[[#This Row],[PDMS Specialty Type ID]] &amp; "+" &amp; Table1[[#This Row],[PDMS Provider Type ID]] &amp; "+" &amp;Table1[[#This Row],[TAXONOMY]]</f>
        <v>622+50+173000000X</v>
      </c>
      <c r="S10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(10031, 622, 50, N'173000000X', N'Legal Medicine - Legal Medicine')</v>
      </c>
    </row>
    <row r="1053" spans="1:19" ht="47.25" hidden="1" customHeight="1" x14ac:dyDescent="0.25">
      <c r="A1053" s="22" t="s">
        <v>1854</v>
      </c>
      <c r="B1053" s="3" t="s">
        <v>337</v>
      </c>
      <c r="C1053" s="3" t="s">
        <v>1419</v>
      </c>
      <c r="D1053" s="3" t="s">
        <v>1419</v>
      </c>
      <c r="E1053" s="3" t="s">
        <v>1420</v>
      </c>
      <c r="F1053" s="3">
        <f>VLOOKUP(Table1[[#This Row],[Column2]], TAXONOMY_TYPE, 2, FALSE)</f>
        <v>10032</v>
      </c>
      <c r="G1053" s="3">
        <v>33</v>
      </c>
      <c r="H1053" s="3" t="s">
        <v>1953</v>
      </c>
      <c r="I1053" s="3">
        <f>VLOOKUP(Table1[[#This Row],[Provider Type]] &amp; Table1[[#This Row],[Provider Type Description]], PROVIDER_TYPE, 2, FALSE)</f>
        <v>51</v>
      </c>
      <c r="J1053" s="3">
        <v>530</v>
      </c>
      <c r="K1053" s="3" t="s">
        <v>1421</v>
      </c>
      <c r="L1053" s="3">
        <f>VLOOKUP(TRIM(Table1[[#This Row],[Provider Specialty]]) &amp; TRIM(Table1[[#This Row],[Provider Specialty Description]]), SPECIALTY_TYPE, 2, FALSE)</f>
        <v>622</v>
      </c>
      <c r="M1053" s="3" t="s">
        <v>18</v>
      </c>
      <c r="N1053" s="27" t="s">
        <v>18</v>
      </c>
      <c r="O1053" s="38">
        <f>VLOOKUP(TRIM(Table1[[#This Row],[Provider Specialty]]) &amp; TRIM(Table1[[#This Row],[Provider Specialty Description]]), SPECIALTY_TYPE, 2, FALSE)</f>
        <v>622</v>
      </c>
      <c r="P1053" s="3" t="str">
        <f>Table1[[#This Row],[Provider Type]] &amp; "+" &amp; Table1[[#This Row],[Provider Type Description]]</f>
        <v>33+Single-Specialty</v>
      </c>
      <c r="Q1053" s="7" t="str">
        <f>Table1[[#This Row],[Provider Specialty]] &amp; "+" &amp; Table1[[#This Row],[Provider Specialty Description]]</f>
        <v>530+Legal Medicine</v>
      </c>
      <c r="R1053" s="7" t="str">
        <f>Table1[[#This Row],[PDMS Specialty Type ID]] &amp; "+" &amp; Table1[[#This Row],[PDMS Provider Type ID]] &amp; "+" &amp;Table1[[#This Row],[TAXONOMY]]</f>
        <v>622+51+173000000X</v>
      </c>
      <c r="S10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(10032, 622, 51, N'173000000X', N'Legal Medicine - Legal Medicine')</v>
      </c>
    </row>
    <row r="1054" spans="1:19" ht="47.25" hidden="1" customHeight="1" x14ac:dyDescent="0.25">
      <c r="A1054" s="22" t="s">
        <v>1855</v>
      </c>
      <c r="B1054" s="3" t="s">
        <v>988</v>
      </c>
      <c r="C1054" s="3" t="s">
        <v>1421</v>
      </c>
      <c r="D1054" s="3" t="s">
        <v>1421</v>
      </c>
      <c r="E1054" s="3" t="s">
        <v>1436</v>
      </c>
      <c r="F1054" s="3">
        <f>VLOOKUP(Table1[[#This Row],[Column2]], TAXONOMY_TYPE, 2, FALSE)</f>
        <v>10033</v>
      </c>
      <c r="G1054" s="3">
        <v>31</v>
      </c>
      <c r="H1054" s="3" t="s">
        <v>991</v>
      </c>
      <c r="I1054" s="3">
        <f>VLOOKUP(Table1[[#This Row],[Provider Type]] &amp; Table1[[#This Row],[Provider Type Description]], PROVIDER_TYPE, 2, FALSE)</f>
        <v>114</v>
      </c>
      <c r="J1054" s="3">
        <v>530</v>
      </c>
      <c r="K1054" s="3" t="s">
        <v>1421</v>
      </c>
      <c r="L1054" s="3">
        <f>VLOOKUP(TRIM(Table1[[#This Row],[Provider Specialty]]) &amp; TRIM(Table1[[#This Row],[Provider Specialty Description]]), SPECIALTY_TYPE, 2, FALSE)</f>
        <v>622</v>
      </c>
      <c r="M1054" s="3" t="s">
        <v>18</v>
      </c>
      <c r="N1054" s="27" t="s">
        <v>18</v>
      </c>
      <c r="O1054" s="38">
        <f>VLOOKUP(TRIM(Table1[[#This Row],[Provider Specialty]]) &amp; TRIM(Table1[[#This Row],[Provider Specialty Description]]), SPECIALTY_TYPE, 2, FALSE)</f>
        <v>622</v>
      </c>
      <c r="P1054" s="3" t="str">
        <f>Table1[[#This Row],[Provider Type]] &amp; "+" &amp; Table1[[#This Row],[Provider Type Description]]</f>
        <v>31+Physician</v>
      </c>
      <c r="Q1054" s="7" t="str">
        <f>Table1[[#This Row],[Provider Specialty]] &amp; "+" &amp; Table1[[#This Row],[Provider Specialty Description]]</f>
        <v>530+Legal Medicine</v>
      </c>
      <c r="R1054" s="7" t="str">
        <f>Table1[[#This Row],[PDMS Specialty Type ID]] &amp; "+" &amp; Table1[[#This Row],[PDMS Provider Type ID]] &amp; "+" &amp;Table1[[#This Row],[TAXONOMY]]</f>
        <v>622+114+209800000X</v>
      </c>
      <c r="S10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(10033, 622, 114, N'209800000X', N'Legal Medicine - Legal Medicine')</v>
      </c>
    </row>
    <row r="1055" spans="1:19" ht="47.25" hidden="1" customHeight="1" x14ac:dyDescent="0.25">
      <c r="A1055" s="22" t="s">
        <v>1854</v>
      </c>
      <c r="B1055" s="3" t="s">
        <v>988</v>
      </c>
      <c r="C1055" s="3" t="s">
        <v>1421</v>
      </c>
      <c r="D1055" s="3" t="s">
        <v>1421</v>
      </c>
      <c r="E1055" s="3" t="s">
        <v>1436</v>
      </c>
      <c r="F1055" s="3">
        <f>VLOOKUP(Table1[[#This Row],[Column2]], TAXONOMY_TYPE, 2, FALSE)</f>
        <v>10034</v>
      </c>
      <c r="G1055" s="3">
        <v>32</v>
      </c>
      <c r="H1055" s="3" t="s">
        <v>1444</v>
      </c>
      <c r="I1055" s="3">
        <f>VLOOKUP(Table1[[#This Row],[Provider Type]] &amp; Table1[[#This Row],[Provider Type Description]], PROVIDER_TYPE, 2, FALSE)</f>
        <v>50</v>
      </c>
      <c r="J1055" s="3">
        <v>530</v>
      </c>
      <c r="K1055" s="3" t="s">
        <v>1421</v>
      </c>
      <c r="L1055" s="3">
        <f>VLOOKUP(TRIM(Table1[[#This Row],[Provider Specialty]]) &amp; TRIM(Table1[[#This Row],[Provider Specialty Description]]), SPECIALTY_TYPE, 2, FALSE)</f>
        <v>622</v>
      </c>
      <c r="M1055" s="3" t="s">
        <v>18</v>
      </c>
      <c r="N1055" s="27" t="s">
        <v>18</v>
      </c>
      <c r="O1055" s="38">
        <f>VLOOKUP(TRIM(Table1[[#This Row],[Provider Specialty]]) &amp; TRIM(Table1[[#This Row],[Provider Specialty Description]]), SPECIALTY_TYPE, 2, FALSE)</f>
        <v>622</v>
      </c>
      <c r="P1055" s="3" t="str">
        <f>Table1[[#This Row],[Provider Type]] &amp; "+" &amp; Table1[[#This Row],[Provider Type Description]]</f>
        <v>32+Multi-Specialty</v>
      </c>
      <c r="Q1055" s="7" t="str">
        <f>Table1[[#This Row],[Provider Specialty]] &amp; "+" &amp; Table1[[#This Row],[Provider Specialty Description]]</f>
        <v>530+Legal Medicine</v>
      </c>
      <c r="R1055" s="7" t="str">
        <f>Table1[[#This Row],[PDMS Specialty Type ID]] &amp; "+" &amp; Table1[[#This Row],[PDMS Provider Type ID]] &amp; "+" &amp;Table1[[#This Row],[TAXONOMY]]</f>
        <v>622+50+209800000X</v>
      </c>
      <c r="S10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(10034, 622, 50, N'209800000X', N'Legal Medicine - Legal Medicine')</v>
      </c>
    </row>
    <row r="1056" spans="1:19" ht="47.25" hidden="1" customHeight="1" x14ac:dyDescent="0.25">
      <c r="A1056" s="22" t="s">
        <v>1854</v>
      </c>
      <c r="B1056" s="3" t="s">
        <v>988</v>
      </c>
      <c r="C1056" s="3" t="s">
        <v>1421</v>
      </c>
      <c r="D1056" s="3" t="s">
        <v>1421</v>
      </c>
      <c r="E1056" s="3" t="s">
        <v>1436</v>
      </c>
      <c r="F1056" s="3">
        <f>VLOOKUP(Table1[[#This Row],[Column2]], TAXONOMY_TYPE, 2, FALSE)</f>
        <v>10035</v>
      </c>
      <c r="G1056" s="3">
        <v>33</v>
      </c>
      <c r="H1056" s="3" t="s">
        <v>1953</v>
      </c>
      <c r="I1056" s="3">
        <f>VLOOKUP(Table1[[#This Row],[Provider Type]] &amp; Table1[[#This Row],[Provider Type Description]], PROVIDER_TYPE, 2, FALSE)</f>
        <v>51</v>
      </c>
      <c r="J1056" s="3">
        <v>530</v>
      </c>
      <c r="K1056" s="3" t="s">
        <v>1421</v>
      </c>
      <c r="L1056" s="3">
        <f>VLOOKUP(TRIM(Table1[[#This Row],[Provider Specialty]]) &amp; TRIM(Table1[[#This Row],[Provider Specialty Description]]), SPECIALTY_TYPE, 2, FALSE)</f>
        <v>622</v>
      </c>
      <c r="M1056" s="3" t="s">
        <v>18</v>
      </c>
      <c r="N1056" s="27" t="s">
        <v>18</v>
      </c>
      <c r="O1056" s="38">
        <f>VLOOKUP(TRIM(Table1[[#This Row],[Provider Specialty]]) &amp; TRIM(Table1[[#This Row],[Provider Specialty Description]]), SPECIALTY_TYPE, 2, FALSE)</f>
        <v>622</v>
      </c>
      <c r="P1056" s="3" t="str">
        <f>Table1[[#This Row],[Provider Type]] &amp; "+" &amp; Table1[[#This Row],[Provider Type Description]]</f>
        <v>33+Single-Specialty</v>
      </c>
      <c r="Q1056" s="7" t="str">
        <f>Table1[[#This Row],[Provider Specialty]] &amp; "+" &amp; Table1[[#This Row],[Provider Specialty Description]]</f>
        <v>530+Legal Medicine</v>
      </c>
      <c r="R1056" s="7" t="str">
        <f>Table1[[#This Row],[PDMS Specialty Type ID]] &amp; "+" &amp; Table1[[#This Row],[PDMS Provider Type ID]] &amp; "+" &amp;Table1[[#This Row],[TAXONOMY]]</f>
        <v>622+51+209800000X</v>
      </c>
      <c r="S10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(10035, 622, 51, N'209800000X', N'Legal Medicine - Legal Medicine')</v>
      </c>
    </row>
    <row r="1057" spans="1:19" ht="47.25" hidden="1" customHeight="1" x14ac:dyDescent="0.25">
      <c r="A1057" s="22" t="s">
        <v>1855</v>
      </c>
      <c r="B1057" s="3" t="s">
        <v>988</v>
      </c>
      <c r="C1057" s="3" t="s">
        <v>1422</v>
      </c>
      <c r="D1057" s="3" t="s">
        <v>1422</v>
      </c>
      <c r="E1057" s="3" t="s">
        <v>1423</v>
      </c>
      <c r="F1057" s="3">
        <f>VLOOKUP(Table1[[#This Row],[Column2]], TAXONOMY_TYPE, 2, FALSE)</f>
        <v>10036</v>
      </c>
      <c r="G1057" s="3">
        <v>31</v>
      </c>
      <c r="H1057" s="3" t="s">
        <v>991</v>
      </c>
      <c r="I1057" s="3">
        <f>VLOOKUP(Table1[[#This Row],[Provider Type]] &amp; Table1[[#This Row],[Provider Type Description]], PROVIDER_TYPE, 2, FALSE)</f>
        <v>114</v>
      </c>
      <c r="J1057" s="3">
        <v>540</v>
      </c>
      <c r="K1057" s="3" t="s">
        <v>1424</v>
      </c>
      <c r="L1057" s="3">
        <f>VLOOKUP(TRIM(Table1[[#This Row],[Provider Specialty]]) &amp; TRIM(Table1[[#This Row],[Provider Specialty Description]]), SPECIALTY_TYPE, 2, FALSE)</f>
        <v>1980</v>
      </c>
      <c r="M1057" s="3" t="s">
        <v>18</v>
      </c>
      <c r="N1057" s="27" t="s">
        <v>18</v>
      </c>
      <c r="O1057" s="38">
        <f>VLOOKUP(TRIM(Table1[[#This Row],[Provider Specialty]]) &amp; TRIM(Table1[[#This Row],[Provider Specialty Description]]), SPECIALTY_TYPE, 2, FALSE)</f>
        <v>1980</v>
      </c>
      <c r="P1057" s="3" t="str">
        <f>Table1[[#This Row],[Provider Type]] &amp; "+" &amp; Table1[[#This Row],[Provider Type Description]]</f>
        <v>31+Physician</v>
      </c>
      <c r="Q1057" s="7" t="str">
        <f>Table1[[#This Row],[Provider Specialty]] &amp; "+" &amp; Table1[[#This Row],[Provider Specialty Description]]</f>
        <v>540+Phlebology</v>
      </c>
      <c r="R1057" s="7" t="str">
        <f>Table1[[#This Row],[PDMS Specialty Type ID]] &amp; "+" &amp; Table1[[#This Row],[PDMS Provider Type ID]] &amp; "+" &amp;Table1[[#This Row],[TAXONOMY]]</f>
        <v>1980+114+202K00000X</v>
      </c>
      <c r="S10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(10036, 1980, 114, N'202K00000X', N'Phlebology** - Phlebology**')</v>
      </c>
    </row>
    <row r="1058" spans="1:19" ht="47.25" hidden="1" customHeight="1" x14ac:dyDescent="0.25">
      <c r="A1058" s="22" t="s">
        <v>1854</v>
      </c>
      <c r="B1058" s="3" t="s">
        <v>988</v>
      </c>
      <c r="C1058" s="3" t="s">
        <v>1422</v>
      </c>
      <c r="D1058" s="3" t="s">
        <v>1422</v>
      </c>
      <c r="E1058" s="3" t="s">
        <v>1423</v>
      </c>
      <c r="F1058" s="3">
        <f>VLOOKUP(Table1[[#This Row],[Column2]], TAXONOMY_TYPE, 2, FALSE)</f>
        <v>10037</v>
      </c>
      <c r="G1058" s="3">
        <v>32</v>
      </c>
      <c r="H1058" s="3" t="s">
        <v>1444</v>
      </c>
      <c r="I1058" s="3">
        <f>VLOOKUP(Table1[[#This Row],[Provider Type]] &amp; Table1[[#This Row],[Provider Type Description]], PROVIDER_TYPE, 2, FALSE)</f>
        <v>50</v>
      </c>
      <c r="J1058" s="3">
        <v>540</v>
      </c>
      <c r="K1058" s="3" t="s">
        <v>1424</v>
      </c>
      <c r="L1058" s="3">
        <f>VLOOKUP(TRIM(Table1[[#This Row],[Provider Specialty]]) &amp; TRIM(Table1[[#This Row],[Provider Specialty Description]]), SPECIALTY_TYPE, 2, FALSE)</f>
        <v>1980</v>
      </c>
      <c r="M1058" s="3" t="s">
        <v>18</v>
      </c>
      <c r="N1058" s="27" t="s">
        <v>18</v>
      </c>
      <c r="O1058" s="38">
        <f>VLOOKUP(TRIM(Table1[[#This Row],[Provider Specialty]]) &amp; TRIM(Table1[[#This Row],[Provider Specialty Description]]), SPECIALTY_TYPE, 2, FALSE)</f>
        <v>1980</v>
      </c>
      <c r="P1058" s="3" t="str">
        <f>Table1[[#This Row],[Provider Type]] &amp; "+" &amp; Table1[[#This Row],[Provider Type Description]]</f>
        <v>32+Multi-Specialty</v>
      </c>
      <c r="Q1058" s="7" t="str">
        <f>Table1[[#This Row],[Provider Specialty]] &amp; "+" &amp; Table1[[#This Row],[Provider Specialty Description]]</f>
        <v>540+Phlebology</v>
      </c>
      <c r="R1058" s="7" t="str">
        <f>Table1[[#This Row],[PDMS Specialty Type ID]] &amp; "+" &amp; Table1[[#This Row],[PDMS Provider Type ID]] &amp; "+" &amp;Table1[[#This Row],[TAXONOMY]]</f>
        <v>1980+50+202K00000X</v>
      </c>
      <c r="S10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(10037, 1980, 50, N'202K00000X', N'Phlebology** - Phlebology**')</v>
      </c>
    </row>
    <row r="1059" spans="1:19" ht="47.25" hidden="1" customHeight="1" x14ac:dyDescent="0.25">
      <c r="A1059" s="22" t="s">
        <v>1854</v>
      </c>
      <c r="B1059" s="3" t="s">
        <v>988</v>
      </c>
      <c r="C1059" s="3" t="s">
        <v>1422</v>
      </c>
      <c r="D1059" s="3" t="s">
        <v>1422</v>
      </c>
      <c r="E1059" s="3" t="s">
        <v>1423</v>
      </c>
      <c r="F1059" s="3">
        <f>VLOOKUP(Table1[[#This Row],[Column2]], TAXONOMY_TYPE, 2, FALSE)</f>
        <v>10038</v>
      </c>
      <c r="G1059" s="3">
        <v>33</v>
      </c>
      <c r="H1059" s="3" t="s">
        <v>1953</v>
      </c>
      <c r="I1059" s="3">
        <f>VLOOKUP(Table1[[#This Row],[Provider Type]] &amp; Table1[[#This Row],[Provider Type Description]], PROVIDER_TYPE, 2, FALSE)</f>
        <v>51</v>
      </c>
      <c r="J1059" s="3">
        <v>540</v>
      </c>
      <c r="K1059" s="3" t="s">
        <v>1424</v>
      </c>
      <c r="L1059" s="3">
        <f>VLOOKUP(TRIM(Table1[[#This Row],[Provider Specialty]]) &amp; TRIM(Table1[[#This Row],[Provider Specialty Description]]), SPECIALTY_TYPE, 2, FALSE)</f>
        <v>1980</v>
      </c>
      <c r="M1059" s="3" t="s">
        <v>18</v>
      </c>
      <c r="N1059" s="27" t="s">
        <v>18</v>
      </c>
      <c r="O1059" s="38">
        <f>VLOOKUP(TRIM(Table1[[#This Row],[Provider Specialty]]) &amp; TRIM(Table1[[#This Row],[Provider Specialty Description]]), SPECIALTY_TYPE, 2, FALSE)</f>
        <v>1980</v>
      </c>
      <c r="P1059" s="3" t="str">
        <f>Table1[[#This Row],[Provider Type]] &amp; "+" &amp; Table1[[#This Row],[Provider Type Description]]</f>
        <v>33+Single-Specialty</v>
      </c>
      <c r="Q1059" s="7" t="str">
        <f>Table1[[#This Row],[Provider Specialty]] &amp; "+" &amp; Table1[[#This Row],[Provider Specialty Description]]</f>
        <v>540+Phlebology</v>
      </c>
      <c r="R1059" s="7" t="str">
        <f>Table1[[#This Row],[PDMS Specialty Type ID]] &amp; "+" &amp; Table1[[#This Row],[PDMS Provider Type ID]] &amp; "+" &amp;Table1[[#This Row],[TAXONOMY]]</f>
        <v>1980+51+202K00000X</v>
      </c>
      <c r="S10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(10038, 1980, 51, N'202K00000X', N'Phlebology** - Phlebology**')</v>
      </c>
    </row>
    <row r="1060" spans="1:19" ht="47.25" hidden="1" customHeight="1" x14ac:dyDescent="0.25">
      <c r="A1060" s="22" t="s">
        <v>227</v>
      </c>
      <c r="B1060" s="3" t="s">
        <v>1443</v>
      </c>
      <c r="C1060" s="3" t="s">
        <v>1444</v>
      </c>
      <c r="D1060" s="3" t="s">
        <v>1444</v>
      </c>
      <c r="E1060" s="3" t="s">
        <v>1445</v>
      </c>
      <c r="F1060" s="3">
        <f>VLOOKUP(Table1[[#This Row],[Column2]], TAXONOMY_TYPE, 2, FALSE)</f>
        <v>10039</v>
      </c>
      <c r="G1060" s="4">
        <v>32</v>
      </c>
      <c r="H1060" s="3" t="s">
        <v>1444</v>
      </c>
      <c r="I1060" s="3">
        <f>VLOOKUP(Table1[[#This Row],[Provider Type]] &amp; Table1[[#This Row],[Provider Type Description]], PROVIDER_TYPE, 2, FALSE)</f>
        <v>50</v>
      </c>
      <c r="J1060" s="4" t="s">
        <v>234</v>
      </c>
      <c r="K1060" s="3" t="s">
        <v>235</v>
      </c>
      <c r="L1060" s="3">
        <f>VLOOKUP(TRIM(Table1[[#This Row],[Provider Specialty]]) &amp; TRIM(Table1[[#This Row],[Provider Specialty Description]]), SPECIALTY_TYPE, 2, FALSE)</f>
        <v>2174</v>
      </c>
      <c r="M1060" s="3" t="s">
        <v>19</v>
      </c>
      <c r="N1060" s="27" t="s">
        <v>18</v>
      </c>
      <c r="O1060" s="38">
        <f>VLOOKUP(TRIM(Table1[[#This Row],[Provider Specialty]]) &amp; TRIM(Table1[[#This Row],[Provider Specialty Description]]), SPECIALTY_TYPE, 2, FALSE)</f>
        <v>2174</v>
      </c>
      <c r="P1060" s="3" t="str">
        <f>Table1[[#This Row],[Provider Type]] &amp; "+" &amp; Table1[[#This Row],[Provider Type Description]]</f>
        <v>32+Multi-Specialty</v>
      </c>
      <c r="Q1060" s="7" t="str">
        <f>Table1[[#This Row],[Provider Specialty]] &amp; "+" &amp; Table1[[#This Row],[Provider Specialty Description]]</f>
        <v>082+Medical Clinic</v>
      </c>
      <c r="R1060" s="7" t="str">
        <f>Table1[[#This Row],[PDMS Specialty Type ID]] &amp; "+" &amp; Table1[[#This Row],[PDMS Provider Type ID]] &amp; "+" &amp;Table1[[#This Row],[TAXONOMY]]</f>
        <v>2174+50+193200000X</v>
      </c>
      <c r="S10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(10039, 2174, 50, N'193200000X', N'Multi-Specialty - Multi-Specialty')</v>
      </c>
    </row>
    <row r="1061" spans="1:19" ht="47.25" hidden="1" customHeight="1" x14ac:dyDescent="0.25">
      <c r="A1061" s="22" t="s">
        <v>227</v>
      </c>
      <c r="B1061" s="3" t="s">
        <v>1443</v>
      </c>
      <c r="C1061" s="3" t="s">
        <v>1446</v>
      </c>
      <c r="D1061" s="3" t="s">
        <v>1446</v>
      </c>
      <c r="E1061" s="3" t="s">
        <v>1447</v>
      </c>
      <c r="F1061" s="3">
        <f>VLOOKUP(Table1[[#This Row],[Column2]], TAXONOMY_TYPE, 2, FALSE)</f>
        <v>4450</v>
      </c>
      <c r="G1061" s="4">
        <v>33</v>
      </c>
      <c r="H1061" s="3" t="s">
        <v>1953</v>
      </c>
      <c r="I1061" s="3">
        <f>VLOOKUP(Table1[[#This Row],[Provider Type]] &amp; Table1[[#This Row],[Provider Type Description]], PROVIDER_TYPE, 2, FALSE)</f>
        <v>51</v>
      </c>
      <c r="J1061" s="3">
        <v>150</v>
      </c>
      <c r="K1061" s="3" t="s">
        <v>575</v>
      </c>
      <c r="L1061" s="3">
        <f>VLOOKUP(TRIM(Table1[[#This Row],[Provider Specialty]]) &amp; TRIM(Table1[[#This Row],[Provider Specialty Description]]), SPECIALTY_TYPE, 2, FALSE)</f>
        <v>1</v>
      </c>
      <c r="M1061" s="3" t="s">
        <v>19</v>
      </c>
      <c r="N1061" s="27" t="s">
        <v>18</v>
      </c>
      <c r="O1061" s="38">
        <f>VLOOKUP(TRIM(Table1[[#This Row],[Provider Specialty]]) &amp; TRIM(Table1[[#This Row],[Provider Specialty Description]]), SPECIALTY_TYPE, 2, FALSE)</f>
        <v>1</v>
      </c>
      <c r="P1061" s="3" t="str">
        <f>Table1[[#This Row],[Provider Type]] &amp; "+" &amp; Table1[[#This Row],[Provider Type Description]]</f>
        <v>33+Single-Specialty</v>
      </c>
      <c r="Q1061" s="7" t="str">
        <f>Table1[[#This Row],[Provider Specialty]] &amp; "+" &amp; Table1[[#This Row],[Provider Specialty Description]]</f>
        <v>150+Chiropractor</v>
      </c>
      <c r="R1061" s="7" t="str">
        <f>Table1[[#This Row],[PDMS Specialty Type ID]] &amp; "+" &amp; Table1[[#This Row],[PDMS Provider Type ID]] &amp; "+" &amp;Table1[[#This Row],[TAXONOMY]]</f>
        <v>1+51+193400000X</v>
      </c>
      <c r="S10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(4450, 1, 51, N'193400000X', N'Single Specialty - Single Specialty')</v>
      </c>
    </row>
    <row r="1062" spans="1:19" ht="47.25" hidden="1" customHeight="1" x14ac:dyDescent="0.25">
      <c r="A1062" s="22" t="s">
        <v>227</v>
      </c>
      <c r="B1062" s="3" t="s">
        <v>1443</v>
      </c>
      <c r="C1062" s="3" t="s">
        <v>1446</v>
      </c>
      <c r="D1062" s="3" t="s">
        <v>1446</v>
      </c>
      <c r="E1062" s="3" t="s">
        <v>1447</v>
      </c>
      <c r="F1062" s="3">
        <f>VLOOKUP(Table1[[#This Row],[Column2]], TAXONOMY_TYPE, 2, FALSE)</f>
        <v>4464</v>
      </c>
      <c r="G1062" s="4">
        <v>33</v>
      </c>
      <c r="H1062" s="3" t="s">
        <v>1953</v>
      </c>
      <c r="I1062" s="3">
        <f>VLOOKUP(Table1[[#This Row],[Provider Type]] &amp; Table1[[#This Row],[Provider Type Description]], PROVIDER_TYPE, 2, FALSE)</f>
        <v>51</v>
      </c>
      <c r="J1062" s="3">
        <v>190</v>
      </c>
      <c r="K1062" s="3" t="s">
        <v>797</v>
      </c>
      <c r="L1062" s="3">
        <f>VLOOKUP(TRIM(Table1[[#This Row],[Provider Specialty]]) &amp; TRIM(Table1[[#This Row],[Provider Specialty Description]]), SPECIALTY_TYPE, 2, FALSE)</f>
        <v>1063</v>
      </c>
      <c r="M1062" s="3" t="s">
        <v>19</v>
      </c>
      <c r="N1062" s="27" t="s">
        <v>18</v>
      </c>
      <c r="O1062" s="38">
        <f>VLOOKUP(TRIM(Table1[[#This Row],[Provider Specialty]]) &amp; TRIM(Table1[[#This Row],[Provider Specialty Description]]), SPECIALTY_TYPE, 2, FALSE)</f>
        <v>1063</v>
      </c>
      <c r="P1062" s="3" t="str">
        <f>Table1[[#This Row],[Provider Type]] &amp; "+" &amp; Table1[[#This Row],[Provider Type Description]]</f>
        <v>33+Single-Specialty</v>
      </c>
      <c r="Q1062" s="7" t="str">
        <f>Table1[[#This Row],[Provider Specialty]] &amp; "+" &amp; Table1[[#This Row],[Provider Specialty Description]]</f>
        <v>190+Optician</v>
      </c>
      <c r="R1062" s="7" t="str">
        <f>Table1[[#This Row],[PDMS Specialty Type ID]] &amp; "+" &amp; Table1[[#This Row],[PDMS Provider Type ID]] &amp; "+" &amp;Table1[[#This Row],[TAXONOMY]]</f>
        <v>1063+51+193400000X</v>
      </c>
      <c r="S10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(4464, 1063, 51, N'193400000X', N'Single Specialty - Single Specialty')</v>
      </c>
    </row>
    <row r="1063" spans="1:19" ht="47.25" hidden="1" customHeight="1" x14ac:dyDescent="0.25">
      <c r="A1063" s="22" t="s">
        <v>227</v>
      </c>
      <c r="B1063" s="3" t="s">
        <v>1443</v>
      </c>
      <c r="C1063" s="3" t="s">
        <v>1446</v>
      </c>
      <c r="D1063" s="3" t="s">
        <v>1446</v>
      </c>
      <c r="E1063" s="3" t="s">
        <v>1447</v>
      </c>
      <c r="F1063" s="3">
        <f>VLOOKUP(Table1[[#This Row],[Column2]], TAXONOMY_TYPE, 2, FALSE)</f>
        <v>4467</v>
      </c>
      <c r="G1063" s="4">
        <v>33</v>
      </c>
      <c r="H1063" s="3" t="s">
        <v>1953</v>
      </c>
      <c r="I1063" s="3">
        <f>VLOOKUP(Table1[[#This Row],[Provider Type]] &amp; Table1[[#This Row],[Provider Type Description]], PROVIDER_TYPE, 2, FALSE)</f>
        <v>51</v>
      </c>
      <c r="J1063" s="3">
        <v>272</v>
      </c>
      <c r="K1063" s="3" t="s">
        <v>952</v>
      </c>
      <c r="L1063" s="3">
        <f>VLOOKUP(TRIM(Table1[[#This Row],[Provider Specialty]]) &amp; TRIM(Table1[[#This Row],[Provider Specialty Description]]), SPECIALTY_TYPE, 2, FALSE)</f>
        <v>2070</v>
      </c>
      <c r="M1063" s="3" t="s">
        <v>19</v>
      </c>
      <c r="N1063" s="27" t="s">
        <v>18</v>
      </c>
      <c r="O1063" s="38">
        <f>VLOOKUP(TRIM(Table1[[#This Row],[Provider Specialty]]) &amp; TRIM(Table1[[#This Row],[Provider Specialty Description]]), SPECIALTY_TYPE, 2, FALSE)</f>
        <v>2070</v>
      </c>
      <c r="P1063" s="3" t="str">
        <f>Table1[[#This Row],[Provider Type]] &amp; "+" &amp; Table1[[#This Row],[Provider Type Description]]</f>
        <v>33+Single-Specialty</v>
      </c>
      <c r="Q1063" s="7" t="str">
        <f>Table1[[#This Row],[Provider Specialty]] &amp; "+" &amp; Table1[[#This Row],[Provider Specialty Description]]</f>
        <v>272+Oral Surgeon</v>
      </c>
      <c r="R1063" s="7" t="str">
        <f>Table1[[#This Row],[PDMS Specialty Type ID]] &amp; "+" &amp; Table1[[#This Row],[PDMS Provider Type ID]] &amp; "+" &amp;Table1[[#This Row],[TAXONOMY]]</f>
        <v>2070+51+193400000X</v>
      </c>
      <c r="S10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(4467, 2070, 51, N'193400000X', N'Single Specialty - Single Specialty')</v>
      </c>
    </row>
    <row r="1064" spans="1:19" ht="47.25" hidden="1" customHeight="1" x14ac:dyDescent="0.25">
      <c r="A1064" s="22" t="s">
        <v>227</v>
      </c>
      <c r="B1064" s="3" t="s">
        <v>1443</v>
      </c>
      <c r="C1064" s="3" t="s">
        <v>1446</v>
      </c>
      <c r="D1064" s="3" t="s">
        <v>1446</v>
      </c>
      <c r="E1064" s="3" t="s">
        <v>1447</v>
      </c>
      <c r="F1064" s="3">
        <f>VLOOKUP(Table1[[#This Row],[Column2]], TAXONOMY_TYPE, 2, FALSE)</f>
        <v>4468</v>
      </c>
      <c r="G1064" s="4">
        <v>33</v>
      </c>
      <c r="H1064" s="3" t="s">
        <v>1953</v>
      </c>
      <c r="I1064" s="3">
        <f>VLOOKUP(Table1[[#This Row],[Provider Type]] &amp; Table1[[#This Row],[Provider Type Description]], PROVIDER_TYPE, 2, FALSE)</f>
        <v>51</v>
      </c>
      <c r="J1064" s="3">
        <v>310</v>
      </c>
      <c r="K1064" s="3" t="s">
        <v>1071</v>
      </c>
      <c r="L1064" s="3">
        <f>VLOOKUP(TRIM(Table1[[#This Row],[Provider Specialty]]) &amp; TRIM(Table1[[#This Row],[Provider Specialty Description]]), SPECIALTY_TYPE, 2, FALSE)</f>
        <v>2071</v>
      </c>
      <c r="M1064" s="3" t="s">
        <v>19</v>
      </c>
      <c r="N1064" s="27" t="s">
        <v>18</v>
      </c>
      <c r="O1064" s="38">
        <f>VLOOKUP(TRIM(Table1[[#This Row],[Provider Specialty]]) &amp; TRIM(Table1[[#This Row],[Provider Specialty Description]]), SPECIALTY_TYPE, 2, FALSE)</f>
        <v>2071</v>
      </c>
      <c r="P1064" s="3" t="str">
        <f>Table1[[#This Row],[Provider Type]] &amp; "+" &amp; Table1[[#This Row],[Provider Type Description]]</f>
        <v>33+Single-Specialty</v>
      </c>
      <c r="Q1064" s="7" t="str">
        <f>Table1[[#This Row],[Provider Specialty]] &amp; "+" &amp; Table1[[#This Row],[Provider Specialty Description]]</f>
        <v>310+Allergist</v>
      </c>
      <c r="R1064" s="7" t="str">
        <f>Table1[[#This Row],[PDMS Specialty Type ID]] &amp; "+" &amp; Table1[[#This Row],[PDMS Provider Type ID]] &amp; "+" &amp;Table1[[#This Row],[TAXONOMY]]</f>
        <v>2071+51+193400000X</v>
      </c>
      <c r="S10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(4468, 2071, 51, N'193400000X', N'Single Specialty - Single Specialty')</v>
      </c>
    </row>
    <row r="1065" spans="1:19" ht="47.25" hidden="1" customHeight="1" x14ac:dyDescent="0.25">
      <c r="A1065" s="22" t="s">
        <v>227</v>
      </c>
      <c r="B1065" s="3" t="s">
        <v>1443</v>
      </c>
      <c r="C1065" s="3" t="s">
        <v>1446</v>
      </c>
      <c r="D1065" s="3" t="s">
        <v>1446</v>
      </c>
      <c r="E1065" s="3" t="s">
        <v>1447</v>
      </c>
      <c r="F1065" s="3">
        <f>VLOOKUP(Table1[[#This Row],[Column2]], TAXONOMY_TYPE, 2, FALSE)</f>
        <v>4469</v>
      </c>
      <c r="G1065" s="4">
        <v>33</v>
      </c>
      <c r="H1065" s="3" t="s">
        <v>1953</v>
      </c>
      <c r="I1065" s="3">
        <f>VLOOKUP(Table1[[#This Row],[Provider Type]] &amp; Table1[[#This Row],[Provider Type Description]], PROVIDER_TYPE, 2, FALSE)</f>
        <v>51</v>
      </c>
      <c r="J1065" s="3">
        <v>311</v>
      </c>
      <c r="K1065" s="3" t="s">
        <v>1077</v>
      </c>
      <c r="L1065" s="3">
        <f>VLOOKUP(TRIM(Table1[[#This Row],[Provider Specialty]]) &amp; TRIM(Table1[[#This Row],[Provider Specialty Description]]), SPECIALTY_TYPE, 2, FALSE)</f>
        <v>2072</v>
      </c>
      <c r="M1065" s="3" t="s">
        <v>19</v>
      </c>
      <c r="N1065" s="27" t="s">
        <v>18</v>
      </c>
      <c r="O1065" s="38">
        <f>VLOOKUP(TRIM(Table1[[#This Row],[Provider Specialty]]) &amp; TRIM(Table1[[#This Row],[Provider Specialty Description]]), SPECIALTY_TYPE, 2, FALSE)</f>
        <v>2072</v>
      </c>
      <c r="P1065" s="3" t="str">
        <f>Table1[[#This Row],[Provider Type]] &amp; "+" &amp; Table1[[#This Row],[Provider Type Description]]</f>
        <v>33+Single-Specialty</v>
      </c>
      <c r="Q1065" s="7" t="str">
        <f>Table1[[#This Row],[Provider Specialty]] &amp; "+" &amp; Table1[[#This Row],[Provider Specialty Description]]</f>
        <v>311+Anesthesiologist</v>
      </c>
      <c r="R1065" s="7" t="str">
        <f>Table1[[#This Row],[PDMS Specialty Type ID]] &amp; "+" &amp; Table1[[#This Row],[PDMS Provider Type ID]] &amp; "+" &amp;Table1[[#This Row],[TAXONOMY]]</f>
        <v>2072+51+193400000X</v>
      </c>
      <c r="S10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(4469, 2072, 51, N'193400000X', N'Single Specialty - Single Specialty')</v>
      </c>
    </row>
    <row r="1066" spans="1:19" ht="47.25" hidden="1" customHeight="1" x14ac:dyDescent="0.25">
      <c r="A1066" s="22" t="s">
        <v>227</v>
      </c>
      <c r="B1066" s="3" t="s">
        <v>1443</v>
      </c>
      <c r="C1066" s="3" t="s">
        <v>1446</v>
      </c>
      <c r="D1066" s="3" t="s">
        <v>1446</v>
      </c>
      <c r="E1066" s="3" t="s">
        <v>1447</v>
      </c>
      <c r="F1066" s="3">
        <f>VLOOKUP(Table1[[#This Row],[Column2]], TAXONOMY_TYPE, 2, FALSE)</f>
        <v>4470</v>
      </c>
      <c r="G1066" s="4">
        <v>33</v>
      </c>
      <c r="H1066" s="3" t="s">
        <v>1953</v>
      </c>
      <c r="I1066" s="3">
        <f>VLOOKUP(Table1[[#This Row],[Provider Type]] &amp; Table1[[#This Row],[Provider Type Description]], PROVIDER_TYPE, 2, FALSE)</f>
        <v>51</v>
      </c>
      <c r="J1066" s="3">
        <v>312</v>
      </c>
      <c r="K1066" s="3" t="s">
        <v>1135</v>
      </c>
      <c r="L1066" s="3">
        <f>VLOOKUP(TRIM(Table1[[#This Row],[Provider Specialty]]) &amp; TRIM(Table1[[#This Row],[Provider Specialty Description]]), SPECIALTY_TYPE, 2, FALSE)</f>
        <v>2073</v>
      </c>
      <c r="M1066" s="3" t="s">
        <v>19</v>
      </c>
      <c r="N1066" s="27" t="s">
        <v>18</v>
      </c>
      <c r="O1066" s="38">
        <f>VLOOKUP(TRIM(Table1[[#This Row],[Provider Specialty]]) &amp; TRIM(Table1[[#This Row],[Provider Specialty Description]]), SPECIALTY_TYPE, 2, FALSE)</f>
        <v>2073</v>
      </c>
      <c r="P1066" s="3" t="str">
        <f>Table1[[#This Row],[Provider Type]] &amp; "+" &amp; Table1[[#This Row],[Provider Type Description]]</f>
        <v>33+Single-Specialty</v>
      </c>
      <c r="Q1066" s="7" t="str">
        <f>Table1[[#This Row],[Provider Specialty]] &amp; "+" &amp; Table1[[#This Row],[Provider Specialty Description]]</f>
        <v>312+Cardiologist</v>
      </c>
      <c r="R1066" s="7" t="str">
        <f>Table1[[#This Row],[PDMS Specialty Type ID]] &amp; "+" &amp; Table1[[#This Row],[PDMS Provider Type ID]] &amp; "+" &amp;Table1[[#This Row],[TAXONOMY]]</f>
        <v>2073+51+193400000X</v>
      </c>
      <c r="S10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(4470, 2073, 51, N'193400000X', N'Single Specialty - Single Specialty')</v>
      </c>
    </row>
    <row r="1067" spans="1:19" ht="47.25" hidden="1" customHeight="1" x14ac:dyDescent="0.25">
      <c r="A1067" s="22" t="s">
        <v>227</v>
      </c>
      <c r="B1067" s="3" t="s">
        <v>1443</v>
      </c>
      <c r="C1067" s="3" t="s">
        <v>1446</v>
      </c>
      <c r="D1067" s="3" t="s">
        <v>1446</v>
      </c>
      <c r="E1067" s="3" t="s">
        <v>1447</v>
      </c>
      <c r="F1067" s="3">
        <f>VLOOKUP(Table1[[#This Row],[Column2]], TAXONOMY_TYPE, 2, FALSE)</f>
        <v>4471</v>
      </c>
      <c r="G1067" s="4">
        <v>33</v>
      </c>
      <c r="H1067" s="3" t="s">
        <v>1953</v>
      </c>
      <c r="I1067" s="3">
        <f>VLOOKUP(Table1[[#This Row],[Provider Type]] &amp; Table1[[#This Row],[Provider Type Description]], PROVIDER_TYPE, 2, FALSE)</f>
        <v>51</v>
      </c>
      <c r="J1067" s="3">
        <v>313</v>
      </c>
      <c r="K1067" s="3" t="s">
        <v>1400</v>
      </c>
      <c r="L1067" s="3">
        <f>VLOOKUP(TRIM(Table1[[#This Row],[Provider Specialty]]) &amp; TRIM(Table1[[#This Row],[Provider Specialty Description]]), SPECIALTY_TYPE, 2, FALSE)</f>
        <v>2074</v>
      </c>
      <c r="M1067" s="3" t="s">
        <v>19</v>
      </c>
      <c r="N1067" s="27" t="s">
        <v>18</v>
      </c>
      <c r="O1067" s="38">
        <f>VLOOKUP(TRIM(Table1[[#This Row],[Provider Specialty]]) &amp; TRIM(Table1[[#This Row],[Provider Specialty Description]]), SPECIALTY_TYPE, 2, FALSE)</f>
        <v>2074</v>
      </c>
      <c r="P1067" s="3" t="str">
        <f>Table1[[#This Row],[Provider Type]] &amp; "+" &amp; Table1[[#This Row],[Provider Type Description]]</f>
        <v>33+Single-Specialty</v>
      </c>
      <c r="Q1067" s="7" t="str">
        <f>Table1[[#This Row],[Provider Specialty]] &amp; "+" &amp; Table1[[#This Row],[Provider Specialty Description]]</f>
        <v>313+Cardiovascular Surgeon</v>
      </c>
      <c r="R1067" s="7" t="str">
        <f>Table1[[#This Row],[PDMS Specialty Type ID]] &amp; "+" &amp; Table1[[#This Row],[PDMS Provider Type ID]] &amp; "+" &amp;Table1[[#This Row],[TAXONOMY]]</f>
        <v>2074+51+193400000X</v>
      </c>
      <c r="S10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(4471, 2074, 51, N'193400000X', N'Single Specialty - Single Specialty')</v>
      </c>
    </row>
    <row r="1068" spans="1:19" ht="47.25" hidden="1" customHeight="1" x14ac:dyDescent="0.25">
      <c r="A1068" s="22" t="s">
        <v>227</v>
      </c>
      <c r="B1068" s="3" t="s">
        <v>1443</v>
      </c>
      <c r="C1068" s="3" t="s">
        <v>1446</v>
      </c>
      <c r="D1068" s="3" t="s">
        <v>1446</v>
      </c>
      <c r="E1068" s="3" t="s">
        <v>1447</v>
      </c>
      <c r="F1068" s="3">
        <f>VLOOKUP(Table1[[#This Row],[Column2]], TAXONOMY_TYPE, 2, FALSE)</f>
        <v>4472</v>
      </c>
      <c r="G1068" s="4">
        <v>33</v>
      </c>
      <c r="H1068" s="3" t="s">
        <v>1953</v>
      </c>
      <c r="I1068" s="3">
        <f>VLOOKUP(Table1[[#This Row],[Provider Type]] &amp; Table1[[#This Row],[Provider Type Description]], PROVIDER_TYPE, 2, FALSE)</f>
        <v>51</v>
      </c>
      <c r="J1068" s="3">
        <v>314</v>
      </c>
      <c r="K1068" s="3" t="s">
        <v>1088</v>
      </c>
      <c r="L1068" s="3">
        <f>VLOOKUP(TRIM(Table1[[#This Row],[Provider Specialty]]) &amp; TRIM(Table1[[#This Row],[Provider Specialty Description]]), SPECIALTY_TYPE, 2, FALSE)</f>
        <v>2075</v>
      </c>
      <c r="M1068" s="3" t="s">
        <v>19</v>
      </c>
      <c r="N1068" s="27" t="s">
        <v>18</v>
      </c>
      <c r="O1068" s="38">
        <f>VLOOKUP(TRIM(Table1[[#This Row],[Provider Specialty]]) &amp; TRIM(Table1[[#This Row],[Provider Specialty Description]]), SPECIALTY_TYPE, 2, FALSE)</f>
        <v>2075</v>
      </c>
      <c r="P1068" s="3" t="str">
        <f>Table1[[#This Row],[Provider Type]] &amp; "+" &amp; Table1[[#This Row],[Provider Type Description]]</f>
        <v>33+Single-Specialty</v>
      </c>
      <c r="Q1068" s="7" t="str">
        <f>Table1[[#This Row],[Provider Specialty]] &amp; "+" &amp; Table1[[#This Row],[Provider Specialty Description]]</f>
        <v>314+Dermatologist</v>
      </c>
      <c r="R1068" s="7" t="str">
        <f>Table1[[#This Row],[PDMS Specialty Type ID]] &amp; "+" &amp; Table1[[#This Row],[PDMS Provider Type ID]] &amp; "+" &amp;Table1[[#This Row],[TAXONOMY]]</f>
        <v>2075+51+193400000X</v>
      </c>
      <c r="S10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(4472, 2075, 51, N'193400000X', N'Single Specialty - Single Specialty')</v>
      </c>
    </row>
    <row r="1069" spans="1:19" ht="47.25" hidden="1" customHeight="1" x14ac:dyDescent="0.25">
      <c r="A1069" s="22" t="s">
        <v>227</v>
      </c>
      <c r="B1069" s="3" t="s">
        <v>1443</v>
      </c>
      <c r="C1069" s="3" t="s">
        <v>1446</v>
      </c>
      <c r="D1069" s="3" t="s">
        <v>1446</v>
      </c>
      <c r="E1069" s="3" t="s">
        <v>1447</v>
      </c>
      <c r="F1069" s="3">
        <f>VLOOKUP(Table1[[#This Row],[Column2]], TAXONOMY_TYPE, 2, FALSE)</f>
        <v>4473</v>
      </c>
      <c r="G1069" s="4">
        <v>33</v>
      </c>
      <c r="H1069" s="3" t="s">
        <v>1953</v>
      </c>
      <c r="I1069" s="3">
        <f>VLOOKUP(Table1[[#This Row],[Provider Type]] &amp; Table1[[#This Row],[Provider Type Description]], PROVIDER_TYPE, 2, FALSE)</f>
        <v>51</v>
      </c>
      <c r="J1069" s="3">
        <v>315</v>
      </c>
      <c r="K1069" s="3" t="s">
        <v>1101</v>
      </c>
      <c r="L1069" s="3">
        <f>VLOOKUP(TRIM(Table1[[#This Row],[Provider Specialty]]) &amp; TRIM(Table1[[#This Row],[Provider Specialty Description]]), SPECIALTY_TYPE, 2, FALSE)</f>
        <v>2076</v>
      </c>
      <c r="M1069" s="3" t="s">
        <v>19</v>
      </c>
      <c r="N1069" s="27" t="s">
        <v>18</v>
      </c>
      <c r="O1069" s="38">
        <f>VLOOKUP(TRIM(Table1[[#This Row],[Provider Specialty]]) &amp; TRIM(Table1[[#This Row],[Provider Specialty Description]]), SPECIALTY_TYPE, 2, FALSE)</f>
        <v>2076</v>
      </c>
      <c r="P1069" s="3" t="str">
        <f>Table1[[#This Row],[Provider Type]] &amp; "+" &amp; Table1[[#This Row],[Provider Type Description]]</f>
        <v>33+Single-Specialty</v>
      </c>
      <c r="Q1069" s="7" t="str">
        <f>Table1[[#This Row],[Provider Specialty]] &amp; "+" &amp; Table1[[#This Row],[Provider Specialty Description]]</f>
        <v>315+Emergency Medicine Practitioner</v>
      </c>
      <c r="R1069" s="7" t="str">
        <f>Table1[[#This Row],[PDMS Specialty Type ID]] &amp; "+" &amp; Table1[[#This Row],[PDMS Provider Type ID]] &amp; "+" &amp;Table1[[#This Row],[TAXONOMY]]</f>
        <v>2076+51+193400000X</v>
      </c>
      <c r="S10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(4473, 2076, 51, N'193400000X', N'Single Specialty - Single Specialty')</v>
      </c>
    </row>
    <row r="1070" spans="1:19" ht="47.25" hidden="1" customHeight="1" x14ac:dyDescent="0.25">
      <c r="A1070" s="22" t="s">
        <v>227</v>
      </c>
      <c r="B1070" s="3" t="s">
        <v>1443</v>
      </c>
      <c r="C1070" s="3" t="s">
        <v>1446</v>
      </c>
      <c r="D1070" s="3" t="s">
        <v>1446</v>
      </c>
      <c r="E1070" s="3" t="s">
        <v>1447</v>
      </c>
      <c r="F1070" s="3">
        <f>VLOOKUP(Table1[[#This Row],[Column2]], TAXONOMY_TYPE, 2, FALSE)</f>
        <v>4474</v>
      </c>
      <c r="G1070" s="4">
        <v>33</v>
      </c>
      <c r="H1070" s="3" t="s">
        <v>1953</v>
      </c>
      <c r="I1070" s="3">
        <f>VLOOKUP(Table1[[#This Row],[Provider Type]] &amp; Table1[[#This Row],[Provider Type Description]], PROVIDER_TYPE, 2, FALSE)</f>
        <v>51</v>
      </c>
      <c r="J1070" s="3">
        <v>316</v>
      </c>
      <c r="K1070" s="3" t="s">
        <v>1115</v>
      </c>
      <c r="L1070" s="3">
        <f>VLOOKUP(TRIM(Table1[[#This Row],[Provider Specialty]]) &amp; TRIM(Table1[[#This Row],[Provider Specialty Description]]), SPECIALTY_TYPE, 2, FALSE)</f>
        <v>2077</v>
      </c>
      <c r="M1070" s="3" t="s">
        <v>19</v>
      </c>
      <c r="N1070" s="27" t="s">
        <v>18</v>
      </c>
      <c r="O1070" s="38">
        <f>VLOOKUP(TRIM(Table1[[#This Row],[Provider Specialty]]) &amp; TRIM(Table1[[#This Row],[Provider Specialty Description]]), SPECIALTY_TYPE, 2, FALSE)</f>
        <v>2077</v>
      </c>
      <c r="P1070" s="3" t="str">
        <f>Table1[[#This Row],[Provider Type]] &amp; "+" &amp; Table1[[#This Row],[Provider Type Description]]</f>
        <v>33+Single-Specialty</v>
      </c>
      <c r="Q1070" s="7" t="str">
        <f>Table1[[#This Row],[Provider Specialty]] &amp; "+" &amp; Table1[[#This Row],[Provider Specialty Description]]</f>
        <v>316+Family Practitioner</v>
      </c>
      <c r="R1070" s="7" t="str">
        <f>Table1[[#This Row],[PDMS Specialty Type ID]] &amp; "+" &amp; Table1[[#This Row],[PDMS Provider Type ID]] &amp; "+" &amp;Table1[[#This Row],[TAXONOMY]]</f>
        <v>2077+51+193400000X</v>
      </c>
      <c r="S10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(4474, 2077, 51, N'193400000X', N'Single Specialty - Single Specialty')</v>
      </c>
    </row>
    <row r="1071" spans="1:19" ht="47.25" hidden="1" customHeight="1" x14ac:dyDescent="0.25">
      <c r="A1071" s="22" t="s">
        <v>227</v>
      </c>
      <c r="B1071" s="3" t="s">
        <v>1443</v>
      </c>
      <c r="C1071" s="3" t="s">
        <v>1446</v>
      </c>
      <c r="D1071" s="3" t="s">
        <v>1446</v>
      </c>
      <c r="E1071" s="3" t="s">
        <v>1447</v>
      </c>
      <c r="F1071" s="3">
        <f>VLOOKUP(Table1[[#This Row],[Column2]], TAXONOMY_TYPE, 2, FALSE)</f>
        <v>4475</v>
      </c>
      <c r="G1071" s="4">
        <v>33</v>
      </c>
      <c r="H1071" s="3" t="s">
        <v>1953</v>
      </c>
      <c r="I1071" s="3">
        <f>VLOOKUP(Table1[[#This Row],[Provider Type]] &amp; Table1[[#This Row],[Provider Type Description]], PROVIDER_TYPE, 2, FALSE)</f>
        <v>51</v>
      </c>
      <c r="J1071" s="3">
        <v>317</v>
      </c>
      <c r="K1071" s="3" t="s">
        <v>1141</v>
      </c>
      <c r="L1071" s="3">
        <f>VLOOKUP(TRIM(Table1[[#This Row],[Provider Specialty]]) &amp; TRIM(Table1[[#This Row],[Provider Specialty Description]]), SPECIALTY_TYPE, 2, FALSE)</f>
        <v>2078</v>
      </c>
      <c r="M1071" s="3" t="s">
        <v>19</v>
      </c>
      <c r="N1071" s="27" t="s">
        <v>18</v>
      </c>
      <c r="O1071" s="38">
        <f>VLOOKUP(TRIM(Table1[[#This Row],[Provider Specialty]]) &amp; TRIM(Table1[[#This Row],[Provider Specialty Description]]), SPECIALTY_TYPE, 2, FALSE)</f>
        <v>2078</v>
      </c>
      <c r="P1071" s="3" t="str">
        <f>Table1[[#This Row],[Provider Type]] &amp; "+" &amp; Table1[[#This Row],[Provider Type Description]]</f>
        <v>33+Single-Specialty</v>
      </c>
      <c r="Q1071" s="7" t="str">
        <f>Table1[[#This Row],[Provider Specialty]] &amp; "+" &amp; Table1[[#This Row],[Provider Specialty Description]]</f>
        <v>317+Gastroenterologist</v>
      </c>
      <c r="R1071" s="7" t="str">
        <f>Table1[[#This Row],[PDMS Specialty Type ID]] &amp; "+" &amp; Table1[[#This Row],[PDMS Provider Type ID]] &amp; "+" &amp;Table1[[#This Row],[TAXONOMY]]</f>
        <v>2078+51+193400000X</v>
      </c>
      <c r="S10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(4475, 2078, 51, N'193400000X', N'Single Specialty - Single Specialty')</v>
      </c>
    </row>
    <row r="1072" spans="1:19" ht="47.25" hidden="1" customHeight="1" x14ac:dyDescent="0.25">
      <c r="A1072" s="22" t="s">
        <v>227</v>
      </c>
      <c r="B1072" s="3" t="s">
        <v>1443</v>
      </c>
      <c r="C1072" s="3" t="s">
        <v>1446</v>
      </c>
      <c r="D1072" s="3" t="s">
        <v>1446</v>
      </c>
      <c r="E1072" s="3" t="s">
        <v>1447</v>
      </c>
      <c r="F1072" s="3">
        <f>VLOOKUP(Table1[[#This Row],[Column2]], TAXONOMY_TYPE, 2, FALSE)</f>
        <v>4476</v>
      </c>
      <c r="G1072" s="4">
        <v>33</v>
      </c>
      <c r="H1072" s="3" t="s">
        <v>1953</v>
      </c>
      <c r="I1072" s="3">
        <f>VLOOKUP(Table1[[#This Row],[Provider Type]] &amp; Table1[[#This Row],[Provider Type Description]], PROVIDER_TYPE, 2, FALSE)</f>
        <v>51</v>
      </c>
      <c r="J1072" s="3">
        <v>318</v>
      </c>
      <c r="K1072" s="3" t="s">
        <v>1322</v>
      </c>
      <c r="L1072" s="3">
        <f>VLOOKUP(TRIM(Table1[[#This Row],[Provider Specialty]]) &amp; TRIM(Table1[[#This Row],[Provider Specialty Description]]), SPECIALTY_TYPE, 2, FALSE)</f>
        <v>2079</v>
      </c>
      <c r="M1072" s="3" t="s">
        <v>19</v>
      </c>
      <c r="N1072" s="27" t="s">
        <v>18</v>
      </c>
      <c r="O1072" s="38">
        <f>VLOOKUP(TRIM(Table1[[#This Row],[Provider Specialty]]) &amp; TRIM(Table1[[#This Row],[Provider Specialty Description]]), SPECIALTY_TYPE, 2, FALSE)</f>
        <v>2079</v>
      </c>
      <c r="P1072" s="3" t="str">
        <f>Table1[[#This Row],[Provider Type]] &amp; "+" &amp; Table1[[#This Row],[Provider Type Description]]</f>
        <v>33+Single-Specialty</v>
      </c>
      <c r="Q1072" s="7" t="str">
        <f>Table1[[#This Row],[Provider Specialty]] &amp; "+" &amp; Table1[[#This Row],[Provider Specialty Description]]</f>
        <v>318+General Practitioner</v>
      </c>
      <c r="R1072" s="7" t="str">
        <f>Table1[[#This Row],[PDMS Specialty Type ID]] &amp; "+" &amp; Table1[[#This Row],[PDMS Provider Type ID]] &amp; "+" &amp;Table1[[#This Row],[TAXONOMY]]</f>
        <v>2079+51+193400000X</v>
      </c>
      <c r="S10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(4476, 2079, 51, N'193400000X', N'Single Specialty - Single Specialty')</v>
      </c>
    </row>
    <row r="1073" spans="1:19" ht="47.25" hidden="1" customHeight="1" x14ac:dyDescent="0.25">
      <c r="A1073" s="22" t="s">
        <v>227</v>
      </c>
      <c r="B1073" s="3" t="s">
        <v>1443</v>
      </c>
      <c r="C1073" s="3" t="s">
        <v>1446</v>
      </c>
      <c r="D1073" s="3" t="s">
        <v>1446</v>
      </c>
      <c r="E1073" s="3" t="s">
        <v>1447</v>
      </c>
      <c r="F1073" s="3">
        <f>VLOOKUP(Table1[[#This Row],[Column2]], TAXONOMY_TYPE, 2, FALSE)</f>
        <v>4477</v>
      </c>
      <c r="G1073" s="4">
        <v>33</v>
      </c>
      <c r="H1073" s="3" t="s">
        <v>1953</v>
      </c>
      <c r="I1073" s="3">
        <f>VLOOKUP(Table1[[#This Row],[Provider Type]] &amp; Table1[[#This Row],[Provider Type Description]], PROVIDER_TYPE, 2, FALSE)</f>
        <v>51</v>
      </c>
      <c r="J1073" s="3">
        <v>319</v>
      </c>
      <c r="K1073" s="3" t="s">
        <v>1066</v>
      </c>
      <c r="L1073" s="3">
        <f>VLOOKUP(TRIM(Table1[[#This Row],[Provider Specialty]]) &amp; TRIM(Table1[[#This Row],[Provider Specialty Description]]), SPECIALTY_TYPE, 2, FALSE)</f>
        <v>2080</v>
      </c>
      <c r="M1073" s="3" t="s">
        <v>19</v>
      </c>
      <c r="N1073" s="27" t="s">
        <v>18</v>
      </c>
      <c r="O1073" s="38">
        <f>VLOOKUP(TRIM(Table1[[#This Row],[Provider Specialty]]) &amp; TRIM(Table1[[#This Row],[Provider Specialty Description]]), SPECIALTY_TYPE, 2, FALSE)</f>
        <v>2080</v>
      </c>
      <c r="P1073" s="3" t="str">
        <f>Table1[[#This Row],[Provider Type]] &amp; "+" &amp; Table1[[#This Row],[Provider Type Description]]</f>
        <v>33+Single-Specialty</v>
      </c>
      <c r="Q1073" s="7" t="str">
        <f>Table1[[#This Row],[Provider Specialty]] &amp; "+" &amp; Table1[[#This Row],[Provider Specialty Description]]</f>
        <v>319+General Surgeon</v>
      </c>
      <c r="R1073" s="7" t="str">
        <f>Table1[[#This Row],[PDMS Specialty Type ID]] &amp; "+" &amp; Table1[[#This Row],[PDMS Provider Type ID]] &amp; "+" &amp;Table1[[#This Row],[TAXONOMY]]</f>
        <v>2080+51+193400000X</v>
      </c>
      <c r="S10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(4477, 2080, 51, N'193400000X', N'Single Specialty - Single Specialty')</v>
      </c>
    </row>
    <row r="1074" spans="1:19" ht="47.25" hidden="1" customHeight="1" x14ac:dyDescent="0.25">
      <c r="A1074" s="22" t="s">
        <v>227</v>
      </c>
      <c r="B1074" s="3" t="s">
        <v>1443</v>
      </c>
      <c r="C1074" s="3" t="s">
        <v>1446</v>
      </c>
      <c r="D1074" s="3" t="s">
        <v>1446</v>
      </c>
      <c r="E1074" s="3" t="s">
        <v>1447</v>
      </c>
      <c r="F1074" s="3">
        <f>VLOOKUP(Table1[[#This Row],[Column2]], TAXONOMY_TYPE, 2, FALSE)</f>
        <v>4478</v>
      </c>
      <c r="G1074" s="4">
        <v>33</v>
      </c>
      <c r="H1074" s="3" t="s">
        <v>1953</v>
      </c>
      <c r="I1074" s="3">
        <f>VLOOKUP(Table1[[#This Row],[Provider Type]] &amp; Table1[[#This Row],[Provider Type Description]], PROVIDER_TYPE, 2, FALSE)</f>
        <v>51</v>
      </c>
      <c r="J1074" s="3">
        <v>320</v>
      </c>
      <c r="K1074" s="3" t="s">
        <v>998</v>
      </c>
      <c r="L1074" s="3">
        <f>VLOOKUP(TRIM(Table1[[#This Row],[Provider Specialty]]) &amp; TRIM(Table1[[#This Row],[Provider Specialty Description]]), SPECIALTY_TYPE, 2, FALSE)</f>
        <v>2081</v>
      </c>
      <c r="M1074" s="3" t="s">
        <v>19</v>
      </c>
      <c r="N1074" s="27" t="s">
        <v>18</v>
      </c>
      <c r="O1074" s="38">
        <f>VLOOKUP(TRIM(Table1[[#This Row],[Provider Specialty]]) &amp; TRIM(Table1[[#This Row],[Provider Specialty Description]]), SPECIALTY_TYPE, 2, FALSE)</f>
        <v>2081</v>
      </c>
      <c r="P1074" s="3" t="str">
        <f>Table1[[#This Row],[Provider Type]] &amp; "+" &amp; Table1[[#This Row],[Provider Type Description]]</f>
        <v>33+Single-Specialty</v>
      </c>
      <c r="Q1074" s="7" t="str">
        <f>Table1[[#This Row],[Provider Specialty]] &amp; "+" &amp; Table1[[#This Row],[Provider Specialty Description]]</f>
        <v>320+Geriatric Practitioner</v>
      </c>
      <c r="R1074" s="7" t="str">
        <f>Table1[[#This Row],[PDMS Specialty Type ID]] &amp; "+" &amp; Table1[[#This Row],[PDMS Provider Type ID]] &amp; "+" &amp;Table1[[#This Row],[TAXONOMY]]</f>
        <v>2081+51+193400000X</v>
      </c>
      <c r="S10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(4478, 2081, 51, N'193400000X', N'Single Specialty - Single Specialty')</v>
      </c>
    </row>
    <row r="1075" spans="1:19" ht="47.25" hidden="1" customHeight="1" x14ac:dyDescent="0.25">
      <c r="A1075" s="22" t="s">
        <v>227</v>
      </c>
      <c r="B1075" s="3" t="s">
        <v>1443</v>
      </c>
      <c r="C1075" s="3" t="s">
        <v>1446</v>
      </c>
      <c r="D1075" s="3" t="s">
        <v>1446</v>
      </c>
      <c r="E1075" s="3" t="s">
        <v>1447</v>
      </c>
      <c r="F1075" s="3">
        <f>VLOOKUP(Table1[[#This Row],[Column2]], TAXONOMY_TYPE, 2, FALSE)</f>
        <v>4479</v>
      </c>
      <c r="G1075" s="4">
        <v>33</v>
      </c>
      <c r="H1075" s="3" t="s">
        <v>1953</v>
      </c>
      <c r="I1075" s="3">
        <f>VLOOKUP(Table1[[#This Row],[Provider Type]] &amp; Table1[[#This Row],[Provider Type Description]], PROVIDER_TYPE, 2, FALSE)</f>
        <v>51</v>
      </c>
      <c r="J1075" s="3">
        <v>321</v>
      </c>
      <c r="K1075" s="3" t="s">
        <v>1202</v>
      </c>
      <c r="L1075" s="3">
        <f>VLOOKUP(TRIM(Table1[[#This Row],[Provider Specialty]]) &amp; TRIM(Table1[[#This Row],[Provider Specialty Description]]), SPECIALTY_TYPE, 2, FALSE)</f>
        <v>2082</v>
      </c>
      <c r="M1075" s="3" t="s">
        <v>19</v>
      </c>
      <c r="N1075" s="27" t="s">
        <v>18</v>
      </c>
      <c r="O1075" s="38">
        <f>VLOOKUP(TRIM(Table1[[#This Row],[Provider Specialty]]) &amp; TRIM(Table1[[#This Row],[Provider Specialty Description]]), SPECIALTY_TYPE, 2, FALSE)</f>
        <v>2082</v>
      </c>
      <c r="P1075" s="3" t="str">
        <f>Table1[[#This Row],[Provider Type]] &amp; "+" &amp; Table1[[#This Row],[Provider Type Description]]</f>
        <v>33+Single-Specialty</v>
      </c>
      <c r="Q1075" s="7" t="str">
        <f>Table1[[#This Row],[Provider Specialty]] &amp; "+" &amp; Table1[[#This Row],[Provider Specialty Description]]</f>
        <v>321+Hand Surgeon</v>
      </c>
      <c r="R1075" s="7" t="str">
        <f>Table1[[#This Row],[PDMS Specialty Type ID]] &amp; "+" &amp; Table1[[#This Row],[PDMS Provider Type ID]] &amp; "+" &amp;Table1[[#This Row],[TAXONOMY]]</f>
        <v>2082+51+193400000X</v>
      </c>
      <c r="S10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(4479, 2082, 51, N'193400000X', N'Single Specialty - Single Specialty')</v>
      </c>
    </row>
    <row r="1076" spans="1:19" ht="47.25" hidden="1" customHeight="1" x14ac:dyDescent="0.25">
      <c r="A1076" s="22" t="s">
        <v>227</v>
      </c>
      <c r="B1076" s="3" t="s">
        <v>1443</v>
      </c>
      <c r="C1076" s="3" t="s">
        <v>1446</v>
      </c>
      <c r="D1076" s="3" t="s">
        <v>1446</v>
      </c>
      <c r="E1076" s="3" t="s">
        <v>1447</v>
      </c>
      <c r="F1076" s="3">
        <f>VLOOKUP(Table1[[#This Row],[Column2]], TAXONOMY_TYPE, 2, FALSE)</f>
        <v>4451</v>
      </c>
      <c r="G1076" s="4">
        <v>33</v>
      </c>
      <c r="H1076" s="3" t="s">
        <v>1953</v>
      </c>
      <c r="I1076" s="3">
        <f>VLOOKUP(Table1[[#This Row],[Provider Type]] &amp; Table1[[#This Row],[Provider Type Description]], PROVIDER_TYPE, 2, FALSE)</f>
        <v>51</v>
      </c>
      <c r="J1076" s="3">
        <v>322</v>
      </c>
      <c r="K1076" s="3" t="s">
        <v>1126</v>
      </c>
      <c r="L1076" s="3">
        <f>VLOOKUP(TRIM(Table1[[#This Row],[Provider Specialty]]) &amp; TRIM(Table1[[#This Row],[Provider Specialty Description]]), SPECIALTY_TYPE, 2, FALSE)</f>
        <v>5</v>
      </c>
      <c r="M1076" s="3" t="s">
        <v>19</v>
      </c>
      <c r="N1076" s="27" t="s">
        <v>18</v>
      </c>
      <c r="O1076" s="38">
        <f>VLOOKUP(TRIM(Table1[[#This Row],[Provider Specialty]]) &amp; TRIM(Table1[[#This Row],[Provider Specialty Description]]), SPECIALTY_TYPE, 2, FALSE)</f>
        <v>5</v>
      </c>
      <c r="P1076" s="3" t="str">
        <f>Table1[[#This Row],[Provider Type]] &amp; "+" &amp; Table1[[#This Row],[Provider Type Description]]</f>
        <v>33+Single-Specialty</v>
      </c>
      <c r="Q1076" s="7" t="str">
        <f>Table1[[#This Row],[Provider Specialty]] &amp; "+" &amp; Table1[[#This Row],[Provider Specialty Description]]</f>
        <v>322+Internist</v>
      </c>
      <c r="R1076" s="7" t="str">
        <f>Table1[[#This Row],[PDMS Specialty Type ID]] &amp; "+" &amp; Table1[[#This Row],[PDMS Provider Type ID]] &amp; "+" &amp;Table1[[#This Row],[TAXONOMY]]</f>
        <v>5+51+193400000X</v>
      </c>
      <c r="S10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(4451, 5, 51, N'193400000X', N'Single Specialty - Single Specialty')</v>
      </c>
    </row>
    <row r="1077" spans="1:19" ht="47.25" hidden="1" customHeight="1" x14ac:dyDescent="0.25">
      <c r="A1077" s="22" t="s">
        <v>227</v>
      </c>
      <c r="B1077" s="3" t="s">
        <v>1443</v>
      </c>
      <c r="C1077" s="3" t="s">
        <v>1446</v>
      </c>
      <c r="D1077" s="3" t="s">
        <v>1446</v>
      </c>
      <c r="E1077" s="3" t="s">
        <v>1447</v>
      </c>
      <c r="F1077" s="3">
        <f>VLOOKUP(Table1[[#This Row],[Column2]], TAXONOMY_TYPE, 2, FALSE)</f>
        <v>4480</v>
      </c>
      <c r="G1077" s="4">
        <v>33</v>
      </c>
      <c r="H1077" s="3" t="s">
        <v>1953</v>
      </c>
      <c r="I1077" s="3">
        <f>VLOOKUP(Table1[[#This Row],[Provider Type]] &amp; Table1[[#This Row],[Provider Type Description]], PROVIDER_TYPE, 2, FALSE)</f>
        <v>51</v>
      </c>
      <c r="J1077" s="3">
        <v>323</v>
      </c>
      <c r="K1077" s="3" t="s">
        <v>1041</v>
      </c>
      <c r="L1077" s="3">
        <f>VLOOKUP(TRIM(Table1[[#This Row],[Provider Specialty]]) &amp; TRIM(Table1[[#This Row],[Provider Specialty Description]]), SPECIALTY_TYPE, 2, FALSE)</f>
        <v>2083</v>
      </c>
      <c r="M1077" s="3" t="s">
        <v>18</v>
      </c>
      <c r="N1077" s="27" t="s">
        <v>18</v>
      </c>
      <c r="O1077" s="38">
        <f>VLOOKUP(TRIM(Table1[[#This Row],[Provider Specialty]]) &amp; TRIM(Table1[[#This Row],[Provider Specialty Description]]), SPECIALTY_TYPE, 2, FALSE)</f>
        <v>2083</v>
      </c>
      <c r="P1077" s="3" t="str">
        <f>Table1[[#This Row],[Provider Type]] &amp; "+" &amp; Table1[[#This Row],[Provider Type Description]]</f>
        <v>33+Single-Specialty</v>
      </c>
      <c r="Q1077" s="7" t="str">
        <f>Table1[[#This Row],[Provider Specialty]] &amp; "+" &amp; Table1[[#This Row],[Provider Specialty Description]]</f>
        <v>323+Neonatologist</v>
      </c>
      <c r="R1077" s="7" t="str">
        <f>Table1[[#This Row],[PDMS Specialty Type ID]] &amp; "+" &amp; Table1[[#This Row],[PDMS Provider Type ID]] &amp; "+" &amp;Table1[[#This Row],[TAXONOMY]]</f>
        <v>2083+51+193400000X</v>
      </c>
      <c r="S10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(4480, 2083, 51, N'193400000X', N'Single Specialty - Single Specialty')</v>
      </c>
    </row>
    <row r="1078" spans="1:19" ht="47.25" hidden="1" customHeight="1" x14ac:dyDescent="0.25">
      <c r="A1078" s="22" t="s">
        <v>227</v>
      </c>
      <c r="B1078" s="3" t="s">
        <v>1443</v>
      </c>
      <c r="C1078" s="3" t="s">
        <v>1446</v>
      </c>
      <c r="D1078" s="3" t="s">
        <v>1446</v>
      </c>
      <c r="E1078" s="3" t="s">
        <v>1447</v>
      </c>
      <c r="F1078" s="3">
        <f>VLOOKUP(Table1[[#This Row],[Column2]], TAXONOMY_TYPE, 2, FALSE)</f>
        <v>4481</v>
      </c>
      <c r="G1078" s="4">
        <v>33</v>
      </c>
      <c r="H1078" s="3" t="s">
        <v>1953</v>
      </c>
      <c r="I1078" s="3">
        <f>VLOOKUP(Table1[[#This Row],[Provider Type]] &amp; Table1[[#This Row],[Provider Type Description]], PROVIDER_TYPE, 2, FALSE)</f>
        <v>51</v>
      </c>
      <c r="J1078" s="3">
        <v>324</v>
      </c>
      <c r="K1078" s="3" t="s">
        <v>1155</v>
      </c>
      <c r="L1078" s="3">
        <f>VLOOKUP(TRIM(Table1[[#This Row],[Provider Specialty]]) &amp; TRIM(Table1[[#This Row],[Provider Specialty Description]]), SPECIALTY_TYPE, 2, FALSE)</f>
        <v>2084</v>
      </c>
      <c r="M1078" s="3" t="s">
        <v>19</v>
      </c>
      <c r="N1078" s="27" t="s">
        <v>18</v>
      </c>
      <c r="O1078" s="38">
        <f>VLOOKUP(TRIM(Table1[[#This Row],[Provider Specialty]]) &amp; TRIM(Table1[[#This Row],[Provider Specialty Description]]), SPECIALTY_TYPE, 2, FALSE)</f>
        <v>2084</v>
      </c>
      <c r="P1078" s="3" t="str">
        <f>Table1[[#This Row],[Provider Type]] &amp; "+" &amp; Table1[[#This Row],[Provider Type Description]]</f>
        <v>33+Single-Specialty</v>
      </c>
      <c r="Q1078" s="7" t="str">
        <f>Table1[[#This Row],[Provider Specialty]] &amp; "+" &amp; Table1[[#This Row],[Provider Specialty Description]]</f>
        <v>324+Nephrologist</v>
      </c>
      <c r="R1078" s="7" t="str">
        <f>Table1[[#This Row],[PDMS Specialty Type ID]] &amp; "+" &amp; Table1[[#This Row],[PDMS Provider Type ID]] &amp; "+" &amp;Table1[[#This Row],[TAXONOMY]]</f>
        <v>2084+51+193400000X</v>
      </c>
      <c r="S10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(4481, 2084, 51, N'193400000X', N'Single Specialty - Single Specialty')</v>
      </c>
    </row>
    <row r="1079" spans="1:19" ht="47.25" hidden="1" customHeight="1" x14ac:dyDescent="0.25">
      <c r="A1079" s="22" t="s">
        <v>227</v>
      </c>
      <c r="B1079" s="3" t="s">
        <v>1443</v>
      </c>
      <c r="C1079" s="3" t="s">
        <v>1446</v>
      </c>
      <c r="D1079" s="3" t="s">
        <v>1446</v>
      </c>
      <c r="E1079" s="3" t="s">
        <v>1447</v>
      </c>
      <c r="F1079" s="3">
        <f>VLOOKUP(Table1[[#This Row],[Column2]], TAXONOMY_TYPE, 2, FALSE)</f>
        <v>4482</v>
      </c>
      <c r="G1079" s="4">
        <v>33</v>
      </c>
      <c r="H1079" s="3" t="s">
        <v>1953</v>
      </c>
      <c r="I1079" s="3">
        <f>VLOOKUP(Table1[[#This Row],[Provider Type]] &amp; Table1[[#This Row],[Provider Type Description]], PROVIDER_TYPE, 2, FALSE)</f>
        <v>51</v>
      </c>
      <c r="J1079" s="3">
        <v>325</v>
      </c>
      <c r="K1079" s="3" t="s">
        <v>1167</v>
      </c>
      <c r="L1079" s="3">
        <f>VLOOKUP(TRIM(Table1[[#This Row],[Provider Specialty]]) &amp; TRIM(Table1[[#This Row],[Provider Specialty Description]]), SPECIALTY_TYPE, 2, FALSE)</f>
        <v>2085</v>
      </c>
      <c r="M1079" s="3" t="s">
        <v>19</v>
      </c>
      <c r="N1079" s="27" t="s">
        <v>18</v>
      </c>
      <c r="O1079" s="38">
        <f>VLOOKUP(TRIM(Table1[[#This Row],[Provider Specialty]]) &amp; TRIM(Table1[[#This Row],[Provider Specialty Description]]), SPECIALTY_TYPE, 2, FALSE)</f>
        <v>2085</v>
      </c>
      <c r="P1079" s="3" t="str">
        <f>Table1[[#This Row],[Provider Type]] &amp; "+" &amp; Table1[[#This Row],[Provider Type Description]]</f>
        <v>33+Single-Specialty</v>
      </c>
      <c r="Q1079" s="7" t="str">
        <f>Table1[[#This Row],[Provider Specialty]] &amp; "+" &amp; Table1[[#This Row],[Provider Specialty Description]]</f>
        <v>325+Neurological Surgeon</v>
      </c>
      <c r="R1079" s="7" t="str">
        <f>Table1[[#This Row],[PDMS Specialty Type ID]] &amp; "+" &amp; Table1[[#This Row],[PDMS Provider Type ID]] &amp; "+" &amp;Table1[[#This Row],[TAXONOMY]]</f>
        <v>2085+51+193400000X</v>
      </c>
      <c r="S10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(4482, 2085, 51, N'193400000X', N'Single Specialty - Single Specialty')</v>
      </c>
    </row>
    <row r="1080" spans="1:19" ht="47.25" hidden="1" customHeight="1" x14ac:dyDescent="0.25">
      <c r="A1080" s="22" t="s">
        <v>227</v>
      </c>
      <c r="B1080" s="3" t="s">
        <v>1443</v>
      </c>
      <c r="C1080" s="3" t="s">
        <v>1446</v>
      </c>
      <c r="D1080" s="3" t="s">
        <v>1446</v>
      </c>
      <c r="E1080" s="3" t="s">
        <v>1447</v>
      </c>
      <c r="F1080" s="3">
        <f>VLOOKUP(Table1[[#This Row],[Column2]], TAXONOMY_TYPE, 2, FALSE)</f>
        <v>4483</v>
      </c>
      <c r="G1080" s="4">
        <v>33</v>
      </c>
      <c r="H1080" s="3" t="s">
        <v>1953</v>
      </c>
      <c r="I1080" s="3">
        <f>VLOOKUP(Table1[[#This Row],[Provider Type]] &amp; Table1[[#This Row],[Provider Type Description]], PROVIDER_TYPE, 2, FALSE)</f>
        <v>51</v>
      </c>
      <c r="J1080" s="3">
        <v>326</v>
      </c>
      <c r="K1080" s="3" t="s">
        <v>1341</v>
      </c>
      <c r="L1080" s="3">
        <f>VLOOKUP(TRIM(Table1[[#This Row],[Provider Specialty]]) &amp; TRIM(Table1[[#This Row],[Provider Specialty Description]]), SPECIALTY_TYPE, 2, FALSE)</f>
        <v>2086</v>
      </c>
      <c r="M1080" s="3" t="s">
        <v>19</v>
      </c>
      <c r="N1080" s="27" t="s">
        <v>18</v>
      </c>
      <c r="O1080" s="38">
        <f>VLOOKUP(TRIM(Table1[[#This Row],[Provider Specialty]]) &amp; TRIM(Table1[[#This Row],[Provider Specialty Description]]), SPECIALTY_TYPE, 2, FALSE)</f>
        <v>2086</v>
      </c>
      <c r="P1080" s="3" t="str">
        <f>Table1[[#This Row],[Provider Type]] &amp; "+" &amp; Table1[[#This Row],[Provider Type Description]]</f>
        <v>33+Single-Specialty</v>
      </c>
      <c r="Q1080" s="7" t="str">
        <f>Table1[[#This Row],[Provider Specialty]] &amp; "+" &amp; Table1[[#This Row],[Provider Specialty Description]]</f>
        <v>326+Neurologist</v>
      </c>
      <c r="R1080" s="7" t="str">
        <f>Table1[[#This Row],[PDMS Specialty Type ID]] &amp; "+" &amp; Table1[[#This Row],[PDMS Provider Type ID]] &amp; "+" &amp;Table1[[#This Row],[TAXONOMY]]</f>
        <v>2086+51+193400000X</v>
      </c>
      <c r="S10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(4483, 2086, 51, N'193400000X', N'Single Specialty - Single Specialty')</v>
      </c>
    </row>
    <row r="1081" spans="1:19" ht="47.25" hidden="1" customHeight="1" x14ac:dyDescent="0.25">
      <c r="A1081" s="22" t="s">
        <v>227</v>
      </c>
      <c r="B1081" s="3" t="s">
        <v>1443</v>
      </c>
      <c r="C1081" s="3" t="s">
        <v>1446</v>
      </c>
      <c r="D1081" s="3" t="s">
        <v>1446</v>
      </c>
      <c r="E1081" s="3" t="s">
        <v>1447</v>
      </c>
      <c r="F1081" s="3">
        <f>VLOOKUP(Table1[[#This Row],[Column2]], TAXONOMY_TYPE, 2, FALSE)</f>
        <v>4484</v>
      </c>
      <c r="G1081" s="4">
        <v>33</v>
      </c>
      <c r="H1081" s="3" t="s">
        <v>1953</v>
      </c>
      <c r="I1081" s="3">
        <f>VLOOKUP(Table1[[#This Row],[Provider Type]] &amp; Table1[[#This Row],[Provider Type Description]], PROVIDER_TYPE, 2, FALSE)</f>
        <v>51</v>
      </c>
      <c r="J1081" s="3">
        <v>327</v>
      </c>
      <c r="K1081" s="3" t="s">
        <v>1060</v>
      </c>
      <c r="L1081" s="3">
        <f>VLOOKUP(TRIM(Table1[[#This Row],[Provider Specialty]]) &amp; TRIM(Table1[[#This Row],[Provider Specialty Description]]), SPECIALTY_TYPE, 2, FALSE)</f>
        <v>2087</v>
      </c>
      <c r="M1081" s="3" t="s">
        <v>19</v>
      </c>
      <c r="N1081" s="27" t="s">
        <v>18</v>
      </c>
      <c r="O1081" s="38">
        <f>VLOOKUP(TRIM(Table1[[#This Row],[Provider Specialty]]) &amp; TRIM(Table1[[#This Row],[Provider Specialty Description]]), SPECIALTY_TYPE, 2, FALSE)</f>
        <v>2087</v>
      </c>
      <c r="P1081" s="3" t="str">
        <f>Table1[[#This Row],[Provider Type]] &amp; "+" &amp; Table1[[#This Row],[Provider Type Description]]</f>
        <v>33+Single-Specialty</v>
      </c>
      <c r="Q1081" s="7" t="str">
        <f>Table1[[#This Row],[Provider Specialty]] &amp; "+" &amp; Table1[[#This Row],[Provider Specialty Description]]</f>
        <v>327+Nuclear Medicine Practitioner</v>
      </c>
      <c r="R1081" s="7" t="str">
        <f>Table1[[#This Row],[PDMS Specialty Type ID]] &amp; "+" &amp; Table1[[#This Row],[PDMS Provider Type ID]] &amp; "+" &amp;Table1[[#This Row],[TAXONOMY]]</f>
        <v>2087+51+193400000X</v>
      </c>
      <c r="S10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(4484, 2087, 51, N'193400000X', N'Single Specialty - Single Specialty')</v>
      </c>
    </row>
    <row r="1082" spans="1:19" ht="47.25" hidden="1" customHeight="1" x14ac:dyDescent="0.25">
      <c r="A1082" s="22" t="s">
        <v>227</v>
      </c>
      <c r="B1082" s="3" t="s">
        <v>1443</v>
      </c>
      <c r="C1082" s="3" t="s">
        <v>1446</v>
      </c>
      <c r="D1082" s="3" t="s">
        <v>1446</v>
      </c>
      <c r="E1082" s="3" t="s">
        <v>1447</v>
      </c>
      <c r="F1082" s="3">
        <f>VLOOKUP(Table1[[#This Row],[Column2]], TAXONOMY_TYPE, 2, FALSE)</f>
        <v>4485</v>
      </c>
      <c r="G1082" s="4">
        <v>33</v>
      </c>
      <c r="H1082" s="3" t="s">
        <v>1953</v>
      </c>
      <c r="I1082" s="3">
        <f>VLOOKUP(Table1[[#This Row],[Provider Type]] &amp; Table1[[#This Row],[Provider Type Description]], PROVIDER_TYPE, 2, FALSE)</f>
        <v>51</v>
      </c>
      <c r="J1082" s="3">
        <v>328</v>
      </c>
      <c r="K1082" s="3" t="s">
        <v>1177</v>
      </c>
      <c r="L1082" s="3">
        <f>VLOOKUP(TRIM(Table1[[#This Row],[Provider Specialty]]) &amp; TRIM(Table1[[#This Row],[Provider Specialty Description]]), SPECIALTY_TYPE, 2, FALSE)</f>
        <v>2088</v>
      </c>
      <c r="M1082" s="3" t="s">
        <v>19</v>
      </c>
      <c r="N1082" s="27" t="s">
        <v>18</v>
      </c>
      <c r="O1082" s="38">
        <f>VLOOKUP(TRIM(Table1[[#This Row],[Provider Specialty]]) &amp; TRIM(Table1[[#This Row],[Provider Specialty Description]]), SPECIALTY_TYPE, 2, FALSE)</f>
        <v>2088</v>
      </c>
      <c r="P1082" s="3" t="str">
        <f>Table1[[#This Row],[Provider Type]] &amp; "+" &amp; Table1[[#This Row],[Provider Type Description]]</f>
        <v>33+Single-Specialty</v>
      </c>
      <c r="Q1082" s="7" t="str">
        <f>Table1[[#This Row],[Provider Specialty]] &amp; "+" &amp; Table1[[#This Row],[Provider Specialty Description]]</f>
        <v>328+Obstetrician/Gynecologist</v>
      </c>
      <c r="R1082" s="7" t="str">
        <f>Table1[[#This Row],[PDMS Specialty Type ID]] &amp; "+" &amp; Table1[[#This Row],[PDMS Provider Type ID]] &amp; "+" &amp;Table1[[#This Row],[TAXONOMY]]</f>
        <v>2088+51+193400000X</v>
      </c>
      <c r="S10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(4485, 2088, 51, N'193400000X', N'Single Specialty - Single Specialty')</v>
      </c>
    </row>
    <row r="1083" spans="1:19" ht="47.25" hidden="1" customHeight="1" x14ac:dyDescent="0.25">
      <c r="A1083" s="22" t="s">
        <v>227</v>
      </c>
      <c r="B1083" s="3" t="s">
        <v>1443</v>
      </c>
      <c r="C1083" s="3" t="s">
        <v>1446</v>
      </c>
      <c r="D1083" s="3" t="s">
        <v>1446</v>
      </c>
      <c r="E1083" s="3" t="s">
        <v>1447</v>
      </c>
      <c r="F1083" s="3">
        <f>VLOOKUP(Table1[[#This Row],[Column2]], TAXONOMY_TYPE, 2, FALSE)</f>
        <v>4486</v>
      </c>
      <c r="G1083" s="4">
        <v>33</v>
      </c>
      <c r="H1083" s="3" t="s">
        <v>1953</v>
      </c>
      <c r="I1083" s="3">
        <f>VLOOKUP(Table1[[#This Row],[Provider Type]] &amp; Table1[[#This Row],[Provider Type Description]], PROVIDER_TYPE, 2, FALSE)</f>
        <v>51</v>
      </c>
      <c r="J1083" s="3">
        <v>329</v>
      </c>
      <c r="K1083" s="3" t="s">
        <v>1009</v>
      </c>
      <c r="L1083" s="3">
        <f>VLOOKUP(TRIM(Table1[[#This Row],[Provider Specialty]]) &amp; TRIM(Table1[[#This Row],[Provider Specialty Description]]), SPECIALTY_TYPE, 2, FALSE)</f>
        <v>2089</v>
      </c>
      <c r="M1083" s="3" t="s">
        <v>18</v>
      </c>
      <c r="N1083" s="27" t="s">
        <v>18</v>
      </c>
      <c r="O1083" s="38">
        <f>VLOOKUP(TRIM(Table1[[#This Row],[Provider Specialty]]) &amp; TRIM(Table1[[#This Row],[Provider Specialty Description]]), SPECIALTY_TYPE, 2, FALSE)</f>
        <v>2089</v>
      </c>
      <c r="P1083" s="3" t="str">
        <f>Table1[[#This Row],[Provider Type]] &amp; "+" &amp; Table1[[#This Row],[Provider Type Description]]</f>
        <v>33+Single-Specialty</v>
      </c>
      <c r="Q1083" s="7" t="str">
        <f>Table1[[#This Row],[Provider Specialty]] &amp; "+" &amp; Table1[[#This Row],[Provider Specialty Description]]</f>
        <v>329+Oncologist (including Hematology)</v>
      </c>
      <c r="R1083" s="7" t="str">
        <f>Table1[[#This Row],[PDMS Specialty Type ID]] &amp; "+" &amp; Table1[[#This Row],[PDMS Provider Type ID]] &amp; "+" &amp;Table1[[#This Row],[TAXONOMY]]</f>
        <v>2089+51+193400000X</v>
      </c>
      <c r="S10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(4486, 2089, 51, N'193400000X', N'Single Specialty - Single Specialty')</v>
      </c>
    </row>
    <row r="1084" spans="1:19" ht="47.25" hidden="1" customHeight="1" x14ac:dyDescent="0.25">
      <c r="A1084" s="22" t="s">
        <v>227</v>
      </c>
      <c r="B1084" s="3" t="s">
        <v>1443</v>
      </c>
      <c r="C1084" s="3" t="s">
        <v>1446</v>
      </c>
      <c r="D1084" s="3" t="s">
        <v>1446</v>
      </c>
      <c r="E1084" s="3" t="s">
        <v>1447</v>
      </c>
      <c r="F1084" s="3">
        <f>VLOOKUP(Table1[[#This Row],[Column2]], TAXONOMY_TYPE, 2, FALSE)</f>
        <v>4487</v>
      </c>
      <c r="G1084" s="4">
        <v>33</v>
      </c>
      <c r="H1084" s="3" t="s">
        <v>1953</v>
      </c>
      <c r="I1084" s="3">
        <f>VLOOKUP(Table1[[#This Row],[Provider Type]] &amp; Table1[[#This Row],[Provider Type Description]], PROVIDER_TYPE, 2, FALSE)</f>
        <v>51</v>
      </c>
      <c r="J1084" s="3">
        <v>330</v>
      </c>
      <c r="K1084" s="3" t="s">
        <v>1194</v>
      </c>
      <c r="L1084" s="3">
        <f>VLOOKUP(TRIM(Table1[[#This Row],[Provider Specialty]]) &amp; TRIM(Table1[[#This Row],[Provider Specialty Description]]), SPECIALTY_TYPE, 2, FALSE)</f>
        <v>2090</v>
      </c>
      <c r="M1084" s="3" t="s">
        <v>19</v>
      </c>
      <c r="N1084" s="27" t="s">
        <v>18</v>
      </c>
      <c r="O1084" s="38">
        <f>VLOOKUP(TRIM(Table1[[#This Row],[Provider Specialty]]) &amp; TRIM(Table1[[#This Row],[Provider Specialty Description]]), SPECIALTY_TYPE, 2, FALSE)</f>
        <v>2090</v>
      </c>
      <c r="P1084" s="3" t="str">
        <f>Table1[[#This Row],[Provider Type]] &amp; "+" &amp; Table1[[#This Row],[Provider Type Description]]</f>
        <v>33+Single-Specialty</v>
      </c>
      <c r="Q1084" s="7" t="str">
        <f>Table1[[#This Row],[Provider Specialty]] &amp; "+" &amp; Table1[[#This Row],[Provider Specialty Description]]</f>
        <v>330+Opthamologist</v>
      </c>
      <c r="R1084" s="7" t="str">
        <f>Table1[[#This Row],[PDMS Specialty Type ID]] &amp; "+" &amp; Table1[[#This Row],[PDMS Provider Type ID]] &amp; "+" &amp;Table1[[#This Row],[TAXONOMY]]</f>
        <v>2090+51+193400000X</v>
      </c>
      <c r="S10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(4487, 2090, 51, N'193400000X', N'Single Specialty - Single Specialty')</v>
      </c>
    </row>
    <row r="1085" spans="1:19" ht="47.25" hidden="1" customHeight="1" x14ac:dyDescent="0.25">
      <c r="A1085" s="22" t="s">
        <v>227</v>
      </c>
      <c r="B1085" s="3" t="s">
        <v>1443</v>
      </c>
      <c r="C1085" s="3" t="s">
        <v>1446</v>
      </c>
      <c r="D1085" s="3" t="s">
        <v>1446</v>
      </c>
      <c r="E1085" s="3" t="s">
        <v>1447</v>
      </c>
      <c r="F1085" s="3">
        <f>VLOOKUP(Table1[[#This Row],[Column2]], TAXONOMY_TYPE, 2, FALSE)</f>
        <v>4488</v>
      </c>
      <c r="G1085" s="4">
        <v>33</v>
      </c>
      <c r="H1085" s="3" t="s">
        <v>1953</v>
      </c>
      <c r="I1085" s="3">
        <f>VLOOKUP(Table1[[#This Row],[Provider Type]] &amp; Table1[[#This Row],[Provider Type Description]], PROVIDER_TYPE, 2, FALSE)</f>
        <v>51</v>
      </c>
      <c r="J1085" s="3">
        <v>331</v>
      </c>
      <c r="K1085" s="3" t="s">
        <v>1197</v>
      </c>
      <c r="L1085" s="3">
        <f>VLOOKUP(TRIM(Table1[[#This Row],[Provider Specialty]]) &amp; TRIM(Table1[[#This Row],[Provider Specialty Description]]), SPECIALTY_TYPE, 2, FALSE)</f>
        <v>2091</v>
      </c>
      <c r="M1085" s="3" t="s">
        <v>19</v>
      </c>
      <c r="N1085" s="27" t="s">
        <v>18</v>
      </c>
      <c r="O1085" s="38">
        <f>VLOOKUP(TRIM(Table1[[#This Row],[Provider Specialty]]) &amp; TRIM(Table1[[#This Row],[Provider Specialty Description]]), SPECIALTY_TYPE, 2, FALSE)</f>
        <v>2091</v>
      </c>
      <c r="P1085" s="3" t="str">
        <f>Table1[[#This Row],[Provider Type]] &amp; "+" &amp; Table1[[#This Row],[Provider Type Description]]</f>
        <v>33+Single-Specialty</v>
      </c>
      <c r="Q1085" s="7" t="str">
        <f>Table1[[#This Row],[Provider Specialty]] &amp; "+" &amp; Table1[[#This Row],[Provider Specialty Description]]</f>
        <v>331+Orthopedic Surgeon</v>
      </c>
      <c r="R1085" s="7" t="str">
        <f>Table1[[#This Row],[PDMS Specialty Type ID]] &amp; "+" &amp; Table1[[#This Row],[PDMS Provider Type ID]] &amp; "+" &amp;Table1[[#This Row],[TAXONOMY]]</f>
        <v>2091+51+193400000X</v>
      </c>
      <c r="S10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(4488, 2091, 51, N'193400000X', N'Single Specialty - Single Specialty')</v>
      </c>
    </row>
    <row r="1086" spans="1:19" ht="47.25" hidden="1" customHeight="1" x14ac:dyDescent="0.25">
      <c r="A1086" s="22" t="s">
        <v>227</v>
      </c>
      <c r="B1086" s="3" t="s">
        <v>1443</v>
      </c>
      <c r="C1086" s="3" t="s">
        <v>1446</v>
      </c>
      <c r="D1086" s="3" t="s">
        <v>1446</v>
      </c>
      <c r="E1086" s="3" t="s">
        <v>1447</v>
      </c>
      <c r="F1086" s="3">
        <f>VLOOKUP(Table1[[#This Row],[Column2]], TAXONOMY_TYPE, 2, FALSE)</f>
        <v>4489</v>
      </c>
      <c r="G1086" s="4">
        <v>33</v>
      </c>
      <c r="H1086" s="3" t="s">
        <v>1953</v>
      </c>
      <c r="I1086" s="3">
        <f>VLOOKUP(Table1[[#This Row],[Provider Type]] &amp; Table1[[#This Row],[Provider Type Description]], PROVIDER_TYPE, 2, FALSE)</f>
        <v>51</v>
      </c>
      <c r="J1086" s="3">
        <v>332</v>
      </c>
      <c r="K1086" s="3" t="s">
        <v>1214</v>
      </c>
      <c r="L1086" s="3">
        <f>VLOOKUP(TRIM(Table1[[#This Row],[Provider Specialty]]) &amp; TRIM(Table1[[#This Row],[Provider Specialty Description]]), SPECIALTY_TYPE, 2, FALSE)</f>
        <v>2092</v>
      </c>
      <c r="M1086" s="3" t="s">
        <v>19</v>
      </c>
      <c r="N1086" s="27" t="s">
        <v>18</v>
      </c>
      <c r="O1086" s="38">
        <f>VLOOKUP(TRIM(Table1[[#This Row],[Provider Specialty]]) &amp; TRIM(Table1[[#This Row],[Provider Specialty Description]]), SPECIALTY_TYPE, 2, FALSE)</f>
        <v>2092</v>
      </c>
      <c r="P1086" s="3" t="str">
        <f>Table1[[#This Row],[Provider Type]] &amp; "+" &amp; Table1[[#This Row],[Provider Type Description]]</f>
        <v>33+Single-Specialty</v>
      </c>
      <c r="Q1086" s="7" t="str">
        <f>Table1[[#This Row],[Provider Specialty]] &amp; "+" &amp; Table1[[#This Row],[Provider Specialty Description]]</f>
        <v>332+Otologist, Laryngologist, Rhinologist</v>
      </c>
      <c r="R1086" s="7" t="str">
        <f>Table1[[#This Row],[PDMS Specialty Type ID]] &amp; "+" &amp; Table1[[#This Row],[PDMS Provider Type ID]] &amp; "+" &amp;Table1[[#This Row],[TAXONOMY]]</f>
        <v>2092+51+193400000X</v>
      </c>
      <c r="S10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(4489, 2092, 51, N'193400000X', N'Single Specialty - Single Specialty')</v>
      </c>
    </row>
    <row r="1087" spans="1:19" ht="47.25" hidden="1" customHeight="1" x14ac:dyDescent="0.25">
      <c r="A1087" s="22" t="s">
        <v>227</v>
      </c>
      <c r="B1087" s="3" t="s">
        <v>1443</v>
      </c>
      <c r="C1087" s="3" t="s">
        <v>1446</v>
      </c>
      <c r="D1087" s="3" t="s">
        <v>1446</v>
      </c>
      <c r="E1087" s="3" t="s">
        <v>1447</v>
      </c>
      <c r="F1087" s="3">
        <f>VLOOKUP(Table1[[#This Row],[Column2]], TAXONOMY_TYPE, 2, FALSE)</f>
        <v>4490</v>
      </c>
      <c r="G1087" s="4">
        <v>33</v>
      </c>
      <c r="H1087" s="3" t="s">
        <v>1953</v>
      </c>
      <c r="I1087" s="3">
        <f>VLOOKUP(Table1[[#This Row],[Provider Type]] &amp; Table1[[#This Row],[Provider Type Description]], PROVIDER_TYPE, 2, FALSE)</f>
        <v>51</v>
      </c>
      <c r="J1087" s="3">
        <v>333</v>
      </c>
      <c r="K1087" s="3" t="s">
        <v>1057</v>
      </c>
      <c r="L1087" s="3">
        <f>VLOOKUP(TRIM(Table1[[#This Row],[Provider Specialty]]) &amp; TRIM(Table1[[#This Row],[Provider Specialty Description]]), SPECIALTY_TYPE, 2, FALSE)</f>
        <v>2093</v>
      </c>
      <c r="M1087" s="3" t="s">
        <v>19</v>
      </c>
      <c r="N1087" s="27" t="s">
        <v>18</v>
      </c>
      <c r="O1087" s="38">
        <f>VLOOKUP(TRIM(Table1[[#This Row],[Provider Specialty]]) &amp; TRIM(Table1[[#This Row],[Provider Specialty Description]]), SPECIALTY_TYPE, 2, FALSE)</f>
        <v>2093</v>
      </c>
      <c r="P1087" s="3" t="str">
        <f>Table1[[#This Row],[Provider Type]] &amp; "+" &amp; Table1[[#This Row],[Provider Type Description]]</f>
        <v>33+Single-Specialty</v>
      </c>
      <c r="Q1087" s="7" t="str">
        <f>Table1[[#This Row],[Provider Specialty]] &amp; "+" &amp; Table1[[#This Row],[Provider Specialty Description]]</f>
        <v>333+Pathologist</v>
      </c>
      <c r="R1087" s="7" t="str">
        <f>Table1[[#This Row],[PDMS Specialty Type ID]] &amp; "+" &amp; Table1[[#This Row],[PDMS Provider Type ID]] &amp; "+" &amp;Table1[[#This Row],[TAXONOMY]]</f>
        <v>2093+51+193400000X</v>
      </c>
      <c r="S10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(4490, 2093, 51, N'193400000X', N'Single Specialty - Single Specialty')</v>
      </c>
    </row>
    <row r="1088" spans="1:19" ht="47.25" hidden="1" customHeight="1" x14ac:dyDescent="0.25">
      <c r="A1088" s="22" t="s">
        <v>227</v>
      </c>
      <c r="B1088" s="3" t="s">
        <v>1443</v>
      </c>
      <c r="C1088" s="3" t="s">
        <v>1446</v>
      </c>
      <c r="D1088" s="3" t="s">
        <v>1446</v>
      </c>
      <c r="E1088" s="3" t="s">
        <v>1447</v>
      </c>
      <c r="F1088" s="3">
        <f>VLOOKUP(Table1[[#This Row],[Column2]], TAXONOMY_TYPE, 2, FALSE)</f>
        <v>4491</v>
      </c>
      <c r="G1088" s="4">
        <v>33</v>
      </c>
      <c r="H1088" s="3" t="s">
        <v>1953</v>
      </c>
      <c r="I1088" s="3">
        <f>VLOOKUP(Table1[[#This Row],[Provider Type]] &amp; Table1[[#This Row],[Provider Type Description]], PROVIDER_TYPE, 2, FALSE)</f>
        <v>51</v>
      </c>
      <c r="J1088" s="3">
        <v>334</v>
      </c>
      <c r="K1088" s="3" t="s">
        <v>1051</v>
      </c>
      <c r="L1088" s="3">
        <f>VLOOKUP(TRIM(Table1[[#This Row],[Provider Specialty]]) &amp; TRIM(Table1[[#This Row],[Provider Specialty Description]]), SPECIALTY_TYPE, 2, FALSE)</f>
        <v>2094</v>
      </c>
      <c r="M1088" s="3" t="s">
        <v>18</v>
      </c>
      <c r="N1088" s="27" t="s">
        <v>18</v>
      </c>
      <c r="O1088" s="38">
        <f>VLOOKUP(TRIM(Table1[[#This Row],[Provider Specialty]]) &amp; TRIM(Table1[[#This Row],[Provider Specialty Description]]), SPECIALTY_TYPE, 2, FALSE)</f>
        <v>2094</v>
      </c>
      <c r="P1088" s="3" t="str">
        <f>Table1[[#This Row],[Provider Type]] &amp; "+" &amp; Table1[[#This Row],[Provider Type Description]]</f>
        <v>33+Single-Specialty</v>
      </c>
      <c r="Q1088" s="7" t="str">
        <f>Table1[[#This Row],[Provider Specialty]] &amp; "+" &amp; Table1[[#This Row],[Provider Specialty Description]]</f>
        <v>334+Pediatric Surgeon</v>
      </c>
      <c r="R1088" s="7" t="str">
        <f>Table1[[#This Row],[PDMS Specialty Type ID]] &amp; "+" &amp; Table1[[#This Row],[PDMS Provider Type ID]] &amp; "+" &amp;Table1[[#This Row],[TAXONOMY]]</f>
        <v>2094+51+193400000X</v>
      </c>
      <c r="S10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(4491, 2094, 51, N'193400000X', N'Single Specialty - Single Specialty')</v>
      </c>
    </row>
    <row r="1089" spans="1:19" ht="47.25" hidden="1" customHeight="1" x14ac:dyDescent="0.25">
      <c r="A1089" s="22" t="s">
        <v>227</v>
      </c>
      <c r="B1089" s="3" t="s">
        <v>1443</v>
      </c>
      <c r="C1089" s="3" t="s">
        <v>1446</v>
      </c>
      <c r="D1089" s="3" t="s">
        <v>1446</v>
      </c>
      <c r="E1089" s="3" t="s">
        <v>1447</v>
      </c>
      <c r="F1089" s="3">
        <f>VLOOKUP(Table1[[#This Row],[Column2]], TAXONOMY_TYPE, 2, FALSE)</f>
        <v>4492</v>
      </c>
      <c r="G1089" s="4">
        <v>33</v>
      </c>
      <c r="H1089" s="3" t="s">
        <v>1953</v>
      </c>
      <c r="I1089" s="3">
        <f>VLOOKUP(Table1[[#This Row],[Provider Type]] &amp; Table1[[#This Row],[Provider Type Description]], PROVIDER_TYPE, 2, FALSE)</f>
        <v>51</v>
      </c>
      <c r="J1089" s="3">
        <v>335</v>
      </c>
      <c r="K1089" s="3" t="s">
        <v>1035</v>
      </c>
      <c r="L1089" s="3">
        <f>VLOOKUP(TRIM(Table1[[#This Row],[Provider Specialty]]) &amp; TRIM(Table1[[#This Row],[Provider Specialty Description]]), SPECIALTY_TYPE, 2, FALSE)</f>
        <v>2095</v>
      </c>
      <c r="M1089" s="3" t="s">
        <v>19</v>
      </c>
      <c r="N1089" s="27" t="s">
        <v>18</v>
      </c>
      <c r="O1089" s="38">
        <f>VLOOKUP(TRIM(Table1[[#This Row],[Provider Specialty]]) &amp; TRIM(Table1[[#This Row],[Provider Specialty Description]]), SPECIALTY_TYPE, 2, FALSE)</f>
        <v>2095</v>
      </c>
      <c r="P1089" s="3" t="str">
        <f>Table1[[#This Row],[Provider Type]] &amp; "+" &amp; Table1[[#This Row],[Provider Type Description]]</f>
        <v>33+Single-Specialty</v>
      </c>
      <c r="Q1089" s="7" t="str">
        <f>Table1[[#This Row],[Provider Specialty]] &amp; "+" &amp; Table1[[#This Row],[Provider Specialty Description]]</f>
        <v>335+Maternal Fetal Medicine</v>
      </c>
      <c r="R1089" s="7" t="str">
        <f>Table1[[#This Row],[PDMS Specialty Type ID]] &amp; "+" &amp; Table1[[#This Row],[PDMS Provider Type ID]] &amp; "+" &amp;Table1[[#This Row],[TAXONOMY]]</f>
        <v>2095+51+193400000X</v>
      </c>
      <c r="S10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(4492, 2095, 51, N'193400000X', N'Single Specialty - Single Specialty')</v>
      </c>
    </row>
    <row r="1090" spans="1:19" ht="47.25" hidden="1" customHeight="1" x14ac:dyDescent="0.25">
      <c r="A1090" s="22" t="s">
        <v>227</v>
      </c>
      <c r="B1090" s="3" t="s">
        <v>1443</v>
      </c>
      <c r="C1090" s="3" t="s">
        <v>1446</v>
      </c>
      <c r="D1090" s="3" t="s">
        <v>1446</v>
      </c>
      <c r="E1090" s="3" t="s">
        <v>1447</v>
      </c>
      <c r="F1090" s="3">
        <f>VLOOKUP(Table1[[#This Row],[Column2]], TAXONOMY_TYPE, 2, FALSE)</f>
        <v>4493</v>
      </c>
      <c r="G1090" s="4">
        <v>33</v>
      </c>
      <c r="H1090" s="3" t="s">
        <v>1953</v>
      </c>
      <c r="I1090" s="3">
        <f>VLOOKUP(Table1[[#This Row],[Provider Type]] &amp; Table1[[#This Row],[Provider Type Description]], PROVIDER_TYPE, 2, FALSE)</f>
        <v>51</v>
      </c>
      <c r="J1090" s="3">
        <v>336</v>
      </c>
      <c r="K1090" s="3" t="s">
        <v>1303</v>
      </c>
      <c r="L1090" s="3">
        <f>VLOOKUP(TRIM(Table1[[#This Row],[Provider Specialty]]) &amp; TRIM(Table1[[#This Row],[Provider Specialty Description]]), SPECIALTY_TYPE, 2, FALSE)</f>
        <v>2096</v>
      </c>
      <c r="M1090" s="3" t="s">
        <v>19</v>
      </c>
      <c r="N1090" s="27" t="s">
        <v>18</v>
      </c>
      <c r="O1090" s="38">
        <f>VLOOKUP(TRIM(Table1[[#This Row],[Provider Specialty]]) &amp; TRIM(Table1[[#This Row],[Provider Specialty Description]]), SPECIALTY_TYPE, 2, FALSE)</f>
        <v>2096</v>
      </c>
      <c r="P1090" s="3" t="str">
        <f>Table1[[#This Row],[Provider Type]] &amp; "+" &amp; Table1[[#This Row],[Provider Type Description]]</f>
        <v>33+Single-Specialty</v>
      </c>
      <c r="Q1090" s="7" t="str">
        <f>Table1[[#This Row],[Provider Specialty]] &amp; "+" &amp; Table1[[#This Row],[Provider Specialty Description]]</f>
        <v>336+Physical Medicine and Rehabilitation Practitioner</v>
      </c>
      <c r="R1090" s="7" t="str">
        <f>Table1[[#This Row],[PDMS Specialty Type ID]] &amp; "+" &amp; Table1[[#This Row],[PDMS Provider Type ID]] &amp; "+" &amp;Table1[[#This Row],[TAXONOMY]]</f>
        <v>2096+51+193400000X</v>
      </c>
      <c r="S10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(4493, 2096, 51, N'193400000X', N'Single Specialty - Single Specialty')</v>
      </c>
    </row>
    <row r="1091" spans="1:19" ht="47.25" hidden="1" customHeight="1" x14ac:dyDescent="0.25">
      <c r="A1091" s="22" t="s">
        <v>227</v>
      </c>
      <c r="B1091" s="3" t="s">
        <v>1443</v>
      </c>
      <c r="C1091" s="3" t="s">
        <v>1446</v>
      </c>
      <c r="D1091" s="3" t="s">
        <v>1446</v>
      </c>
      <c r="E1091" s="3" t="s">
        <v>1447</v>
      </c>
      <c r="F1091" s="3">
        <f>VLOOKUP(Table1[[#This Row],[Column2]], TAXONOMY_TYPE, 2, FALSE)</f>
        <v>4494</v>
      </c>
      <c r="G1091" s="4">
        <v>33</v>
      </c>
      <c r="H1091" s="3" t="s">
        <v>1953</v>
      </c>
      <c r="I1091" s="3">
        <f>VLOOKUP(Table1[[#This Row],[Provider Type]] &amp; Table1[[#This Row],[Provider Type Description]], PROVIDER_TYPE, 2, FALSE)</f>
        <v>51</v>
      </c>
      <c r="J1091" s="3">
        <v>337</v>
      </c>
      <c r="K1091" s="3" t="s">
        <v>1221</v>
      </c>
      <c r="L1091" s="3">
        <f>VLOOKUP(TRIM(Table1[[#This Row],[Provider Specialty]]) &amp; TRIM(Table1[[#This Row],[Provider Specialty Description]]), SPECIALTY_TYPE, 2, FALSE)</f>
        <v>2097</v>
      </c>
      <c r="M1091" s="3" t="s">
        <v>19</v>
      </c>
      <c r="N1091" s="27" t="s">
        <v>18</v>
      </c>
      <c r="O1091" s="38">
        <f>VLOOKUP(TRIM(Table1[[#This Row],[Provider Specialty]]) &amp; TRIM(Table1[[#This Row],[Provider Specialty Description]]), SPECIALTY_TYPE, 2, FALSE)</f>
        <v>2097</v>
      </c>
      <c r="P1091" s="3" t="str">
        <f>Table1[[#This Row],[Provider Type]] &amp; "+" &amp; Table1[[#This Row],[Provider Type Description]]</f>
        <v>33+Single-Specialty</v>
      </c>
      <c r="Q1091" s="7" t="str">
        <f>Table1[[#This Row],[Provider Specialty]] &amp; "+" &amp; Table1[[#This Row],[Provider Specialty Description]]</f>
        <v>337+Plastic Surgeon</v>
      </c>
      <c r="R1091" s="7" t="str">
        <f>Table1[[#This Row],[PDMS Specialty Type ID]] &amp; "+" &amp; Table1[[#This Row],[PDMS Provider Type ID]] &amp; "+" &amp;Table1[[#This Row],[TAXONOMY]]</f>
        <v>2097+51+193400000X</v>
      </c>
      <c r="S10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(4494, 2097, 51, N'193400000X', N'Single Specialty - Single Specialty')</v>
      </c>
    </row>
    <row r="1092" spans="1:19" ht="47.25" hidden="1" customHeight="1" x14ac:dyDescent="0.25">
      <c r="A1092" s="22" t="s">
        <v>227</v>
      </c>
      <c r="B1092" s="3" t="s">
        <v>1443</v>
      </c>
      <c r="C1092" s="3" t="s">
        <v>1446</v>
      </c>
      <c r="D1092" s="3" t="s">
        <v>1446</v>
      </c>
      <c r="E1092" s="3" t="s">
        <v>1447</v>
      </c>
      <c r="F1092" s="3">
        <f>VLOOKUP(Table1[[#This Row],[Column2]], TAXONOMY_TYPE, 2, FALSE)</f>
        <v>4495</v>
      </c>
      <c r="G1092" s="4">
        <v>33</v>
      </c>
      <c r="H1092" s="3" t="s">
        <v>1953</v>
      </c>
      <c r="I1092" s="3">
        <f>VLOOKUP(Table1[[#This Row],[Provider Type]] &amp; Table1[[#This Row],[Provider Type Description]], PROVIDER_TYPE, 2, FALSE)</f>
        <v>51</v>
      </c>
      <c r="J1092" s="3">
        <v>338</v>
      </c>
      <c r="K1092" s="3" t="s">
        <v>1407</v>
      </c>
      <c r="L1092" s="3">
        <f>VLOOKUP(TRIM(Table1[[#This Row],[Provider Specialty]]) &amp; TRIM(Table1[[#This Row],[Provider Specialty Description]]), SPECIALTY_TYPE, 2, FALSE)</f>
        <v>2098</v>
      </c>
      <c r="M1092" s="3" t="s">
        <v>19</v>
      </c>
      <c r="N1092" s="27" t="s">
        <v>18</v>
      </c>
      <c r="O1092" s="38">
        <f>VLOOKUP(TRIM(Table1[[#This Row],[Provider Specialty]]) &amp; TRIM(Table1[[#This Row],[Provider Specialty Description]]), SPECIALTY_TYPE, 2, FALSE)</f>
        <v>2098</v>
      </c>
      <c r="P1092" s="3" t="str">
        <f>Table1[[#This Row],[Provider Type]] &amp; "+" &amp; Table1[[#This Row],[Provider Type Description]]</f>
        <v>33+Single-Specialty</v>
      </c>
      <c r="Q1092" s="7" t="str">
        <f>Table1[[#This Row],[Provider Specialty]] &amp; "+" &amp; Table1[[#This Row],[Provider Specialty Description]]</f>
        <v>338+Proctologist</v>
      </c>
      <c r="R1092" s="7" t="str">
        <f>Table1[[#This Row],[PDMS Specialty Type ID]] &amp; "+" &amp; Table1[[#This Row],[PDMS Provider Type ID]] &amp; "+" &amp;Table1[[#This Row],[TAXONOMY]]</f>
        <v>2098+51+193400000X</v>
      </c>
      <c r="S10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(4495, 2098, 51, N'193400000X', N'Single Specialty - Single Specialty')</v>
      </c>
    </row>
    <row r="1093" spans="1:19" ht="47.25" hidden="1" customHeight="1" x14ac:dyDescent="0.25">
      <c r="A1093" s="22" t="s">
        <v>227</v>
      </c>
      <c r="B1093" s="3" t="s">
        <v>1443</v>
      </c>
      <c r="C1093" s="3" t="s">
        <v>1446</v>
      </c>
      <c r="D1093" s="3" t="s">
        <v>1446</v>
      </c>
      <c r="E1093" s="3" t="s">
        <v>1447</v>
      </c>
      <c r="F1093" s="3">
        <f>VLOOKUP(Table1[[#This Row],[Column2]], TAXONOMY_TYPE, 2, FALSE)</f>
        <v>4496</v>
      </c>
      <c r="G1093" s="4">
        <v>33</v>
      </c>
      <c r="H1093" s="3" t="s">
        <v>1953</v>
      </c>
      <c r="I1093" s="3">
        <f>VLOOKUP(Table1[[#This Row],[Provider Type]] &amp; Table1[[#This Row],[Provider Type Description]], PROVIDER_TYPE, 2, FALSE)</f>
        <v>51</v>
      </c>
      <c r="J1093" s="3">
        <v>339</v>
      </c>
      <c r="K1093" s="3" t="s">
        <v>1338</v>
      </c>
      <c r="L1093" s="3">
        <f>VLOOKUP(TRIM(Table1[[#This Row],[Provider Specialty]]) &amp; TRIM(Table1[[#This Row],[Provider Specialty Description]]), SPECIALTY_TYPE, 2, FALSE)</f>
        <v>2099</v>
      </c>
      <c r="M1093" s="3" t="s">
        <v>19</v>
      </c>
      <c r="N1093" s="27" t="s">
        <v>18</v>
      </c>
      <c r="O1093" s="38">
        <f>VLOOKUP(TRIM(Table1[[#This Row],[Provider Specialty]]) &amp; TRIM(Table1[[#This Row],[Provider Specialty Description]]), SPECIALTY_TYPE, 2, FALSE)</f>
        <v>2099</v>
      </c>
      <c r="P1093" s="3" t="str">
        <f>Table1[[#This Row],[Provider Type]] &amp; "+" &amp; Table1[[#This Row],[Provider Type Description]]</f>
        <v>33+Single-Specialty</v>
      </c>
      <c r="Q1093" s="7" t="str">
        <f>Table1[[#This Row],[Provider Specialty]] &amp; "+" &amp; Table1[[#This Row],[Provider Specialty Description]]</f>
        <v>339+Psychiatrist</v>
      </c>
      <c r="R1093" s="7" t="str">
        <f>Table1[[#This Row],[PDMS Specialty Type ID]] &amp; "+" &amp; Table1[[#This Row],[PDMS Provider Type ID]] &amp; "+" &amp;Table1[[#This Row],[TAXONOMY]]</f>
        <v>2099+51+193400000X</v>
      </c>
      <c r="S10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(4496, 2099, 51, N'193400000X', N'Single Specialty - Single Specialty')</v>
      </c>
    </row>
    <row r="1094" spans="1:19" ht="47.25" hidden="1" customHeight="1" x14ac:dyDescent="0.25">
      <c r="A1094" s="22" t="s">
        <v>227</v>
      </c>
      <c r="B1094" s="3" t="s">
        <v>1443</v>
      </c>
      <c r="C1094" s="3" t="s">
        <v>1446</v>
      </c>
      <c r="D1094" s="3" t="s">
        <v>1446</v>
      </c>
      <c r="E1094" s="3" t="s">
        <v>1447</v>
      </c>
      <c r="F1094" s="3">
        <f>VLOOKUP(Table1[[#This Row],[Column2]], TAXONOMY_TYPE, 2, FALSE)</f>
        <v>4497</v>
      </c>
      <c r="G1094" s="4">
        <v>33</v>
      </c>
      <c r="H1094" s="3" t="s">
        <v>1953</v>
      </c>
      <c r="I1094" s="3">
        <f>VLOOKUP(Table1[[#This Row],[Provider Type]] &amp; Table1[[#This Row],[Provider Type Description]], PROVIDER_TYPE, 2, FALSE)</f>
        <v>51</v>
      </c>
      <c r="J1094" s="3">
        <v>340</v>
      </c>
      <c r="K1094" s="3" t="s">
        <v>1158</v>
      </c>
      <c r="L1094" s="3">
        <f>VLOOKUP(TRIM(Table1[[#This Row],[Provider Specialty]]) &amp; TRIM(Table1[[#This Row],[Provider Specialty Description]]), SPECIALTY_TYPE, 2, FALSE)</f>
        <v>2100</v>
      </c>
      <c r="M1094" s="3" t="s">
        <v>19</v>
      </c>
      <c r="N1094" s="27" t="s">
        <v>18</v>
      </c>
      <c r="O1094" s="38">
        <f>VLOOKUP(TRIM(Table1[[#This Row],[Provider Specialty]]) &amp; TRIM(Table1[[#This Row],[Provider Specialty Description]]), SPECIALTY_TYPE, 2, FALSE)</f>
        <v>2100</v>
      </c>
      <c r="P1094" s="3" t="str">
        <f>Table1[[#This Row],[Provider Type]] &amp; "+" &amp; Table1[[#This Row],[Provider Type Description]]</f>
        <v>33+Single-Specialty</v>
      </c>
      <c r="Q1094" s="7" t="str">
        <f>Table1[[#This Row],[Provider Specialty]] &amp; "+" &amp; Table1[[#This Row],[Provider Specialty Description]]</f>
        <v>340+Pulmonary Disease Specialist</v>
      </c>
      <c r="R1094" s="7" t="str">
        <f>Table1[[#This Row],[PDMS Specialty Type ID]] &amp; "+" &amp; Table1[[#This Row],[PDMS Provider Type ID]] &amp; "+" &amp;Table1[[#This Row],[TAXONOMY]]</f>
        <v>2100+51+193400000X</v>
      </c>
      <c r="S10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(4497, 2100, 51, N'193400000X', N'Single Specialty - Single Specialty')</v>
      </c>
    </row>
    <row r="1095" spans="1:19" ht="47.25" hidden="1" customHeight="1" x14ac:dyDescent="0.25">
      <c r="A1095" s="22" t="s">
        <v>227</v>
      </c>
      <c r="B1095" s="3" t="s">
        <v>1443</v>
      </c>
      <c r="C1095" s="3" t="s">
        <v>1446</v>
      </c>
      <c r="D1095" s="3" t="s">
        <v>1446</v>
      </c>
      <c r="E1095" s="3" t="s">
        <v>1447</v>
      </c>
      <c r="F1095" s="3">
        <f>VLOOKUP(Table1[[#This Row],[Column2]], TAXONOMY_TYPE, 2, FALSE)</f>
        <v>4498</v>
      </c>
      <c r="G1095" s="4">
        <v>33</v>
      </c>
      <c r="H1095" s="3" t="s">
        <v>1953</v>
      </c>
      <c r="I1095" s="3">
        <f>VLOOKUP(Table1[[#This Row],[Provider Type]] &amp; Table1[[#This Row],[Provider Type Description]], PROVIDER_TYPE, 2, FALSE)</f>
        <v>51</v>
      </c>
      <c r="J1095" s="3">
        <v>341</v>
      </c>
      <c r="K1095" s="3" t="s">
        <v>960</v>
      </c>
      <c r="L1095" s="3">
        <f>VLOOKUP(TRIM(Table1[[#This Row],[Provider Specialty]]) &amp; TRIM(Table1[[#This Row],[Provider Specialty Description]]), SPECIALTY_TYPE, 2, FALSE)</f>
        <v>2101</v>
      </c>
      <c r="M1095" s="3" t="s">
        <v>19</v>
      </c>
      <c r="N1095" s="27" t="s">
        <v>18</v>
      </c>
      <c r="O1095" s="38">
        <f>VLOOKUP(TRIM(Table1[[#This Row],[Provider Specialty]]) &amp; TRIM(Table1[[#This Row],[Provider Specialty Description]]), SPECIALTY_TYPE, 2, FALSE)</f>
        <v>2101</v>
      </c>
      <c r="P1095" s="3" t="str">
        <f>Table1[[#This Row],[Provider Type]] &amp; "+" &amp; Table1[[#This Row],[Provider Type Description]]</f>
        <v>33+Single-Specialty</v>
      </c>
      <c r="Q1095" s="7" t="str">
        <f>Table1[[#This Row],[Provider Specialty]] &amp; "+" &amp; Table1[[#This Row],[Provider Specialty Description]]</f>
        <v>341+Radiologist</v>
      </c>
      <c r="R1095" s="7" t="str">
        <f>Table1[[#This Row],[PDMS Specialty Type ID]] &amp; "+" &amp; Table1[[#This Row],[PDMS Provider Type ID]] &amp; "+" &amp;Table1[[#This Row],[TAXONOMY]]</f>
        <v>2101+51+193400000X</v>
      </c>
      <c r="S10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(4498, 2101, 51, N'193400000X', N'Single Specialty - Single Specialty')</v>
      </c>
    </row>
    <row r="1096" spans="1:19" ht="47.25" hidden="1" customHeight="1" x14ac:dyDescent="0.25">
      <c r="A1096" s="22" t="s">
        <v>227</v>
      </c>
      <c r="B1096" s="3" t="s">
        <v>1443</v>
      </c>
      <c r="C1096" s="3" t="s">
        <v>1446</v>
      </c>
      <c r="D1096" s="3" t="s">
        <v>1446</v>
      </c>
      <c r="E1096" s="3" t="s">
        <v>1447</v>
      </c>
      <c r="F1096" s="3">
        <f>VLOOKUP(Table1[[#This Row],[Column2]], TAXONOMY_TYPE, 2, FALSE)</f>
        <v>4499</v>
      </c>
      <c r="G1096" s="4">
        <v>33</v>
      </c>
      <c r="H1096" s="3" t="s">
        <v>1953</v>
      </c>
      <c r="I1096" s="3">
        <f>VLOOKUP(Table1[[#This Row],[Provider Type]] &amp; Table1[[#This Row],[Provider Type Description]], PROVIDER_TYPE, 2, FALSE)</f>
        <v>51</v>
      </c>
      <c r="J1096" s="3">
        <v>342</v>
      </c>
      <c r="K1096" s="3" t="s">
        <v>1412</v>
      </c>
      <c r="L1096" s="3">
        <f>VLOOKUP(TRIM(Table1[[#This Row],[Provider Specialty]]) &amp; TRIM(Table1[[#This Row],[Provider Specialty Description]]), SPECIALTY_TYPE, 2, FALSE)</f>
        <v>2102</v>
      </c>
      <c r="M1096" s="3" t="s">
        <v>19</v>
      </c>
      <c r="N1096" s="27" t="s">
        <v>18</v>
      </c>
      <c r="O1096" s="38">
        <f>VLOOKUP(TRIM(Table1[[#This Row],[Provider Specialty]]) &amp; TRIM(Table1[[#This Row],[Provider Specialty Description]]), SPECIALTY_TYPE, 2, FALSE)</f>
        <v>2102</v>
      </c>
      <c r="P1096" s="3" t="str">
        <f>Table1[[#This Row],[Provider Type]] &amp; "+" &amp; Table1[[#This Row],[Provider Type Description]]</f>
        <v>33+Single-Specialty</v>
      </c>
      <c r="Q1096" s="7" t="str">
        <f>Table1[[#This Row],[Provider Specialty]] &amp; "+" &amp; Table1[[#This Row],[Provider Specialty Description]]</f>
        <v>342+Thoracic Surgeon</v>
      </c>
      <c r="R1096" s="7" t="str">
        <f>Table1[[#This Row],[PDMS Specialty Type ID]] &amp; "+" &amp; Table1[[#This Row],[PDMS Provider Type ID]] &amp; "+" &amp;Table1[[#This Row],[TAXONOMY]]</f>
        <v>2102+51+193400000X</v>
      </c>
      <c r="S10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(4499, 2102, 51, N'193400000X', N'Single Specialty - Single Specialty')</v>
      </c>
    </row>
    <row r="1097" spans="1:19" ht="47.25" hidden="1" customHeight="1" x14ac:dyDescent="0.25">
      <c r="A1097" s="22" t="s">
        <v>227</v>
      </c>
      <c r="B1097" s="3" t="s">
        <v>1443</v>
      </c>
      <c r="C1097" s="3" t="s">
        <v>1446</v>
      </c>
      <c r="D1097" s="3" t="s">
        <v>1446</v>
      </c>
      <c r="E1097" s="3" t="s">
        <v>1447</v>
      </c>
      <c r="F1097" s="3">
        <f>VLOOKUP(Table1[[#This Row],[Column2]], TAXONOMY_TYPE, 2, FALSE)</f>
        <v>4500</v>
      </c>
      <c r="G1097" s="4">
        <v>33</v>
      </c>
      <c r="H1097" s="3" t="s">
        <v>1953</v>
      </c>
      <c r="I1097" s="3">
        <f>VLOOKUP(Table1[[#This Row],[Provider Type]] &amp; Table1[[#This Row],[Provider Type Description]], PROVIDER_TYPE, 2, FALSE)</f>
        <v>51</v>
      </c>
      <c r="J1097" s="3">
        <v>343</v>
      </c>
      <c r="K1097" s="3" t="s">
        <v>1402</v>
      </c>
      <c r="L1097" s="3">
        <f>VLOOKUP(TRIM(Table1[[#This Row],[Provider Specialty]]) &amp; TRIM(Table1[[#This Row],[Provider Specialty Description]]), SPECIALTY_TYPE, 2, FALSE)</f>
        <v>2103</v>
      </c>
      <c r="M1097" s="3" t="s">
        <v>19</v>
      </c>
      <c r="N1097" s="27" t="s">
        <v>18</v>
      </c>
      <c r="O1097" s="38">
        <f>VLOOKUP(TRIM(Table1[[#This Row],[Provider Specialty]]) &amp; TRIM(Table1[[#This Row],[Provider Specialty Description]]), SPECIALTY_TYPE, 2, FALSE)</f>
        <v>2103</v>
      </c>
      <c r="P1097" s="3" t="str">
        <f>Table1[[#This Row],[Provider Type]] &amp; "+" &amp; Table1[[#This Row],[Provider Type Description]]</f>
        <v>33+Single-Specialty</v>
      </c>
      <c r="Q1097" s="7" t="str">
        <f>Table1[[#This Row],[Provider Specialty]] &amp; "+" &amp; Table1[[#This Row],[Provider Specialty Description]]</f>
        <v>343+Urologist</v>
      </c>
      <c r="R1097" s="7" t="str">
        <f>Table1[[#This Row],[PDMS Specialty Type ID]] &amp; "+" &amp; Table1[[#This Row],[PDMS Provider Type ID]] &amp; "+" &amp;Table1[[#This Row],[TAXONOMY]]</f>
        <v>2103+51+193400000X</v>
      </c>
      <c r="S10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(4500, 2103, 51, N'193400000X', N'Single Specialty - Single Specialty')</v>
      </c>
    </row>
    <row r="1098" spans="1:19" ht="47.25" hidden="1" customHeight="1" x14ac:dyDescent="0.25">
      <c r="A1098" s="22" t="s">
        <v>227</v>
      </c>
      <c r="B1098" s="3" t="s">
        <v>1443</v>
      </c>
      <c r="C1098" s="3" t="s">
        <v>1446</v>
      </c>
      <c r="D1098" s="3" t="s">
        <v>1446</v>
      </c>
      <c r="E1098" s="3" t="s">
        <v>1447</v>
      </c>
      <c r="F1098" s="3">
        <f>VLOOKUP(Table1[[#This Row],[Column2]], TAXONOMY_TYPE, 2, FALSE)</f>
        <v>4501</v>
      </c>
      <c r="G1098" s="4">
        <v>33</v>
      </c>
      <c r="H1098" s="3" t="s">
        <v>1953</v>
      </c>
      <c r="I1098" s="3">
        <f>VLOOKUP(Table1[[#This Row],[Provider Type]] &amp; Table1[[#This Row],[Provider Type Description]], PROVIDER_TYPE, 2, FALSE)</f>
        <v>51</v>
      </c>
      <c r="J1098" s="3">
        <v>344</v>
      </c>
      <c r="K1098" s="3" t="s">
        <v>1004</v>
      </c>
      <c r="L1098" s="3">
        <f>VLOOKUP(TRIM(Table1[[#This Row],[Provider Specialty]]) &amp; TRIM(Table1[[#This Row],[Provider Specialty Description]]), SPECIALTY_TYPE, 2, FALSE)</f>
        <v>2104</v>
      </c>
      <c r="M1098" s="3" t="s">
        <v>19</v>
      </c>
      <c r="N1098" s="27" t="s">
        <v>18</v>
      </c>
      <c r="O1098" s="38">
        <f>VLOOKUP(TRIM(Table1[[#This Row],[Provider Specialty]]) &amp; TRIM(Table1[[#This Row],[Provider Specialty Description]]), SPECIALTY_TYPE, 2, FALSE)</f>
        <v>2104</v>
      </c>
      <c r="P1098" s="3" t="str">
        <f>Table1[[#This Row],[Provider Type]] &amp; "+" &amp; Table1[[#This Row],[Provider Type Description]]</f>
        <v>33+Single-Specialty</v>
      </c>
      <c r="Q1098" s="7" t="str">
        <f>Table1[[#This Row],[Provider Specialty]] &amp; "+" &amp; Table1[[#This Row],[Provider Specialty Description]]</f>
        <v>344+General Internist</v>
      </c>
      <c r="R1098" s="7" t="str">
        <f>Table1[[#This Row],[PDMS Specialty Type ID]] &amp; "+" &amp; Table1[[#This Row],[PDMS Provider Type ID]] &amp; "+" &amp;Table1[[#This Row],[TAXONOMY]]</f>
        <v>2104+51+193400000X</v>
      </c>
      <c r="S10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(4501, 2104, 51, N'193400000X', N'Single Specialty - Single Specialty')</v>
      </c>
    </row>
    <row r="1099" spans="1:19" ht="47.25" hidden="1" customHeight="1" x14ac:dyDescent="0.25">
      <c r="A1099" s="22" t="s">
        <v>227</v>
      </c>
      <c r="B1099" s="3" t="s">
        <v>1443</v>
      </c>
      <c r="C1099" s="3" t="s">
        <v>1446</v>
      </c>
      <c r="D1099" s="3" t="s">
        <v>1446</v>
      </c>
      <c r="E1099" s="3" t="s">
        <v>1447</v>
      </c>
      <c r="F1099" s="3">
        <f>VLOOKUP(Table1[[#This Row],[Column2]], TAXONOMY_TYPE, 2, FALSE)</f>
        <v>4502</v>
      </c>
      <c r="G1099" s="4">
        <v>33</v>
      </c>
      <c r="H1099" s="3" t="s">
        <v>1953</v>
      </c>
      <c r="I1099" s="3">
        <f>VLOOKUP(Table1[[#This Row],[Provider Type]] &amp; Table1[[#This Row],[Provider Type Description]], PROVIDER_TYPE, 2, FALSE)</f>
        <v>51</v>
      </c>
      <c r="J1099" s="3">
        <v>345</v>
      </c>
      <c r="K1099" s="3" t="s">
        <v>1260</v>
      </c>
      <c r="L1099" s="3">
        <f>VLOOKUP(TRIM(Table1[[#This Row],[Provider Specialty]]) &amp; TRIM(Table1[[#This Row],[Provider Specialty Description]]), SPECIALTY_TYPE, 2, FALSE)</f>
        <v>2105</v>
      </c>
      <c r="M1099" s="3" t="s">
        <v>19</v>
      </c>
      <c r="N1099" s="27" t="s">
        <v>18</v>
      </c>
      <c r="O1099" s="38">
        <f>VLOOKUP(TRIM(Table1[[#This Row],[Provider Specialty]]) &amp; TRIM(Table1[[#This Row],[Provider Specialty Description]]), SPECIALTY_TYPE, 2, FALSE)</f>
        <v>2105</v>
      </c>
      <c r="P1099" s="3" t="str">
        <f>Table1[[#This Row],[Provider Type]] &amp; "+" &amp; Table1[[#This Row],[Provider Type Description]]</f>
        <v>33+Single-Specialty</v>
      </c>
      <c r="Q1099" s="7" t="str">
        <f>Table1[[#This Row],[Provider Specialty]] &amp; "+" &amp; Table1[[#This Row],[Provider Specialty Description]]</f>
        <v>345+General Pediatrician</v>
      </c>
      <c r="R1099" s="7" t="str">
        <f>Table1[[#This Row],[PDMS Specialty Type ID]] &amp; "+" &amp; Table1[[#This Row],[PDMS Provider Type ID]] &amp; "+" &amp;Table1[[#This Row],[TAXONOMY]]</f>
        <v>2105+51+193400000X</v>
      </c>
      <c r="S10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(4502, 2105, 51, N'193400000X', N'Single Specialty - Single Specialty')</v>
      </c>
    </row>
    <row r="1100" spans="1:19" ht="47.25" hidden="1" customHeight="1" x14ac:dyDescent="0.25">
      <c r="A1100" s="22" t="s">
        <v>227</v>
      </c>
      <c r="B1100" s="3" t="s">
        <v>1443</v>
      </c>
      <c r="C1100" s="3" t="s">
        <v>1446</v>
      </c>
      <c r="D1100" s="3" t="s">
        <v>1446</v>
      </c>
      <c r="E1100" s="3" t="s">
        <v>1447</v>
      </c>
      <c r="F1100" s="3">
        <f>VLOOKUP(Table1[[#This Row],[Column2]], TAXONOMY_TYPE, 2, FALSE)</f>
        <v>4503</v>
      </c>
      <c r="G1100" s="4">
        <v>33</v>
      </c>
      <c r="H1100" s="3" t="s">
        <v>1953</v>
      </c>
      <c r="I1100" s="3">
        <f>VLOOKUP(Table1[[#This Row],[Provider Type]] &amp; Table1[[#This Row],[Provider Type Description]], PROVIDER_TYPE, 2, FALSE)</f>
        <v>51</v>
      </c>
      <c r="J1100" s="3">
        <v>347</v>
      </c>
      <c r="K1100" s="3" t="s">
        <v>1382</v>
      </c>
      <c r="L1100" s="3">
        <f>VLOOKUP(TRIM(Table1[[#This Row],[Provider Specialty]]) &amp; TRIM(Table1[[#This Row],[Provider Specialty Description]]), SPECIALTY_TYPE, 2, FALSE)</f>
        <v>2106</v>
      </c>
      <c r="M1100" s="3" t="s">
        <v>19</v>
      </c>
      <c r="N1100" s="27" t="s">
        <v>18</v>
      </c>
      <c r="O1100" s="38">
        <f>VLOOKUP(TRIM(Table1[[#This Row],[Provider Specialty]]) &amp; TRIM(Table1[[#This Row],[Provider Specialty Description]]), SPECIALTY_TYPE, 2, FALSE)</f>
        <v>2106</v>
      </c>
      <c r="P1100" s="3" t="str">
        <f>Table1[[#This Row],[Provider Type]] &amp; "+" &amp; Table1[[#This Row],[Provider Type Description]]</f>
        <v>33+Single-Specialty</v>
      </c>
      <c r="Q1100" s="7" t="str">
        <f>Table1[[#This Row],[Provider Specialty]] &amp; "+" &amp; Table1[[#This Row],[Provider Specialty Description]]</f>
        <v>347+Radiation Therapist</v>
      </c>
      <c r="R1100" s="7" t="str">
        <f>Table1[[#This Row],[PDMS Specialty Type ID]] &amp; "+" &amp; Table1[[#This Row],[PDMS Provider Type ID]] &amp; "+" &amp;Table1[[#This Row],[TAXONOMY]]</f>
        <v>2106+51+193400000X</v>
      </c>
      <c r="S11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(4503, 2106, 51, N'193400000X', N'Single Specialty - Single Specialty')</v>
      </c>
    </row>
    <row r="1101" spans="1:19" ht="47.25" hidden="1" customHeight="1" x14ac:dyDescent="0.25">
      <c r="A1101" s="22" t="s">
        <v>227</v>
      </c>
      <c r="B1101" s="3" t="s">
        <v>1443</v>
      </c>
      <c r="C1101" s="3" t="s">
        <v>1446</v>
      </c>
      <c r="D1101" s="3" t="s">
        <v>1446</v>
      </c>
      <c r="E1101" s="3" t="s">
        <v>1447</v>
      </c>
      <c r="F1101" s="3">
        <f>VLOOKUP(Table1[[#This Row],[Column2]], TAXONOMY_TYPE, 2, FALSE)</f>
        <v>4504</v>
      </c>
      <c r="G1101" s="4">
        <v>33</v>
      </c>
      <c r="H1101" s="3" t="s">
        <v>1953</v>
      </c>
      <c r="I1101" s="3">
        <f>VLOOKUP(Table1[[#This Row],[Provider Type]] &amp; Table1[[#This Row],[Provider Type Description]], PROVIDER_TYPE, 2, FALSE)</f>
        <v>51</v>
      </c>
      <c r="J1101" s="3">
        <v>348</v>
      </c>
      <c r="K1101" s="3" t="s">
        <v>1063</v>
      </c>
      <c r="L1101" s="3">
        <f>VLOOKUP(TRIM(Table1[[#This Row],[Provider Specialty]]) &amp; TRIM(Table1[[#This Row],[Provider Specialty Description]]), SPECIALTY_TYPE, 2, FALSE)</f>
        <v>2107</v>
      </c>
      <c r="M1101" s="3" t="s">
        <v>19</v>
      </c>
      <c r="N1101" s="27" t="s">
        <v>18</v>
      </c>
      <c r="O1101" s="38">
        <f>VLOOKUP(TRIM(Table1[[#This Row],[Provider Specialty]]) &amp; TRIM(Table1[[#This Row],[Provider Specialty Description]]), SPECIALTY_TYPE, 2, FALSE)</f>
        <v>2107</v>
      </c>
      <c r="P1101" s="3" t="str">
        <f>Table1[[#This Row],[Provider Type]] &amp; "+" &amp; Table1[[#This Row],[Provider Type Description]]</f>
        <v>33+Single-Specialty</v>
      </c>
      <c r="Q1101" s="7" t="str">
        <f>Table1[[#This Row],[Provider Specialty]] &amp; "+" &amp; Table1[[#This Row],[Provider Specialty Description]]</f>
        <v>348+Osteopathic Manipulative Medicine</v>
      </c>
      <c r="R1101" s="7" t="str">
        <f>Table1[[#This Row],[PDMS Specialty Type ID]] &amp; "+" &amp; Table1[[#This Row],[PDMS Provider Type ID]] &amp; "+" &amp;Table1[[#This Row],[TAXONOMY]]</f>
        <v>2107+51+193400000X</v>
      </c>
      <c r="S11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(4504, 2107, 51, N'193400000X', N'Single Specialty - Single Specialty')</v>
      </c>
    </row>
    <row r="1102" spans="1:19" ht="47.25" hidden="1" customHeight="1" x14ac:dyDescent="0.25">
      <c r="A1102" s="22" t="s">
        <v>227</v>
      </c>
      <c r="B1102" s="3" t="s">
        <v>1443</v>
      </c>
      <c r="C1102" s="3" t="s">
        <v>1446</v>
      </c>
      <c r="D1102" s="3" t="s">
        <v>1446</v>
      </c>
      <c r="E1102" s="3" t="s">
        <v>1447</v>
      </c>
      <c r="F1102" s="3">
        <f>VLOOKUP(Table1[[#This Row],[Column2]], TAXONOMY_TYPE, 2, FALSE)</f>
        <v>4505</v>
      </c>
      <c r="G1102" s="4">
        <v>33</v>
      </c>
      <c r="H1102" s="3" t="s">
        <v>1953</v>
      </c>
      <c r="I1102" s="3">
        <f>VLOOKUP(Table1[[#This Row],[Provider Type]] &amp; Table1[[#This Row],[Provider Type Description]], PROVIDER_TYPE, 2, FALSE)</f>
        <v>51</v>
      </c>
      <c r="J1102" s="3">
        <v>349</v>
      </c>
      <c r="K1102" s="3" t="s">
        <v>1044</v>
      </c>
      <c r="L1102" s="3">
        <f>VLOOKUP(TRIM(Table1[[#This Row],[Provider Specialty]]) &amp; TRIM(Table1[[#This Row],[Provider Specialty Description]]), SPECIALTY_TYPE, 2, FALSE)</f>
        <v>2108</v>
      </c>
      <c r="M1102" s="3" t="s">
        <v>18</v>
      </c>
      <c r="N1102" s="27" t="s">
        <v>18</v>
      </c>
      <c r="O1102" s="38">
        <f>VLOOKUP(TRIM(Table1[[#This Row],[Provider Specialty]]) &amp; TRIM(Table1[[#This Row],[Provider Specialty Description]]), SPECIALTY_TYPE, 2, FALSE)</f>
        <v>2108</v>
      </c>
      <c r="P1102" s="3" t="str">
        <f>Table1[[#This Row],[Provider Type]] &amp; "+" &amp; Table1[[#This Row],[Provider Type Description]]</f>
        <v>33+Single-Specialty</v>
      </c>
      <c r="Q1102" s="7" t="str">
        <f>Table1[[#This Row],[Provider Specialty]] &amp; "+" &amp; Table1[[#This Row],[Provider Specialty Description]]</f>
        <v>349+Pediatric Oncology</v>
      </c>
      <c r="R1102" s="7" t="str">
        <f>Table1[[#This Row],[PDMS Specialty Type ID]] &amp; "+" &amp; Table1[[#This Row],[PDMS Provider Type ID]] &amp; "+" &amp;Table1[[#This Row],[TAXONOMY]]</f>
        <v>2108+51+193400000X</v>
      </c>
      <c r="S11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(4505, 2108, 51, N'193400000X', N'Single Specialty - Single Specialty')</v>
      </c>
    </row>
    <row r="1103" spans="1:19" ht="47.25" hidden="1" customHeight="1" x14ac:dyDescent="0.25">
      <c r="A1103" s="22" t="s">
        <v>227</v>
      </c>
      <c r="B1103" s="3" t="s">
        <v>1443</v>
      </c>
      <c r="C1103" s="3" t="s">
        <v>1446</v>
      </c>
      <c r="D1103" s="3" t="s">
        <v>1446</v>
      </c>
      <c r="E1103" s="3" t="s">
        <v>1447</v>
      </c>
      <c r="F1103" s="3">
        <f>VLOOKUP(Table1[[#This Row],[Column2]], TAXONOMY_TYPE, 2, FALSE)</f>
        <v>4506</v>
      </c>
      <c r="G1103" s="4">
        <v>33</v>
      </c>
      <c r="H1103" s="3" t="s">
        <v>1953</v>
      </c>
      <c r="I1103" s="3">
        <f>VLOOKUP(Table1[[#This Row],[Provider Type]] &amp; Table1[[#This Row],[Provider Type Description]], PROVIDER_TYPE, 2, FALSE)</f>
        <v>51</v>
      </c>
      <c r="J1103" s="3">
        <v>350</v>
      </c>
      <c r="K1103" s="3" t="s">
        <v>1015</v>
      </c>
      <c r="L1103" s="3">
        <f>VLOOKUP(TRIM(Table1[[#This Row],[Provider Specialty]]) &amp; TRIM(Table1[[#This Row],[Provider Specialty Description]]), SPECIALTY_TYPE, 2, FALSE)</f>
        <v>2109</v>
      </c>
      <c r="M1103" s="3" t="s">
        <v>18</v>
      </c>
      <c r="N1103" s="27" t="s">
        <v>18</v>
      </c>
      <c r="O1103" s="38">
        <f>VLOOKUP(TRIM(Table1[[#This Row],[Provider Specialty]]) &amp; TRIM(Table1[[#This Row],[Provider Specialty Description]]), SPECIALTY_TYPE, 2, FALSE)</f>
        <v>2109</v>
      </c>
      <c r="P1103" s="3" t="str">
        <f>Table1[[#This Row],[Provider Type]] &amp; "+" &amp; Table1[[#This Row],[Provider Type Description]]</f>
        <v>33+Single-Specialty</v>
      </c>
      <c r="Q1103" s="7" t="str">
        <f>Table1[[#This Row],[Provider Specialty]] &amp; "+" &amp; Table1[[#This Row],[Provider Specialty Description]]</f>
        <v>350+Rheumatologist</v>
      </c>
      <c r="R1103" s="7" t="str">
        <f>Table1[[#This Row],[PDMS Specialty Type ID]] &amp; "+" &amp; Table1[[#This Row],[PDMS Provider Type ID]] &amp; "+" &amp;Table1[[#This Row],[TAXONOMY]]</f>
        <v>2109+51+193400000X</v>
      </c>
      <c r="S11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(4506, 2109, 51, N'193400000X', N'Single Specialty - Single Specialty')</v>
      </c>
    </row>
    <row r="1104" spans="1:19" ht="47.25" hidden="1" customHeight="1" x14ac:dyDescent="0.25">
      <c r="A1104" s="22" t="s">
        <v>227</v>
      </c>
      <c r="B1104" s="3" t="s">
        <v>1443</v>
      </c>
      <c r="C1104" s="3" t="s">
        <v>1446</v>
      </c>
      <c r="D1104" s="3" t="s">
        <v>1446</v>
      </c>
      <c r="E1104" s="3" t="s">
        <v>1447</v>
      </c>
      <c r="F1104" s="3">
        <f>VLOOKUP(Table1[[#This Row],[Column2]], TAXONOMY_TYPE, 2, FALSE)</f>
        <v>4455</v>
      </c>
      <c r="G1104" s="4">
        <v>33</v>
      </c>
      <c r="H1104" s="3" t="s">
        <v>1953</v>
      </c>
      <c r="I1104" s="3">
        <f>VLOOKUP(Table1[[#This Row],[Provider Type]] &amp; Table1[[#This Row],[Provider Type Description]], PROVIDER_TYPE, 2, FALSE)</f>
        <v>51</v>
      </c>
      <c r="J1104" s="3">
        <v>351</v>
      </c>
      <c r="K1104" s="3" t="s">
        <v>1377</v>
      </c>
      <c r="L1104" s="3">
        <f>VLOOKUP(TRIM(Table1[[#This Row],[Provider Specialty]]) &amp; TRIM(Table1[[#This Row],[Provider Specialty Description]]), SPECIALTY_TYPE, 2, FALSE)</f>
        <v>170</v>
      </c>
      <c r="M1104" s="3" t="s">
        <v>19</v>
      </c>
      <c r="N1104" s="27" t="s">
        <v>18</v>
      </c>
      <c r="O1104" s="38">
        <f>VLOOKUP(TRIM(Table1[[#This Row],[Provider Specialty]]) &amp; TRIM(Table1[[#This Row],[Provider Specialty Description]]), SPECIALTY_TYPE, 2, FALSE)</f>
        <v>170</v>
      </c>
      <c r="P1104" s="3" t="str">
        <f>Table1[[#This Row],[Provider Type]] &amp; "+" &amp; Table1[[#This Row],[Provider Type Description]]</f>
        <v>33+Single-Specialty</v>
      </c>
      <c r="Q1104" s="7" t="str">
        <f>Table1[[#This Row],[Provider Specialty]] &amp; "+" &amp; Table1[[#This Row],[Provider Specialty Description]]</f>
        <v>351+Radiation Oncology</v>
      </c>
      <c r="R1104" s="7" t="str">
        <f>Table1[[#This Row],[PDMS Specialty Type ID]] &amp; "+" &amp; Table1[[#This Row],[PDMS Provider Type ID]] &amp; "+" &amp;Table1[[#This Row],[TAXONOMY]]</f>
        <v>170+51+193400000X</v>
      </c>
      <c r="S11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(4455, 170, 51, N'193400000X', N'Single Specialty - Single Specialty')</v>
      </c>
    </row>
    <row r="1105" spans="1:19" ht="47.25" hidden="1" customHeight="1" x14ac:dyDescent="0.25">
      <c r="A1105" s="22" t="s">
        <v>227</v>
      </c>
      <c r="B1105" s="3" t="s">
        <v>1443</v>
      </c>
      <c r="C1105" s="3" t="s">
        <v>1446</v>
      </c>
      <c r="D1105" s="3" t="s">
        <v>1446</v>
      </c>
      <c r="E1105" s="3" t="s">
        <v>1447</v>
      </c>
      <c r="F1105" s="3">
        <f>VLOOKUP(Table1[[#This Row],[Column2]], TAXONOMY_TYPE, 2, FALSE)</f>
        <v>4507</v>
      </c>
      <c r="G1105" s="4">
        <v>33</v>
      </c>
      <c r="H1105" s="3" t="s">
        <v>1953</v>
      </c>
      <c r="I1105" s="3">
        <f>VLOOKUP(Table1[[#This Row],[Provider Type]] &amp; Table1[[#This Row],[Provider Type Description]], PROVIDER_TYPE, 2, FALSE)</f>
        <v>51</v>
      </c>
      <c r="J1105" s="3">
        <v>352</v>
      </c>
      <c r="K1105" s="3" t="s">
        <v>1054</v>
      </c>
      <c r="L1105" s="3">
        <f>VLOOKUP(TRIM(Table1[[#This Row],[Provider Specialty]]) &amp; TRIM(Table1[[#This Row],[Provider Specialty Description]]), SPECIALTY_TYPE, 2, FALSE)</f>
        <v>2110</v>
      </c>
      <c r="M1105" s="3" t="s">
        <v>19</v>
      </c>
      <c r="N1105" s="27" t="s">
        <v>18</v>
      </c>
      <c r="O1105" s="38">
        <f>VLOOKUP(TRIM(Table1[[#This Row],[Provider Specialty]]) &amp; TRIM(Table1[[#This Row],[Provider Specialty Description]]), SPECIALTY_TYPE, 2, FALSE)</f>
        <v>2110</v>
      </c>
      <c r="P1105" s="3" t="str">
        <f>Table1[[#This Row],[Provider Type]] &amp; "+" &amp; Table1[[#This Row],[Provider Type Description]]</f>
        <v>33+Single-Specialty</v>
      </c>
      <c r="Q1105" s="7" t="str">
        <f>Table1[[#This Row],[Provider Specialty]] &amp; "+" &amp; Table1[[#This Row],[Provider Specialty Description]]</f>
        <v>352+Surgical Oncology</v>
      </c>
      <c r="R1105" s="7" t="str">
        <f>Table1[[#This Row],[PDMS Specialty Type ID]] &amp; "+" &amp; Table1[[#This Row],[PDMS Provider Type ID]] &amp; "+" &amp;Table1[[#This Row],[TAXONOMY]]</f>
        <v>2110+51+193400000X</v>
      </c>
      <c r="S11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(4507, 2110, 51, N'193400000X', N'Single Specialty - Single Specialty')</v>
      </c>
    </row>
    <row r="1106" spans="1:19" ht="47.25" hidden="1" customHeight="1" x14ac:dyDescent="0.25">
      <c r="A1106" s="22" t="s">
        <v>227</v>
      </c>
      <c r="B1106" s="3" t="s">
        <v>1443</v>
      </c>
      <c r="C1106" s="3" t="s">
        <v>1446</v>
      </c>
      <c r="D1106" s="3" t="s">
        <v>1446</v>
      </c>
      <c r="E1106" s="3" t="s">
        <v>1447</v>
      </c>
      <c r="F1106" s="3">
        <f>VLOOKUP(Table1[[#This Row],[Column2]], TAXONOMY_TYPE, 2, FALSE)</f>
        <v>4508</v>
      </c>
      <c r="G1106" s="4">
        <v>33</v>
      </c>
      <c r="H1106" s="3" t="s">
        <v>1953</v>
      </c>
      <c r="I1106" s="3">
        <f>VLOOKUP(Table1[[#This Row],[Provider Type]] &amp; Table1[[#This Row],[Provider Type Description]], PROVIDER_TYPE, 2, FALSE)</f>
        <v>51</v>
      </c>
      <c r="J1106" s="3">
        <v>353</v>
      </c>
      <c r="K1106" s="3" t="s">
        <v>1185</v>
      </c>
      <c r="L1106" s="3">
        <f>VLOOKUP(TRIM(Table1[[#This Row],[Provider Specialty]]) &amp; TRIM(Table1[[#This Row],[Provider Specialty Description]]), SPECIALTY_TYPE, 2, FALSE)</f>
        <v>2111</v>
      </c>
      <c r="M1106" s="3" t="s">
        <v>19</v>
      </c>
      <c r="N1106" s="27" t="s">
        <v>18</v>
      </c>
      <c r="O1106" s="38">
        <f>VLOOKUP(TRIM(Table1[[#This Row],[Provider Specialty]]) &amp; TRIM(Table1[[#This Row],[Provider Specialty Description]]), SPECIALTY_TYPE, 2, FALSE)</f>
        <v>2111</v>
      </c>
      <c r="P1106" s="3" t="str">
        <f>Table1[[#This Row],[Provider Type]] &amp; "+" &amp; Table1[[#This Row],[Provider Type Description]]</f>
        <v>33+Single-Specialty</v>
      </c>
      <c r="Q1106" s="7" t="str">
        <f>Table1[[#This Row],[Provider Specialty]] &amp; "+" &amp; Table1[[#This Row],[Provider Specialty Description]]</f>
        <v>353+Gynecologist</v>
      </c>
      <c r="R1106" s="7" t="str">
        <f>Table1[[#This Row],[PDMS Specialty Type ID]] &amp; "+" &amp; Table1[[#This Row],[PDMS Provider Type ID]] &amp; "+" &amp;Table1[[#This Row],[TAXONOMY]]</f>
        <v>2111+51+193400000X</v>
      </c>
      <c r="S11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(4508, 2111, 51, N'193400000X', N'Single Specialty - Single Specialty')</v>
      </c>
    </row>
    <row r="1107" spans="1:19" ht="47.25" hidden="1" customHeight="1" x14ac:dyDescent="0.25">
      <c r="A1107" s="22" t="s">
        <v>227</v>
      </c>
      <c r="B1107" s="3" t="s">
        <v>1443</v>
      </c>
      <c r="C1107" s="3" t="s">
        <v>1446</v>
      </c>
      <c r="D1107" s="3" t="s">
        <v>1446</v>
      </c>
      <c r="E1107" s="3" t="s">
        <v>1447</v>
      </c>
      <c r="F1107" s="3">
        <f>VLOOKUP(Table1[[#This Row],[Column2]], TAXONOMY_TYPE, 2, FALSE)</f>
        <v>4509</v>
      </c>
      <c r="G1107" s="4">
        <v>33</v>
      </c>
      <c r="H1107" s="3" t="s">
        <v>1953</v>
      </c>
      <c r="I1107" s="3">
        <f>VLOOKUP(Table1[[#This Row],[Provider Type]] &amp; Table1[[#This Row],[Provider Type Description]], PROVIDER_TYPE, 2, FALSE)</f>
        <v>51</v>
      </c>
      <c r="J1107" s="3">
        <v>354</v>
      </c>
      <c r="K1107" s="3" t="s">
        <v>1189</v>
      </c>
      <c r="L1107" s="3">
        <f>VLOOKUP(TRIM(Table1[[#This Row],[Provider Specialty]]) &amp; TRIM(Table1[[#This Row],[Provider Specialty Description]]), SPECIALTY_TYPE, 2, FALSE)</f>
        <v>2112</v>
      </c>
      <c r="M1107" s="3" t="s">
        <v>19</v>
      </c>
      <c r="N1107" s="27" t="s">
        <v>18</v>
      </c>
      <c r="O1107" s="38">
        <f>VLOOKUP(TRIM(Table1[[#This Row],[Provider Specialty]]) &amp; TRIM(Table1[[#This Row],[Provider Specialty Description]]), SPECIALTY_TYPE, 2, FALSE)</f>
        <v>2112</v>
      </c>
      <c r="P1107" s="3" t="str">
        <f>Table1[[#This Row],[Provider Type]] &amp; "+" &amp; Table1[[#This Row],[Provider Type Description]]</f>
        <v>33+Single-Specialty</v>
      </c>
      <c r="Q1107" s="7" t="str">
        <f>Table1[[#This Row],[Provider Specialty]] &amp; "+" &amp; Table1[[#This Row],[Provider Specialty Description]]</f>
        <v>354+Obstetrician</v>
      </c>
      <c r="R1107" s="7" t="str">
        <f>Table1[[#This Row],[PDMS Specialty Type ID]] &amp; "+" &amp; Table1[[#This Row],[PDMS Provider Type ID]] &amp; "+" &amp;Table1[[#This Row],[TAXONOMY]]</f>
        <v>2112+51+193400000X</v>
      </c>
      <c r="S11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(4509, 2112, 51, N'193400000X', N'Single Specialty - Single Specialty')</v>
      </c>
    </row>
    <row r="1108" spans="1:19" ht="47.25" hidden="1" customHeight="1" x14ac:dyDescent="0.25">
      <c r="A1108" s="22" t="s">
        <v>227</v>
      </c>
      <c r="B1108" s="3" t="s">
        <v>1443</v>
      </c>
      <c r="C1108" s="3" t="s">
        <v>1446</v>
      </c>
      <c r="D1108" s="3" t="s">
        <v>1446</v>
      </c>
      <c r="E1108" s="3" t="s">
        <v>1447</v>
      </c>
      <c r="F1108" s="3">
        <f>VLOOKUP(Table1[[#This Row],[Column2]], TAXONOMY_TYPE, 2, FALSE)</f>
        <v>4510</v>
      </c>
      <c r="G1108" s="4">
        <v>33</v>
      </c>
      <c r="H1108" s="3" t="s">
        <v>1953</v>
      </c>
      <c r="I1108" s="3">
        <f>VLOOKUP(Table1[[#This Row],[Provider Type]] &amp; Table1[[#This Row],[Provider Type Description]], PROVIDER_TYPE, 2, FALSE)</f>
        <v>51</v>
      </c>
      <c r="J1108" s="3">
        <v>355</v>
      </c>
      <c r="K1108" s="3" t="s">
        <v>1234</v>
      </c>
      <c r="L1108" s="3">
        <f>VLOOKUP(TRIM(Table1[[#This Row],[Provider Specialty]]) &amp; TRIM(Table1[[#This Row],[Provider Specialty Description]]), SPECIALTY_TYPE, 2, FALSE)</f>
        <v>2113</v>
      </c>
      <c r="M1108" s="3" t="s">
        <v>19</v>
      </c>
      <c r="N1108" s="27" t="s">
        <v>18</v>
      </c>
      <c r="O1108" s="38">
        <f>VLOOKUP(TRIM(Table1[[#This Row],[Provider Specialty]]) &amp; TRIM(Table1[[#This Row],[Provider Specialty Description]]), SPECIALTY_TYPE, 2, FALSE)</f>
        <v>2113</v>
      </c>
      <c r="P1108" s="3" t="str">
        <f>Table1[[#This Row],[Provider Type]] &amp; "+" &amp; Table1[[#This Row],[Provider Type Description]]</f>
        <v>33+Single-Specialty</v>
      </c>
      <c r="Q1108" s="7" t="str">
        <f>Table1[[#This Row],[Provider Specialty]] &amp; "+" &amp; Table1[[#This Row],[Provider Specialty Description]]</f>
        <v>355+Pathology - Clinical</v>
      </c>
      <c r="R1108" s="7" t="str">
        <f>Table1[[#This Row],[PDMS Specialty Type ID]] &amp; "+" &amp; Table1[[#This Row],[PDMS Provider Type ID]] &amp; "+" &amp;Table1[[#This Row],[TAXONOMY]]</f>
        <v>2113+51+193400000X</v>
      </c>
      <c r="S11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(4510, 2113, 51, N'193400000X', N'Single Specialty - Single Specialty')</v>
      </c>
    </row>
    <row r="1109" spans="1:19" ht="47.25" hidden="1" customHeight="1" x14ac:dyDescent="0.25">
      <c r="A1109" s="22" t="s">
        <v>227</v>
      </c>
      <c r="B1109" s="3" t="s">
        <v>1443</v>
      </c>
      <c r="C1109" s="3" t="s">
        <v>1446</v>
      </c>
      <c r="D1109" s="3" t="s">
        <v>1446</v>
      </c>
      <c r="E1109" s="3" t="s">
        <v>1447</v>
      </c>
      <c r="F1109" s="3">
        <f>VLOOKUP(Table1[[#This Row],[Column2]], TAXONOMY_TYPE, 2, FALSE)</f>
        <v>4456</v>
      </c>
      <c r="G1109" s="4">
        <v>33</v>
      </c>
      <c r="H1109" s="3" t="s">
        <v>1953</v>
      </c>
      <c r="I1109" s="3">
        <f>VLOOKUP(Table1[[#This Row],[Provider Type]] &amp; Table1[[#This Row],[Provider Type Description]], PROVIDER_TYPE, 2, FALSE)</f>
        <v>51</v>
      </c>
      <c r="J1109" s="3">
        <v>356</v>
      </c>
      <c r="K1109" s="3" t="s">
        <v>992</v>
      </c>
      <c r="L1109" s="3">
        <f>VLOOKUP(TRIM(Table1[[#This Row],[Provider Specialty]]) &amp; TRIM(Table1[[#This Row],[Provider Specialty Description]]), SPECIALTY_TYPE, 2, FALSE)</f>
        <v>235</v>
      </c>
      <c r="M1109" s="3" t="s">
        <v>18</v>
      </c>
      <c r="N1109" s="27" t="s">
        <v>18</v>
      </c>
      <c r="O1109" s="38">
        <f>VLOOKUP(TRIM(Table1[[#This Row],[Provider Specialty]]) &amp; TRIM(Table1[[#This Row],[Provider Specialty Description]]), SPECIALTY_TYPE, 2, FALSE)</f>
        <v>235</v>
      </c>
      <c r="P1109" s="3" t="str">
        <f>Table1[[#This Row],[Provider Type]] &amp; "+" &amp; Table1[[#This Row],[Provider Type Description]]</f>
        <v>33+Single-Specialty</v>
      </c>
      <c r="Q1109" s="7" t="str">
        <f>Table1[[#This Row],[Provider Specialty]] &amp; "+" &amp; Table1[[#This Row],[Provider Specialty Description]]</f>
        <v>356+Addiction Medicine</v>
      </c>
      <c r="R1109" s="7" t="str">
        <f>Table1[[#This Row],[PDMS Specialty Type ID]] &amp; "+" &amp; Table1[[#This Row],[PDMS Provider Type ID]] &amp; "+" &amp;Table1[[#This Row],[TAXONOMY]]</f>
        <v>235+51+193400000X</v>
      </c>
      <c r="S11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(4456, 235, 51, N'193400000X', N'Single Specialty - Single Specialty')</v>
      </c>
    </row>
    <row r="1110" spans="1:19" ht="47.25" hidden="1" customHeight="1" x14ac:dyDescent="0.25">
      <c r="A1110" s="22" t="s">
        <v>227</v>
      </c>
      <c r="B1110" s="3" t="s">
        <v>1443</v>
      </c>
      <c r="C1110" s="3" t="s">
        <v>1446</v>
      </c>
      <c r="D1110" s="3" t="s">
        <v>1446</v>
      </c>
      <c r="E1110" s="3" t="s">
        <v>1447</v>
      </c>
      <c r="F1110" s="3">
        <f>VLOOKUP(Table1[[#This Row],[Column2]], TAXONOMY_TYPE, 2, FALSE)</f>
        <v>4511</v>
      </c>
      <c r="G1110" s="4">
        <v>33</v>
      </c>
      <c r="H1110" s="3" t="s">
        <v>1953</v>
      </c>
      <c r="I1110" s="3">
        <f>VLOOKUP(Table1[[#This Row],[Provider Type]] &amp; Table1[[#This Row],[Provider Type Description]], PROVIDER_TYPE, 2, FALSE)</f>
        <v>51</v>
      </c>
      <c r="J1110" s="3">
        <v>357</v>
      </c>
      <c r="K1110" s="3" t="s">
        <v>536</v>
      </c>
      <c r="L1110" s="3">
        <f>VLOOKUP(TRIM(Table1[[#This Row],[Provider Specialty]]) &amp; TRIM(Table1[[#This Row],[Provider Specialty Description]]), SPECIALTY_TYPE, 2, FALSE)</f>
        <v>2114</v>
      </c>
      <c r="M1110" s="3" t="s">
        <v>18</v>
      </c>
      <c r="N1110" s="27" t="s">
        <v>18</v>
      </c>
      <c r="O1110" s="38">
        <f>VLOOKUP(TRIM(Table1[[#This Row],[Provider Specialty]]) &amp; TRIM(Table1[[#This Row],[Provider Specialty Description]]), SPECIALTY_TYPE, 2, FALSE)</f>
        <v>2114</v>
      </c>
      <c r="P1110" s="3" t="str">
        <f>Table1[[#This Row],[Provider Type]] &amp; "+" &amp; Table1[[#This Row],[Provider Type Description]]</f>
        <v>33+Single-Specialty</v>
      </c>
      <c r="Q1110" s="7" t="str">
        <f>Table1[[#This Row],[Provider Specialty]] &amp; "+" &amp; Table1[[#This Row],[Provider Specialty Description]]</f>
        <v>357+Genetics</v>
      </c>
      <c r="R1110" s="7" t="str">
        <f>Table1[[#This Row],[PDMS Specialty Type ID]] &amp; "+" &amp; Table1[[#This Row],[PDMS Provider Type ID]] &amp; "+" &amp;Table1[[#This Row],[TAXONOMY]]</f>
        <v>2114+51+193400000X</v>
      </c>
      <c r="S11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(4511, 2114, 51, N'193400000X', N'Single Specialty - Single Specialty')</v>
      </c>
    </row>
    <row r="1111" spans="1:19" ht="47.25" hidden="1" customHeight="1" x14ac:dyDescent="0.25">
      <c r="A1111" s="22" t="s">
        <v>227</v>
      </c>
      <c r="B1111" s="3" t="s">
        <v>1443</v>
      </c>
      <c r="C1111" s="3" t="s">
        <v>1446</v>
      </c>
      <c r="D1111" s="3" t="s">
        <v>1446</v>
      </c>
      <c r="E1111" s="3" t="s">
        <v>1447</v>
      </c>
      <c r="F1111" s="3">
        <f>VLOOKUP(Table1[[#This Row],[Column2]], TAXONOMY_TYPE, 2, FALSE)</f>
        <v>4453</v>
      </c>
      <c r="G1111" s="4">
        <v>33</v>
      </c>
      <c r="H1111" s="3" t="s">
        <v>1953</v>
      </c>
      <c r="I1111" s="3">
        <f>VLOOKUP(Table1[[#This Row],[Provider Type]] &amp; Table1[[#This Row],[Provider Type Description]], PROVIDER_TYPE, 2, FALSE)</f>
        <v>51</v>
      </c>
      <c r="J1111" s="3">
        <v>358</v>
      </c>
      <c r="K1111" s="3" t="s">
        <v>1005</v>
      </c>
      <c r="L1111" s="3">
        <f>VLOOKUP(TRIM(Table1[[#This Row],[Provider Specialty]]) &amp; TRIM(Table1[[#This Row],[Provider Specialty Description]]), SPECIALTY_TYPE, 2, FALSE)</f>
        <v>77</v>
      </c>
      <c r="M1111" s="3" t="s">
        <v>18</v>
      </c>
      <c r="N1111" s="27" t="s">
        <v>18</v>
      </c>
      <c r="O1111" s="38">
        <f>VLOOKUP(TRIM(Table1[[#This Row],[Provider Specialty]]) &amp; TRIM(Table1[[#This Row],[Provider Specialty Description]]), SPECIALTY_TYPE, 2, FALSE)</f>
        <v>77</v>
      </c>
      <c r="P1111" s="3" t="str">
        <f>Table1[[#This Row],[Provider Type]] &amp; "+" &amp; Table1[[#This Row],[Provider Type Description]]</f>
        <v>33+Single-Specialty</v>
      </c>
      <c r="Q1111" s="7" t="str">
        <f>Table1[[#This Row],[Provider Specialty]] &amp; "+" &amp; Table1[[#This Row],[Provider Specialty Description]]</f>
        <v>358+Hematology</v>
      </c>
      <c r="R1111" s="7" t="str">
        <f>Table1[[#This Row],[PDMS Specialty Type ID]] &amp; "+" &amp; Table1[[#This Row],[PDMS Provider Type ID]] &amp; "+" &amp;Table1[[#This Row],[TAXONOMY]]</f>
        <v>77+51+193400000X</v>
      </c>
      <c r="S11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(4453, 77, 51, N'193400000X', N'Single Specialty - Single Specialty')</v>
      </c>
    </row>
    <row r="1112" spans="1:19" ht="47.25" hidden="1" customHeight="1" x14ac:dyDescent="0.25">
      <c r="A1112" s="22" t="s">
        <v>227</v>
      </c>
      <c r="B1112" s="3" t="s">
        <v>1443</v>
      </c>
      <c r="C1112" s="3" t="s">
        <v>1446</v>
      </c>
      <c r="D1112" s="3" t="s">
        <v>1446</v>
      </c>
      <c r="E1112" s="3" t="s">
        <v>1447</v>
      </c>
      <c r="F1112" s="3">
        <f>VLOOKUP(Table1[[#This Row],[Column2]], TAXONOMY_TYPE, 2, FALSE)</f>
        <v>4458</v>
      </c>
      <c r="G1112" s="4">
        <v>33</v>
      </c>
      <c r="H1112" s="3" t="s">
        <v>1953</v>
      </c>
      <c r="I1112" s="3">
        <f>VLOOKUP(Table1[[#This Row],[Provider Type]] &amp; Table1[[#This Row],[Provider Type Description]], PROVIDER_TYPE, 2, FALSE)</f>
        <v>51</v>
      </c>
      <c r="J1112" s="3">
        <v>359</v>
      </c>
      <c r="K1112" s="3" t="s">
        <v>1012</v>
      </c>
      <c r="L1112" s="3">
        <f>VLOOKUP(TRIM(Table1[[#This Row],[Provider Specialty]]) &amp; TRIM(Table1[[#This Row],[Provider Specialty Description]]), SPECIALTY_TYPE, 2, FALSE)</f>
        <v>299</v>
      </c>
      <c r="M1112" s="3" t="s">
        <v>18</v>
      </c>
      <c r="N1112" s="27" t="s">
        <v>18</v>
      </c>
      <c r="O1112" s="38">
        <f>VLOOKUP(TRIM(Table1[[#This Row],[Provider Specialty]]) &amp; TRIM(Table1[[#This Row],[Provider Specialty Description]]), SPECIALTY_TYPE, 2, FALSE)</f>
        <v>299</v>
      </c>
      <c r="P1112" s="3" t="str">
        <f>Table1[[#This Row],[Provider Type]] &amp; "+" &amp; Table1[[#This Row],[Provider Type Description]]</f>
        <v>33+Single-Specialty</v>
      </c>
      <c r="Q1112" s="7" t="str">
        <f>Table1[[#This Row],[Provider Specialty]] &amp; "+" &amp; Table1[[#This Row],[Provider Specialty Description]]</f>
        <v>359+Infectious Diseases</v>
      </c>
      <c r="R1112" s="7" t="str">
        <f>Table1[[#This Row],[PDMS Specialty Type ID]] &amp; "+" &amp; Table1[[#This Row],[PDMS Provider Type ID]] &amp; "+" &amp;Table1[[#This Row],[TAXONOMY]]</f>
        <v>299+51+193400000X</v>
      </c>
      <c r="S11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(4458, 299, 51, N'193400000X', N'Single Specialty - Single Specialty')</v>
      </c>
    </row>
    <row r="1113" spans="1:19" ht="47.25" hidden="1" customHeight="1" x14ac:dyDescent="0.25">
      <c r="A1113" s="22" t="s">
        <v>227</v>
      </c>
      <c r="B1113" s="3" t="s">
        <v>1443</v>
      </c>
      <c r="C1113" s="3" t="s">
        <v>1446</v>
      </c>
      <c r="D1113" s="3" t="s">
        <v>1446</v>
      </c>
      <c r="E1113" s="3" t="s">
        <v>1447</v>
      </c>
      <c r="F1113" s="3">
        <f>VLOOKUP(Table1[[#This Row],[Column2]], TAXONOMY_TYPE, 2, FALSE)</f>
        <v>4512</v>
      </c>
      <c r="G1113" s="4">
        <v>33</v>
      </c>
      <c r="H1113" s="3" t="s">
        <v>1953</v>
      </c>
      <c r="I1113" s="3">
        <f>VLOOKUP(Table1[[#This Row],[Provider Type]] &amp; Table1[[#This Row],[Provider Type Description]], PROVIDER_TYPE, 2, FALSE)</f>
        <v>51</v>
      </c>
      <c r="J1113" s="3">
        <v>365</v>
      </c>
      <c r="K1113" s="3" t="s">
        <v>1018</v>
      </c>
      <c r="L1113" s="3">
        <f>VLOOKUP(TRIM(Table1[[#This Row],[Provider Specialty]]) &amp; TRIM(Table1[[#This Row],[Provider Specialty Description]]), SPECIALTY_TYPE, 2, FALSE)</f>
        <v>2115</v>
      </c>
      <c r="M1113" s="3" t="s">
        <v>19</v>
      </c>
      <c r="N1113" s="27" t="s">
        <v>18</v>
      </c>
      <c r="O1113" s="38">
        <f>VLOOKUP(TRIM(Table1[[#This Row],[Provider Specialty]]) &amp; TRIM(Table1[[#This Row],[Provider Specialty Description]]), SPECIALTY_TYPE, 2, FALSE)</f>
        <v>2115</v>
      </c>
      <c r="P1113" s="3" t="str">
        <f>Table1[[#This Row],[Provider Type]] &amp; "+" &amp; Table1[[#This Row],[Provider Type Description]]</f>
        <v>33+Single-Specialty</v>
      </c>
      <c r="Q1113" s="7" t="str">
        <f>Table1[[#This Row],[Provider Specialty]] &amp; "+" &amp; Table1[[#This Row],[Provider Specialty Description]]</f>
        <v>365+Oncologist</v>
      </c>
      <c r="R1113" s="7" t="str">
        <f>Table1[[#This Row],[PDMS Specialty Type ID]] &amp; "+" &amp; Table1[[#This Row],[PDMS Provider Type ID]] &amp; "+" &amp;Table1[[#This Row],[TAXONOMY]]</f>
        <v>2115+51+193400000X</v>
      </c>
      <c r="S11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(4512, 2115, 51, N'193400000X', N'Single Specialty - Single Specialty')</v>
      </c>
    </row>
    <row r="1114" spans="1:19" ht="47.25" hidden="1" customHeight="1" x14ac:dyDescent="0.25">
      <c r="A1114" s="22" t="s">
        <v>227</v>
      </c>
      <c r="B1114" s="3" t="s">
        <v>1443</v>
      </c>
      <c r="C1114" s="3" t="s">
        <v>1446</v>
      </c>
      <c r="D1114" s="3" t="s">
        <v>1446</v>
      </c>
      <c r="E1114" s="3" t="s">
        <v>1447</v>
      </c>
      <c r="F1114" s="3">
        <f>VLOOKUP(Table1[[#This Row],[Column2]], TAXONOMY_TYPE, 2, FALSE)</f>
        <v>4513</v>
      </c>
      <c r="G1114" s="4">
        <v>33</v>
      </c>
      <c r="H1114" s="3" t="s">
        <v>1953</v>
      </c>
      <c r="I1114" s="3">
        <f>VLOOKUP(Table1[[#This Row],[Provider Type]] &amp; Table1[[#This Row],[Provider Type Description]], PROVIDER_TYPE, 2, FALSE)</f>
        <v>51</v>
      </c>
      <c r="J1114" s="3">
        <v>366</v>
      </c>
      <c r="K1114" s="3" t="s">
        <v>1074</v>
      </c>
      <c r="L1114" s="3">
        <f>VLOOKUP(TRIM(Table1[[#This Row],[Provider Specialty]]) &amp; TRIM(Table1[[#This Row],[Provider Specialty Description]]), SPECIALTY_TYPE, 2, FALSE)</f>
        <v>2116</v>
      </c>
      <c r="M1114" s="3" t="s">
        <v>19</v>
      </c>
      <c r="N1114" s="27" t="s">
        <v>18</v>
      </c>
      <c r="O1114" s="38">
        <f>VLOOKUP(TRIM(Table1[[#This Row],[Provider Specialty]]) &amp; TRIM(Table1[[#This Row],[Provider Specialty Description]]), SPECIALTY_TYPE, 2, FALSE)</f>
        <v>2116</v>
      </c>
      <c r="P1114" s="3" t="str">
        <f>Table1[[#This Row],[Provider Type]] &amp; "+" &amp; Table1[[#This Row],[Provider Type Description]]</f>
        <v>33+Single-Specialty</v>
      </c>
      <c r="Q1114" s="7" t="str">
        <f>Table1[[#This Row],[Provider Specialty]] &amp; "+" &amp; Table1[[#This Row],[Provider Specialty Description]]</f>
        <v>366+Allergist - Pediatric</v>
      </c>
      <c r="R1114" s="7" t="str">
        <f>Table1[[#This Row],[PDMS Specialty Type ID]] &amp; "+" &amp; Table1[[#This Row],[PDMS Provider Type ID]] &amp; "+" &amp;Table1[[#This Row],[TAXONOMY]]</f>
        <v>2116+51+193400000X</v>
      </c>
      <c r="S11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(4513, 2116, 51, N'193400000X', N'Single Specialty - Single Specialty')</v>
      </c>
    </row>
    <row r="1115" spans="1:19" ht="47.25" hidden="1" customHeight="1" x14ac:dyDescent="0.25">
      <c r="A1115" s="22" t="s">
        <v>227</v>
      </c>
      <c r="B1115" s="3" t="s">
        <v>1443</v>
      </c>
      <c r="C1115" s="3" t="s">
        <v>1446</v>
      </c>
      <c r="D1115" s="3" t="s">
        <v>1446</v>
      </c>
      <c r="E1115" s="3" t="s">
        <v>1447</v>
      </c>
      <c r="F1115" s="3">
        <f>VLOOKUP(Table1[[#This Row],[Column2]], TAXONOMY_TYPE, 2, FALSE)</f>
        <v>4514</v>
      </c>
      <c r="G1115" s="4">
        <v>33</v>
      </c>
      <c r="H1115" s="3" t="s">
        <v>1953</v>
      </c>
      <c r="I1115" s="3">
        <f>VLOOKUP(Table1[[#This Row],[Provider Type]] &amp; Table1[[#This Row],[Provider Type Description]], PROVIDER_TYPE, 2, FALSE)</f>
        <v>51</v>
      </c>
      <c r="J1115" s="3">
        <v>495</v>
      </c>
      <c r="K1115" s="3" t="s">
        <v>931</v>
      </c>
      <c r="L1115" s="3">
        <f>VLOOKUP(TRIM(Table1[[#This Row],[Provider Specialty]]) &amp; TRIM(Table1[[#This Row],[Provider Specialty Description]]), SPECIALTY_TYPE, 2, FALSE)</f>
        <v>2117</v>
      </c>
      <c r="M1115" s="3" t="s">
        <v>18</v>
      </c>
      <c r="N1115" s="27" t="s">
        <v>18</v>
      </c>
      <c r="O1115" s="38">
        <f>VLOOKUP(TRIM(Table1[[#This Row],[Provider Specialty]]) &amp; TRIM(Table1[[#This Row],[Provider Specialty Description]]), SPECIALTY_TYPE, 2, FALSE)</f>
        <v>2117</v>
      </c>
      <c r="P1115" s="3" t="str">
        <f>Table1[[#This Row],[Provider Type]] &amp; "+" &amp; Table1[[#This Row],[Provider Type Description]]</f>
        <v>33+Single-Specialty</v>
      </c>
      <c r="Q1115" s="7" t="str">
        <f>Table1[[#This Row],[Provider Specialty]] &amp; "+" &amp; Table1[[#This Row],[Provider Specialty Description]]</f>
        <v>495+Anesthesiologist - Other</v>
      </c>
      <c r="R1115" s="7" t="str">
        <f>Table1[[#This Row],[PDMS Specialty Type ID]] &amp; "+" &amp; Table1[[#This Row],[PDMS Provider Type ID]] &amp; "+" &amp;Table1[[#This Row],[TAXONOMY]]</f>
        <v>2117+51+193400000X</v>
      </c>
      <c r="S11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(4514, 2117, 51, N'193400000X', N'Single Specialty - Single Specialty')</v>
      </c>
    </row>
    <row r="1116" spans="1:19" ht="47.25" hidden="1" customHeight="1" x14ac:dyDescent="0.25">
      <c r="A1116" s="22" t="s">
        <v>227</v>
      </c>
      <c r="B1116" s="3" t="s">
        <v>1443</v>
      </c>
      <c r="C1116" s="3" t="s">
        <v>1446</v>
      </c>
      <c r="D1116" s="3" t="s">
        <v>1446</v>
      </c>
      <c r="E1116" s="3" t="s">
        <v>1447</v>
      </c>
      <c r="F1116" s="3">
        <f>VLOOKUP(Table1[[#This Row],[Column2]], TAXONOMY_TYPE, 2, FALSE)</f>
        <v>4460</v>
      </c>
      <c r="G1116" s="4">
        <v>33</v>
      </c>
      <c r="H1116" s="3" t="s">
        <v>1953</v>
      </c>
      <c r="I1116" s="3">
        <f>VLOOKUP(Table1[[#This Row],[Provider Type]] &amp; Table1[[#This Row],[Provider Type Description]], PROVIDER_TYPE, 2, FALSE)</f>
        <v>51</v>
      </c>
      <c r="J1116" s="3">
        <v>520</v>
      </c>
      <c r="K1116" s="3" t="s">
        <v>1435</v>
      </c>
      <c r="L1116" s="3">
        <f>VLOOKUP(TRIM(Table1[[#This Row],[Provider Specialty]]) &amp; TRIM(Table1[[#This Row],[Provider Specialty Description]]), SPECIALTY_TYPE, 2, FALSE)</f>
        <v>518</v>
      </c>
      <c r="M1116" s="3" t="s">
        <v>18</v>
      </c>
      <c r="N1116" s="27" t="s">
        <v>18</v>
      </c>
      <c r="O1116" s="38">
        <f>VLOOKUP(TRIM(Table1[[#This Row],[Provider Specialty]]) &amp; TRIM(Table1[[#This Row],[Provider Specialty Description]]), SPECIALTY_TYPE, 2, FALSE)</f>
        <v>518</v>
      </c>
      <c r="P1116" s="3" t="str">
        <f>Table1[[#This Row],[Provider Type]] &amp; "+" &amp; Table1[[#This Row],[Provider Type Description]]</f>
        <v>33+Single-Specialty</v>
      </c>
      <c r="Q1116" s="7" t="str">
        <f>Table1[[#This Row],[Provider Specialty]] &amp; "+" &amp; Table1[[#This Row],[Provider Specialty Description]]</f>
        <v>520+Clinical Pharmacology</v>
      </c>
      <c r="R1116" s="7" t="str">
        <f>Table1[[#This Row],[PDMS Specialty Type ID]] &amp; "+" &amp; Table1[[#This Row],[PDMS Provider Type ID]] &amp; "+" &amp;Table1[[#This Row],[TAXONOMY]]</f>
        <v>518+51+193400000X</v>
      </c>
      <c r="S11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(4460, 518, 51, N'193400000X', N'Single Specialty - Single Specialty')</v>
      </c>
    </row>
    <row r="1117" spans="1:19" ht="47.25" hidden="1" customHeight="1" x14ac:dyDescent="0.25">
      <c r="A1117" s="22" t="s">
        <v>227</v>
      </c>
      <c r="B1117" s="3" t="s">
        <v>1443</v>
      </c>
      <c r="C1117" s="3" t="s">
        <v>1446</v>
      </c>
      <c r="D1117" s="3" t="s">
        <v>1446</v>
      </c>
      <c r="E1117" s="3" t="s">
        <v>1447</v>
      </c>
      <c r="F1117" s="3">
        <f>VLOOKUP(Table1[[#This Row],[Column2]], TAXONOMY_TYPE, 2, FALSE)</f>
        <v>4462</v>
      </c>
      <c r="G1117" s="4">
        <v>33</v>
      </c>
      <c r="H1117" s="3" t="s">
        <v>1953</v>
      </c>
      <c r="I1117" s="3">
        <f>VLOOKUP(Table1[[#This Row],[Provider Type]] &amp; Table1[[#This Row],[Provider Type Description]], PROVIDER_TYPE, 2, FALSE)</f>
        <v>51</v>
      </c>
      <c r="J1117" s="3">
        <v>530</v>
      </c>
      <c r="K1117" s="3" t="s">
        <v>1421</v>
      </c>
      <c r="L1117" s="3">
        <f>VLOOKUP(TRIM(Table1[[#This Row],[Provider Specialty]]) &amp; TRIM(Table1[[#This Row],[Provider Specialty Description]]), SPECIALTY_TYPE, 2, FALSE)</f>
        <v>622</v>
      </c>
      <c r="M1117" s="3" t="s">
        <v>18</v>
      </c>
      <c r="N1117" s="27" t="s">
        <v>18</v>
      </c>
      <c r="O1117" s="38">
        <f>VLOOKUP(TRIM(Table1[[#This Row],[Provider Specialty]]) &amp; TRIM(Table1[[#This Row],[Provider Specialty Description]]), SPECIALTY_TYPE, 2, FALSE)</f>
        <v>622</v>
      </c>
      <c r="P1117" s="3" t="str">
        <f>Table1[[#This Row],[Provider Type]] &amp; "+" &amp; Table1[[#This Row],[Provider Type Description]]</f>
        <v>33+Single-Specialty</v>
      </c>
      <c r="Q1117" s="7" t="str">
        <f>Table1[[#This Row],[Provider Specialty]] &amp; "+" &amp; Table1[[#This Row],[Provider Specialty Description]]</f>
        <v>530+Legal Medicine</v>
      </c>
      <c r="R1117" s="7" t="str">
        <f>Table1[[#This Row],[PDMS Specialty Type ID]] &amp; "+" &amp; Table1[[#This Row],[PDMS Provider Type ID]] &amp; "+" &amp;Table1[[#This Row],[TAXONOMY]]</f>
        <v>622+51+193400000X</v>
      </c>
      <c r="S11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(4462, 622, 51, N'193400000X', N'Single Specialty - Single Specialty')</v>
      </c>
    </row>
    <row r="1118" spans="1:19" ht="47.25" hidden="1" customHeight="1" x14ac:dyDescent="0.25">
      <c r="A1118" s="22" t="s">
        <v>227</v>
      </c>
      <c r="B1118" s="3" t="s">
        <v>1443</v>
      </c>
      <c r="C1118" s="3" t="s">
        <v>1446</v>
      </c>
      <c r="D1118" s="3" t="s">
        <v>1446</v>
      </c>
      <c r="E1118" s="3" t="s">
        <v>1447</v>
      </c>
      <c r="F1118" s="3">
        <f>VLOOKUP(Table1[[#This Row],[Column2]], TAXONOMY_TYPE, 2, FALSE)</f>
        <v>4465</v>
      </c>
      <c r="G1118" s="4">
        <v>33</v>
      </c>
      <c r="H1118" s="3" t="s">
        <v>1953</v>
      </c>
      <c r="I1118" s="3">
        <f>VLOOKUP(Table1[[#This Row],[Provider Type]] &amp; Table1[[#This Row],[Provider Type Description]], PROVIDER_TYPE, 2, FALSE)</f>
        <v>51</v>
      </c>
      <c r="J1118" s="3">
        <v>540</v>
      </c>
      <c r="K1118" s="3" t="s">
        <v>1424</v>
      </c>
      <c r="L1118" s="3">
        <f>VLOOKUP(TRIM(Table1[[#This Row],[Provider Specialty]]) &amp; TRIM(Table1[[#This Row],[Provider Specialty Description]]), SPECIALTY_TYPE, 2, FALSE)</f>
        <v>1980</v>
      </c>
      <c r="M1118" s="3" t="s">
        <v>18</v>
      </c>
      <c r="N1118" s="27" t="s">
        <v>18</v>
      </c>
      <c r="O1118" s="38">
        <f>VLOOKUP(TRIM(Table1[[#This Row],[Provider Specialty]]) &amp; TRIM(Table1[[#This Row],[Provider Specialty Description]]), SPECIALTY_TYPE, 2, FALSE)</f>
        <v>1980</v>
      </c>
      <c r="P1118" s="3" t="str">
        <f>Table1[[#This Row],[Provider Type]] &amp; "+" &amp; Table1[[#This Row],[Provider Type Description]]</f>
        <v>33+Single-Specialty</v>
      </c>
      <c r="Q1118" s="7" t="str">
        <f>Table1[[#This Row],[Provider Specialty]] &amp; "+" &amp; Table1[[#This Row],[Provider Specialty Description]]</f>
        <v>540+Phlebology</v>
      </c>
      <c r="R1118" s="7" t="str">
        <f>Table1[[#This Row],[PDMS Specialty Type ID]] &amp; "+" &amp; Table1[[#This Row],[PDMS Provider Type ID]] &amp; "+" &amp;Table1[[#This Row],[TAXONOMY]]</f>
        <v>1980+51+193400000X</v>
      </c>
      <c r="S11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(4465, 1980, 51, N'193400000X', N'Single Specialty - Single Specialty')</v>
      </c>
    </row>
    <row r="1119" spans="1:19" ht="47.25" hidden="1" customHeight="1" x14ac:dyDescent="0.25">
      <c r="A1119" s="22" t="s">
        <v>227</v>
      </c>
      <c r="B1119" s="3" t="s">
        <v>659</v>
      </c>
      <c r="C1119" s="3" t="s">
        <v>1450</v>
      </c>
      <c r="D1119" s="3" t="s">
        <v>1450</v>
      </c>
      <c r="E1119" s="3" t="s">
        <v>1451</v>
      </c>
      <c r="F1119" s="3">
        <f>VLOOKUP(Table1[[#This Row],[Column2]], TAXONOMY_TYPE, 2, FALSE)</f>
        <v>10040</v>
      </c>
      <c r="G1119" s="3">
        <v>36</v>
      </c>
      <c r="H1119" s="3" t="s">
        <v>1448</v>
      </c>
      <c r="I1119" s="3">
        <f>VLOOKUP(Table1[[#This Row],[Provider Type]] &amp; Table1[[#This Row],[Provider Type Description]], PROVIDER_TYPE, 2, FALSE)</f>
        <v>69</v>
      </c>
      <c r="J1119" s="3">
        <v>360</v>
      </c>
      <c r="K1119" s="3" t="s">
        <v>1452</v>
      </c>
      <c r="L1119" s="3">
        <f>VLOOKUP(TRIM(Table1[[#This Row],[Provider Specialty]]) &amp; TRIM(Table1[[#This Row],[Provider Specialty Description]]), SPECIALTY_TYPE, 2, FALSE)</f>
        <v>2263</v>
      </c>
      <c r="M1119" s="3" t="s">
        <v>18</v>
      </c>
      <c r="N1119" s="27" t="s">
        <v>18</v>
      </c>
      <c r="O1119" s="38">
        <f>VLOOKUP(TRIM(Table1[[#This Row],[Provider Specialty]]) &amp; TRIM(Table1[[#This Row],[Provider Specialty Description]]), SPECIALTY_TYPE, 2, FALSE)</f>
        <v>2263</v>
      </c>
      <c r="P1119" s="3" t="str">
        <f>Table1[[#This Row],[Provider Type]] &amp; "+" &amp; Table1[[#This Row],[Provider Type Description]]</f>
        <v>36+Personal Care Services</v>
      </c>
      <c r="Q1119" s="7" t="str">
        <f>Table1[[#This Row],[Provider Specialty]] &amp; "+" &amp; Table1[[#This Row],[Provider Specialty Description]]</f>
        <v>360+Personal Care - Individual</v>
      </c>
      <c r="R1119" s="7" t="str">
        <f>Table1[[#This Row],[PDMS Specialty Type ID]] &amp; "+" &amp; Table1[[#This Row],[PDMS Provider Type ID]] &amp; "+" &amp;Table1[[#This Row],[TAXONOMY]]</f>
        <v>2263+69+372500000X</v>
      </c>
      <c r="S11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(10040, 2263, 69, N'372500000X', N'Chore Provider - Chore Provider')</v>
      </c>
    </row>
    <row r="1120" spans="1:19" ht="47.25" hidden="1" customHeight="1" x14ac:dyDescent="0.25">
      <c r="A1120" s="22" t="s">
        <v>227</v>
      </c>
      <c r="B1120" s="3" t="s">
        <v>659</v>
      </c>
      <c r="C1120" s="3" t="s">
        <v>1453</v>
      </c>
      <c r="D1120" s="3" t="s">
        <v>1453</v>
      </c>
      <c r="E1120" s="3" t="s">
        <v>1454</v>
      </c>
      <c r="F1120" s="3">
        <f>VLOOKUP(Table1[[#This Row],[Column2]], TAXONOMY_TYPE, 2, FALSE)</f>
        <v>10041</v>
      </c>
      <c r="G1120" s="3">
        <v>36</v>
      </c>
      <c r="H1120" s="3" t="s">
        <v>1448</v>
      </c>
      <c r="I1120" s="3">
        <f>VLOOKUP(Table1[[#This Row],[Provider Type]] &amp; Table1[[#This Row],[Provider Type Description]], PROVIDER_TYPE, 2, FALSE)</f>
        <v>69</v>
      </c>
      <c r="J1120" s="3">
        <v>360</v>
      </c>
      <c r="K1120" s="3" t="s">
        <v>1452</v>
      </c>
      <c r="L1120" s="3">
        <f>VLOOKUP(TRIM(Table1[[#This Row],[Provider Specialty]]) &amp; TRIM(Table1[[#This Row],[Provider Specialty Description]]), SPECIALTY_TYPE, 2, FALSE)</f>
        <v>2263</v>
      </c>
      <c r="M1120" s="3" t="s">
        <v>18</v>
      </c>
      <c r="N1120" s="27" t="s">
        <v>18</v>
      </c>
      <c r="O1120" s="38">
        <f>VLOOKUP(TRIM(Table1[[#This Row],[Provider Specialty]]) &amp; TRIM(Table1[[#This Row],[Provider Specialty Description]]), SPECIALTY_TYPE, 2, FALSE)</f>
        <v>2263</v>
      </c>
      <c r="P1120" s="3" t="str">
        <f>Table1[[#This Row],[Provider Type]] &amp; "+" &amp; Table1[[#This Row],[Provider Type Description]]</f>
        <v>36+Personal Care Services</v>
      </c>
      <c r="Q1120" s="7" t="str">
        <f>Table1[[#This Row],[Provider Specialty]] &amp; "+" &amp; Table1[[#This Row],[Provider Specialty Description]]</f>
        <v>360+Personal Care - Individual</v>
      </c>
      <c r="R1120" s="7" t="str">
        <f>Table1[[#This Row],[PDMS Specialty Type ID]] &amp; "+" &amp; Table1[[#This Row],[PDMS Provider Type ID]] &amp; "+" &amp;Table1[[#This Row],[TAXONOMY]]</f>
        <v>2263+69+373H00000X</v>
      </c>
      <c r="S11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(10041, 2263, 69, N'373H00000X', N'Day Training/Habilitation Specialist - Day Training/Habilitation Specialist')</v>
      </c>
    </row>
    <row r="1121" spans="1:19" ht="47.25" hidden="1" customHeight="1" x14ac:dyDescent="0.25">
      <c r="A1121" s="22" t="s">
        <v>227</v>
      </c>
      <c r="B1121" s="3" t="s">
        <v>659</v>
      </c>
      <c r="C1121" s="3" t="s">
        <v>1455</v>
      </c>
      <c r="D1121" s="3" t="s">
        <v>1456</v>
      </c>
      <c r="E1121" s="3" t="s">
        <v>1457</v>
      </c>
      <c r="F1121" s="3">
        <f>VLOOKUP(Table1[[#This Row],[Column2]], TAXONOMY_TYPE, 2, FALSE)</f>
        <v>10042</v>
      </c>
      <c r="G1121" s="3">
        <v>36</v>
      </c>
      <c r="H1121" s="3" t="s">
        <v>1448</v>
      </c>
      <c r="I1121" s="3">
        <f>VLOOKUP(Table1[[#This Row],[Provider Type]] &amp; Table1[[#This Row],[Provider Type Description]], PROVIDER_TYPE, 2, FALSE)</f>
        <v>69</v>
      </c>
      <c r="J1121" s="3">
        <v>360</v>
      </c>
      <c r="K1121" s="3" t="s">
        <v>1452</v>
      </c>
      <c r="L1121" s="3">
        <f>VLOOKUP(TRIM(Table1[[#This Row],[Provider Specialty]]) &amp; TRIM(Table1[[#This Row],[Provider Specialty Description]]), SPECIALTY_TYPE, 2, FALSE)</f>
        <v>2263</v>
      </c>
      <c r="M1121" s="3" t="s">
        <v>18</v>
      </c>
      <c r="N1121" s="27" t="s">
        <v>18</v>
      </c>
      <c r="O1121" s="38">
        <f>VLOOKUP(TRIM(Table1[[#This Row],[Provider Specialty]]) &amp; TRIM(Table1[[#This Row],[Provider Specialty Description]]), SPECIALTY_TYPE, 2, FALSE)</f>
        <v>2263</v>
      </c>
      <c r="P1121" s="3" t="str">
        <f>Table1[[#This Row],[Provider Type]] &amp; "+" &amp; Table1[[#This Row],[Provider Type Description]]</f>
        <v>36+Personal Care Services</v>
      </c>
      <c r="Q1121" s="7" t="str">
        <f>Table1[[#This Row],[Provider Specialty]] &amp; "+" &amp; Table1[[#This Row],[Provider Specialty Description]]</f>
        <v>360+Personal Care - Individual</v>
      </c>
      <c r="R1121" s="7" t="str">
        <f>Table1[[#This Row],[PDMS Specialty Type ID]] &amp; "+" &amp; Table1[[#This Row],[PDMS Provider Type ID]] &amp; "+" &amp;Table1[[#This Row],[TAXONOMY]]</f>
        <v>2263+69+3747P1801X</v>
      </c>
      <c r="S11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(10042, 2263, 69, N'3747P1801X', N'Technician - Personal Care Attendant')</v>
      </c>
    </row>
    <row r="1122" spans="1:19" ht="47.25" hidden="1" customHeight="1" x14ac:dyDescent="0.25">
      <c r="A1122" s="22" t="s">
        <v>227</v>
      </c>
      <c r="B1122" s="3" t="s">
        <v>659</v>
      </c>
      <c r="C1122" s="3" t="s">
        <v>1458</v>
      </c>
      <c r="D1122" s="3" t="s">
        <v>1458</v>
      </c>
      <c r="E1122" s="3" t="s">
        <v>1459</v>
      </c>
      <c r="F1122" s="3">
        <f>VLOOKUP(Table1[[#This Row],[Column2]], TAXONOMY_TYPE, 2, FALSE)</f>
        <v>10043</v>
      </c>
      <c r="G1122" s="3">
        <v>36</v>
      </c>
      <c r="H1122" s="3" t="s">
        <v>1448</v>
      </c>
      <c r="I1122" s="3">
        <f>VLOOKUP(Table1[[#This Row],[Provider Type]] &amp; Table1[[#This Row],[Provider Type Description]], PROVIDER_TYPE, 2, FALSE)</f>
        <v>69</v>
      </c>
      <c r="J1122" s="3">
        <v>360</v>
      </c>
      <c r="K1122" s="3" t="s">
        <v>1452</v>
      </c>
      <c r="L1122" s="3">
        <f>VLOOKUP(TRIM(Table1[[#This Row],[Provider Specialty]]) &amp; TRIM(Table1[[#This Row],[Provider Specialty Description]]), SPECIALTY_TYPE, 2, FALSE)</f>
        <v>2263</v>
      </c>
      <c r="M1122" s="3" t="s">
        <v>18</v>
      </c>
      <c r="N1122" s="27" t="s">
        <v>18</v>
      </c>
      <c r="O1122" s="38">
        <f>VLOOKUP(TRIM(Table1[[#This Row],[Provider Specialty]]) &amp; TRIM(Table1[[#This Row],[Provider Specialty Description]]), SPECIALTY_TYPE, 2, FALSE)</f>
        <v>2263</v>
      </c>
      <c r="P1122" s="3" t="str">
        <f>Table1[[#This Row],[Provider Type]] &amp; "+" &amp; Table1[[#This Row],[Provider Type Description]]</f>
        <v>36+Personal Care Services</v>
      </c>
      <c r="Q1122" s="7" t="str">
        <f>Table1[[#This Row],[Provider Specialty]] &amp; "+" &amp; Table1[[#This Row],[Provider Specialty Description]]</f>
        <v>360+Personal Care - Individual</v>
      </c>
      <c r="R1122" s="7" t="str">
        <f>Table1[[#This Row],[PDMS Specialty Type ID]] &amp; "+" &amp; Table1[[#This Row],[PDMS Provider Type ID]] &amp; "+" &amp;Table1[[#This Row],[TAXONOMY]]</f>
        <v>2263+69+374J00000X</v>
      </c>
      <c r="S11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(10043, 2263, 69, N'374J00000X', N'Doula - Doula')</v>
      </c>
    </row>
    <row r="1123" spans="1:19" ht="47.25" hidden="1" customHeight="1" x14ac:dyDescent="0.25">
      <c r="A1123" s="22" t="s">
        <v>227</v>
      </c>
      <c r="B1123" s="3" t="s">
        <v>659</v>
      </c>
      <c r="C1123" s="3" t="s">
        <v>1460</v>
      </c>
      <c r="D1123" s="3" t="s">
        <v>1460</v>
      </c>
      <c r="E1123" s="3" t="s">
        <v>1461</v>
      </c>
      <c r="F1123" s="3">
        <f>VLOOKUP(Table1[[#This Row],[Column2]], TAXONOMY_TYPE, 2, FALSE)</f>
        <v>10044</v>
      </c>
      <c r="G1123" s="3">
        <v>36</v>
      </c>
      <c r="H1123" s="3" t="s">
        <v>1448</v>
      </c>
      <c r="I1123" s="3">
        <f>VLOOKUP(Table1[[#This Row],[Provider Type]] &amp; Table1[[#This Row],[Provider Type Description]], PROVIDER_TYPE, 2, FALSE)</f>
        <v>69</v>
      </c>
      <c r="J1123" s="3">
        <v>360</v>
      </c>
      <c r="K1123" s="3" t="s">
        <v>1452</v>
      </c>
      <c r="L1123" s="3">
        <f>VLOOKUP(TRIM(Table1[[#This Row],[Provider Specialty]]) &amp; TRIM(Table1[[#This Row],[Provider Specialty Description]]), SPECIALTY_TYPE, 2, FALSE)</f>
        <v>2263</v>
      </c>
      <c r="M1123" s="3" t="s">
        <v>18</v>
      </c>
      <c r="N1123" s="27" t="s">
        <v>18</v>
      </c>
      <c r="O1123" s="38">
        <f>VLOOKUP(TRIM(Table1[[#This Row],[Provider Specialty]]) &amp; TRIM(Table1[[#This Row],[Provider Specialty Description]]), SPECIALTY_TYPE, 2, FALSE)</f>
        <v>2263</v>
      </c>
      <c r="P1123" s="3" t="str">
        <f>Table1[[#This Row],[Provider Type]] &amp; "+" &amp; Table1[[#This Row],[Provider Type Description]]</f>
        <v>36+Personal Care Services</v>
      </c>
      <c r="Q1123" s="7" t="str">
        <f>Table1[[#This Row],[Provider Specialty]] &amp; "+" &amp; Table1[[#This Row],[Provider Specialty Description]]</f>
        <v>360+Personal Care - Individual</v>
      </c>
      <c r="R1123" s="7" t="str">
        <f>Table1[[#This Row],[PDMS Specialty Type ID]] &amp; "+" &amp; Table1[[#This Row],[PDMS Provider Type ID]] &amp; "+" &amp;Table1[[#This Row],[TAXONOMY]]</f>
        <v>2263+69+374K00000X</v>
      </c>
      <c r="S11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(10044, 2263, 69, N'374K00000X', N'Religious Nonmedical Practitioner - Religious Nonmedical Practitioner')</v>
      </c>
    </row>
    <row r="1124" spans="1:19" ht="47.25" hidden="1" customHeight="1" x14ac:dyDescent="0.25">
      <c r="A1124" s="22" t="s">
        <v>227</v>
      </c>
      <c r="B1124" s="3" t="s">
        <v>659</v>
      </c>
      <c r="C1124" s="3" t="s">
        <v>1462</v>
      </c>
      <c r="D1124" s="3" t="s">
        <v>1462</v>
      </c>
      <c r="E1124" s="3" t="s">
        <v>1463</v>
      </c>
      <c r="F1124" s="3">
        <f>VLOOKUP(Table1[[#This Row],[Column2]], TAXONOMY_TYPE, 2, FALSE)</f>
        <v>10045</v>
      </c>
      <c r="G1124" s="3">
        <v>36</v>
      </c>
      <c r="H1124" s="3" t="s">
        <v>1448</v>
      </c>
      <c r="I1124" s="3">
        <f>VLOOKUP(Table1[[#This Row],[Provider Type]] &amp; Table1[[#This Row],[Provider Type Description]], PROVIDER_TYPE, 2, FALSE)</f>
        <v>69</v>
      </c>
      <c r="J1124" s="3">
        <v>360</v>
      </c>
      <c r="K1124" s="3" t="s">
        <v>1452</v>
      </c>
      <c r="L1124" s="3">
        <f>VLOOKUP(TRIM(Table1[[#This Row],[Provider Specialty]]) &amp; TRIM(Table1[[#This Row],[Provider Specialty Description]]), SPECIALTY_TYPE, 2, FALSE)</f>
        <v>2263</v>
      </c>
      <c r="M1124" s="3" t="s">
        <v>18</v>
      </c>
      <c r="N1124" s="27" t="s">
        <v>18</v>
      </c>
      <c r="O1124" s="38">
        <f>VLOOKUP(TRIM(Table1[[#This Row],[Provider Specialty]]) &amp; TRIM(Table1[[#This Row],[Provider Specialty Description]]), SPECIALTY_TYPE, 2, FALSE)</f>
        <v>2263</v>
      </c>
      <c r="P1124" s="3" t="str">
        <f>Table1[[#This Row],[Provider Type]] &amp; "+" &amp; Table1[[#This Row],[Provider Type Description]]</f>
        <v>36+Personal Care Services</v>
      </c>
      <c r="Q1124" s="7" t="str">
        <f>Table1[[#This Row],[Provider Specialty]] &amp; "+" &amp; Table1[[#This Row],[Provider Specialty Description]]</f>
        <v>360+Personal Care - Individual</v>
      </c>
      <c r="R1124" s="7" t="str">
        <f>Table1[[#This Row],[PDMS Specialty Type ID]] &amp; "+" &amp; Table1[[#This Row],[PDMS Provider Type ID]] &amp; "+" &amp;Table1[[#This Row],[TAXONOMY]]</f>
        <v>2263+69+374U00000X</v>
      </c>
      <c r="S11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(10045, 2263, 69, N'374U00000X', N'Home Health Aide - Home Health Aide')</v>
      </c>
    </row>
    <row r="1125" spans="1:19" ht="47.25" hidden="1" customHeight="1" x14ac:dyDescent="0.25">
      <c r="A1125" s="22" t="s">
        <v>227</v>
      </c>
      <c r="B1125" s="3" t="s">
        <v>659</v>
      </c>
      <c r="C1125" s="3" t="s">
        <v>1464</v>
      </c>
      <c r="D1125" s="3" t="s">
        <v>1464</v>
      </c>
      <c r="E1125" s="3" t="s">
        <v>1465</v>
      </c>
      <c r="F1125" s="3">
        <f>VLOOKUP(Table1[[#This Row],[Column2]], TAXONOMY_TYPE, 2, FALSE)</f>
        <v>10046</v>
      </c>
      <c r="G1125" s="3">
        <v>36</v>
      </c>
      <c r="H1125" s="3" t="s">
        <v>1448</v>
      </c>
      <c r="I1125" s="3">
        <f>VLOOKUP(Table1[[#This Row],[Provider Type]] &amp; Table1[[#This Row],[Provider Type Description]], PROVIDER_TYPE, 2, FALSE)</f>
        <v>69</v>
      </c>
      <c r="J1125" s="3">
        <v>360</v>
      </c>
      <c r="K1125" s="3" t="s">
        <v>1452</v>
      </c>
      <c r="L1125" s="3">
        <f>VLOOKUP(TRIM(Table1[[#This Row],[Provider Specialty]]) &amp; TRIM(Table1[[#This Row],[Provider Specialty Description]]), SPECIALTY_TYPE, 2, FALSE)</f>
        <v>2263</v>
      </c>
      <c r="M1125" s="3" t="s">
        <v>18</v>
      </c>
      <c r="N1125" s="27" t="s">
        <v>18</v>
      </c>
      <c r="O1125" s="38">
        <f>VLOOKUP(TRIM(Table1[[#This Row],[Provider Specialty]]) &amp; TRIM(Table1[[#This Row],[Provider Specialty Description]]), SPECIALTY_TYPE, 2, FALSE)</f>
        <v>2263</v>
      </c>
      <c r="P1125" s="3" t="str">
        <f>Table1[[#This Row],[Provider Type]] &amp; "+" &amp; Table1[[#This Row],[Provider Type Description]]</f>
        <v>36+Personal Care Services</v>
      </c>
      <c r="Q1125" s="7" t="str">
        <f>Table1[[#This Row],[Provider Specialty]] &amp; "+" &amp; Table1[[#This Row],[Provider Specialty Description]]</f>
        <v>360+Personal Care - Individual</v>
      </c>
      <c r="R1125" s="7" t="str">
        <f>Table1[[#This Row],[PDMS Specialty Type ID]] &amp; "+" &amp; Table1[[#This Row],[PDMS Provider Type ID]] &amp; "+" &amp;Table1[[#This Row],[TAXONOMY]]</f>
        <v>2263+69+376K00000X</v>
      </c>
      <c r="S11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(10046, 2263, 69, N'376K00000X', N'Nurse's Aide - Nurse's Aide')</v>
      </c>
    </row>
    <row r="1126" spans="1:19" ht="47.25" hidden="1" customHeight="1" x14ac:dyDescent="0.25">
      <c r="A1126" s="22" t="s">
        <v>227</v>
      </c>
      <c r="B1126" s="3" t="s">
        <v>175</v>
      </c>
      <c r="C1126" s="3" t="s">
        <v>601</v>
      </c>
      <c r="D1126" s="3" t="s">
        <v>601</v>
      </c>
      <c r="E1126" s="3" t="s">
        <v>602</v>
      </c>
      <c r="F1126" s="3">
        <f>VLOOKUP(Table1[[#This Row],[Column2]], TAXONOMY_TYPE, 2, FALSE)</f>
        <v>10047</v>
      </c>
      <c r="G1126" s="3">
        <v>36</v>
      </c>
      <c r="H1126" s="3" t="s">
        <v>1448</v>
      </c>
      <c r="I1126" s="3">
        <f>VLOOKUP(Table1[[#This Row],[Provider Type]] &amp; Table1[[#This Row],[Provider Type Description]], PROVIDER_TYPE, 2, FALSE)</f>
        <v>69</v>
      </c>
      <c r="J1126" s="3">
        <v>361</v>
      </c>
      <c r="K1126" s="3" t="s">
        <v>1449</v>
      </c>
      <c r="L1126" s="3">
        <f>VLOOKUP(TRIM(Table1[[#This Row],[Provider Specialty]]) &amp; TRIM(Table1[[#This Row],[Provider Specialty Description]]), SPECIALTY_TYPE, 2, FALSE)</f>
        <v>2264</v>
      </c>
      <c r="M1126" s="3" t="s">
        <v>18</v>
      </c>
      <c r="N1126" s="27" t="s">
        <v>18</v>
      </c>
      <c r="O1126" s="38">
        <f>VLOOKUP(TRIM(Table1[[#This Row],[Provider Specialty]]) &amp; TRIM(Table1[[#This Row],[Provider Specialty Description]]), SPECIALTY_TYPE, 2, FALSE)</f>
        <v>2264</v>
      </c>
      <c r="P1126" s="3" t="str">
        <f>Table1[[#This Row],[Provider Type]] &amp; "+" &amp; Table1[[#This Row],[Provider Type Description]]</f>
        <v>36+Personal Care Services</v>
      </c>
      <c r="Q1126" s="7" t="str">
        <f>Table1[[#This Row],[Provider Specialty]] &amp; "+" &amp; Table1[[#This Row],[Provider Specialty Description]]</f>
        <v>361+Personal Care - Agency</v>
      </c>
      <c r="R1126" s="7" t="str">
        <f>Table1[[#This Row],[PDMS Specialty Type ID]] &amp; "+" &amp; Table1[[#This Row],[PDMS Provider Type ID]] &amp; "+" &amp;Table1[[#This Row],[TAXONOMY]]</f>
        <v>2264+69+251J00000X</v>
      </c>
      <c r="S11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(10047, 2264, 69, N'251J00000X', N'Nursing Care - Nursing Care')</v>
      </c>
    </row>
    <row r="1127" spans="1:19" ht="47.25" hidden="1" customHeight="1" x14ac:dyDescent="0.25">
      <c r="A1127" s="22" t="s">
        <v>227</v>
      </c>
      <c r="B1127" s="3" t="s">
        <v>659</v>
      </c>
      <c r="C1127" s="3" t="s">
        <v>1453</v>
      </c>
      <c r="D1127" s="3" t="s">
        <v>1453</v>
      </c>
      <c r="E1127" s="3" t="s">
        <v>1454</v>
      </c>
      <c r="F1127" s="3">
        <f>VLOOKUP(Table1[[#This Row],[Column2]], TAXONOMY_TYPE, 2, FALSE)</f>
        <v>10048</v>
      </c>
      <c r="G1127" s="3">
        <v>38</v>
      </c>
      <c r="H1127" s="3" t="s">
        <v>1467</v>
      </c>
      <c r="I1127" s="3">
        <f>VLOOKUP(Table1[[#This Row],[Provider Type]] &amp; Table1[[#This Row],[Provider Type Description]], PROVIDER_TYPE, 2, FALSE)</f>
        <v>71</v>
      </c>
      <c r="J1127" s="3">
        <v>380</v>
      </c>
      <c r="K1127" s="3" t="s">
        <v>1468</v>
      </c>
      <c r="L1127" s="3">
        <f>VLOOKUP(TRIM(Table1[[#This Row],[Provider Specialty]]) &amp; TRIM(Table1[[#This Row],[Provider Specialty Description]]), SPECIALTY_TYPE, 2, FALSE)</f>
        <v>2265</v>
      </c>
      <c r="M1127" s="3" t="s">
        <v>18</v>
      </c>
      <c r="N1127" s="27" t="s">
        <v>18</v>
      </c>
      <c r="O1127" s="38">
        <f>VLOOKUP(TRIM(Table1[[#This Row],[Provider Specialty]]) &amp; TRIM(Table1[[#This Row],[Provider Specialty Description]]), SPECIALTY_TYPE, 2, FALSE)</f>
        <v>2265</v>
      </c>
      <c r="P1127" s="3" t="str">
        <f>Table1[[#This Row],[Provider Type]] &amp; "+" &amp; Table1[[#This Row],[Provider Type Description]]</f>
        <v>38+Respite Care</v>
      </c>
      <c r="Q1127" s="7" t="str">
        <f>Table1[[#This Row],[Provider Specialty]] &amp; "+" &amp; Table1[[#This Row],[Provider Specialty Description]]</f>
        <v>380+Respite Care - Community Based</v>
      </c>
      <c r="R1127" s="7" t="str">
        <f>Table1[[#This Row],[PDMS Specialty Type ID]] &amp; "+" &amp; Table1[[#This Row],[PDMS Provider Type ID]] &amp; "+" &amp;Table1[[#This Row],[TAXONOMY]]</f>
        <v>2265+71+373H00000X</v>
      </c>
      <c r="S11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(10048, 2265, 71, N'373H00000X', N'Day Training/Habilitation Specialist - Day Training/Habilitation Specialist')</v>
      </c>
    </row>
    <row r="1128" spans="1:19" ht="47.25" hidden="1" customHeight="1" x14ac:dyDescent="0.25">
      <c r="A1128" s="22" t="s">
        <v>227</v>
      </c>
      <c r="B1128" s="3" t="s">
        <v>659</v>
      </c>
      <c r="C1128" s="3" t="s">
        <v>1453</v>
      </c>
      <c r="D1128" s="3" t="s">
        <v>1453</v>
      </c>
      <c r="E1128" s="3" t="s">
        <v>1454</v>
      </c>
      <c r="F1128" s="3">
        <f>VLOOKUP(Table1[[#This Row],[Column2]], TAXONOMY_TYPE, 2, FALSE)</f>
        <v>10049</v>
      </c>
      <c r="G1128" s="3">
        <v>38</v>
      </c>
      <c r="H1128" s="3" t="s">
        <v>1467</v>
      </c>
      <c r="I1128" s="3">
        <f>VLOOKUP(Table1[[#This Row],[Provider Type]] &amp; Table1[[#This Row],[Provider Type Description]], PROVIDER_TYPE, 2, FALSE)</f>
        <v>71</v>
      </c>
      <c r="J1128" s="3">
        <v>381</v>
      </c>
      <c r="K1128" s="3" t="s">
        <v>1469</v>
      </c>
      <c r="L1128" s="3">
        <f>VLOOKUP(TRIM(Table1[[#This Row],[Provider Specialty]]) &amp; TRIM(Table1[[#This Row],[Provider Specialty Description]]), SPECIALTY_TYPE, 2, FALSE)</f>
        <v>2266</v>
      </c>
      <c r="M1128" s="3" t="s">
        <v>18</v>
      </c>
      <c r="N1128" s="27" t="s">
        <v>18</v>
      </c>
      <c r="O1128" s="38">
        <f>VLOOKUP(TRIM(Table1[[#This Row],[Provider Specialty]]) &amp; TRIM(Table1[[#This Row],[Provider Specialty Description]]), SPECIALTY_TYPE, 2, FALSE)</f>
        <v>2266</v>
      </c>
      <c r="P1128" s="3" t="str">
        <f>Table1[[#This Row],[Provider Type]] &amp; "+" &amp; Table1[[#This Row],[Provider Type Description]]</f>
        <v>38+Respite Care</v>
      </c>
      <c r="Q1128" s="7" t="str">
        <f>Table1[[#This Row],[Provider Specialty]] &amp; "+" &amp; Table1[[#This Row],[Provider Specialty Description]]</f>
        <v>381+Respite Care - Home Based</v>
      </c>
      <c r="R1128" s="7" t="str">
        <f>Table1[[#This Row],[PDMS Specialty Type ID]] &amp; "+" &amp; Table1[[#This Row],[PDMS Provider Type ID]] &amp; "+" &amp;Table1[[#This Row],[TAXONOMY]]</f>
        <v>2266+71+373H00000X</v>
      </c>
      <c r="S11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(10049, 2266, 71, N'373H00000X', N'Day Training/Habilitation Specialist - Day Training/Habilitation Specialist')</v>
      </c>
    </row>
    <row r="1129" spans="1:19" ht="47.25" hidden="1" customHeight="1" x14ac:dyDescent="0.25">
      <c r="A1129" s="22" t="s">
        <v>227</v>
      </c>
      <c r="B1129" s="3" t="s">
        <v>175</v>
      </c>
      <c r="C1129" s="3" t="s">
        <v>548</v>
      </c>
      <c r="D1129" s="3" t="s">
        <v>548</v>
      </c>
      <c r="E1129" s="3" t="s">
        <v>549</v>
      </c>
      <c r="F1129" s="3">
        <f>VLOOKUP(Table1[[#This Row],[Column2]], TAXONOMY_TYPE, 2, FALSE)</f>
        <v>10050</v>
      </c>
      <c r="G1129" s="3">
        <v>39</v>
      </c>
      <c r="H1129" s="3" t="s">
        <v>1473</v>
      </c>
      <c r="I1129" s="3">
        <f>VLOOKUP(Table1[[#This Row],[Provider Type]] &amp; Table1[[#This Row],[Provider Type Description]], PROVIDER_TYPE, 2, FALSE)</f>
        <v>72</v>
      </c>
      <c r="J1129" s="3">
        <v>390</v>
      </c>
      <c r="K1129" s="3" t="s">
        <v>1475</v>
      </c>
      <c r="L1129" s="3">
        <f>VLOOKUP(TRIM(Table1[[#This Row],[Provider Specialty]]) &amp; TRIM(Table1[[#This Row],[Provider Specialty Description]]), SPECIALTY_TYPE, 2, FALSE)</f>
        <v>2267</v>
      </c>
      <c r="M1129" s="3" t="s">
        <v>18</v>
      </c>
      <c r="N1129" s="27" t="s">
        <v>18</v>
      </c>
      <c r="O1129" s="38">
        <f>VLOOKUP(TRIM(Table1[[#This Row],[Provider Specialty]]) &amp; TRIM(Table1[[#This Row],[Provider Specialty Description]]), SPECIALTY_TYPE, 2, FALSE)</f>
        <v>2267</v>
      </c>
      <c r="P1129" s="3" t="str">
        <f>Table1[[#This Row],[Provider Type]] &amp; "+" &amp; Table1[[#This Row],[Provider Type Description]]</f>
        <v>39+Direct Support Services</v>
      </c>
      <c r="Q1129" s="7" t="str">
        <f>Table1[[#This Row],[Provider Specialty]] &amp; "+" &amp; Table1[[#This Row],[Provider Specialty Description]]</f>
        <v>390+Habilitation Training Specialist</v>
      </c>
      <c r="R1129" s="7" t="str">
        <f>Table1[[#This Row],[PDMS Specialty Type ID]] &amp; "+" &amp; Table1[[#This Row],[PDMS Provider Type ID]] &amp; "+" &amp;Table1[[#This Row],[TAXONOMY]]</f>
        <v>2267+72+251K00000X</v>
      </c>
      <c r="S11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(10050, 2267, 72, N'251K00000X', N'Public Health or Welfare - Public Health or Welfare')</v>
      </c>
    </row>
    <row r="1130" spans="1:19" ht="47.25" hidden="1" customHeight="1" x14ac:dyDescent="0.25">
      <c r="A1130" s="22" t="s">
        <v>227</v>
      </c>
      <c r="B1130" s="3" t="s">
        <v>175</v>
      </c>
      <c r="C1130" s="3" t="s">
        <v>548</v>
      </c>
      <c r="D1130" s="3" t="s">
        <v>548</v>
      </c>
      <c r="E1130" s="3" t="s">
        <v>549</v>
      </c>
      <c r="F1130" s="3">
        <f>VLOOKUP(Table1[[#This Row],[Column2]], TAXONOMY_TYPE, 2, FALSE)</f>
        <v>10051</v>
      </c>
      <c r="G1130" s="3">
        <v>39</v>
      </c>
      <c r="H1130" s="3" t="s">
        <v>1473</v>
      </c>
      <c r="I1130" s="3">
        <f>VLOOKUP(Table1[[#This Row],[Provider Type]] &amp; Table1[[#This Row],[Provider Type Description]], PROVIDER_TYPE, 2, FALSE)</f>
        <v>72</v>
      </c>
      <c r="J1130" s="3">
        <v>391</v>
      </c>
      <c r="K1130" s="3" t="s">
        <v>1476</v>
      </c>
      <c r="L1130" s="3">
        <f>VLOOKUP(TRIM(Table1[[#This Row],[Provider Specialty]]) &amp; TRIM(Table1[[#This Row],[Provider Specialty Description]]), SPECIALTY_TYPE, 2, FALSE)</f>
        <v>2268</v>
      </c>
      <c r="M1130" s="3" t="s">
        <v>18</v>
      </c>
      <c r="N1130" s="27" t="s">
        <v>18</v>
      </c>
      <c r="O1130" s="38">
        <f>VLOOKUP(TRIM(Table1[[#This Row],[Provider Specialty]]) &amp; TRIM(Table1[[#This Row],[Provider Specialty Description]]), SPECIALTY_TYPE, 2, FALSE)</f>
        <v>2268</v>
      </c>
      <c r="P1130" s="3" t="str">
        <f>Table1[[#This Row],[Provider Type]] &amp; "+" &amp; Table1[[#This Row],[Provider Type Description]]</f>
        <v>39+Direct Support Services</v>
      </c>
      <c r="Q1130" s="7" t="str">
        <f>Table1[[#This Row],[Provider Specialty]] &amp; "+" &amp; Table1[[#This Row],[Provider Specialty Description]]</f>
        <v>391+Agency Companion</v>
      </c>
      <c r="R1130" s="7" t="str">
        <f>Table1[[#This Row],[PDMS Specialty Type ID]] &amp; "+" &amp; Table1[[#This Row],[PDMS Provider Type ID]] &amp; "+" &amp;Table1[[#This Row],[TAXONOMY]]</f>
        <v>2268+72+251K00000X</v>
      </c>
      <c r="S11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(10051, 2268, 72, N'251K00000X', N'Public Health or Welfare - Public Health or Welfare')</v>
      </c>
    </row>
    <row r="1131" spans="1:19" ht="47.25" hidden="1" customHeight="1" x14ac:dyDescent="0.25">
      <c r="A1131" s="22" t="s">
        <v>11</v>
      </c>
      <c r="B1131" s="3" t="s">
        <v>1470</v>
      </c>
      <c r="C1131" s="3" t="s">
        <v>1471</v>
      </c>
      <c r="D1131" s="3" t="s">
        <v>1471</v>
      </c>
      <c r="E1131" s="3" t="s">
        <v>1472</v>
      </c>
      <c r="F1131" s="3">
        <f>VLOOKUP(Table1[[#This Row],[Column2]], TAXONOMY_TYPE, 2, FALSE)</f>
        <v>10052</v>
      </c>
      <c r="G1131" s="3">
        <v>39</v>
      </c>
      <c r="H1131" s="3" t="s">
        <v>1473</v>
      </c>
      <c r="I1131" s="3">
        <f>VLOOKUP(Table1[[#This Row],[Provider Type]] &amp; Table1[[#This Row],[Provider Type Description]], PROVIDER_TYPE, 2, FALSE)</f>
        <v>72</v>
      </c>
      <c r="J1131" s="4">
        <v>392</v>
      </c>
      <c r="K1131" s="3" t="s">
        <v>1474</v>
      </c>
      <c r="L1131" s="3">
        <f>VLOOKUP(TRIM(Table1[[#This Row],[Provider Specialty]]) &amp; TRIM(Table1[[#This Row],[Provider Specialty Description]]), SPECIALTY_TYPE, 2, FALSE)</f>
        <v>2269</v>
      </c>
      <c r="M1131" s="3" t="s">
        <v>18</v>
      </c>
      <c r="N1131" s="27" t="s">
        <v>18</v>
      </c>
      <c r="O1131" s="38">
        <f>VLOOKUP(TRIM(Table1[[#This Row],[Provider Specialty]]) &amp; TRIM(Table1[[#This Row],[Provider Specialty Description]]), SPECIALTY_TYPE, 2, FALSE)</f>
        <v>2269</v>
      </c>
      <c r="P1131" s="3" t="str">
        <f>Table1[[#This Row],[Provider Type]] &amp; "+" &amp; Table1[[#This Row],[Provider Type Description]]</f>
        <v>39+Direct Support Services</v>
      </c>
      <c r="Q1131" s="7" t="str">
        <f>Table1[[#This Row],[Provider Specialty]] &amp; "+" &amp; Table1[[#This Row],[Provider Specialty Description]]</f>
        <v>392+Daily Living Supports</v>
      </c>
      <c r="R1131" s="7" t="str">
        <f>Table1[[#This Row],[PDMS Specialty Type ID]] &amp; "+" &amp; Table1[[#This Row],[PDMS Provider Type ID]] &amp; "+" &amp;Table1[[#This Row],[TAXONOMY]]</f>
        <v>2269+72+146D00000X</v>
      </c>
      <c r="S11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(10052, 2269, 72, N'146D00000X', N'Personal Emergency Response Attendant - Personal Emergency Response Attendant')</v>
      </c>
    </row>
    <row r="1132" spans="1:19" ht="47.25" hidden="1" customHeight="1" x14ac:dyDescent="0.25">
      <c r="A1132" s="22" t="s">
        <v>11</v>
      </c>
      <c r="B1132" s="3" t="s">
        <v>175</v>
      </c>
      <c r="C1132" s="3" t="s">
        <v>548</v>
      </c>
      <c r="D1132" s="3" t="s">
        <v>548</v>
      </c>
      <c r="E1132" s="3" t="s">
        <v>549</v>
      </c>
      <c r="F1132" s="3">
        <f>VLOOKUP(Table1[[#This Row],[Column2]], TAXONOMY_TYPE, 2, FALSE)</f>
        <v>10053</v>
      </c>
      <c r="G1132" s="3">
        <v>39</v>
      </c>
      <c r="H1132" s="3" t="s">
        <v>1473</v>
      </c>
      <c r="I1132" s="3">
        <f>VLOOKUP(Table1[[#This Row],[Provider Type]] &amp; Table1[[#This Row],[Provider Type Description]], PROVIDER_TYPE, 2, FALSE)</f>
        <v>72</v>
      </c>
      <c r="J1132" s="3">
        <v>392</v>
      </c>
      <c r="K1132" s="3" t="s">
        <v>1474</v>
      </c>
      <c r="L1132" s="3">
        <f>VLOOKUP(TRIM(Table1[[#This Row],[Provider Specialty]]) &amp; TRIM(Table1[[#This Row],[Provider Specialty Description]]), SPECIALTY_TYPE, 2, FALSE)</f>
        <v>2269</v>
      </c>
      <c r="M1132" s="3" t="s">
        <v>18</v>
      </c>
      <c r="N1132" s="27" t="s">
        <v>18</v>
      </c>
      <c r="O1132" s="38">
        <f>VLOOKUP(TRIM(Table1[[#This Row],[Provider Specialty]]) &amp; TRIM(Table1[[#This Row],[Provider Specialty Description]]), SPECIALTY_TYPE, 2, FALSE)</f>
        <v>2269</v>
      </c>
      <c r="P1132" s="3" t="str">
        <f>Table1[[#This Row],[Provider Type]] &amp; "+" &amp; Table1[[#This Row],[Provider Type Description]]</f>
        <v>39+Direct Support Services</v>
      </c>
      <c r="Q1132" s="7" t="str">
        <f>Table1[[#This Row],[Provider Specialty]] &amp; "+" &amp; Table1[[#This Row],[Provider Specialty Description]]</f>
        <v>392+Daily Living Supports</v>
      </c>
      <c r="R1132" s="7" t="str">
        <f>Table1[[#This Row],[PDMS Specialty Type ID]] &amp; "+" &amp; Table1[[#This Row],[PDMS Provider Type ID]] &amp; "+" &amp;Table1[[#This Row],[TAXONOMY]]</f>
        <v>2269+72+251K00000X</v>
      </c>
      <c r="S11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(10053, 2269, 72, N'251K00000X', N'Public Health or Welfare - Public Health or Welfare')</v>
      </c>
    </row>
    <row r="1133" spans="1:19" ht="47.25" hidden="1" customHeight="1" x14ac:dyDescent="0.25">
      <c r="A1133" s="22" t="s">
        <v>227</v>
      </c>
      <c r="B1133" s="3" t="s">
        <v>659</v>
      </c>
      <c r="C1133" s="3" t="s">
        <v>1455</v>
      </c>
      <c r="D1133" s="3" t="s">
        <v>1477</v>
      </c>
      <c r="E1133" s="3" t="s">
        <v>1478</v>
      </c>
      <c r="F1133" s="3">
        <f>VLOOKUP(Table1[[#This Row],[Column2]], TAXONOMY_TYPE, 2, FALSE)</f>
        <v>10054</v>
      </c>
      <c r="G1133" s="3">
        <v>39</v>
      </c>
      <c r="H1133" s="3" t="s">
        <v>1473</v>
      </c>
      <c r="I1133" s="3">
        <f>VLOOKUP(Table1[[#This Row],[Provider Type]] &amp; Table1[[#This Row],[Provider Type Description]], PROVIDER_TYPE, 2, FALSE)</f>
        <v>72</v>
      </c>
      <c r="J1133" s="3">
        <v>392</v>
      </c>
      <c r="K1133" s="3" t="s">
        <v>1474</v>
      </c>
      <c r="L1133" s="3">
        <f>VLOOKUP(TRIM(Table1[[#This Row],[Provider Specialty]]) &amp; TRIM(Table1[[#This Row],[Provider Specialty Description]]), SPECIALTY_TYPE, 2, FALSE)</f>
        <v>2269</v>
      </c>
      <c r="M1133" s="3" t="s">
        <v>18</v>
      </c>
      <c r="N1133" s="27" t="s">
        <v>18</v>
      </c>
      <c r="O1133" s="38">
        <f>VLOOKUP(TRIM(Table1[[#This Row],[Provider Specialty]]) &amp; TRIM(Table1[[#This Row],[Provider Specialty Description]]), SPECIALTY_TYPE, 2, FALSE)</f>
        <v>2269</v>
      </c>
      <c r="P1133" s="3" t="str">
        <f>Table1[[#This Row],[Provider Type]] &amp; "+" &amp; Table1[[#This Row],[Provider Type Description]]</f>
        <v>39+Direct Support Services</v>
      </c>
      <c r="Q1133" s="7" t="str">
        <f>Table1[[#This Row],[Provider Specialty]] &amp; "+" &amp; Table1[[#This Row],[Provider Specialty Description]]</f>
        <v>392+Daily Living Supports</v>
      </c>
      <c r="R1133" s="7" t="str">
        <f>Table1[[#This Row],[PDMS Specialty Type ID]] &amp; "+" &amp; Table1[[#This Row],[PDMS Provider Type ID]] &amp; "+" &amp;Table1[[#This Row],[TAXONOMY]]</f>
        <v>2269+72+3747A0650X</v>
      </c>
      <c r="S11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(10054, 2269, 72, N'3747A0650X', N'Technician - Attendant Care Provider')</v>
      </c>
    </row>
    <row r="1134" spans="1:19" ht="47.25" hidden="1" customHeight="1" x14ac:dyDescent="0.25">
      <c r="A1134" s="22" t="s">
        <v>227</v>
      </c>
      <c r="B1134" s="3" t="s">
        <v>175</v>
      </c>
      <c r="C1134" s="3" t="s">
        <v>1479</v>
      </c>
      <c r="D1134" s="3" t="s">
        <v>1480</v>
      </c>
      <c r="E1134" s="3" t="s">
        <v>1481</v>
      </c>
      <c r="F1134" s="3">
        <f>VLOOKUP(Table1[[#This Row],[Column2]], TAXONOMY_TYPE, 2, FALSE)</f>
        <v>10055</v>
      </c>
      <c r="G1134" s="3">
        <v>39</v>
      </c>
      <c r="H1134" s="3" t="s">
        <v>1473</v>
      </c>
      <c r="I1134" s="3">
        <f>VLOOKUP(Table1[[#This Row],[Provider Type]] &amp; Table1[[#This Row],[Provider Type Description]], PROVIDER_TYPE, 2, FALSE)</f>
        <v>72</v>
      </c>
      <c r="J1134" s="3">
        <v>392</v>
      </c>
      <c r="K1134" s="3" t="s">
        <v>1474</v>
      </c>
      <c r="L1134" s="3">
        <f>VLOOKUP(TRIM(Table1[[#This Row],[Provider Specialty]]) &amp; TRIM(Table1[[#This Row],[Provider Specialty Description]]), SPECIALTY_TYPE, 2, FALSE)</f>
        <v>2269</v>
      </c>
      <c r="M1134" s="3" t="s">
        <v>18</v>
      </c>
      <c r="N1134" s="27" t="s">
        <v>18</v>
      </c>
      <c r="O1134" s="38">
        <f>VLOOKUP(TRIM(Table1[[#This Row],[Provider Specialty]]) &amp; TRIM(Table1[[#This Row],[Provider Specialty Description]]), SPECIALTY_TYPE, 2, FALSE)</f>
        <v>2269</v>
      </c>
      <c r="P1134" s="3" t="str">
        <f>Table1[[#This Row],[Provider Type]] &amp; "+" &amp; Table1[[#This Row],[Provider Type Description]]</f>
        <v>39+Direct Support Services</v>
      </c>
      <c r="Q1134" s="7" t="str">
        <f>Table1[[#This Row],[Provider Specialty]] &amp; "+" &amp; Table1[[#This Row],[Provider Specialty Description]]</f>
        <v>392+Daily Living Supports</v>
      </c>
      <c r="R1134" s="7" t="str">
        <f>Table1[[#This Row],[PDMS Specialty Type ID]] &amp; "+" &amp; Table1[[#This Row],[PDMS Provider Type ID]] &amp; "+" &amp;Table1[[#This Row],[TAXONOMY]]</f>
        <v>2269+72+253J00000X</v>
      </c>
      <c r="S11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(10055, 2269, 72, N'253J00000X', N'Foster Care Agency - Foster Care Agency*****')</v>
      </c>
    </row>
    <row r="1135" spans="1:19" ht="47.25" hidden="1" customHeight="1" x14ac:dyDescent="0.25">
      <c r="A1135" s="22" t="s">
        <v>11</v>
      </c>
      <c r="B1135" s="3" t="s">
        <v>84</v>
      </c>
      <c r="C1135" s="3" t="s">
        <v>85</v>
      </c>
      <c r="D1135" s="3" t="s">
        <v>1483</v>
      </c>
      <c r="E1135" s="3" t="s">
        <v>1484</v>
      </c>
      <c r="F1135" s="3">
        <f>VLOOKUP(Table1[[#This Row],[Column2]], TAXONOMY_TYPE, 2, FALSE)</f>
        <v>10056</v>
      </c>
      <c r="G1135" s="3">
        <v>41</v>
      </c>
      <c r="H1135" s="3" t="s">
        <v>1485</v>
      </c>
      <c r="I1135" s="3">
        <f>VLOOKUP(Table1[[#This Row],[Provider Type]] &amp; Table1[[#This Row],[Provider Type Description]], PROVIDER_TYPE, 2, FALSE)</f>
        <v>74</v>
      </c>
      <c r="J1135" s="3">
        <v>410</v>
      </c>
      <c r="K1135" s="3" t="s">
        <v>1485</v>
      </c>
      <c r="L1135" s="3">
        <f>VLOOKUP(TRIM(Table1[[#This Row],[Provider Specialty]]) &amp; TRIM(Table1[[#This Row],[Provider Specialty Description]]), SPECIALTY_TYPE, 2, FALSE)</f>
        <v>2270</v>
      </c>
      <c r="M1135" s="3" t="s">
        <v>18</v>
      </c>
      <c r="N1135" s="27" t="s">
        <v>18</v>
      </c>
      <c r="O1135" s="38">
        <f>VLOOKUP(TRIM(Table1[[#This Row],[Provider Specialty]]) &amp; TRIM(Table1[[#This Row],[Provider Specialty Description]]), SPECIALTY_TYPE, 2, FALSE)</f>
        <v>2270</v>
      </c>
      <c r="P1135" s="3" t="str">
        <f>Table1[[#This Row],[Provider Type]] &amp; "+" &amp; Table1[[#This Row],[Provider Type Description]]</f>
        <v>41+Adult Day Care</v>
      </c>
      <c r="Q1135" s="7" t="str">
        <f>Table1[[#This Row],[Provider Specialty]] &amp; "+" &amp; Table1[[#This Row],[Provider Specialty Description]]</f>
        <v>410+Adult Day Care</v>
      </c>
      <c r="R1135" s="7" t="str">
        <f>Table1[[#This Row],[PDMS Specialty Type ID]] &amp; "+" &amp; Table1[[#This Row],[PDMS Provider Type ID]] &amp; "+" &amp;Table1[[#This Row],[TAXONOMY]]</f>
        <v>2270+74+261QA0600X</v>
      </c>
      <c r="S11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(10056, 2270, 74, N'261QA0600X', N'Clinic/Center - Adult Day Care')</v>
      </c>
    </row>
    <row r="1136" spans="1:19" ht="47.25" hidden="1" customHeight="1" x14ac:dyDescent="0.25">
      <c r="A1136" s="22" t="s">
        <v>227</v>
      </c>
      <c r="B1136" s="3" t="s">
        <v>659</v>
      </c>
      <c r="C1136" s="3" t="s">
        <v>1486</v>
      </c>
      <c r="D1136" s="3" t="s">
        <v>1486</v>
      </c>
      <c r="E1136" s="3" t="s">
        <v>1487</v>
      </c>
      <c r="F1136" s="3">
        <f>VLOOKUP(Table1[[#This Row],[Column2]], TAXONOMY_TYPE, 2, FALSE)</f>
        <v>10057</v>
      </c>
      <c r="G1136" s="3">
        <v>41</v>
      </c>
      <c r="H1136" s="3" t="s">
        <v>1485</v>
      </c>
      <c r="I1136" s="3">
        <f>VLOOKUP(Table1[[#This Row],[Provider Type]] &amp; Table1[[#This Row],[Provider Type Description]], PROVIDER_TYPE, 2, FALSE)</f>
        <v>74</v>
      </c>
      <c r="J1136" s="3">
        <v>410</v>
      </c>
      <c r="K1136" s="3" t="s">
        <v>1485</v>
      </c>
      <c r="L1136" s="3">
        <f>VLOOKUP(TRIM(Table1[[#This Row],[Provider Specialty]]) &amp; TRIM(Table1[[#This Row],[Provider Specialty Description]]), SPECIALTY_TYPE, 2, FALSE)</f>
        <v>2270</v>
      </c>
      <c r="M1136" s="3" t="s">
        <v>18</v>
      </c>
      <c r="N1136" s="27" t="s">
        <v>18</v>
      </c>
      <c r="O1136" s="38">
        <f>VLOOKUP(TRIM(Table1[[#This Row],[Provider Specialty]]) &amp; TRIM(Table1[[#This Row],[Provider Specialty Description]]), SPECIALTY_TYPE, 2, FALSE)</f>
        <v>2270</v>
      </c>
      <c r="P1136" s="3" t="str">
        <f>Table1[[#This Row],[Provider Type]] &amp; "+" &amp; Table1[[#This Row],[Provider Type Description]]</f>
        <v>41+Adult Day Care</v>
      </c>
      <c r="Q1136" s="7" t="str">
        <f>Table1[[#This Row],[Provider Specialty]] &amp; "+" &amp; Table1[[#This Row],[Provider Specialty Description]]</f>
        <v>410+Adult Day Care</v>
      </c>
      <c r="R1136" s="7" t="str">
        <f>Table1[[#This Row],[PDMS Specialty Type ID]] &amp; "+" &amp; Table1[[#This Row],[PDMS Provider Type ID]] &amp; "+" &amp;Table1[[#This Row],[TAXONOMY]]</f>
        <v>2270+74+372600000X</v>
      </c>
      <c r="S11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(10057, 2270, 74, N'372600000X', N'Adult Companion - Adult Companion')</v>
      </c>
    </row>
    <row r="1137" spans="1:19" ht="47.25" hidden="1" customHeight="1" x14ac:dyDescent="0.25">
      <c r="A1137" s="22" t="s">
        <v>11</v>
      </c>
      <c r="B1137" s="3" t="s">
        <v>443</v>
      </c>
      <c r="C1137" s="3" t="s">
        <v>444</v>
      </c>
      <c r="D1137" s="3" t="s">
        <v>444</v>
      </c>
      <c r="E1137" s="3" t="s">
        <v>445</v>
      </c>
      <c r="F1137" s="3">
        <f>VLOOKUP(Table1[[#This Row],[Column2]], TAXONOMY_TYPE, 2, FALSE)</f>
        <v>10058</v>
      </c>
      <c r="G1137" s="3">
        <v>42</v>
      </c>
      <c r="H1137" s="3" t="s">
        <v>1488</v>
      </c>
      <c r="I1137" s="3">
        <f>VLOOKUP(Table1[[#This Row],[Provider Type]] &amp; Table1[[#This Row],[Provider Type Description]], PROVIDER_TYPE, 2, FALSE)</f>
        <v>75</v>
      </c>
      <c r="J1137" s="3">
        <v>420</v>
      </c>
      <c r="K1137" s="3" t="s">
        <v>1488</v>
      </c>
      <c r="L1137" s="3">
        <f>VLOOKUP(TRIM(Table1[[#This Row],[Provider Specialty]]) &amp; TRIM(Table1[[#This Row],[Provider Specialty Description]]), SPECIALTY_TYPE, 2, FALSE)</f>
        <v>2271</v>
      </c>
      <c r="M1137" s="3" t="s">
        <v>18</v>
      </c>
      <c r="N1137" s="27" t="s">
        <v>18</v>
      </c>
      <c r="O1137" s="38">
        <f>VLOOKUP(TRIM(Table1[[#This Row],[Provider Specialty]]) &amp; TRIM(Table1[[#This Row],[Provider Specialty Description]]), SPECIALTY_TYPE, 2, FALSE)</f>
        <v>2271</v>
      </c>
      <c r="P1137" s="3" t="str">
        <f>Table1[[#This Row],[Provider Type]] &amp; "+" &amp; Table1[[#This Row],[Provider Type Description]]</f>
        <v>42+Employee Training Specialist</v>
      </c>
      <c r="Q1137" s="7" t="str">
        <f>Table1[[#This Row],[Provider Specialty]] &amp; "+" &amp; Table1[[#This Row],[Provider Specialty Description]]</f>
        <v>420+Employee Training Specialist</v>
      </c>
      <c r="R1137" s="7" t="str">
        <f>Table1[[#This Row],[PDMS Specialty Type ID]] &amp; "+" &amp; Table1[[#This Row],[PDMS Provider Type ID]] &amp; "+" &amp;Table1[[#This Row],[TAXONOMY]]</f>
        <v>2271+75+101Y00000X</v>
      </c>
      <c r="S11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(10058, 2271, 75, N'101Y00000X', N'Counselor - Counselor')</v>
      </c>
    </row>
    <row r="1138" spans="1:19" ht="47.25" hidden="1" customHeight="1" x14ac:dyDescent="0.25">
      <c r="A1138" s="22" t="s">
        <v>227</v>
      </c>
      <c r="B1138" s="3" t="s">
        <v>659</v>
      </c>
      <c r="C1138" s="3" t="s">
        <v>1489</v>
      </c>
      <c r="D1138" s="3" t="s">
        <v>1489</v>
      </c>
      <c r="E1138" s="3" t="s">
        <v>1490</v>
      </c>
      <c r="F1138" s="3">
        <f>VLOOKUP(Table1[[#This Row],[Column2]], TAXONOMY_TYPE, 2, FALSE)</f>
        <v>10059</v>
      </c>
      <c r="G1138" s="3">
        <v>43</v>
      </c>
      <c r="H1138" s="3" t="s">
        <v>1491</v>
      </c>
      <c r="I1138" s="3">
        <f>VLOOKUP(Table1[[#This Row],[Provider Type]] &amp; Table1[[#This Row],[Provider Type Description]], PROVIDER_TYPE, 2, FALSE)</f>
        <v>76</v>
      </c>
      <c r="J1138" s="3">
        <v>430</v>
      </c>
      <c r="K1138" s="3" t="s">
        <v>1491</v>
      </c>
      <c r="L1138" s="3">
        <f>VLOOKUP(TRIM(Table1[[#This Row],[Provider Specialty]]) &amp; TRIM(Table1[[#This Row],[Provider Specialty Description]]), SPECIALTY_TYPE, 2, FALSE)</f>
        <v>2272</v>
      </c>
      <c r="M1138" s="3" t="s">
        <v>18</v>
      </c>
      <c r="N1138" s="27" t="s">
        <v>18</v>
      </c>
      <c r="O1138" s="38">
        <f>VLOOKUP(TRIM(Table1[[#This Row],[Provider Specialty]]) &amp; TRIM(Table1[[#This Row],[Provider Specialty Description]]), SPECIALTY_TYPE, 2, FALSE)</f>
        <v>2272</v>
      </c>
      <c r="P1138" s="3" t="str">
        <f>Table1[[#This Row],[Provider Type]] &amp; "+" &amp; Table1[[#This Row],[Provider Type Description]]</f>
        <v>43+Homemaker Services</v>
      </c>
      <c r="Q1138" s="7" t="str">
        <f>Table1[[#This Row],[Provider Specialty]] &amp; "+" &amp; Table1[[#This Row],[Provider Specialty Description]]</f>
        <v>430+Homemaker Services</v>
      </c>
      <c r="R1138" s="7" t="str">
        <f>Table1[[#This Row],[PDMS Specialty Type ID]] &amp; "+" &amp; Table1[[#This Row],[PDMS Provider Type ID]] &amp; "+" &amp;Table1[[#This Row],[TAXONOMY]]</f>
        <v>2272+76+376J00000X</v>
      </c>
      <c r="S11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(10059, 2272, 76, N'376J00000X', N'Homemaker - Homemaker')</v>
      </c>
    </row>
    <row r="1139" spans="1:19" ht="47.25" hidden="1" customHeight="1" x14ac:dyDescent="0.25">
      <c r="A1139" s="22" t="s">
        <v>11</v>
      </c>
      <c r="B1139" s="3" t="s">
        <v>337</v>
      </c>
      <c r="C1139" s="3" t="s">
        <v>1492</v>
      </c>
      <c r="D1139" s="3" t="s">
        <v>1492</v>
      </c>
      <c r="E1139" s="3" t="s">
        <v>1493</v>
      </c>
      <c r="F1139" s="3">
        <f>VLOOKUP(Table1[[#This Row],[Column2]], TAXONOMY_TYPE, 2, FALSE)</f>
        <v>10060</v>
      </c>
      <c r="G1139" s="3">
        <v>44</v>
      </c>
      <c r="H1139" s="3" t="s">
        <v>1494</v>
      </c>
      <c r="I1139" s="3">
        <f>VLOOKUP(Table1[[#This Row],[Provider Type]] &amp; Table1[[#This Row],[Provider Type Description]], PROVIDER_TYPE, 2, FALSE)</f>
        <v>77</v>
      </c>
      <c r="J1139" s="3">
        <v>440</v>
      </c>
      <c r="K1139" s="3" t="s">
        <v>1494</v>
      </c>
      <c r="L1139" s="3">
        <f>VLOOKUP(TRIM(Table1[[#This Row],[Provider Specialty]]) &amp; TRIM(Table1[[#This Row],[Provider Specialty Description]]), SPECIALTY_TYPE, 2, FALSE)</f>
        <v>2273</v>
      </c>
      <c r="M1139" s="3" t="s">
        <v>18</v>
      </c>
      <c r="N1139" s="27" t="s">
        <v>18</v>
      </c>
      <c r="O1139" s="38">
        <f>VLOOKUP(TRIM(Table1[[#This Row],[Provider Specialty]]) &amp; TRIM(Table1[[#This Row],[Provider Specialty Description]]), SPECIALTY_TYPE, 2, FALSE)</f>
        <v>2273</v>
      </c>
      <c r="P1139" s="3" t="str">
        <f>Table1[[#This Row],[Provider Type]] &amp; "+" &amp; Table1[[#This Row],[Provider Type Description]]</f>
        <v>44+Architectural Modification</v>
      </c>
      <c r="Q1139" s="7" t="str">
        <f>Table1[[#This Row],[Provider Specialty]] &amp; "+" &amp; Table1[[#This Row],[Provider Specialty Description]]</f>
        <v>440+Architectural Modification</v>
      </c>
      <c r="R1139" s="7" t="str">
        <f>Table1[[#This Row],[PDMS Specialty Type ID]] &amp; "+" &amp; Table1[[#This Row],[PDMS Provider Type ID]] &amp; "+" &amp;Table1[[#This Row],[TAXONOMY]]</f>
        <v>2273+77+171W00000X</v>
      </c>
      <c r="S11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(10060, 2273, 77, N'171W00000X', N'Contractor - Contractor')</v>
      </c>
    </row>
    <row r="1140" spans="1:19" ht="47.25" hidden="1" customHeight="1" x14ac:dyDescent="0.25">
      <c r="A1140" s="22" t="s">
        <v>11</v>
      </c>
      <c r="B1140" s="3" t="s">
        <v>337</v>
      </c>
      <c r="C1140" s="3" t="s">
        <v>1492</v>
      </c>
      <c r="D1140" s="3" t="s">
        <v>1495</v>
      </c>
      <c r="E1140" s="3" t="s">
        <v>1496</v>
      </c>
      <c r="F1140" s="3">
        <f>VLOOKUP(Table1[[#This Row],[Column2]], TAXONOMY_TYPE, 2, FALSE)</f>
        <v>10061</v>
      </c>
      <c r="G1140" s="3">
        <v>44</v>
      </c>
      <c r="H1140" s="3" t="s">
        <v>1494</v>
      </c>
      <c r="I1140" s="3">
        <f>VLOOKUP(Table1[[#This Row],[Provider Type]] &amp; Table1[[#This Row],[Provider Type Description]], PROVIDER_TYPE, 2, FALSE)</f>
        <v>77</v>
      </c>
      <c r="J1140" s="3">
        <v>440</v>
      </c>
      <c r="K1140" s="3" t="s">
        <v>1494</v>
      </c>
      <c r="L1140" s="3">
        <f>VLOOKUP(TRIM(Table1[[#This Row],[Provider Specialty]]) &amp; TRIM(Table1[[#This Row],[Provider Specialty Description]]), SPECIALTY_TYPE, 2, FALSE)</f>
        <v>2273</v>
      </c>
      <c r="M1140" s="3" t="s">
        <v>18</v>
      </c>
      <c r="N1140" s="27" t="s">
        <v>18</v>
      </c>
      <c r="O1140" s="38">
        <f>VLOOKUP(TRIM(Table1[[#This Row],[Provider Specialty]]) &amp; TRIM(Table1[[#This Row],[Provider Specialty Description]]), SPECIALTY_TYPE, 2, FALSE)</f>
        <v>2273</v>
      </c>
      <c r="P1140" s="3" t="str">
        <f>Table1[[#This Row],[Provider Type]] &amp; "+" &amp; Table1[[#This Row],[Provider Type Description]]</f>
        <v>44+Architectural Modification</v>
      </c>
      <c r="Q1140" s="7" t="str">
        <f>Table1[[#This Row],[Provider Specialty]] &amp; "+" &amp; Table1[[#This Row],[Provider Specialty Description]]</f>
        <v>440+Architectural Modification</v>
      </c>
      <c r="R1140" s="7" t="str">
        <f>Table1[[#This Row],[PDMS Specialty Type ID]] &amp; "+" &amp; Table1[[#This Row],[PDMS Provider Type ID]] &amp; "+" &amp;Table1[[#This Row],[TAXONOMY]]</f>
        <v>2273+77+171WH0202X</v>
      </c>
      <c r="S11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(10061, 2273, 77, N'171WH0202X', N'Contractor - Home Modifications')</v>
      </c>
    </row>
    <row r="1141" spans="1:19" ht="47.25" hidden="1" customHeight="1" x14ac:dyDescent="0.25">
      <c r="A1141" s="22" t="s">
        <v>11</v>
      </c>
      <c r="B1141" s="3" t="s">
        <v>337</v>
      </c>
      <c r="C1141" s="3" t="s">
        <v>1492</v>
      </c>
      <c r="D1141" s="3" t="s">
        <v>1497</v>
      </c>
      <c r="E1141" s="3" t="s">
        <v>1498</v>
      </c>
      <c r="F1141" s="3">
        <f>VLOOKUP(Table1[[#This Row],[Column2]], TAXONOMY_TYPE, 2, FALSE)</f>
        <v>10062</v>
      </c>
      <c r="G1141" s="3">
        <v>44</v>
      </c>
      <c r="H1141" s="3" t="s">
        <v>1494</v>
      </c>
      <c r="I1141" s="3">
        <f>VLOOKUP(Table1[[#This Row],[Provider Type]] &amp; Table1[[#This Row],[Provider Type Description]], PROVIDER_TYPE, 2, FALSE)</f>
        <v>77</v>
      </c>
      <c r="J1141" s="3">
        <v>440</v>
      </c>
      <c r="K1141" s="3" t="s">
        <v>1494</v>
      </c>
      <c r="L1141" s="3">
        <f>VLOOKUP(TRIM(Table1[[#This Row],[Provider Specialty]]) &amp; TRIM(Table1[[#This Row],[Provider Specialty Description]]), SPECIALTY_TYPE, 2, FALSE)</f>
        <v>2273</v>
      </c>
      <c r="M1141" s="3" t="s">
        <v>18</v>
      </c>
      <c r="N1141" s="27" t="s">
        <v>18</v>
      </c>
      <c r="O1141" s="38">
        <f>VLOOKUP(TRIM(Table1[[#This Row],[Provider Specialty]]) &amp; TRIM(Table1[[#This Row],[Provider Specialty Description]]), SPECIALTY_TYPE, 2, FALSE)</f>
        <v>2273</v>
      </c>
      <c r="P1141" s="3" t="str">
        <f>Table1[[#This Row],[Provider Type]] &amp; "+" &amp; Table1[[#This Row],[Provider Type Description]]</f>
        <v>44+Architectural Modification</v>
      </c>
      <c r="Q1141" s="7" t="str">
        <f>Table1[[#This Row],[Provider Specialty]] &amp; "+" &amp; Table1[[#This Row],[Provider Specialty Description]]</f>
        <v>440+Architectural Modification</v>
      </c>
      <c r="R1141" s="7" t="str">
        <f>Table1[[#This Row],[PDMS Specialty Type ID]] &amp; "+" &amp; Table1[[#This Row],[PDMS Provider Type ID]] &amp; "+" &amp;Table1[[#This Row],[TAXONOMY]]</f>
        <v>2273+77+171WV0202X</v>
      </c>
      <c r="S11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(10062, 2273, 77, N'171WV0202X', N'Contractor - Vehicle Modifications')</v>
      </c>
    </row>
    <row r="1142" spans="1:19" ht="47.25" hidden="1" customHeight="1" x14ac:dyDescent="0.25">
      <c r="A1142" s="22" t="s">
        <v>227</v>
      </c>
      <c r="B1142" s="3" t="s">
        <v>28</v>
      </c>
      <c r="C1142" s="3" t="s">
        <v>29</v>
      </c>
      <c r="D1142" s="3" t="s">
        <v>29</v>
      </c>
      <c r="E1142" s="3" t="s">
        <v>30</v>
      </c>
      <c r="F1142" s="3">
        <f>VLOOKUP(Table1[[#This Row],[Column2]], TAXONOMY_TYPE, 2, FALSE)</f>
        <v>10063</v>
      </c>
      <c r="G1142" s="4">
        <v>45</v>
      </c>
      <c r="H1142" s="3" t="s">
        <v>1501</v>
      </c>
      <c r="I1142" s="3">
        <f>VLOOKUP(Table1[[#This Row],[Provider Type]] &amp; Table1[[#This Row],[Provider Type Description]], PROVIDER_TYPE, 2, FALSE)</f>
        <v>78</v>
      </c>
      <c r="J1142" s="4">
        <v>450</v>
      </c>
      <c r="K1142" s="3" t="s">
        <v>1503</v>
      </c>
      <c r="L1142" s="3">
        <f>VLOOKUP(TRIM(Table1[[#This Row],[Provider Specialty]]) &amp; TRIM(Table1[[#This Row],[Provider Specialty Description]]), SPECIALTY_TYPE, 2, FALSE)</f>
        <v>2274</v>
      </c>
      <c r="M1142" s="3" t="s">
        <v>18</v>
      </c>
      <c r="N1142" s="27" t="s">
        <v>19</v>
      </c>
      <c r="O1142" s="38">
        <f>VLOOKUP(TRIM(Table1[[#This Row],[Provider Specialty]]) &amp; TRIM(Table1[[#This Row],[Provider Specialty Description]]), SPECIALTY_TYPE, 2, FALSE)</f>
        <v>2274</v>
      </c>
      <c r="P1142" s="3" t="str">
        <f>Table1[[#This Row],[Provider Type]] &amp; "+" &amp; Table1[[#This Row],[Provider Type Description]]</f>
        <v>45+Residential Behavior Management Services (RBMS)</v>
      </c>
      <c r="Q1142" s="7" t="str">
        <f>Table1[[#This Row],[Provider Specialty]] &amp; "+" &amp; Table1[[#This Row],[Provider Specialty Description]]</f>
        <v>450+RBMS Room and Board</v>
      </c>
      <c r="R1142" s="7" t="str">
        <f>Table1[[#This Row],[PDMS Specialty Type ID]] &amp; "+" &amp; Table1[[#This Row],[PDMS Provider Type ID]] &amp; "+" &amp;Table1[[#This Row],[TAXONOMY]]</f>
        <v>2274+78+323P00000X</v>
      </c>
      <c r="S11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(10063, 2274, 78, N'323P00000X', N'Psychiatric Residential Treatment Facility - Psychiatric Residential Treatment Facility')</v>
      </c>
    </row>
    <row r="1143" spans="1:19" ht="47.25" hidden="1" customHeight="1" x14ac:dyDescent="0.25">
      <c r="A1143" s="22" t="s">
        <v>227</v>
      </c>
      <c r="B1143" s="3" t="s">
        <v>28</v>
      </c>
      <c r="C1143" s="3" t="s">
        <v>1499</v>
      </c>
      <c r="D1143" s="3" t="s">
        <v>1499</v>
      </c>
      <c r="E1143" s="3" t="s">
        <v>1500</v>
      </c>
      <c r="F1143" s="3">
        <f>VLOOKUP(Table1[[#This Row],[Column2]], TAXONOMY_TYPE, 2, FALSE)</f>
        <v>10064</v>
      </c>
      <c r="G1143" s="4">
        <v>45</v>
      </c>
      <c r="H1143" s="3" t="s">
        <v>1501</v>
      </c>
      <c r="I1143" s="3">
        <f>VLOOKUP(Table1[[#This Row],[Provider Type]] &amp; Table1[[#This Row],[Provider Type Description]], PROVIDER_TYPE, 2, FALSE)</f>
        <v>78</v>
      </c>
      <c r="J1143" s="3">
        <v>451</v>
      </c>
      <c r="K1143" s="3" t="s">
        <v>1502</v>
      </c>
      <c r="L1143" s="3">
        <f>VLOOKUP(TRIM(Table1[[#This Row],[Provider Specialty]]) &amp; TRIM(Table1[[#This Row],[Provider Specialty Description]]), SPECIALTY_TYPE, 2, FALSE)</f>
        <v>2275</v>
      </c>
      <c r="M1143" s="3" t="s">
        <v>18</v>
      </c>
      <c r="N1143" s="27" t="s">
        <v>19</v>
      </c>
      <c r="O1143" s="38">
        <f>VLOOKUP(TRIM(Table1[[#This Row],[Provider Specialty]]) &amp; TRIM(Table1[[#This Row],[Provider Specialty Description]]), SPECIALTY_TYPE, 2, FALSE)</f>
        <v>2275</v>
      </c>
      <c r="P1143" s="3" t="str">
        <f>Table1[[#This Row],[Provider Type]] &amp; "+" &amp; Table1[[#This Row],[Provider Type Description]]</f>
        <v>45+Residential Behavior Management Services (RBMS)</v>
      </c>
      <c r="Q1143" s="7" t="str">
        <f>Table1[[#This Row],[Provider Specialty]] &amp; "+" &amp; Table1[[#This Row],[Provider Specialty Description]]</f>
        <v>451+RBMS Therapeutic Foster Care</v>
      </c>
      <c r="R1143" s="7" t="str">
        <f>Table1[[#This Row],[PDMS Specialty Type ID]] &amp; "+" &amp; Table1[[#This Row],[PDMS Provider Type ID]] &amp; "+" &amp;Table1[[#This Row],[TAXONOMY]]</f>
        <v>2275+78+322D00000X</v>
      </c>
      <c r="S11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(10064, 2275, 78, N'322D00000X', N'Residential Treatment Facility, Emotionally Disturbed Children - Residential Treatment Facility, Emotionally Disturbed Children')</v>
      </c>
    </row>
    <row r="1144" spans="1:19" ht="47.25" hidden="1" customHeight="1" x14ac:dyDescent="0.25">
      <c r="A1144" s="22" t="s">
        <v>227</v>
      </c>
      <c r="B1144" s="3" t="s">
        <v>1504</v>
      </c>
      <c r="C1144" s="3" t="s">
        <v>1505</v>
      </c>
      <c r="D1144" s="3" t="s">
        <v>1505</v>
      </c>
      <c r="E1144" s="3" t="s">
        <v>1506</v>
      </c>
      <c r="F1144" s="3">
        <f>VLOOKUP(Table1[[#This Row],[Column2]], TAXONOMY_TYPE, 2, FALSE)</f>
        <v>10065</v>
      </c>
      <c r="G1144" s="3">
        <v>46</v>
      </c>
      <c r="H1144" s="3" t="s">
        <v>1507</v>
      </c>
      <c r="I1144" s="3">
        <f>VLOOKUP(Table1[[#This Row],[Provider Type]] &amp; Table1[[#This Row],[Provider Type Description]], PROVIDER_TYPE, 2, FALSE)</f>
        <v>79</v>
      </c>
      <c r="J1144" s="3">
        <v>460</v>
      </c>
      <c r="K1144" s="3" t="s">
        <v>1507</v>
      </c>
      <c r="L1144" s="3">
        <f>VLOOKUP(TRIM(Table1[[#This Row],[Provider Specialty]]) &amp; TRIM(Table1[[#This Row],[Provider Specialty Description]]), SPECIALTY_TYPE, 2, FALSE)</f>
        <v>2276</v>
      </c>
      <c r="M1144" s="3" t="s">
        <v>18</v>
      </c>
      <c r="N1144" s="27" t="s">
        <v>18</v>
      </c>
      <c r="O1144" s="38">
        <f>VLOOKUP(TRIM(Table1[[#This Row],[Provider Specialty]]) &amp; TRIM(Table1[[#This Row],[Provider Specialty Description]]), SPECIALTY_TYPE, 2, FALSE)</f>
        <v>2276</v>
      </c>
      <c r="P1144" s="3" t="str">
        <f>Table1[[#This Row],[Provider Type]] &amp; "+" &amp; Table1[[#This Row],[Provider Type Description]]</f>
        <v>46+Advantage Home Delivered Meal</v>
      </c>
      <c r="Q1144" s="7" t="str">
        <f>Table1[[#This Row],[Provider Specialty]] &amp; "+" &amp; Table1[[#This Row],[Provider Specialty Description]]</f>
        <v>460+Advantage Home Delivered Meal</v>
      </c>
      <c r="R1144" s="7" t="str">
        <f>Table1[[#This Row],[PDMS Specialty Type ID]] &amp; "+" &amp; Table1[[#This Row],[PDMS Provider Type ID]] &amp; "+" &amp;Table1[[#This Row],[TAXONOMY]]</f>
        <v>2276+79+174200000X</v>
      </c>
      <c r="S11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(10065, 2276, 79, N'174200000X', N'meals - meals')</v>
      </c>
    </row>
    <row r="1145" spans="1:19" ht="47.25" hidden="1" customHeight="1" x14ac:dyDescent="0.25">
      <c r="A1145" s="22" t="s">
        <v>227</v>
      </c>
      <c r="B1145" s="3" t="s">
        <v>828</v>
      </c>
      <c r="C1145" s="3" t="s">
        <v>1508</v>
      </c>
      <c r="D1145" s="3" t="s">
        <v>1508</v>
      </c>
      <c r="E1145" s="3" t="s">
        <v>1509</v>
      </c>
      <c r="F1145" s="3">
        <f>VLOOKUP(Table1[[#This Row],[Column2]], TAXONOMY_TYPE, 2, FALSE)</f>
        <v>10066</v>
      </c>
      <c r="G1145" s="3">
        <v>46</v>
      </c>
      <c r="H1145" s="3" t="s">
        <v>1507</v>
      </c>
      <c r="I1145" s="3">
        <f>VLOOKUP(Table1[[#This Row],[Provider Type]] &amp; Table1[[#This Row],[Provider Type Description]], PROVIDER_TYPE, 2, FALSE)</f>
        <v>79</v>
      </c>
      <c r="J1145" s="3">
        <v>460</v>
      </c>
      <c r="K1145" s="3" t="s">
        <v>1507</v>
      </c>
      <c r="L1145" s="3">
        <f>VLOOKUP(TRIM(Table1[[#This Row],[Provider Specialty]]) &amp; TRIM(Table1[[#This Row],[Provider Specialty Description]]), SPECIALTY_TYPE, 2, FALSE)</f>
        <v>2276</v>
      </c>
      <c r="M1145" s="3" t="s">
        <v>18</v>
      </c>
      <c r="N1145" s="27" t="s">
        <v>18</v>
      </c>
      <c r="O1145" s="38">
        <f>VLOOKUP(TRIM(Table1[[#This Row],[Provider Specialty]]) &amp; TRIM(Table1[[#This Row],[Provider Specialty Description]]), SPECIALTY_TYPE, 2, FALSE)</f>
        <v>2276</v>
      </c>
      <c r="P1145" s="3" t="str">
        <f>Table1[[#This Row],[Provider Type]] &amp; "+" &amp; Table1[[#This Row],[Provider Type Description]]</f>
        <v>46+Advantage Home Delivered Meal</v>
      </c>
      <c r="Q1145" s="7" t="str">
        <f>Table1[[#This Row],[Provider Specialty]] &amp; "+" &amp; Table1[[#This Row],[Provider Specialty Description]]</f>
        <v>460+Advantage Home Delivered Meal</v>
      </c>
      <c r="R1145" s="7" t="str">
        <f>Table1[[#This Row],[PDMS Specialty Type ID]] &amp; "+" &amp; Table1[[#This Row],[PDMS Provider Type ID]] &amp; "+" &amp;Table1[[#This Row],[TAXONOMY]]</f>
        <v>2276+79+332U00000X</v>
      </c>
      <c r="S11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(10066, 2276, 79, N'332U00000X', N'Home Delivered Meals - Home Delivered Meals')</v>
      </c>
    </row>
    <row r="1146" spans="1:19" ht="47.25" hidden="1" customHeight="1" x14ac:dyDescent="0.25">
      <c r="A1146" s="22" t="s">
        <v>227</v>
      </c>
      <c r="B1146" s="3" t="s">
        <v>84</v>
      </c>
      <c r="C1146" s="3" t="s">
        <v>85</v>
      </c>
      <c r="D1146" s="3" t="s">
        <v>1510</v>
      </c>
      <c r="E1146" s="3" t="s">
        <v>1511</v>
      </c>
      <c r="F1146" s="3">
        <f>VLOOKUP(Table1[[#This Row],[Column2]], TAXONOMY_TYPE, 2, FALSE)</f>
        <v>10067</v>
      </c>
      <c r="G1146" s="3">
        <v>47</v>
      </c>
      <c r="H1146" s="3" t="s">
        <v>1512</v>
      </c>
      <c r="I1146" s="3">
        <f>VLOOKUP(Table1[[#This Row],[Provider Type]] &amp; Table1[[#This Row],[Provider Type Description]], PROVIDER_TYPE, 2, FALSE)</f>
        <v>80</v>
      </c>
      <c r="J1146" s="3">
        <v>470</v>
      </c>
      <c r="K1146" s="3" t="s">
        <v>1512</v>
      </c>
      <c r="L1146" s="3">
        <f>VLOOKUP(TRIM(Table1[[#This Row],[Provider Specialty]]) &amp; TRIM(Table1[[#This Row],[Provider Specialty Description]]), SPECIALTY_TYPE, 2, FALSE)</f>
        <v>2277</v>
      </c>
      <c r="M1146" s="3" t="s">
        <v>18</v>
      </c>
      <c r="N1146" s="27" t="s">
        <v>19</v>
      </c>
      <c r="O1146" s="38">
        <f>VLOOKUP(TRIM(Table1[[#This Row],[Provider Specialty]]) &amp; TRIM(Table1[[#This Row],[Provider Specialty Description]]), SPECIALTY_TYPE, 2, FALSE)</f>
        <v>2277</v>
      </c>
      <c r="P1146" s="3" t="str">
        <f>Table1[[#This Row],[Provider Type]] &amp; "+" &amp; Table1[[#This Row],[Provider Type Description]]</f>
        <v>47+Free Standing Birthing Center</v>
      </c>
      <c r="Q1146" s="7" t="str">
        <f>Table1[[#This Row],[Provider Specialty]] &amp; "+" &amp; Table1[[#This Row],[Provider Specialty Description]]</f>
        <v>470+Free Standing Birthing Center</v>
      </c>
      <c r="R1146" s="7" t="str">
        <f>Table1[[#This Row],[PDMS Specialty Type ID]] &amp; "+" &amp; Table1[[#This Row],[PDMS Provider Type ID]] &amp; "+" &amp;Table1[[#This Row],[TAXONOMY]]</f>
        <v>2277+80+261QB0400X</v>
      </c>
      <c r="S11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(10067, 2277, 80, N'261QB0400X', N'Clinic/Center - Birthing')</v>
      </c>
    </row>
    <row r="1147" spans="1:19" ht="47.25" hidden="1" customHeight="1" x14ac:dyDescent="0.25">
      <c r="A1147" s="22" t="s">
        <v>227</v>
      </c>
      <c r="B1147" s="3" t="s">
        <v>659</v>
      </c>
      <c r="C1147" s="3" t="s">
        <v>1453</v>
      </c>
      <c r="D1147" s="3" t="s">
        <v>1453</v>
      </c>
      <c r="E1147" s="3" t="s">
        <v>1454</v>
      </c>
      <c r="F1147" s="3">
        <f>VLOOKUP(Table1[[#This Row],[Column2]], TAXONOMY_TYPE, 2, FALSE)</f>
        <v>10068</v>
      </c>
      <c r="G1147" s="3">
        <v>48</v>
      </c>
      <c r="H1147" s="3" t="s">
        <v>1513</v>
      </c>
      <c r="I1147" s="3">
        <f>VLOOKUP(Table1[[#This Row],[Provider Type]] &amp; Table1[[#This Row],[Provider Type Description]], PROVIDER_TYPE, 2, FALSE)</f>
        <v>81</v>
      </c>
      <c r="J1147" s="3">
        <v>480</v>
      </c>
      <c r="K1147" s="3" t="s">
        <v>1513</v>
      </c>
      <c r="L1147" s="3">
        <f>VLOOKUP(TRIM(Table1[[#This Row],[Provider Specialty]]) &amp; TRIM(Table1[[#This Row],[Provider Specialty Description]]), SPECIALTY_TYPE, 2, FALSE)</f>
        <v>2278</v>
      </c>
      <c r="M1147" s="3" t="s">
        <v>18</v>
      </c>
      <c r="N1147" s="27" t="s">
        <v>18</v>
      </c>
      <c r="O1147" s="38">
        <f>VLOOKUP(TRIM(Table1[[#This Row],[Provider Specialty]]) &amp; TRIM(Table1[[#This Row],[Provider Specialty Description]]), SPECIALTY_TYPE, 2, FALSE)</f>
        <v>2278</v>
      </c>
      <c r="P1147" s="3" t="str">
        <f>Table1[[#This Row],[Provider Type]] &amp; "+" &amp; Table1[[#This Row],[Provider Type Description]]</f>
        <v>48+DDSD-NFM</v>
      </c>
      <c r="Q1147" s="7" t="str">
        <f>Table1[[#This Row],[Provider Specialty]] &amp; "+" &amp; Table1[[#This Row],[Provider Specialty Description]]</f>
        <v>480+DDSD-NFM</v>
      </c>
      <c r="R1147" s="7" t="str">
        <f>Table1[[#This Row],[PDMS Specialty Type ID]] &amp; "+" &amp; Table1[[#This Row],[PDMS Provider Type ID]] &amp; "+" &amp;Table1[[#This Row],[TAXONOMY]]</f>
        <v>2278+81+373H00000X</v>
      </c>
      <c r="S11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(10068, 2278, 81, N'373H00000X', N'Day Training/Habilitation Specialist - Day Training/Habilitation Specialist')</v>
      </c>
    </row>
    <row r="1148" spans="1:19" ht="47.25" hidden="1" customHeight="1" x14ac:dyDescent="0.25">
      <c r="A1148" s="22" t="s">
        <v>11</v>
      </c>
      <c r="B1148" s="3" t="s">
        <v>175</v>
      </c>
      <c r="C1148" s="3" t="s">
        <v>548</v>
      </c>
      <c r="D1148" s="3" t="s">
        <v>548</v>
      </c>
      <c r="E1148" s="3" t="s">
        <v>549</v>
      </c>
      <c r="F1148" s="3">
        <f>VLOOKUP(Table1[[#This Row],[Column2]], TAXONOMY_TYPE, 2, FALSE)</f>
        <v>10069</v>
      </c>
      <c r="G1148" s="3">
        <v>49</v>
      </c>
      <c r="H1148" s="3" t="s">
        <v>542</v>
      </c>
      <c r="I1148" s="3">
        <f>VLOOKUP(Table1[[#This Row],[Provider Type]] &amp; Table1[[#This Row],[Provider Type Description]], PROVIDER_TYPE, 2, FALSE)</f>
        <v>82</v>
      </c>
      <c r="J1148" s="3">
        <v>493</v>
      </c>
      <c r="K1148" s="3" t="s">
        <v>542</v>
      </c>
      <c r="L1148" s="3">
        <f>VLOOKUP(TRIM(Table1[[#This Row],[Provider Specialty]]) &amp; TRIM(Table1[[#This Row],[Provider Specialty Description]]), SPECIALTY_TYPE, 2, FALSE)</f>
        <v>2279</v>
      </c>
      <c r="M1148" s="3" t="s">
        <v>18</v>
      </c>
      <c r="N1148" s="27" t="s">
        <v>18</v>
      </c>
      <c r="O1148" s="38">
        <f>VLOOKUP(TRIM(Table1[[#This Row],[Provider Specialty]]) &amp; TRIM(Table1[[#This Row],[Provider Specialty Description]]), SPECIALTY_TYPE, 2, FALSE)</f>
        <v>2279</v>
      </c>
      <c r="P1148" s="3" t="str">
        <f>Table1[[#This Row],[Provider Type]] &amp; "+" &amp; Table1[[#This Row],[Provider Type Description]]</f>
        <v>49+DDSD-Supportive Living Arrangements</v>
      </c>
      <c r="Q1148" s="7" t="str">
        <f>Table1[[#This Row],[Provider Specialty]] &amp; "+" &amp; Table1[[#This Row],[Provider Specialty Description]]</f>
        <v>493+DDSD-Supportive Living Arrangements</v>
      </c>
      <c r="R1148" s="7" t="str">
        <f>Table1[[#This Row],[PDMS Specialty Type ID]] &amp; "+" &amp; Table1[[#This Row],[PDMS Provider Type ID]] &amp; "+" &amp;Table1[[#This Row],[TAXONOMY]]</f>
        <v>2279+82+251K00000X</v>
      </c>
      <c r="S11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(10069, 2279, 82, N'251K00000X', N'Public Health or Welfare - Public Health or Welfare')</v>
      </c>
    </row>
    <row r="1149" spans="1:19" ht="47.25" hidden="1" customHeight="1" x14ac:dyDescent="0.25">
      <c r="A1149" s="22" t="s">
        <v>11</v>
      </c>
      <c r="B1149" s="3" t="s">
        <v>755</v>
      </c>
      <c r="C1149" s="3" t="s">
        <v>1520</v>
      </c>
      <c r="D1149" s="3" t="s">
        <v>1521</v>
      </c>
      <c r="E1149" s="3" t="s">
        <v>1522</v>
      </c>
      <c r="F1149" s="3">
        <f>VLOOKUP(Table1[[#This Row],[Column2]], TAXONOMY_TYPE, 2, FALSE)</f>
        <v>10070</v>
      </c>
      <c r="G1149" s="3">
        <v>50</v>
      </c>
      <c r="H1149" s="3" t="s">
        <v>1516</v>
      </c>
      <c r="I1149" s="3">
        <f>VLOOKUP(Table1[[#This Row],[Provider Type]] &amp; Table1[[#This Row],[Provider Type Description]], PROVIDER_TYPE, 2, FALSE)</f>
        <v>83</v>
      </c>
      <c r="J1149" s="3">
        <v>277</v>
      </c>
      <c r="K1149" s="3" t="s">
        <v>866</v>
      </c>
      <c r="L1149" s="3">
        <f>VLOOKUP(TRIM(Table1[[#This Row],[Provider Specialty]]) &amp; TRIM(Table1[[#This Row],[Provider Specialty Description]]), SPECIALTY_TYPE, 2, FALSE)</f>
        <v>2157</v>
      </c>
      <c r="M1149" s="3" t="s">
        <v>18</v>
      </c>
      <c r="N1149" s="27" t="s">
        <v>18</v>
      </c>
      <c r="O1149" s="38">
        <f>VLOOKUP(TRIM(Table1[[#This Row],[Provider Specialty]]) &amp; TRIM(Table1[[#This Row],[Provider Specialty Description]]), SPECIALTY_TYPE, 2, FALSE)</f>
        <v>2157</v>
      </c>
      <c r="P1149" s="3" t="str">
        <f>Table1[[#This Row],[Provider Type]] &amp; "+" &amp; Table1[[#This Row],[Provider Type Description]]</f>
        <v>50+Submitter Only</v>
      </c>
      <c r="Q1149" s="7" t="str">
        <f>Table1[[#This Row],[Provider Specialty]] &amp; "+" &amp; Table1[[#This Row],[Provider Specialty Description]]</f>
        <v>277+Prosthesis</v>
      </c>
      <c r="R1149" s="7" t="str">
        <f>Table1[[#This Row],[PDMS Specialty Type ID]] &amp; "+" &amp; Table1[[#This Row],[PDMS Provider Type ID]] &amp; "+" &amp;Table1[[#This Row],[TAXONOMY]]</f>
        <v>2157+83+224900000X</v>
      </c>
      <c r="S11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(10070, 2157, 83, N'224900000X', N'Mastectomy Fitter Classification - Mastectomy Fitter')</v>
      </c>
    </row>
    <row r="1150" spans="1:19" ht="47.25" hidden="1" customHeight="1" x14ac:dyDescent="0.25">
      <c r="A1150" s="22" t="s">
        <v>11</v>
      </c>
      <c r="B1150" s="3" t="s">
        <v>755</v>
      </c>
      <c r="C1150" s="3" t="s">
        <v>1523</v>
      </c>
      <c r="D1150" s="3" t="s">
        <v>1523</v>
      </c>
      <c r="E1150" s="3" t="s">
        <v>1524</v>
      </c>
      <c r="F1150" s="3">
        <f>VLOOKUP(Table1[[#This Row],[Column2]], TAXONOMY_TYPE, 2, FALSE)</f>
        <v>10071</v>
      </c>
      <c r="G1150" s="3">
        <v>50</v>
      </c>
      <c r="H1150" s="3" t="s">
        <v>1516</v>
      </c>
      <c r="I1150" s="3">
        <f>VLOOKUP(Table1[[#This Row],[Provider Type]] &amp; Table1[[#This Row],[Provider Type Description]], PROVIDER_TYPE, 2, FALSE)</f>
        <v>83</v>
      </c>
      <c r="J1150" s="3">
        <v>277</v>
      </c>
      <c r="K1150" s="3" t="s">
        <v>866</v>
      </c>
      <c r="L1150" s="3">
        <f>VLOOKUP(TRIM(Table1[[#This Row],[Provider Specialty]]) &amp; TRIM(Table1[[#This Row],[Provider Specialty Description]]), SPECIALTY_TYPE, 2, FALSE)</f>
        <v>2157</v>
      </c>
      <c r="M1150" s="3" t="s">
        <v>18</v>
      </c>
      <c r="N1150" s="27" t="s">
        <v>18</v>
      </c>
      <c r="O1150" s="38">
        <f>VLOOKUP(TRIM(Table1[[#This Row],[Provider Specialty]]) &amp; TRIM(Table1[[#This Row],[Provider Specialty Description]]), SPECIALTY_TYPE, 2, FALSE)</f>
        <v>2157</v>
      </c>
      <c r="P1150" s="3" t="str">
        <f>Table1[[#This Row],[Provider Type]] &amp; "+" &amp; Table1[[#This Row],[Provider Type Description]]</f>
        <v>50+Submitter Only</v>
      </c>
      <c r="Q1150" s="7" t="str">
        <f>Table1[[#This Row],[Provider Specialty]] &amp; "+" &amp; Table1[[#This Row],[Provider Specialty Description]]</f>
        <v>277+Prosthesis</v>
      </c>
      <c r="R1150" s="7" t="str">
        <f>Table1[[#This Row],[PDMS Specialty Type ID]] &amp; "+" &amp; Table1[[#This Row],[PDMS Provider Type ID]] &amp; "+" &amp;Table1[[#This Row],[TAXONOMY]]</f>
        <v>2157+83+224L00000X</v>
      </c>
      <c r="S11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(10071, 2157, 83, N'224L00000X', N'Pedorthist - Pedorthist')</v>
      </c>
    </row>
    <row r="1151" spans="1:19" ht="47.25" hidden="1" customHeight="1" x14ac:dyDescent="0.25">
      <c r="A1151" s="22" t="s">
        <v>11</v>
      </c>
      <c r="B1151" s="3" t="s">
        <v>337</v>
      </c>
      <c r="C1151" s="3" t="s">
        <v>1514</v>
      </c>
      <c r="D1151" s="3" t="s">
        <v>1514</v>
      </c>
      <c r="E1151" s="3" t="s">
        <v>1515</v>
      </c>
      <c r="F1151" s="3">
        <f>VLOOKUP(Table1[[#This Row],[Column2]], TAXONOMY_TYPE, 2, FALSE)</f>
        <v>10072</v>
      </c>
      <c r="G1151" s="3">
        <v>50</v>
      </c>
      <c r="H1151" s="3" t="s">
        <v>1516</v>
      </c>
      <c r="I1151" s="3">
        <f>VLOOKUP(Table1[[#This Row],[Provider Type]] &amp; Table1[[#This Row],[Provider Type Description]], PROVIDER_TYPE, 2, FALSE)</f>
        <v>83</v>
      </c>
      <c r="J1151" s="3">
        <v>500</v>
      </c>
      <c r="K1151" s="3" t="s">
        <v>1517</v>
      </c>
      <c r="L1151" s="3">
        <f>VLOOKUP(TRIM(Table1[[#This Row],[Provider Specialty]]) &amp; TRIM(Table1[[#This Row],[Provider Specialty Description]]), SPECIALTY_TYPE, 2, FALSE)</f>
        <v>2280</v>
      </c>
      <c r="M1151" s="3" t="s">
        <v>18</v>
      </c>
      <c r="N1151" s="27" t="s">
        <v>18</v>
      </c>
      <c r="O1151" s="38">
        <f>VLOOKUP(TRIM(Table1[[#This Row],[Provider Specialty]]) &amp; TRIM(Table1[[#This Row],[Provider Specialty Description]]), SPECIALTY_TYPE, 2, FALSE)</f>
        <v>2280</v>
      </c>
      <c r="P1151" s="3" t="str">
        <f>Table1[[#This Row],[Provider Type]] &amp; "+" &amp; Table1[[#This Row],[Provider Type Description]]</f>
        <v>50+Submitter Only</v>
      </c>
      <c r="Q1151" s="7" t="str">
        <f>Table1[[#This Row],[Provider Specialty]] &amp; "+" &amp; Table1[[#This Row],[Provider Specialty Description]]</f>
        <v>500+State Agency</v>
      </c>
      <c r="R1151" s="7" t="str">
        <f>Table1[[#This Row],[PDMS Specialty Type ID]] &amp; "+" &amp; Table1[[#This Row],[PDMS Provider Type ID]] &amp; "+" &amp;Table1[[#This Row],[TAXONOMY]]</f>
        <v>2280+83+177F00000X</v>
      </c>
      <c r="S11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(10072, 2280, 83, N'177F00000X', N'Lodging - Lodging')</v>
      </c>
    </row>
    <row r="1152" spans="1:19" ht="47.25" hidden="1" customHeight="1" x14ac:dyDescent="0.25">
      <c r="A1152" s="22" t="s">
        <v>11</v>
      </c>
      <c r="B1152" s="3" t="s">
        <v>337</v>
      </c>
      <c r="C1152" s="3" t="s">
        <v>1514</v>
      </c>
      <c r="D1152" s="3" t="s">
        <v>1514</v>
      </c>
      <c r="E1152" s="3" t="s">
        <v>1515</v>
      </c>
      <c r="F1152" s="3">
        <f>VLOOKUP(Table1[[#This Row],[Column2]], TAXONOMY_TYPE, 2, FALSE)</f>
        <v>10073</v>
      </c>
      <c r="G1152" s="3">
        <v>50</v>
      </c>
      <c r="H1152" s="3" t="s">
        <v>1516</v>
      </c>
      <c r="I1152" s="3">
        <f>VLOOKUP(Table1[[#This Row],[Provider Type]] &amp; Table1[[#This Row],[Provider Type Description]], PROVIDER_TYPE, 2, FALSE)</f>
        <v>83</v>
      </c>
      <c r="J1152" s="3">
        <v>501</v>
      </c>
      <c r="K1152" s="3" t="s">
        <v>1518</v>
      </c>
      <c r="L1152" s="3">
        <f>VLOOKUP(TRIM(Table1[[#This Row],[Provider Specialty]]) &amp; TRIM(Table1[[#This Row],[Provider Specialty Description]]), SPECIALTY_TYPE, 2, FALSE)</f>
        <v>2281</v>
      </c>
      <c r="M1152" s="3" t="s">
        <v>18</v>
      </c>
      <c r="N1152" s="27" t="s">
        <v>18</v>
      </c>
      <c r="O1152" s="38">
        <f>VLOOKUP(TRIM(Table1[[#This Row],[Provider Specialty]]) &amp; TRIM(Table1[[#This Row],[Provider Specialty Description]]), SPECIALTY_TYPE, 2, FALSE)</f>
        <v>2281</v>
      </c>
      <c r="P1152" s="3" t="str">
        <f>Table1[[#This Row],[Provider Type]] &amp; "+" &amp; Table1[[#This Row],[Provider Type Description]]</f>
        <v>50+Submitter Only</v>
      </c>
      <c r="Q1152" s="7" t="str">
        <f>Table1[[#This Row],[Provider Specialty]] &amp; "+" &amp; Table1[[#This Row],[Provider Specialty Description]]</f>
        <v>501+TPL Carrier</v>
      </c>
      <c r="R1152" s="7" t="str">
        <f>Table1[[#This Row],[PDMS Specialty Type ID]] &amp; "+" &amp; Table1[[#This Row],[PDMS Provider Type ID]] &amp; "+" &amp;Table1[[#This Row],[TAXONOMY]]</f>
        <v>2281+83+177F00000X</v>
      </c>
      <c r="S11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(10073, 2281, 83, N'177F00000X', N'Lodging - Lodging')</v>
      </c>
    </row>
    <row r="1153" spans="1:19" ht="47.25" hidden="1" customHeight="1" x14ac:dyDescent="0.25">
      <c r="A1153" s="22" t="s">
        <v>227</v>
      </c>
      <c r="B1153" s="3" t="s">
        <v>337</v>
      </c>
      <c r="C1153" s="3" t="s">
        <v>1514</v>
      </c>
      <c r="D1153" s="3" t="s">
        <v>1514</v>
      </c>
      <c r="E1153" s="3" t="s">
        <v>1515</v>
      </c>
      <c r="F1153" s="3">
        <f>VLOOKUP(Table1[[#This Row],[Column2]], TAXONOMY_TYPE, 2, FALSE)</f>
        <v>10074</v>
      </c>
      <c r="G1153" s="3">
        <v>50</v>
      </c>
      <c r="H1153" s="3" t="s">
        <v>1516</v>
      </c>
      <c r="I1153" s="3">
        <f>VLOOKUP(Table1[[#This Row],[Provider Type]] &amp; Table1[[#This Row],[Provider Type Description]], PROVIDER_TYPE, 2, FALSE)</f>
        <v>83</v>
      </c>
      <c r="J1153" s="3">
        <v>502</v>
      </c>
      <c r="K1153" s="3" t="s">
        <v>1519</v>
      </c>
      <c r="L1153" s="3">
        <f>VLOOKUP(TRIM(Table1[[#This Row],[Provider Specialty]]) &amp; TRIM(Table1[[#This Row],[Provider Specialty Description]]), SPECIALTY_TYPE, 2, FALSE)</f>
        <v>2282</v>
      </c>
      <c r="M1153" s="3" t="s">
        <v>18</v>
      </c>
      <c r="N1153" s="27" t="s">
        <v>18</v>
      </c>
      <c r="O1153" s="38">
        <f>VLOOKUP(TRIM(Table1[[#This Row],[Provider Specialty]]) &amp; TRIM(Table1[[#This Row],[Provider Specialty Description]]), SPECIALTY_TYPE, 2, FALSE)</f>
        <v>2282</v>
      </c>
      <c r="P1153" s="3" t="str">
        <f>Table1[[#This Row],[Provider Type]] &amp; "+" &amp; Table1[[#This Row],[Provider Type Description]]</f>
        <v>50+Submitter Only</v>
      </c>
      <c r="Q1153" s="7" t="str">
        <f>Table1[[#This Row],[Provider Specialty]] &amp; "+" &amp; Table1[[#This Row],[Provider Specialty Description]]</f>
        <v>502+Insurance Carrier</v>
      </c>
      <c r="R1153" s="7" t="str">
        <f>Table1[[#This Row],[PDMS Specialty Type ID]] &amp; "+" &amp; Table1[[#This Row],[PDMS Provider Type ID]] &amp; "+" &amp;Table1[[#This Row],[TAXONOMY]]</f>
        <v>2282+83+177F00000X</v>
      </c>
      <c r="S11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(10074, 2282, 83, N'177F00000X', N'Lodging - Lodging')</v>
      </c>
    </row>
    <row r="1154" spans="1:19" ht="47.25" hidden="1" customHeight="1" x14ac:dyDescent="0.25">
      <c r="A1154" s="22" t="s">
        <v>11</v>
      </c>
      <c r="B1154" s="3" t="s">
        <v>1525</v>
      </c>
      <c r="C1154" s="3" t="s">
        <v>1526</v>
      </c>
      <c r="D1154" s="3" t="s">
        <v>1525</v>
      </c>
      <c r="E1154" s="3" t="s">
        <v>1527</v>
      </c>
      <c r="F1154" s="3">
        <f>VLOOKUP(Table1[[#This Row],[Column2]], TAXONOMY_TYPE, 2, FALSE)</f>
        <v>10075</v>
      </c>
      <c r="G1154" s="3">
        <v>51</v>
      </c>
      <c r="H1154" s="3" t="s">
        <v>1951</v>
      </c>
      <c r="I1154" s="3">
        <f>VLOOKUP(Table1[[#This Row],[Provider Type]] &amp; Table1[[#This Row],[Provider Type Description]], PROVIDER_TYPE, 2, FALSE)</f>
        <v>84</v>
      </c>
      <c r="J1154" s="3">
        <v>510</v>
      </c>
      <c r="K1154" s="3" t="s">
        <v>2567</v>
      </c>
      <c r="L1154" s="3">
        <f>VLOOKUP(TRIM(Table1[[#This Row],[Provider Specialty]]) &amp; TRIM(Table1[[#This Row],[Provider Specialty Description]]), SPECIALTY_TYPE, 2, FALSE)</f>
        <v>2144</v>
      </c>
      <c r="M1154" s="3" t="s">
        <v>18</v>
      </c>
      <c r="N1154" s="27" t="s">
        <v>18</v>
      </c>
      <c r="O1154" s="38">
        <f>VLOOKUP(TRIM(Table1[[#This Row],[Provider Specialty]]) &amp; TRIM(Table1[[#This Row],[Provider Specialty Description]]), SPECIALTY_TYPE, 2, FALSE)</f>
        <v>2144</v>
      </c>
      <c r="P1154" s="3" t="str">
        <f>Table1[[#This Row],[Provider Type]] &amp; "+" &amp; Table1[[#This Row],[Provider Type Description]]</f>
        <v>51+HCBS Provider</v>
      </c>
      <c r="Q1154" s="7" t="str">
        <f>Table1[[#This Row],[Provider Specialty]] &amp; "+" &amp; Table1[[#This Row],[Provider Specialty Description]]</f>
        <v>510+HCBS - IID Waiver Facility</v>
      </c>
      <c r="R1154" s="7" t="str">
        <f>Table1[[#This Row],[PDMS Specialty Type ID]] &amp; "+" &amp; Table1[[#This Row],[PDMS Provider Type ID]] &amp; "+" &amp;Table1[[#This Row],[TAXONOMY]]</f>
        <v>2144+84+253Z00000X</v>
      </c>
      <c r="S11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(10075, 2144, 84, N'253Z00000X', N'In Home Supportive Care - Agencies')</v>
      </c>
    </row>
    <row r="1155" spans="1:19" ht="47.25" hidden="1" customHeight="1" x14ac:dyDescent="0.25">
      <c r="A1155" s="22" t="s">
        <v>227</v>
      </c>
      <c r="B1155" s="3" t="s">
        <v>1544</v>
      </c>
      <c r="C1155" s="3" t="s">
        <v>1545</v>
      </c>
      <c r="D1155" s="3" t="s">
        <v>1545</v>
      </c>
      <c r="E1155" s="3" t="s">
        <v>1546</v>
      </c>
      <c r="F1155" s="3">
        <f>VLOOKUP(Table1[[#This Row],[Column2]], TAXONOMY_TYPE, 2, FALSE)</f>
        <v>10076</v>
      </c>
      <c r="G1155" s="3">
        <v>52</v>
      </c>
      <c r="H1155" s="3" t="s">
        <v>1959</v>
      </c>
      <c r="I1155" s="3">
        <f>VLOOKUP(Table1[[#This Row],[Provider Type]] &amp; Table1[[#This Row],[Provider Type Description]], PROVIDER_TYPE, 2, FALSE)</f>
        <v>85</v>
      </c>
      <c r="J1155" s="3">
        <v>248</v>
      </c>
      <c r="K1155" s="3" t="s">
        <v>1547</v>
      </c>
      <c r="L1155" s="3">
        <f>VLOOKUP(TRIM(Table1[[#This Row],[Provider Specialty]]) &amp; TRIM(Table1[[#This Row],[Provider Specialty Description]]), SPECIALTY_TYPE, 2, FALSE)</f>
        <v>2235</v>
      </c>
      <c r="M1155" s="3" t="s">
        <v>18</v>
      </c>
      <c r="N1155" s="27" t="s">
        <v>18</v>
      </c>
      <c r="O1155" s="38">
        <f>VLOOKUP(TRIM(Table1[[#This Row],[Provider Specialty]]) &amp; TRIM(Table1[[#This Row],[Provider Specialty Description]]), SPECIALTY_TYPE, 2, FALSE)</f>
        <v>2235</v>
      </c>
      <c r="P1155" s="3" t="str">
        <f>Table1[[#This Row],[Provider Type]] &amp; "+" &amp; Table1[[#This Row],[Provider Type Description]]</f>
        <v>52+Technician</v>
      </c>
      <c r="Q1155" s="7" t="str">
        <f>Table1[[#This Row],[Provider Specialty]] &amp; "+" &amp; Table1[[#This Row],[Provider Specialty Description]]</f>
        <v>248+Pharmacy Technician</v>
      </c>
      <c r="R1155" s="7" t="str">
        <f>Table1[[#This Row],[PDMS Specialty Type ID]] &amp; "+" &amp; Table1[[#This Row],[PDMS Provider Type ID]] &amp; "+" &amp;Table1[[#This Row],[TAXONOMY]]</f>
        <v>2235+85+183700000X</v>
      </c>
      <c r="S11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(10076, 2235, 85, N'183700000X', N'Pharmacy Technician - Pharmacy Technician')</v>
      </c>
    </row>
    <row r="1156" spans="1:19" ht="47.25" hidden="1" customHeight="1" x14ac:dyDescent="0.25">
      <c r="A1156" s="22" t="s">
        <v>227</v>
      </c>
      <c r="B1156" s="3" t="s">
        <v>661</v>
      </c>
      <c r="C1156" s="3" t="s">
        <v>1548</v>
      </c>
      <c r="D1156" s="3" t="s">
        <v>1548</v>
      </c>
      <c r="E1156" s="3" t="s">
        <v>1549</v>
      </c>
      <c r="F1156" s="3">
        <f>VLOOKUP(Table1[[#This Row],[Column2]], TAXONOMY_TYPE, 2, FALSE)</f>
        <v>10077</v>
      </c>
      <c r="G1156" s="3">
        <v>52</v>
      </c>
      <c r="H1156" s="3" t="s">
        <v>1959</v>
      </c>
      <c r="I1156" s="3">
        <f>VLOOKUP(Table1[[#This Row],[Provider Type]] &amp; Table1[[#This Row],[Provider Type Description]], PROVIDER_TYPE, 2, FALSE)</f>
        <v>85</v>
      </c>
      <c r="J1156" s="3">
        <v>277</v>
      </c>
      <c r="K1156" s="3" t="s">
        <v>1550</v>
      </c>
      <c r="L1156" s="3">
        <f>VLOOKUP(TRIM(Table1[[#This Row],[Provider Specialty]]) &amp; TRIM(Table1[[#This Row],[Provider Specialty Description]]), SPECIALTY_TYPE, 2, FALSE)</f>
        <v>2242</v>
      </c>
      <c r="M1156" s="3" t="s">
        <v>18</v>
      </c>
      <c r="N1156" s="27" t="s">
        <v>18</v>
      </c>
      <c r="O1156" s="38">
        <f>VLOOKUP(TRIM(Table1[[#This Row],[Provider Specialty]]) &amp; TRIM(Table1[[#This Row],[Provider Specialty Description]]), SPECIALTY_TYPE, 2, FALSE)</f>
        <v>2242</v>
      </c>
      <c r="P1156" s="3" t="str">
        <f>Table1[[#This Row],[Provider Type]] &amp; "+" &amp; Table1[[#This Row],[Provider Type Description]]</f>
        <v>52+Technician</v>
      </c>
      <c r="Q1156" s="7" t="str">
        <f>Table1[[#This Row],[Provider Specialty]] &amp; "+" &amp; Table1[[#This Row],[Provider Specialty Description]]</f>
        <v>277+Prothesis / Orthotics</v>
      </c>
      <c r="R1156" s="7" t="str">
        <f>Table1[[#This Row],[PDMS Specialty Type ID]] &amp; "+" &amp; Table1[[#This Row],[PDMS Provider Type ID]] &amp; "+" &amp;Table1[[#This Row],[TAXONOMY]]</f>
        <v>2242+85+222Z00000X</v>
      </c>
      <c r="S11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(10077, 2242, 85, N'222Z00000X', N'Orthotist - Orthotist')</v>
      </c>
    </row>
    <row r="1157" spans="1:19" ht="47.25" hidden="1" customHeight="1" x14ac:dyDescent="0.25">
      <c r="A1157" s="22" t="s">
        <v>227</v>
      </c>
      <c r="B1157" s="3" t="s">
        <v>661</v>
      </c>
      <c r="C1157" s="3" t="s">
        <v>1551</v>
      </c>
      <c r="D1157" s="3" t="s">
        <v>1551</v>
      </c>
      <c r="E1157" s="3" t="s">
        <v>1552</v>
      </c>
      <c r="F1157" s="3">
        <f>VLOOKUP(Table1[[#This Row],[Column2]], TAXONOMY_TYPE, 2, FALSE)</f>
        <v>10078</v>
      </c>
      <c r="G1157" s="3">
        <v>52</v>
      </c>
      <c r="H1157" s="3" t="s">
        <v>1959</v>
      </c>
      <c r="I1157" s="3">
        <f>VLOOKUP(Table1[[#This Row],[Provider Type]] &amp; Table1[[#This Row],[Provider Type Description]], PROVIDER_TYPE, 2, FALSE)</f>
        <v>85</v>
      </c>
      <c r="J1157" s="3">
        <v>277</v>
      </c>
      <c r="K1157" s="3" t="s">
        <v>1550</v>
      </c>
      <c r="L1157" s="3">
        <f>VLOOKUP(TRIM(Table1[[#This Row],[Provider Specialty]]) &amp; TRIM(Table1[[#This Row],[Provider Specialty Description]]), SPECIALTY_TYPE, 2, FALSE)</f>
        <v>2242</v>
      </c>
      <c r="M1157" s="3" t="s">
        <v>18</v>
      </c>
      <c r="N1157" s="27" t="s">
        <v>18</v>
      </c>
      <c r="O1157" s="38">
        <f>VLOOKUP(TRIM(Table1[[#This Row],[Provider Specialty]]) &amp; TRIM(Table1[[#This Row],[Provider Specialty Description]]), SPECIALTY_TYPE, 2, FALSE)</f>
        <v>2242</v>
      </c>
      <c r="P1157" s="3" t="str">
        <f>Table1[[#This Row],[Provider Type]] &amp; "+" &amp; Table1[[#This Row],[Provider Type Description]]</f>
        <v>52+Technician</v>
      </c>
      <c r="Q1157" s="7" t="str">
        <f>Table1[[#This Row],[Provider Specialty]] &amp; "+" &amp; Table1[[#This Row],[Provider Specialty Description]]</f>
        <v>277+Prothesis / Orthotics</v>
      </c>
      <c r="R1157" s="7" t="str">
        <f>Table1[[#This Row],[PDMS Specialty Type ID]] &amp; "+" &amp; Table1[[#This Row],[PDMS Provider Type ID]] &amp; "+" &amp;Table1[[#This Row],[TAXONOMY]]</f>
        <v>2242+85+224P00000X</v>
      </c>
      <c r="S11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(10078, 2242, 85, N'224P00000X', N'Prosthetist - Prosthetist')</v>
      </c>
    </row>
    <row r="1158" spans="1:19" ht="47.25" hidden="1" customHeight="1" x14ac:dyDescent="0.25">
      <c r="A1158" s="22" t="s">
        <v>227</v>
      </c>
      <c r="B1158" s="3" t="s">
        <v>661</v>
      </c>
      <c r="C1158" s="3" t="s">
        <v>1553</v>
      </c>
      <c r="D1158" s="3" t="s">
        <v>1553</v>
      </c>
      <c r="E1158" s="3" t="s">
        <v>1554</v>
      </c>
      <c r="F1158" s="3">
        <f>VLOOKUP(Table1[[#This Row],[Column2]], TAXONOMY_TYPE, 2, FALSE)</f>
        <v>10079</v>
      </c>
      <c r="G1158" s="3">
        <v>52</v>
      </c>
      <c r="H1158" s="3" t="s">
        <v>1959</v>
      </c>
      <c r="I1158" s="3">
        <f>VLOOKUP(Table1[[#This Row],[Provider Type]] &amp; Table1[[#This Row],[Provider Type Description]], PROVIDER_TYPE, 2, FALSE)</f>
        <v>85</v>
      </c>
      <c r="J1158" s="3">
        <v>277</v>
      </c>
      <c r="K1158" s="3" t="s">
        <v>1550</v>
      </c>
      <c r="L1158" s="3">
        <f>VLOOKUP(TRIM(Table1[[#This Row],[Provider Specialty]]) &amp; TRIM(Table1[[#This Row],[Provider Specialty Description]]), SPECIALTY_TYPE, 2, FALSE)</f>
        <v>2242</v>
      </c>
      <c r="M1158" s="3" t="s">
        <v>18</v>
      </c>
      <c r="N1158" s="27" t="s">
        <v>18</v>
      </c>
      <c r="O1158" s="38">
        <f>VLOOKUP(TRIM(Table1[[#This Row],[Provider Specialty]]) &amp; TRIM(Table1[[#This Row],[Provider Specialty Description]]), SPECIALTY_TYPE, 2, FALSE)</f>
        <v>2242</v>
      </c>
      <c r="P1158" s="3" t="str">
        <f>Table1[[#This Row],[Provider Type]] &amp; "+" &amp; Table1[[#This Row],[Provider Type Description]]</f>
        <v>52+Technician</v>
      </c>
      <c r="Q1158" s="7" t="str">
        <f>Table1[[#This Row],[Provider Specialty]] &amp; "+" &amp; Table1[[#This Row],[Provider Specialty Description]]</f>
        <v>277+Prothesis / Orthotics</v>
      </c>
      <c r="R1158" s="7" t="str">
        <f>Table1[[#This Row],[PDMS Specialty Type ID]] &amp; "+" &amp; Table1[[#This Row],[PDMS Provider Type ID]] &amp; "+" &amp;Table1[[#This Row],[TAXONOMY]]</f>
        <v>2242+85+225000000X</v>
      </c>
      <c r="S11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(10079, 2242, 85, N'225000000X', N'Orthotics/Prosthetics Fitter - Orthotics/Prosthetics Fitter')</v>
      </c>
    </row>
    <row r="1159" spans="1:19" ht="47.25" hidden="1" customHeight="1" x14ac:dyDescent="0.25">
      <c r="A1159" s="22" t="s">
        <v>227</v>
      </c>
      <c r="B1159" s="3" t="s">
        <v>1555</v>
      </c>
      <c r="C1159" s="3" t="s">
        <v>1556</v>
      </c>
      <c r="D1159" s="3" t="s">
        <v>1563</v>
      </c>
      <c r="E1159" s="3" t="s">
        <v>1564</v>
      </c>
      <c r="F1159" s="3">
        <f>VLOOKUP(Table1[[#This Row],[Column2]], TAXONOMY_TYPE, 2, FALSE)</f>
        <v>10080</v>
      </c>
      <c r="G1159" s="3">
        <v>52</v>
      </c>
      <c r="H1159" s="3" t="s">
        <v>1959</v>
      </c>
      <c r="I1159" s="3">
        <f>VLOOKUP(Table1[[#This Row],[Provider Type]] &amp; Table1[[#This Row],[Provider Type Description]], PROVIDER_TYPE, 2, FALSE)</f>
        <v>85</v>
      </c>
      <c r="J1159" s="3">
        <v>540</v>
      </c>
      <c r="K1159" s="3" t="s">
        <v>1424</v>
      </c>
      <c r="L1159" s="3">
        <f>VLOOKUP(TRIM(Table1[[#This Row],[Provider Specialty]]) &amp; TRIM(Table1[[#This Row],[Provider Specialty Description]]), SPECIALTY_TYPE, 2, FALSE)</f>
        <v>1980</v>
      </c>
      <c r="M1159" s="3" t="s">
        <v>18</v>
      </c>
      <c r="N1159" s="27" t="s">
        <v>18</v>
      </c>
      <c r="O1159" s="38">
        <f>VLOOKUP(TRIM(Table1[[#This Row],[Provider Specialty]]) &amp; TRIM(Table1[[#This Row],[Provider Specialty Description]]), SPECIALTY_TYPE, 2, FALSE)</f>
        <v>1980</v>
      </c>
      <c r="P1159" s="3" t="str">
        <f>Table1[[#This Row],[Provider Type]] &amp; "+" &amp; Table1[[#This Row],[Provider Type Description]]</f>
        <v>52+Technician</v>
      </c>
      <c r="Q1159" s="7" t="str">
        <f>Table1[[#This Row],[Provider Specialty]] &amp; "+" &amp; Table1[[#This Row],[Provider Specialty Description]]</f>
        <v>540+Phlebology</v>
      </c>
      <c r="R1159" s="7" t="str">
        <f>Table1[[#This Row],[PDMS Specialty Type ID]] &amp; "+" &amp; Table1[[#This Row],[PDMS Provider Type ID]] &amp; "+" &amp;Table1[[#This Row],[TAXONOMY]]</f>
        <v>1980+85+246RP1900X</v>
      </c>
      <c r="S11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(10080, 1980, 85, N'246RP1900X', N'Technician, Pathology - Phlebotomy')</v>
      </c>
    </row>
    <row r="1160" spans="1:19" ht="47.25" hidden="1" customHeight="1" x14ac:dyDescent="0.25">
      <c r="A1160" s="22" t="s">
        <v>227</v>
      </c>
      <c r="B1160" s="3" t="s">
        <v>919</v>
      </c>
      <c r="C1160" s="3" t="s">
        <v>1529</v>
      </c>
      <c r="D1160" s="3" t="s">
        <v>1529</v>
      </c>
      <c r="E1160" s="3" t="s">
        <v>1530</v>
      </c>
      <c r="F1160" s="3">
        <f>VLOOKUP(Table1[[#This Row],[Column2]], TAXONOMY_TYPE, 2, FALSE)</f>
        <v>10081</v>
      </c>
      <c r="G1160" s="3">
        <v>52</v>
      </c>
      <c r="H1160" s="3" t="s">
        <v>1959</v>
      </c>
      <c r="I1160" s="3">
        <f>VLOOKUP(Table1[[#This Row],[Provider Type]] &amp; Table1[[#This Row],[Provider Type Description]], PROVIDER_TYPE, 2, FALSE)</f>
        <v>85</v>
      </c>
      <c r="J1160" s="3">
        <v>552</v>
      </c>
      <c r="K1160" s="3" t="s">
        <v>1531</v>
      </c>
      <c r="L1160" s="3">
        <f>VLOOKUP(TRIM(Table1[[#This Row],[Provider Specialty]]) &amp; TRIM(Table1[[#This Row],[Provider Specialty Description]]), SPECIALTY_TYPE, 2, FALSE)</f>
        <v>2286</v>
      </c>
      <c r="M1160" s="3" t="s">
        <v>19</v>
      </c>
      <c r="N1160" s="27" t="s">
        <v>18</v>
      </c>
      <c r="O1160" s="38">
        <f>VLOOKUP(TRIM(Table1[[#This Row],[Provider Specialty]]) &amp; TRIM(Table1[[#This Row],[Provider Specialty Description]]), SPECIALTY_TYPE, 2, FALSE)</f>
        <v>2286</v>
      </c>
      <c r="P1160" s="3" t="str">
        <f>Table1[[#This Row],[Provider Type]] &amp; "+" &amp; Table1[[#This Row],[Provider Type Description]]</f>
        <v>52+Technician</v>
      </c>
      <c r="Q1160" s="7" t="str">
        <f>Table1[[#This Row],[Provider Specialty]] &amp; "+" &amp; Table1[[#This Row],[Provider Specialty Description]]</f>
        <v>552+Dental Laboratory Techinician</v>
      </c>
      <c r="R1160" s="7" t="str">
        <f>Table1[[#This Row],[PDMS Specialty Type ID]] &amp; "+" &amp; Table1[[#This Row],[PDMS Provider Type ID]] &amp; "+" &amp;Table1[[#This Row],[TAXONOMY]]</f>
        <v>2286+85+126900000X</v>
      </c>
      <c r="S11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(10081, 2286, 85, N'126900000X', N'Dental Laboratory Technician - Dental Laboratory Technician')</v>
      </c>
    </row>
    <row r="1161" spans="1:19" ht="47.25" hidden="1" customHeight="1" x14ac:dyDescent="0.25">
      <c r="A1161" s="22" t="s">
        <v>227</v>
      </c>
      <c r="B1161" s="3" t="s">
        <v>1470</v>
      </c>
      <c r="C1161" s="3" t="s">
        <v>1538</v>
      </c>
      <c r="D1161" s="3" t="s">
        <v>1538</v>
      </c>
      <c r="E1161" s="3" t="s">
        <v>1539</v>
      </c>
      <c r="F1161" s="3">
        <f>VLOOKUP(Table1[[#This Row],[Column2]], TAXONOMY_TYPE, 2, FALSE)</f>
        <v>10082</v>
      </c>
      <c r="G1161" s="3">
        <v>52</v>
      </c>
      <c r="H1161" s="3" t="s">
        <v>1959</v>
      </c>
      <c r="I1161" s="3">
        <f>VLOOKUP(Table1[[#This Row],[Provider Type]] &amp; Table1[[#This Row],[Provider Type Description]], PROVIDER_TYPE, 2, FALSE)</f>
        <v>85</v>
      </c>
      <c r="J1161" s="4">
        <v>560</v>
      </c>
      <c r="K1161" s="3" t="s">
        <v>1540</v>
      </c>
      <c r="L1161" s="3">
        <f>VLOOKUP(TRIM(Table1[[#This Row],[Provider Specialty]]) &amp; TRIM(Table1[[#This Row],[Provider Specialty Description]]), SPECIALTY_TYPE, 2, FALSE)</f>
        <v>2287</v>
      </c>
      <c r="M1161" s="3" t="s">
        <v>18</v>
      </c>
      <c r="N1161" s="27" t="s">
        <v>18</v>
      </c>
      <c r="O1161" s="38">
        <f>VLOOKUP(TRIM(Table1[[#This Row],[Provider Specialty]]) &amp; TRIM(Table1[[#This Row],[Provider Specialty Description]]), SPECIALTY_TYPE, 2, FALSE)</f>
        <v>2287</v>
      </c>
      <c r="P1161" s="3" t="str">
        <f>Table1[[#This Row],[Provider Type]] &amp; "+" &amp; Table1[[#This Row],[Provider Type Description]]</f>
        <v>52+Technician</v>
      </c>
      <c r="Q1161" s="7" t="str">
        <f>Table1[[#This Row],[Provider Specialty]] &amp; "+" &amp; Table1[[#This Row],[Provider Specialty Description]]</f>
        <v>560+Emergency Medical Technician, Basic</v>
      </c>
      <c r="R1161" s="7" t="str">
        <f>Table1[[#This Row],[PDMS Specialty Type ID]] &amp; "+" &amp; Table1[[#This Row],[PDMS Provider Type ID]] &amp; "+" &amp;Table1[[#This Row],[TAXONOMY]]</f>
        <v>2287+85+146N00000X</v>
      </c>
      <c r="S11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(10082, 2287, 85, N'146N00000X', N'Emergency Medical Technician, Basic - Emergency Medical Technician, Basic')</v>
      </c>
    </row>
    <row r="1162" spans="1:19" ht="47.25" hidden="1" customHeight="1" x14ac:dyDescent="0.25">
      <c r="A1162" s="22" t="s">
        <v>227</v>
      </c>
      <c r="B1162" s="3" t="s">
        <v>1470</v>
      </c>
      <c r="C1162" s="3" t="s">
        <v>1535</v>
      </c>
      <c r="D1162" s="3" t="s">
        <v>1535</v>
      </c>
      <c r="E1162" s="3" t="s">
        <v>1536</v>
      </c>
      <c r="F1162" s="3">
        <f>VLOOKUP(Table1[[#This Row],[Column2]], TAXONOMY_TYPE, 2, FALSE)</f>
        <v>10083</v>
      </c>
      <c r="G1162" s="3">
        <v>52</v>
      </c>
      <c r="H1162" s="3" t="s">
        <v>1959</v>
      </c>
      <c r="I1162" s="3">
        <f>VLOOKUP(Table1[[#This Row],[Provider Type]] &amp; Table1[[#This Row],[Provider Type Description]], PROVIDER_TYPE, 2, FALSE)</f>
        <v>85</v>
      </c>
      <c r="J1162" s="4">
        <v>561</v>
      </c>
      <c r="K1162" s="3" t="s">
        <v>1537</v>
      </c>
      <c r="L1162" s="3">
        <f>VLOOKUP(TRIM(Table1[[#This Row],[Provider Specialty]]) &amp; TRIM(Table1[[#This Row],[Provider Specialty Description]]), SPECIALTY_TYPE, 2, FALSE)</f>
        <v>2288</v>
      </c>
      <c r="M1162" s="3" t="s">
        <v>18</v>
      </c>
      <c r="N1162" s="27" t="s">
        <v>18</v>
      </c>
      <c r="O1162" s="38">
        <f>VLOOKUP(TRIM(Table1[[#This Row],[Provider Specialty]]) &amp; TRIM(Table1[[#This Row],[Provider Specialty Description]]), SPECIALTY_TYPE, 2, FALSE)</f>
        <v>2288</v>
      </c>
      <c r="P1162" s="3" t="str">
        <f>Table1[[#This Row],[Provider Type]] &amp; "+" &amp; Table1[[#This Row],[Provider Type Description]]</f>
        <v>52+Technician</v>
      </c>
      <c r="Q1162" s="7" t="str">
        <f>Table1[[#This Row],[Provider Specialty]] &amp; "+" &amp; Table1[[#This Row],[Provider Specialty Description]]</f>
        <v>561+Emergency Medical Technician, Intermediate</v>
      </c>
      <c r="R1162" s="7" t="str">
        <f>Table1[[#This Row],[PDMS Specialty Type ID]] &amp; "+" &amp; Table1[[#This Row],[PDMS Provider Type ID]] &amp; "+" &amp;Table1[[#This Row],[TAXONOMY]]</f>
        <v>2288+85+146M00000X</v>
      </c>
      <c r="S11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(10083, 2288, 85, N'146M00000X', N'Emergency Medical Technician, Intermediate - Emergency Medical Technician, Intermediate')</v>
      </c>
    </row>
    <row r="1163" spans="1:19" ht="47.25" hidden="1" customHeight="1" x14ac:dyDescent="0.25">
      <c r="A1163" s="22" t="s">
        <v>227</v>
      </c>
      <c r="B1163" s="3" t="s">
        <v>1470</v>
      </c>
      <c r="C1163" s="3" t="s">
        <v>1532</v>
      </c>
      <c r="D1163" s="3" t="s">
        <v>1532</v>
      </c>
      <c r="E1163" s="3" t="s">
        <v>1533</v>
      </c>
      <c r="F1163" s="3">
        <f>VLOOKUP(Table1[[#This Row],[Column2]], TAXONOMY_TYPE, 2, FALSE)</f>
        <v>10084</v>
      </c>
      <c r="G1163" s="3">
        <v>52</v>
      </c>
      <c r="H1163" s="3" t="s">
        <v>1959</v>
      </c>
      <c r="I1163" s="3">
        <f>VLOOKUP(Table1[[#This Row],[Provider Type]] &amp; Table1[[#This Row],[Provider Type Description]], PROVIDER_TYPE, 2, FALSE)</f>
        <v>85</v>
      </c>
      <c r="J1163" s="4">
        <v>562</v>
      </c>
      <c r="K1163" s="3" t="s">
        <v>1534</v>
      </c>
      <c r="L1163" s="3">
        <f>VLOOKUP(TRIM(Table1[[#This Row],[Provider Specialty]]) &amp; TRIM(Table1[[#This Row],[Provider Specialty Description]]), SPECIALTY_TYPE, 2, FALSE)</f>
        <v>2289</v>
      </c>
      <c r="M1163" s="3" t="s">
        <v>18</v>
      </c>
      <c r="N1163" s="27" t="s">
        <v>18</v>
      </c>
      <c r="O1163" s="38">
        <f>VLOOKUP(TRIM(Table1[[#This Row],[Provider Specialty]]) &amp; TRIM(Table1[[#This Row],[Provider Specialty Description]]), SPECIALTY_TYPE, 2, FALSE)</f>
        <v>2289</v>
      </c>
      <c r="P1163" s="3" t="str">
        <f>Table1[[#This Row],[Provider Type]] &amp; "+" &amp; Table1[[#This Row],[Provider Type Description]]</f>
        <v>52+Technician</v>
      </c>
      <c r="Q1163" s="7" t="str">
        <f>Table1[[#This Row],[Provider Specialty]] &amp; "+" &amp; Table1[[#This Row],[Provider Specialty Description]]</f>
        <v>562+Emergency Medical Technician, Paramedic</v>
      </c>
      <c r="R1163" s="7" t="str">
        <f>Table1[[#This Row],[PDMS Specialty Type ID]] &amp; "+" &amp; Table1[[#This Row],[PDMS Provider Type ID]] &amp; "+" &amp;Table1[[#This Row],[TAXONOMY]]</f>
        <v>2289+85+146L00000X</v>
      </c>
      <c r="S11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(10084, 2289, 85, N'146L00000X', N'Emergency Medical Technician, Paramedic - Emergency Medical Technician, Paramedic')</v>
      </c>
    </row>
    <row r="1164" spans="1:19" ht="47.25" hidden="1" customHeight="1" x14ac:dyDescent="0.25">
      <c r="A1164" s="22" t="s">
        <v>227</v>
      </c>
      <c r="B1164" s="3" t="s">
        <v>468</v>
      </c>
      <c r="C1164" s="3" t="s">
        <v>1541</v>
      </c>
      <c r="D1164" s="3" t="s">
        <v>1541</v>
      </c>
      <c r="E1164" s="3" t="s">
        <v>1542</v>
      </c>
      <c r="F1164" s="3">
        <f>VLOOKUP(Table1[[#This Row],[Column2]], TAXONOMY_TYPE, 2, FALSE)</f>
        <v>10085</v>
      </c>
      <c r="G1164" s="3">
        <v>52</v>
      </c>
      <c r="H1164" s="3" t="s">
        <v>1959</v>
      </c>
      <c r="I1164" s="3">
        <f>VLOOKUP(Table1[[#This Row],[Provider Type]] &amp; Table1[[#This Row],[Provider Type Description]], PROVIDER_TYPE, 2, FALSE)</f>
        <v>85</v>
      </c>
      <c r="J1164" s="3">
        <v>570</v>
      </c>
      <c r="K1164" s="3" t="s">
        <v>1543</v>
      </c>
      <c r="L1164" s="3">
        <f>VLOOKUP(TRIM(Table1[[#This Row],[Provider Specialty]]) &amp; TRIM(Table1[[#This Row],[Provider Specialty Description]]), SPECIALTY_TYPE, 2, FALSE)</f>
        <v>2290</v>
      </c>
      <c r="M1164" s="3" t="s">
        <v>18</v>
      </c>
      <c r="N1164" s="27" t="s">
        <v>18</v>
      </c>
      <c r="O1164" s="38">
        <f>VLOOKUP(TRIM(Table1[[#This Row],[Provider Specialty]]) &amp; TRIM(Table1[[#This Row],[Provider Specialty Description]]), SPECIALTY_TYPE, 2, FALSE)</f>
        <v>2290</v>
      </c>
      <c r="P1164" s="3" t="str">
        <f>Table1[[#This Row],[Provider Type]] &amp; "+" &amp; Table1[[#This Row],[Provider Type Description]]</f>
        <v>52+Technician</v>
      </c>
      <c r="Q1164" s="7" t="str">
        <f>Table1[[#This Row],[Provider Specialty]] &amp; "+" &amp; Table1[[#This Row],[Provider Specialty Description]]</f>
        <v>570+Licensed Psychiatric Techinician</v>
      </c>
      <c r="R1164" s="7" t="str">
        <f>Table1[[#This Row],[PDMS Specialty Type ID]] &amp; "+" &amp; Table1[[#This Row],[PDMS Provider Type ID]] &amp; "+" &amp;Table1[[#This Row],[TAXONOMY]]</f>
        <v>2290+85+167G00000X</v>
      </c>
      <c r="S11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(10085, 2290, 85, N'167G00000X', N'Licensed Psychiatric Technician - Licensed Psychiatric Technician')</v>
      </c>
    </row>
    <row r="1165" spans="1:19" ht="47.25" hidden="1" customHeight="1" x14ac:dyDescent="0.25">
      <c r="A1165" s="22" t="s">
        <v>227</v>
      </c>
      <c r="B1165" s="3" t="s">
        <v>659</v>
      </c>
      <c r="C1165" s="3" t="s">
        <v>1455</v>
      </c>
      <c r="D1165" s="3" t="s">
        <v>1455</v>
      </c>
      <c r="E1165" s="3" t="s">
        <v>1589</v>
      </c>
      <c r="F1165" s="3">
        <f>VLOOKUP(Table1[[#This Row],[Column2]], TAXONOMY_TYPE, 2, FALSE)</f>
        <v>10086</v>
      </c>
      <c r="G1165" s="3">
        <v>52</v>
      </c>
      <c r="H1165" s="3" t="s">
        <v>1959</v>
      </c>
      <c r="I1165" s="3">
        <f>VLOOKUP(Table1[[#This Row],[Provider Type]] &amp; Table1[[#This Row],[Provider Type Description]], PROVIDER_TYPE, 2, FALSE)</f>
        <v>85</v>
      </c>
      <c r="J1165" s="3">
        <v>580</v>
      </c>
      <c r="K1165" s="3" t="s">
        <v>1590</v>
      </c>
      <c r="L1165" s="3">
        <f>VLOOKUP(TRIM(Table1[[#This Row],[Provider Specialty]]) &amp; TRIM(Table1[[#This Row],[Provider Specialty Description]]), SPECIALTY_TYPE, 2, FALSE)</f>
        <v>2291</v>
      </c>
      <c r="M1165" s="3" t="s">
        <v>18</v>
      </c>
      <c r="N1165" s="27" t="s">
        <v>18</v>
      </c>
      <c r="O1165" s="38">
        <f>VLOOKUP(TRIM(Table1[[#This Row],[Provider Specialty]]) &amp; TRIM(Table1[[#This Row],[Provider Specialty Description]]), SPECIALTY_TYPE, 2, FALSE)</f>
        <v>2291</v>
      </c>
      <c r="P1165" s="3" t="str">
        <f>Table1[[#This Row],[Provider Type]] &amp; "+" &amp; Table1[[#This Row],[Provider Type Description]]</f>
        <v>52+Technician</v>
      </c>
      <c r="Q1165" s="7" t="str">
        <f>Table1[[#This Row],[Provider Specialty]] &amp; "+" &amp; Table1[[#This Row],[Provider Specialty Description]]</f>
        <v>580+Nurse Technician</v>
      </c>
      <c r="R1165" s="7" t="str">
        <f>Table1[[#This Row],[PDMS Specialty Type ID]] &amp; "+" &amp; Table1[[#This Row],[PDMS Provider Type ID]] &amp; "+" &amp;Table1[[#This Row],[TAXONOMY]]</f>
        <v>2291+85+374700000X</v>
      </c>
      <c r="S11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(10086, 2291, 85, N'374700000X', N'Technician - Technician')</v>
      </c>
    </row>
    <row r="1166" spans="1:19" ht="47.25" hidden="1" customHeight="1" x14ac:dyDescent="0.25">
      <c r="A1166" s="22" t="s">
        <v>227</v>
      </c>
      <c r="B1166" s="3" t="s">
        <v>1555</v>
      </c>
      <c r="C1166" s="3" t="s">
        <v>1568</v>
      </c>
      <c r="D1166" s="3" t="s">
        <v>1568</v>
      </c>
      <c r="E1166" s="3" t="s">
        <v>1569</v>
      </c>
      <c r="F1166" s="3">
        <f>VLOOKUP(Table1[[#This Row],[Column2]], TAXONOMY_TYPE, 2, FALSE)</f>
        <v>10087</v>
      </c>
      <c r="G1166" s="3">
        <v>52</v>
      </c>
      <c r="H1166" s="3" t="s">
        <v>1959</v>
      </c>
      <c r="I1166" s="3">
        <f>VLOOKUP(Table1[[#This Row],[Provider Type]] &amp; Table1[[#This Row],[Provider Type Description]], PROVIDER_TYPE, 2, FALSE)</f>
        <v>85</v>
      </c>
      <c r="J1166" s="3">
        <v>641</v>
      </c>
      <c r="K1166" s="3" t="s">
        <v>1570</v>
      </c>
      <c r="L1166" s="3">
        <f>VLOOKUP(TRIM(Table1[[#This Row],[Provider Specialty]]) &amp; TRIM(Table1[[#This Row],[Provider Specialty Description]]), SPECIALTY_TYPE, 2, FALSE)</f>
        <v>2334</v>
      </c>
      <c r="M1166" s="3" t="s">
        <v>18</v>
      </c>
      <c r="N1166" s="27" t="s">
        <v>18</v>
      </c>
      <c r="O1166" s="38">
        <f>VLOOKUP(TRIM(Table1[[#This Row],[Provider Specialty]]) &amp; TRIM(Table1[[#This Row],[Provider Specialty Description]]), SPECIALTY_TYPE, 2, FALSE)</f>
        <v>2334</v>
      </c>
      <c r="P1166" s="3" t="str">
        <f>Table1[[#This Row],[Provider Type]] &amp; "+" &amp; Table1[[#This Row],[Provider Type Description]]</f>
        <v>52+Technician</v>
      </c>
      <c r="Q1166" s="7" t="str">
        <f>Table1[[#This Row],[Provider Specialty]] &amp; "+" &amp; Table1[[#This Row],[Provider Specialty Description]]</f>
        <v>641+Specialist/Technologist, Health Information / Coding Specialist</v>
      </c>
      <c r="R1166" s="7" t="str">
        <f>Table1[[#This Row],[PDMS Specialty Type ID]] &amp; "+" &amp; Table1[[#This Row],[PDMS Provider Type ID]] &amp; "+" &amp;Table1[[#This Row],[TAXONOMY]]</f>
        <v>2334+85+247000000X</v>
      </c>
      <c r="S11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(10087, 2334, 85, N'247000000X', N'Technician, Health Information - Technician, Health Information')</v>
      </c>
    </row>
    <row r="1167" spans="1:19" ht="47.25" hidden="1" customHeight="1" x14ac:dyDescent="0.25">
      <c r="A1167" s="22" t="s">
        <v>227</v>
      </c>
      <c r="B1167" s="3" t="s">
        <v>1555</v>
      </c>
      <c r="C1167" s="3" t="s">
        <v>1568</v>
      </c>
      <c r="D1167" s="3" t="s">
        <v>1571</v>
      </c>
      <c r="E1167" s="3" t="s">
        <v>1572</v>
      </c>
      <c r="F1167" s="3">
        <f>VLOOKUP(Table1[[#This Row],[Column2]], TAXONOMY_TYPE, 2, FALSE)</f>
        <v>10088</v>
      </c>
      <c r="G1167" s="3">
        <v>52</v>
      </c>
      <c r="H1167" s="3" t="s">
        <v>1959</v>
      </c>
      <c r="I1167" s="3">
        <f>VLOOKUP(Table1[[#This Row],[Provider Type]] &amp; Table1[[#This Row],[Provider Type Description]], PROVIDER_TYPE, 2, FALSE)</f>
        <v>85</v>
      </c>
      <c r="J1167" s="3">
        <v>641</v>
      </c>
      <c r="K1167" s="3" t="s">
        <v>1570</v>
      </c>
      <c r="L1167" s="3">
        <f>VLOOKUP(TRIM(Table1[[#This Row],[Provider Specialty]]) &amp; TRIM(Table1[[#This Row],[Provider Specialty Description]]), SPECIALTY_TYPE, 2, FALSE)</f>
        <v>2334</v>
      </c>
      <c r="M1167" s="3" t="s">
        <v>18</v>
      </c>
      <c r="N1167" s="27" t="s">
        <v>18</v>
      </c>
      <c r="O1167" s="38">
        <f>VLOOKUP(TRIM(Table1[[#This Row],[Provider Specialty]]) &amp; TRIM(Table1[[#This Row],[Provider Specialty Description]]), SPECIALTY_TYPE, 2, FALSE)</f>
        <v>2334</v>
      </c>
      <c r="P1167" s="3" t="str">
        <f>Table1[[#This Row],[Provider Type]] &amp; "+" &amp; Table1[[#This Row],[Provider Type Description]]</f>
        <v>52+Technician</v>
      </c>
      <c r="Q1167" s="7" t="str">
        <f>Table1[[#This Row],[Provider Specialty]] &amp; "+" &amp; Table1[[#This Row],[Provider Specialty Description]]</f>
        <v>641+Specialist/Technologist, Health Information / Coding Specialist</v>
      </c>
      <c r="R1167" s="7" t="str">
        <f>Table1[[#This Row],[PDMS Specialty Type ID]] &amp; "+" &amp; Table1[[#This Row],[PDMS Provider Type ID]] &amp; "+" &amp;Table1[[#This Row],[TAXONOMY]]</f>
        <v>2334+85+2470A2800X</v>
      </c>
      <c r="S11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(10088, 2334, 85, N'2470A2800X', N'Technician, Health Information - Assistant Record Technician')</v>
      </c>
    </row>
    <row r="1168" spans="1:19" ht="47.25" hidden="1" customHeight="1" x14ac:dyDescent="0.25">
      <c r="A1168" s="22" t="s">
        <v>227</v>
      </c>
      <c r="B1168" s="3" t="s">
        <v>1555</v>
      </c>
      <c r="C1168" s="3" t="s">
        <v>1556</v>
      </c>
      <c r="D1168" s="3" t="s">
        <v>1556</v>
      </c>
      <c r="E1168" s="3" t="s">
        <v>1557</v>
      </c>
      <c r="F1168" s="3">
        <f>VLOOKUP(Table1[[#This Row],[Column2]], TAXONOMY_TYPE, 2, FALSE)</f>
        <v>10089</v>
      </c>
      <c r="G1168" s="3">
        <v>52</v>
      </c>
      <c r="H1168" s="3" t="s">
        <v>1959</v>
      </c>
      <c r="I1168" s="3">
        <f>VLOOKUP(Table1[[#This Row],[Provider Type]] &amp; Table1[[#This Row],[Provider Type Description]], PROVIDER_TYPE, 2, FALSE)</f>
        <v>85</v>
      </c>
      <c r="J1168" s="3">
        <v>643</v>
      </c>
      <c r="K1168" s="3" t="s">
        <v>1558</v>
      </c>
      <c r="L1168" s="3">
        <f>VLOOKUP(TRIM(Table1[[#This Row],[Provider Specialty]]) &amp; TRIM(Table1[[#This Row],[Provider Specialty Description]]), SPECIALTY_TYPE, 2, FALSE)</f>
        <v>2336</v>
      </c>
      <c r="M1168" s="3" t="s">
        <v>18</v>
      </c>
      <c r="N1168" s="27" t="s">
        <v>18</v>
      </c>
      <c r="O1168" s="38">
        <f>VLOOKUP(TRIM(Table1[[#This Row],[Provider Specialty]]) &amp; TRIM(Table1[[#This Row],[Provider Specialty Description]]), SPECIALTY_TYPE, 2, FALSE)</f>
        <v>2336</v>
      </c>
      <c r="P1168" s="3" t="str">
        <f>Table1[[#This Row],[Provider Type]] &amp; "+" &amp; Table1[[#This Row],[Provider Type Description]]</f>
        <v>52+Technician</v>
      </c>
      <c r="Q1168" s="7" t="str">
        <f>Table1[[#This Row],[Provider Specialty]] &amp; "+" &amp; Table1[[#This Row],[Provider Specialty Description]]</f>
        <v xml:space="preserve">643+Pathology </v>
      </c>
      <c r="R1168" s="7" t="str">
        <f>Table1[[#This Row],[PDMS Specialty Type ID]] &amp; "+" &amp; Table1[[#This Row],[PDMS Provider Type ID]] &amp; "+" &amp;Table1[[#This Row],[TAXONOMY]]</f>
        <v>2336+85+246R00000X</v>
      </c>
      <c r="S11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(10089, 2336, 85, N'246R00000X', N'Technician, Pathology - Technician, Pathology')</v>
      </c>
    </row>
    <row r="1169" spans="1:19" ht="47.25" hidden="1" customHeight="1" x14ac:dyDescent="0.25">
      <c r="A1169" s="22" t="s">
        <v>227</v>
      </c>
      <c r="B1169" s="3" t="s">
        <v>1555</v>
      </c>
      <c r="C1169" s="3" t="s">
        <v>1565</v>
      </c>
      <c r="D1169" s="3" t="s">
        <v>1565</v>
      </c>
      <c r="E1169" s="3" t="s">
        <v>1566</v>
      </c>
      <c r="F1169" s="3">
        <f>VLOOKUP(Table1[[#This Row],[Column2]], TAXONOMY_TYPE, 2, FALSE)</f>
        <v>10090</v>
      </c>
      <c r="G1169" s="3">
        <v>52</v>
      </c>
      <c r="H1169" s="3" t="s">
        <v>1959</v>
      </c>
      <c r="I1169" s="3">
        <f>VLOOKUP(Table1[[#This Row],[Provider Type]] &amp; Table1[[#This Row],[Provider Type Description]], PROVIDER_TYPE, 2, FALSE)</f>
        <v>85</v>
      </c>
      <c r="J1169" s="3">
        <v>644</v>
      </c>
      <c r="K1169" s="3" t="s">
        <v>1567</v>
      </c>
      <c r="L1169" s="3">
        <f>VLOOKUP(TRIM(Table1[[#This Row],[Provider Specialty]]) &amp; TRIM(Table1[[#This Row],[Provider Specialty Description]]), SPECIALTY_TYPE, 2, FALSE)</f>
        <v>2337</v>
      </c>
      <c r="M1169" s="3" t="s">
        <v>18</v>
      </c>
      <c r="N1169" s="27" t="s">
        <v>18</v>
      </c>
      <c r="O1169" s="38">
        <f>VLOOKUP(TRIM(Table1[[#This Row],[Provider Specialty]]) &amp; TRIM(Table1[[#This Row],[Provider Specialty Description]]), SPECIALTY_TYPE, 2, FALSE)</f>
        <v>2337</v>
      </c>
      <c r="P1169" s="3" t="str">
        <f>Table1[[#This Row],[Provider Type]] &amp; "+" &amp; Table1[[#This Row],[Provider Type Description]]</f>
        <v>52+Technician</v>
      </c>
      <c r="Q1169" s="7" t="str">
        <f>Table1[[#This Row],[Provider Specialty]] &amp; "+" &amp; Table1[[#This Row],[Provider Specialty Description]]</f>
        <v>644+Cardiology</v>
      </c>
      <c r="R1169" s="7" t="str">
        <f>Table1[[#This Row],[PDMS Specialty Type ID]] &amp; "+" &amp; Table1[[#This Row],[PDMS Provider Type ID]] &amp; "+" &amp;Table1[[#This Row],[TAXONOMY]]</f>
        <v>2337+85+246W00000X</v>
      </c>
      <c r="S11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(10090, 2337, 85, N'246W00000X', N'Technician, Cardiology - Technician, Cardiology')</v>
      </c>
    </row>
    <row r="1170" spans="1:19" ht="47.25" hidden="1" customHeight="1" x14ac:dyDescent="0.25">
      <c r="A1170" s="22" t="s">
        <v>227</v>
      </c>
      <c r="B1170" s="3" t="s">
        <v>1555</v>
      </c>
      <c r="C1170" s="3" t="s">
        <v>1573</v>
      </c>
      <c r="D1170" s="3" t="s">
        <v>1576</v>
      </c>
      <c r="E1170" s="3" t="s">
        <v>1577</v>
      </c>
      <c r="F1170" s="3">
        <f>VLOOKUP(Table1[[#This Row],[Column2]], TAXONOMY_TYPE, 2, FALSE)</f>
        <v>10091</v>
      </c>
      <c r="G1170" s="3">
        <v>52</v>
      </c>
      <c r="H1170" s="3" t="s">
        <v>1959</v>
      </c>
      <c r="I1170" s="3">
        <f>VLOOKUP(Table1[[#This Row],[Provider Type]] &amp; Table1[[#This Row],[Provider Type Description]], PROVIDER_TYPE, 2, FALSE)</f>
        <v>85</v>
      </c>
      <c r="J1170" s="3">
        <v>645</v>
      </c>
      <c r="K1170" s="3" t="s">
        <v>1576</v>
      </c>
      <c r="L1170" s="3">
        <f>VLOOKUP(TRIM(Table1[[#This Row],[Provider Specialty]]) &amp; TRIM(Table1[[#This Row],[Provider Specialty Description]]), SPECIALTY_TYPE, 2, FALSE)</f>
        <v>2338</v>
      </c>
      <c r="M1170" s="3" t="s">
        <v>18</v>
      </c>
      <c r="N1170" s="27" t="s">
        <v>18</v>
      </c>
      <c r="O1170" s="38">
        <f>VLOOKUP(TRIM(Table1[[#This Row],[Provider Specialty]]) &amp; TRIM(Table1[[#This Row],[Provider Specialty Description]]), SPECIALTY_TYPE, 2, FALSE)</f>
        <v>2338</v>
      </c>
      <c r="P1170" s="3" t="str">
        <f>Table1[[#This Row],[Provider Type]] &amp; "+" &amp; Table1[[#This Row],[Provider Type Description]]</f>
        <v>52+Technician</v>
      </c>
      <c r="Q1170" s="7" t="str">
        <f>Table1[[#This Row],[Provider Specialty]] &amp; "+" &amp; Table1[[#This Row],[Provider Specialty Description]]</f>
        <v xml:space="preserve">645+Biomedical Engineering </v>
      </c>
      <c r="R1170" s="7" t="str">
        <f>Table1[[#This Row],[PDMS Specialty Type ID]] &amp; "+" &amp; Table1[[#This Row],[PDMS Provider Type ID]] &amp; "+" &amp;Table1[[#This Row],[TAXONOMY]]</f>
        <v>2338+85+2472B0301X</v>
      </c>
      <c r="S11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(10091, 2338, 85, N'2472B0301X', N'Technician, Other - Biomedical Engineering')</v>
      </c>
    </row>
    <row r="1171" spans="1:19" ht="47.25" hidden="1" customHeight="1" x14ac:dyDescent="0.25">
      <c r="A1171" s="22" t="s">
        <v>227</v>
      </c>
      <c r="B1171" s="3" t="s">
        <v>1555</v>
      </c>
      <c r="C1171" s="3" t="s">
        <v>1556</v>
      </c>
      <c r="D1171" s="3" t="s">
        <v>1586</v>
      </c>
      <c r="E1171" s="3" t="s">
        <v>1587</v>
      </c>
      <c r="F1171" s="3">
        <f>VLOOKUP(Table1[[#This Row],[Column2]], TAXONOMY_TYPE, 2, FALSE)</f>
        <v>10092</v>
      </c>
      <c r="G1171" s="3">
        <v>52</v>
      </c>
      <c r="H1171" s="3" t="s">
        <v>1959</v>
      </c>
      <c r="I1171" s="3">
        <f>VLOOKUP(Table1[[#This Row],[Provider Type]] &amp; Table1[[#This Row],[Provider Type Description]], PROVIDER_TYPE, 2, FALSE)</f>
        <v>85</v>
      </c>
      <c r="J1171" s="3">
        <v>646</v>
      </c>
      <c r="K1171" s="3" t="s">
        <v>1588</v>
      </c>
      <c r="L1171" s="3">
        <f>VLOOKUP(TRIM(Table1[[#This Row],[Provider Specialty]]) &amp; TRIM(Table1[[#This Row],[Provider Specialty Description]]), SPECIALTY_TYPE, 2, FALSE)</f>
        <v>2339</v>
      </c>
      <c r="M1171" s="3" t="s">
        <v>18</v>
      </c>
      <c r="N1171" s="27" t="s">
        <v>18</v>
      </c>
      <c r="O1171" s="38">
        <f>VLOOKUP(TRIM(Table1[[#This Row],[Provider Specialty]]) &amp; TRIM(Table1[[#This Row],[Provider Specialty Description]]), SPECIALTY_TYPE, 2, FALSE)</f>
        <v>2339</v>
      </c>
      <c r="P1171" s="3" t="str">
        <f>Table1[[#This Row],[Provider Type]] &amp; "+" &amp; Table1[[#This Row],[Provider Type Description]]</f>
        <v>52+Technician</v>
      </c>
      <c r="Q1171" s="7" t="str">
        <f>Table1[[#This Row],[Provider Specialty]] &amp; "+" &amp; Table1[[#This Row],[Provider Specialty Description]]</f>
        <v>646+Clinical Laboratory Director, Non physician</v>
      </c>
      <c r="R1171" s="7" t="str">
        <f>Table1[[#This Row],[PDMS Specialty Type ID]] &amp; "+" &amp; Table1[[#This Row],[PDMS Provider Type ID]] &amp; "+" &amp;Table1[[#This Row],[TAXONOMY]]</f>
        <v>2339+85+247ZC0005X</v>
      </c>
      <c r="S11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(10092, 2339, 85, N'247ZC0005X', N'Technician, Pathology - Clinical Laboratory Director, Non physician**')</v>
      </c>
    </row>
    <row r="1172" spans="1:19" ht="47.25" hidden="1" customHeight="1" x14ac:dyDescent="0.25">
      <c r="A1172" s="22" t="s">
        <v>227</v>
      </c>
      <c r="B1172" s="3" t="s">
        <v>1555</v>
      </c>
      <c r="C1172" s="3" t="s">
        <v>1556</v>
      </c>
      <c r="D1172" s="3" t="s">
        <v>1559</v>
      </c>
      <c r="E1172" s="3" t="s">
        <v>1560</v>
      </c>
      <c r="F1172" s="3">
        <f>VLOOKUP(Table1[[#This Row],[Column2]], TAXONOMY_TYPE, 2, FALSE)</f>
        <v>10093</v>
      </c>
      <c r="G1172" s="3">
        <v>52</v>
      </c>
      <c r="H1172" s="3" t="s">
        <v>1959</v>
      </c>
      <c r="I1172" s="3">
        <f>VLOOKUP(Table1[[#This Row],[Provider Type]] &amp; Table1[[#This Row],[Provider Type Description]], PROVIDER_TYPE, 2, FALSE)</f>
        <v>85</v>
      </c>
      <c r="J1172" s="3">
        <v>998</v>
      </c>
      <c r="K1172" s="3" t="s">
        <v>191</v>
      </c>
      <c r="L1172" s="3">
        <f>VLOOKUP(TRIM(Table1[[#This Row],[Provider Specialty]]) &amp; TRIM(Table1[[#This Row],[Provider Specialty Description]]), SPECIALTY_TYPE, 2, FALSE)</f>
        <v>2190</v>
      </c>
      <c r="M1172" s="3" t="s">
        <v>18</v>
      </c>
      <c r="N1172" s="27" t="s">
        <v>18</v>
      </c>
      <c r="O1172" s="38">
        <f>VLOOKUP(TRIM(Table1[[#This Row],[Provider Specialty]]) &amp; TRIM(Table1[[#This Row],[Provider Specialty Description]]), SPECIALTY_TYPE, 2, FALSE)</f>
        <v>2190</v>
      </c>
      <c r="P1172" s="3" t="str">
        <f>Table1[[#This Row],[Provider Type]] &amp; "+" &amp; Table1[[#This Row],[Provider Type Description]]</f>
        <v>52+Technician</v>
      </c>
      <c r="Q1172" s="7" t="str">
        <f>Table1[[#This Row],[Provider Specialty]] &amp; "+" &amp; Table1[[#This Row],[Provider Specialty Description]]</f>
        <v>998+Specialty not yet defined</v>
      </c>
      <c r="R1172" s="7" t="str">
        <f>Table1[[#This Row],[PDMS Specialty Type ID]] &amp; "+" &amp; Table1[[#This Row],[PDMS Provider Type ID]] &amp; "+" &amp;Table1[[#This Row],[TAXONOMY]]</f>
        <v>2190+85+246RH0600X</v>
      </c>
      <c r="S11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(10093, 2190, 85, N'246RH0600X', N'Technician, Pathology - Histology')</v>
      </c>
    </row>
    <row r="1173" spans="1:19" ht="47.25" hidden="1" customHeight="1" x14ac:dyDescent="0.25">
      <c r="A1173" s="22" t="s">
        <v>227</v>
      </c>
      <c r="B1173" s="3" t="s">
        <v>1555</v>
      </c>
      <c r="C1173" s="3" t="s">
        <v>1556</v>
      </c>
      <c r="D1173" s="3" t="s">
        <v>1561</v>
      </c>
      <c r="E1173" s="3" t="s">
        <v>1562</v>
      </c>
      <c r="F1173" s="3">
        <f>VLOOKUP(Table1[[#This Row],[Column2]], TAXONOMY_TYPE, 2, FALSE)</f>
        <v>10094</v>
      </c>
      <c r="G1173" s="3">
        <v>52</v>
      </c>
      <c r="H1173" s="3" t="s">
        <v>1959</v>
      </c>
      <c r="I1173" s="3">
        <f>VLOOKUP(Table1[[#This Row],[Provider Type]] &amp; Table1[[#This Row],[Provider Type Description]], PROVIDER_TYPE, 2, FALSE)</f>
        <v>85</v>
      </c>
      <c r="J1173" s="3">
        <v>998</v>
      </c>
      <c r="K1173" s="3" t="s">
        <v>191</v>
      </c>
      <c r="L1173" s="3">
        <f>VLOOKUP(TRIM(Table1[[#This Row],[Provider Specialty]]) &amp; TRIM(Table1[[#This Row],[Provider Specialty Description]]), SPECIALTY_TYPE, 2, FALSE)</f>
        <v>2190</v>
      </c>
      <c r="M1173" s="3" t="s">
        <v>18</v>
      </c>
      <c r="N1173" s="27" t="s">
        <v>18</v>
      </c>
      <c r="O1173" s="38">
        <f>VLOOKUP(TRIM(Table1[[#This Row],[Provider Specialty]]) &amp; TRIM(Table1[[#This Row],[Provider Specialty Description]]), SPECIALTY_TYPE, 2, FALSE)</f>
        <v>2190</v>
      </c>
      <c r="P1173" s="3" t="str">
        <f>Table1[[#This Row],[Provider Type]] &amp; "+" &amp; Table1[[#This Row],[Provider Type Description]]</f>
        <v>52+Technician</v>
      </c>
      <c r="Q1173" s="7" t="str">
        <f>Table1[[#This Row],[Provider Specialty]] &amp; "+" &amp; Table1[[#This Row],[Provider Specialty Description]]</f>
        <v>998+Specialty not yet defined</v>
      </c>
      <c r="R1173" s="7" t="str">
        <f>Table1[[#This Row],[PDMS Specialty Type ID]] &amp; "+" &amp; Table1[[#This Row],[PDMS Provider Type ID]] &amp; "+" &amp;Table1[[#This Row],[TAXONOMY]]</f>
        <v>2190+85+246RM2200X</v>
      </c>
      <c r="S11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(10094, 2190, 85, N'246RM2200X', N'Technician, Pathology - Medical Laboratory')</v>
      </c>
    </row>
    <row r="1174" spans="1:19" ht="47.25" hidden="1" customHeight="1" x14ac:dyDescent="0.25">
      <c r="A1174" s="22" t="s">
        <v>227</v>
      </c>
      <c r="B1174" s="3" t="s">
        <v>1555</v>
      </c>
      <c r="C1174" s="3" t="s">
        <v>1573</v>
      </c>
      <c r="D1174" s="3" t="s">
        <v>1578</v>
      </c>
      <c r="E1174" s="3" t="s">
        <v>1579</v>
      </c>
      <c r="F1174" s="3">
        <f>VLOOKUP(Table1[[#This Row],[Column2]], TAXONOMY_TYPE, 2, FALSE)</f>
        <v>10095</v>
      </c>
      <c r="G1174" s="3">
        <v>52</v>
      </c>
      <c r="H1174" s="3" t="s">
        <v>1959</v>
      </c>
      <c r="I1174" s="3">
        <f>VLOOKUP(Table1[[#This Row],[Provider Type]] &amp; Table1[[#This Row],[Provider Type Description]], PROVIDER_TYPE, 2, FALSE)</f>
        <v>85</v>
      </c>
      <c r="J1174" s="3">
        <v>998</v>
      </c>
      <c r="K1174" s="3" t="s">
        <v>191</v>
      </c>
      <c r="L1174" s="3">
        <f>VLOOKUP(TRIM(Table1[[#This Row],[Provider Specialty]]) &amp; TRIM(Table1[[#This Row],[Provider Specialty Description]]), SPECIALTY_TYPE, 2, FALSE)</f>
        <v>2190</v>
      </c>
      <c r="M1174" s="3" t="s">
        <v>18</v>
      </c>
      <c r="N1174" s="27" t="s">
        <v>18</v>
      </c>
      <c r="O1174" s="38">
        <f>VLOOKUP(TRIM(Table1[[#This Row],[Provider Specialty]]) &amp; TRIM(Table1[[#This Row],[Provider Specialty Description]]), SPECIALTY_TYPE, 2, FALSE)</f>
        <v>2190</v>
      </c>
      <c r="P1174" s="3" t="str">
        <f>Table1[[#This Row],[Provider Type]] &amp; "+" &amp; Table1[[#This Row],[Provider Type Description]]</f>
        <v>52+Technician</v>
      </c>
      <c r="Q1174" s="7" t="str">
        <f>Table1[[#This Row],[Provider Specialty]] &amp; "+" &amp; Table1[[#This Row],[Provider Specialty Description]]</f>
        <v>998+Specialty not yet defined</v>
      </c>
      <c r="R1174" s="7" t="str">
        <f>Table1[[#This Row],[PDMS Specialty Type ID]] &amp; "+" &amp; Table1[[#This Row],[PDMS Provider Type ID]] &amp; "+" &amp;Table1[[#This Row],[TAXONOMY]]</f>
        <v>2190+85+2472D0500X</v>
      </c>
      <c r="S11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(10095, 2190, 85, N'2472D0500X', N'Technician, Other - Darkroom')</v>
      </c>
    </row>
    <row r="1175" spans="1:19" ht="47.25" hidden="1" customHeight="1" x14ac:dyDescent="0.25">
      <c r="A1175" s="22" t="s">
        <v>227</v>
      </c>
      <c r="B1175" s="3" t="s">
        <v>1555</v>
      </c>
      <c r="C1175" s="3" t="s">
        <v>1573</v>
      </c>
      <c r="D1175" s="3" t="s">
        <v>1580</v>
      </c>
      <c r="E1175" s="3" t="s">
        <v>1581</v>
      </c>
      <c r="F1175" s="3">
        <f>VLOOKUP(Table1[[#This Row],[Column2]], TAXONOMY_TYPE, 2, FALSE)</f>
        <v>10096</v>
      </c>
      <c r="G1175" s="3">
        <v>52</v>
      </c>
      <c r="H1175" s="3" t="s">
        <v>1959</v>
      </c>
      <c r="I1175" s="3">
        <f>VLOOKUP(Table1[[#This Row],[Provider Type]] &amp; Table1[[#This Row],[Provider Type Description]], PROVIDER_TYPE, 2, FALSE)</f>
        <v>85</v>
      </c>
      <c r="J1175" s="3">
        <v>998</v>
      </c>
      <c r="K1175" s="3" t="s">
        <v>191</v>
      </c>
      <c r="L1175" s="3">
        <f>VLOOKUP(TRIM(Table1[[#This Row],[Provider Specialty]]) &amp; TRIM(Table1[[#This Row],[Provider Specialty Description]]), SPECIALTY_TYPE, 2, FALSE)</f>
        <v>2190</v>
      </c>
      <c r="M1175" s="3" t="s">
        <v>18</v>
      </c>
      <c r="N1175" s="27" t="s">
        <v>18</v>
      </c>
      <c r="O1175" s="38">
        <f>VLOOKUP(TRIM(Table1[[#This Row],[Provider Specialty]]) &amp; TRIM(Table1[[#This Row],[Provider Specialty Description]]), SPECIALTY_TYPE, 2, FALSE)</f>
        <v>2190</v>
      </c>
      <c r="P1175" s="3" t="str">
        <f>Table1[[#This Row],[Provider Type]] &amp; "+" &amp; Table1[[#This Row],[Provider Type Description]]</f>
        <v>52+Technician</v>
      </c>
      <c r="Q1175" s="7" t="str">
        <f>Table1[[#This Row],[Provider Specialty]] &amp; "+" &amp; Table1[[#This Row],[Provider Specialty Description]]</f>
        <v>998+Specialty not yet defined</v>
      </c>
      <c r="R1175" s="7" t="str">
        <f>Table1[[#This Row],[PDMS Specialty Type ID]] &amp; "+" &amp; Table1[[#This Row],[PDMS Provider Type ID]] &amp; "+" &amp;Table1[[#This Row],[TAXONOMY]]</f>
        <v>2190+85+2472E0500X</v>
      </c>
      <c r="S11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(10096, 2190, 85, N'2472E0500X', N'Technician, Other - EEG')</v>
      </c>
    </row>
    <row r="1176" spans="1:19" ht="47.25" hidden="1" customHeight="1" x14ac:dyDescent="0.25">
      <c r="A1176" s="22" t="s">
        <v>227</v>
      </c>
      <c r="B1176" s="3" t="s">
        <v>1555</v>
      </c>
      <c r="C1176" s="3" t="s">
        <v>1573</v>
      </c>
      <c r="D1176" s="3" t="s">
        <v>1582</v>
      </c>
      <c r="E1176" s="3" t="s">
        <v>1583</v>
      </c>
      <c r="F1176" s="3">
        <f>VLOOKUP(Table1[[#This Row],[Column2]], TAXONOMY_TYPE, 2, FALSE)</f>
        <v>10097</v>
      </c>
      <c r="G1176" s="3">
        <v>52</v>
      </c>
      <c r="H1176" s="3" t="s">
        <v>1959</v>
      </c>
      <c r="I1176" s="3">
        <f>VLOOKUP(Table1[[#This Row],[Provider Type]] &amp; Table1[[#This Row],[Provider Type Description]], PROVIDER_TYPE, 2, FALSE)</f>
        <v>85</v>
      </c>
      <c r="J1176" s="3">
        <v>998</v>
      </c>
      <c r="K1176" s="3" t="s">
        <v>191</v>
      </c>
      <c r="L1176" s="3">
        <f>VLOOKUP(TRIM(Table1[[#This Row],[Provider Specialty]]) &amp; TRIM(Table1[[#This Row],[Provider Specialty Description]]), SPECIALTY_TYPE, 2, FALSE)</f>
        <v>2190</v>
      </c>
      <c r="M1176" s="3" t="s">
        <v>18</v>
      </c>
      <c r="N1176" s="27" t="s">
        <v>18</v>
      </c>
      <c r="O1176" s="38">
        <f>VLOOKUP(TRIM(Table1[[#This Row],[Provider Specialty]]) &amp; TRIM(Table1[[#This Row],[Provider Specialty Description]]), SPECIALTY_TYPE, 2, FALSE)</f>
        <v>2190</v>
      </c>
      <c r="P1176" s="3" t="str">
        <f>Table1[[#This Row],[Provider Type]] &amp; "+" &amp; Table1[[#This Row],[Provider Type Description]]</f>
        <v>52+Technician</v>
      </c>
      <c r="Q1176" s="7" t="str">
        <f>Table1[[#This Row],[Provider Specialty]] &amp; "+" &amp; Table1[[#This Row],[Provider Specialty Description]]</f>
        <v>998+Specialty not yet defined</v>
      </c>
      <c r="R1176" s="7" t="str">
        <f>Table1[[#This Row],[PDMS Specialty Type ID]] &amp; "+" &amp; Table1[[#This Row],[PDMS Provider Type ID]] &amp; "+" &amp;Table1[[#This Row],[TAXONOMY]]</f>
        <v>2190+85+2472R0900X</v>
      </c>
      <c r="S11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(10097, 2190, 85, N'2472R0900X', N'Technician, Other - Renal Dialysis')</v>
      </c>
    </row>
    <row r="1177" spans="1:19" ht="47.25" hidden="1" customHeight="1" x14ac:dyDescent="0.25">
      <c r="A1177" s="22" t="s">
        <v>227</v>
      </c>
      <c r="B1177" s="3" t="s">
        <v>1555</v>
      </c>
      <c r="C1177" s="3" t="s">
        <v>1573</v>
      </c>
      <c r="D1177" s="3" t="s">
        <v>1584</v>
      </c>
      <c r="E1177" s="3" t="s">
        <v>1585</v>
      </c>
      <c r="F1177" s="3">
        <f>VLOOKUP(Table1[[#This Row],[Column2]], TAXONOMY_TYPE, 2, FALSE)</f>
        <v>10098</v>
      </c>
      <c r="G1177" s="3">
        <v>52</v>
      </c>
      <c r="H1177" s="3" t="s">
        <v>1959</v>
      </c>
      <c r="I1177" s="3">
        <f>VLOOKUP(Table1[[#This Row],[Provider Type]] &amp; Table1[[#This Row],[Provider Type Description]], PROVIDER_TYPE, 2, FALSE)</f>
        <v>85</v>
      </c>
      <c r="J1177" s="3">
        <v>998</v>
      </c>
      <c r="K1177" s="3" t="s">
        <v>191</v>
      </c>
      <c r="L1177" s="3">
        <f>VLOOKUP(TRIM(Table1[[#This Row],[Provider Specialty]]) &amp; TRIM(Table1[[#This Row],[Provider Specialty Description]]), SPECIALTY_TYPE, 2, FALSE)</f>
        <v>2190</v>
      </c>
      <c r="M1177" s="3" t="s">
        <v>18</v>
      </c>
      <c r="N1177" s="27" t="s">
        <v>18</v>
      </c>
      <c r="O1177" s="38">
        <f>VLOOKUP(TRIM(Table1[[#This Row],[Provider Specialty]]) &amp; TRIM(Table1[[#This Row],[Provider Specialty Description]]), SPECIALTY_TYPE, 2, FALSE)</f>
        <v>2190</v>
      </c>
      <c r="P1177" s="3" t="str">
        <f>Table1[[#This Row],[Provider Type]] &amp; "+" &amp; Table1[[#This Row],[Provider Type Description]]</f>
        <v>52+Technician</v>
      </c>
      <c r="Q1177" s="7" t="str">
        <f>Table1[[#This Row],[Provider Specialty]] &amp; "+" &amp; Table1[[#This Row],[Provider Specialty Description]]</f>
        <v>998+Specialty not yet defined</v>
      </c>
      <c r="R1177" s="7" t="str">
        <f>Table1[[#This Row],[PDMS Specialty Type ID]] &amp; "+" &amp; Table1[[#This Row],[PDMS Provider Type ID]] &amp; "+" &amp;Table1[[#This Row],[TAXONOMY]]</f>
        <v>2190+85+2472V0600X</v>
      </c>
      <c r="S11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(10098, 2190, 85, N'2472V0600X', N'Technician, Other - Veterinary')</v>
      </c>
    </row>
    <row r="1178" spans="1:19" ht="47.25" hidden="1" customHeight="1" x14ac:dyDescent="0.25">
      <c r="A1178" s="22" t="s">
        <v>227</v>
      </c>
      <c r="B1178" s="3" t="s">
        <v>1555</v>
      </c>
      <c r="C1178" s="3" t="s">
        <v>1573</v>
      </c>
      <c r="D1178" s="3" t="s">
        <v>1573</v>
      </c>
      <c r="E1178" s="3" t="s">
        <v>1574</v>
      </c>
      <c r="F1178" s="3">
        <f>VLOOKUP(Table1[[#This Row],[Column2]], TAXONOMY_TYPE, 2, FALSE)</f>
        <v>10099</v>
      </c>
      <c r="G1178" s="3">
        <v>52</v>
      </c>
      <c r="H1178" s="3" t="s">
        <v>1959</v>
      </c>
      <c r="I1178" s="3">
        <f>VLOOKUP(Table1[[#This Row],[Provider Type]] &amp; Table1[[#This Row],[Provider Type Description]], PROVIDER_TYPE, 2, FALSE)</f>
        <v>85</v>
      </c>
      <c r="J1178" s="3">
        <v>999</v>
      </c>
      <c r="K1178" s="3" t="s">
        <v>935</v>
      </c>
      <c r="L1178" s="3">
        <f>VLOOKUP(TRIM(Table1[[#This Row],[Provider Specialty]]) &amp; TRIM(Table1[[#This Row],[Provider Specialty Description]]), SPECIALTY_TYPE, 2, FALSE)</f>
        <v>2346</v>
      </c>
      <c r="M1178" s="3" t="s">
        <v>18</v>
      </c>
      <c r="N1178" s="27" t="s">
        <v>18</v>
      </c>
      <c r="O1178" s="38">
        <f>VLOOKUP(TRIM(Table1[[#This Row],[Provider Specialty]]) &amp; TRIM(Table1[[#This Row],[Provider Specialty Description]]), SPECIALTY_TYPE, 2, FALSE)</f>
        <v>2346</v>
      </c>
      <c r="P1178" s="3" t="str">
        <f>Table1[[#This Row],[Provider Type]] &amp; "+" &amp; Table1[[#This Row],[Provider Type Description]]</f>
        <v>52+Technician</v>
      </c>
      <c r="Q1178" s="7" t="str">
        <f>Table1[[#This Row],[Provider Specialty]] &amp; "+" &amp; Table1[[#This Row],[Provider Specialty Description]]</f>
        <v>999+Miscellaneous</v>
      </c>
      <c r="R1178" s="7" t="str">
        <f>Table1[[#This Row],[PDMS Specialty Type ID]] &amp; "+" &amp; Table1[[#This Row],[PDMS Provider Type ID]] &amp; "+" &amp;Table1[[#This Row],[TAXONOMY]]</f>
        <v>2346+85+247200000X</v>
      </c>
      <c r="S11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(10099, 2346, 85, N'247200000X', N'Technician, Other - Technician, Other')</v>
      </c>
    </row>
    <row r="1179" spans="1:19" ht="47.25" customHeight="1" x14ac:dyDescent="0.25">
      <c r="A1179" s="22" t="s">
        <v>227</v>
      </c>
      <c r="B1179" s="3" t="s">
        <v>1555</v>
      </c>
      <c r="C1179" s="3" t="s">
        <v>1599</v>
      </c>
      <c r="D1179" s="3" t="s">
        <v>1614</v>
      </c>
      <c r="E1179" s="3" t="s">
        <v>1615</v>
      </c>
      <c r="F1179" s="3">
        <f>VLOOKUP(Table1[[#This Row],[Column2]], TAXONOMY_TYPE, 2, FALSE)</f>
        <v>10100</v>
      </c>
      <c r="G1179" s="3">
        <v>53</v>
      </c>
      <c r="H1179" s="3" t="s">
        <v>1593</v>
      </c>
      <c r="I1179" s="3">
        <f>VLOOKUP(Table1[[#This Row],[Provider Type]] &amp; Table1[[#This Row],[Provider Type Description]], PROVIDER_TYPE, 2, FALSE)</f>
        <v>115</v>
      </c>
      <c r="J1179" s="3">
        <v>292</v>
      </c>
      <c r="K1179" s="3" t="s">
        <v>978</v>
      </c>
      <c r="L1179" s="3">
        <f>VLOOKUP(TRIM(Table1[[#This Row],[Provider Specialty]]) &amp; TRIM(Table1[[#This Row],[Provider Specialty Description]]), SPECIALTY_TYPE, 2, FALSE)</f>
        <v>2199</v>
      </c>
      <c r="M1179" s="3" t="s">
        <v>18</v>
      </c>
      <c r="N1179" s="27" t="s">
        <v>18</v>
      </c>
      <c r="O1179" s="38">
        <f>VLOOKUP(TRIM(Table1[[#This Row],[Provider Specialty]]) &amp; TRIM(Table1[[#This Row],[Provider Specialty Description]]), SPECIALTY_TYPE, 2, FALSE)</f>
        <v>2199</v>
      </c>
      <c r="P1179" s="3" t="str">
        <f>Table1[[#This Row],[Provider Type]] &amp; "+" &amp; Table1[[#This Row],[Provider Type Description]]</f>
        <v>53+Technologist</v>
      </c>
      <c r="Q1179" s="7" t="str">
        <f>Table1[[#This Row],[Provider Specialty]] &amp; "+" &amp; Table1[[#This Row],[Provider Specialty Description]]</f>
        <v>292+Mammography</v>
      </c>
      <c r="R1179" s="7" t="str">
        <f>Table1[[#This Row],[PDMS Specialty Type ID]] &amp; "+" &amp; Table1[[#This Row],[PDMS Provider Type ID]] &amp; "+" &amp;Table1[[#This Row],[TAXONOMY]]</f>
        <v>2199+115+2471M2300X</v>
      </c>
      <c r="S11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(10100, 2199, 115, N'2471M2300X', N'Radiologic Technologist - Mammography')</v>
      </c>
    </row>
    <row r="1180" spans="1:19" ht="47.25" customHeight="1" x14ac:dyDescent="0.25">
      <c r="A1180" s="22" t="s">
        <v>227</v>
      </c>
      <c r="B1180" s="3" t="s">
        <v>661</v>
      </c>
      <c r="C1180" s="3" t="s">
        <v>686</v>
      </c>
      <c r="D1180" s="3" t="s">
        <v>686</v>
      </c>
      <c r="E1180" s="3" t="s">
        <v>1595</v>
      </c>
      <c r="F1180" s="3">
        <f>VLOOKUP(Table1[[#This Row],[Column2]], TAXONOMY_TYPE, 2, FALSE)</f>
        <v>10101</v>
      </c>
      <c r="G1180" s="3">
        <v>53</v>
      </c>
      <c r="H1180" s="3" t="s">
        <v>1593</v>
      </c>
      <c r="I1180" s="3">
        <f>VLOOKUP(Table1[[#This Row],[Provider Type]] &amp; Table1[[#This Row],[Provider Type Description]], PROVIDER_TYPE, 2, FALSE)</f>
        <v>115</v>
      </c>
      <c r="J1180" s="3">
        <v>340</v>
      </c>
      <c r="K1180" s="3" t="s">
        <v>1158</v>
      </c>
      <c r="L1180" s="3">
        <f>VLOOKUP(TRIM(Table1[[#This Row],[Provider Specialty]]) &amp; TRIM(Table1[[#This Row],[Provider Specialty Description]]), SPECIALTY_TYPE, 2, FALSE)</f>
        <v>2100</v>
      </c>
      <c r="M1180" s="3" t="s">
        <v>18</v>
      </c>
      <c r="N1180" s="27" t="s">
        <v>18</v>
      </c>
      <c r="O1180" s="38">
        <f>VLOOKUP(TRIM(Table1[[#This Row],[Provider Specialty]]) &amp; TRIM(Table1[[#This Row],[Provider Specialty Description]]), SPECIALTY_TYPE, 2, FALSE)</f>
        <v>2100</v>
      </c>
      <c r="P1180" s="3" t="str">
        <f>Table1[[#This Row],[Provider Type]] &amp; "+" &amp; Table1[[#This Row],[Provider Type Description]]</f>
        <v>53+Technologist</v>
      </c>
      <c r="Q1180" s="7" t="str">
        <f>Table1[[#This Row],[Provider Specialty]] &amp; "+" &amp; Table1[[#This Row],[Provider Specialty Description]]</f>
        <v>340+Pulmonary Disease Specialist</v>
      </c>
      <c r="R1180" s="7" t="str">
        <f>Table1[[#This Row],[PDMS Specialty Type ID]] &amp; "+" &amp; Table1[[#This Row],[PDMS Provider Type ID]] &amp; "+" &amp;Table1[[#This Row],[TAXONOMY]]</f>
        <v>2100+115+225B00000X</v>
      </c>
      <c r="S11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(10101, 2100, 115, N'225B00000X', N'Pulmonary Function Technologist - Pulmonary Function Technologist')</v>
      </c>
    </row>
    <row r="1181" spans="1:19" ht="47.25" customHeight="1" x14ac:dyDescent="0.25">
      <c r="A1181" s="22" t="s">
        <v>227</v>
      </c>
      <c r="B1181" s="3" t="s">
        <v>1555</v>
      </c>
      <c r="C1181" s="3" t="s">
        <v>1599</v>
      </c>
      <c r="D1181" s="3" t="s">
        <v>1620</v>
      </c>
      <c r="E1181" s="3" t="s">
        <v>1621</v>
      </c>
      <c r="F1181" s="3">
        <f>VLOOKUP(Table1[[#This Row],[Column2]], TAXONOMY_TYPE, 2, FALSE)</f>
        <v>10102</v>
      </c>
      <c r="G1181" s="3">
        <v>53</v>
      </c>
      <c r="H1181" s="3" t="s">
        <v>1593</v>
      </c>
      <c r="I1181" s="3">
        <f>VLOOKUP(Table1[[#This Row],[Provider Type]] &amp; Table1[[#This Row],[Provider Type Description]], PROVIDER_TYPE, 2, FALSE)</f>
        <v>115</v>
      </c>
      <c r="J1181" s="3">
        <v>347</v>
      </c>
      <c r="K1181" s="3" t="s">
        <v>1622</v>
      </c>
      <c r="L1181" s="3">
        <f>VLOOKUP(TRIM(Table1[[#This Row],[Provider Specialty]]) &amp; TRIM(Table1[[#This Row],[Provider Specialty Description]]), SPECIALTY_TYPE, 2, FALSE)</f>
        <v>2106</v>
      </c>
      <c r="M1181" s="3" t="s">
        <v>18</v>
      </c>
      <c r="N1181" s="27" t="s">
        <v>18</v>
      </c>
      <c r="O1181" s="38">
        <f>VLOOKUP(TRIM(Table1[[#This Row],[Provider Specialty]]) &amp; TRIM(Table1[[#This Row],[Provider Specialty Description]]), SPECIALTY_TYPE, 2, FALSE)</f>
        <v>2106</v>
      </c>
      <c r="P1181" s="3" t="str">
        <f>Table1[[#This Row],[Provider Type]] &amp; "+" &amp; Table1[[#This Row],[Provider Type Description]]</f>
        <v>53+Technologist</v>
      </c>
      <c r="Q1181" s="7" t="str">
        <f>Table1[[#This Row],[Provider Specialty]] &amp; "+" &amp; Table1[[#This Row],[Provider Specialty Description]]</f>
        <v xml:space="preserve">347+Radiation Therapist </v>
      </c>
      <c r="R1181" s="7" t="str">
        <f>Table1[[#This Row],[PDMS Specialty Type ID]] &amp; "+" &amp; Table1[[#This Row],[PDMS Provider Type ID]] &amp; "+" &amp;Table1[[#This Row],[TAXONOMY]]</f>
        <v>2106+115+2471R0002X</v>
      </c>
      <c r="S11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(10102, 2106, 115, N'2471R0002X', N'Radiologic Technologist - Radiation Therapy')</v>
      </c>
    </row>
    <row r="1182" spans="1:19" ht="47.25" customHeight="1" x14ac:dyDescent="0.25">
      <c r="A1182" s="22" t="s">
        <v>227</v>
      </c>
      <c r="B1182" s="3" t="s">
        <v>1555</v>
      </c>
      <c r="C1182" s="3" t="s">
        <v>1596</v>
      </c>
      <c r="D1182" s="3" t="s">
        <v>1596</v>
      </c>
      <c r="E1182" s="3" t="s">
        <v>1597</v>
      </c>
      <c r="F1182" s="3">
        <f>VLOOKUP(Table1[[#This Row],[Column2]], TAXONOMY_TYPE, 2, FALSE)</f>
        <v>10103</v>
      </c>
      <c r="G1182" s="3">
        <v>53</v>
      </c>
      <c r="H1182" s="3" t="s">
        <v>1593</v>
      </c>
      <c r="I1182" s="3">
        <f>VLOOKUP(Table1[[#This Row],[Provider Type]] &amp; Table1[[#This Row],[Provider Type Description]], PROVIDER_TYPE, 2, FALSE)</f>
        <v>115</v>
      </c>
      <c r="J1182" s="3">
        <v>630</v>
      </c>
      <c r="K1182" s="3" t="s">
        <v>1598</v>
      </c>
      <c r="L1182" s="3">
        <f>VLOOKUP(TRIM(Table1[[#This Row],[Provider Specialty]]) &amp; TRIM(Table1[[#This Row],[Provider Specialty Description]]), SPECIALTY_TYPE, 2, FALSE)</f>
        <v>2323</v>
      </c>
      <c r="M1182" s="3" t="s">
        <v>18</v>
      </c>
      <c r="N1182" s="27" t="s">
        <v>18</v>
      </c>
      <c r="O1182" s="38">
        <f>VLOOKUP(TRIM(Table1[[#This Row],[Provider Specialty]]) &amp; TRIM(Table1[[#This Row],[Provider Specialty Description]]), SPECIALTY_TYPE, 2, FALSE)</f>
        <v>2323</v>
      </c>
      <c r="P1182" s="3" t="str">
        <f>Table1[[#This Row],[Provider Type]] &amp; "+" &amp; Table1[[#This Row],[Provider Type Description]]</f>
        <v>53+Technologist</v>
      </c>
      <c r="Q1182" s="7" t="str">
        <f>Table1[[#This Row],[Provider Specialty]] &amp; "+" &amp; Table1[[#This Row],[Provider Specialty Description]]</f>
        <v>630+Perfusionist</v>
      </c>
      <c r="R1182" s="7" t="str">
        <f>Table1[[#This Row],[PDMS Specialty Type ID]] &amp; "+" &amp; Table1[[#This Row],[PDMS Provider Type ID]] &amp; "+" &amp;Table1[[#This Row],[TAXONOMY]]</f>
        <v>2323+115+242T00000X</v>
      </c>
      <c r="S11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(10103, 2323, 115, N'242T00000X', N'Perfusionist** - Perfusionist**')</v>
      </c>
    </row>
    <row r="1183" spans="1:19" ht="47.25" customHeight="1" x14ac:dyDescent="0.25">
      <c r="A1183" s="22" t="s">
        <v>227</v>
      </c>
      <c r="B1183" s="3" t="s">
        <v>1555</v>
      </c>
      <c r="C1183" s="3" t="s">
        <v>1599</v>
      </c>
      <c r="D1183" s="3" t="s">
        <v>1599</v>
      </c>
      <c r="E1183" s="3" t="s">
        <v>1600</v>
      </c>
      <c r="F1183" s="3">
        <f>VLOOKUP(Table1[[#This Row],[Column2]], TAXONOMY_TYPE, 2, FALSE)</f>
        <v>10104</v>
      </c>
      <c r="G1183" s="3">
        <v>53</v>
      </c>
      <c r="H1183" s="3" t="s">
        <v>1593</v>
      </c>
      <c r="I1183" s="3">
        <f>VLOOKUP(Table1[[#This Row],[Provider Type]] &amp; Table1[[#This Row],[Provider Type Description]], PROVIDER_TYPE, 2, FALSE)</f>
        <v>115</v>
      </c>
      <c r="J1183" s="3">
        <v>631</v>
      </c>
      <c r="K1183" s="3" t="s">
        <v>1599</v>
      </c>
      <c r="L1183" s="3">
        <f>VLOOKUP(TRIM(Table1[[#This Row],[Provider Specialty]]) &amp; TRIM(Table1[[#This Row],[Provider Specialty Description]]), SPECIALTY_TYPE, 2, FALSE)</f>
        <v>2324</v>
      </c>
      <c r="M1183" s="3" t="s">
        <v>18</v>
      </c>
      <c r="N1183" s="27" t="s">
        <v>18</v>
      </c>
      <c r="O1183" s="38">
        <f>VLOOKUP(TRIM(Table1[[#This Row],[Provider Specialty]]) &amp; TRIM(Table1[[#This Row],[Provider Specialty Description]]), SPECIALTY_TYPE, 2, FALSE)</f>
        <v>2324</v>
      </c>
      <c r="P1183" s="3" t="str">
        <f>Table1[[#This Row],[Provider Type]] &amp; "+" &amp; Table1[[#This Row],[Provider Type Description]]</f>
        <v>53+Technologist</v>
      </c>
      <c r="Q1183" s="7" t="str">
        <f>Table1[[#This Row],[Provider Specialty]] &amp; "+" &amp; Table1[[#This Row],[Provider Specialty Description]]</f>
        <v xml:space="preserve">631+Radiologic Technologist </v>
      </c>
      <c r="R1183" s="7" t="str">
        <f>Table1[[#This Row],[PDMS Specialty Type ID]] &amp; "+" &amp; Table1[[#This Row],[PDMS Provider Type ID]] &amp; "+" &amp;Table1[[#This Row],[TAXONOMY]]</f>
        <v>2324+115+247100000X</v>
      </c>
      <c r="S11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(10104, 2324, 115, N'247100000X', N'Radiologic Technologist - Radiologic Technologist')</v>
      </c>
    </row>
    <row r="1184" spans="1:19" ht="47.25" customHeight="1" x14ac:dyDescent="0.25">
      <c r="A1184" s="22" t="s">
        <v>227</v>
      </c>
      <c r="B1184" s="3" t="s">
        <v>1555</v>
      </c>
      <c r="C1184" s="3" t="s">
        <v>1599</v>
      </c>
      <c r="D1184" s="3" t="s">
        <v>1601</v>
      </c>
      <c r="E1184" s="3" t="s">
        <v>1602</v>
      </c>
      <c r="F1184" s="3">
        <f>VLOOKUP(Table1[[#This Row],[Column2]], TAXONOMY_TYPE, 2, FALSE)</f>
        <v>10105</v>
      </c>
      <c r="G1184" s="3">
        <v>53</v>
      </c>
      <c r="H1184" s="3" t="s">
        <v>1593</v>
      </c>
      <c r="I1184" s="3">
        <f>VLOOKUP(Table1[[#This Row],[Provider Type]] &amp; Table1[[#This Row],[Provider Type Description]], PROVIDER_TYPE, 2, FALSE)</f>
        <v>115</v>
      </c>
      <c r="J1184" s="3">
        <v>632</v>
      </c>
      <c r="K1184" s="3" t="s">
        <v>1601</v>
      </c>
      <c r="L1184" s="3">
        <f>VLOOKUP(TRIM(Table1[[#This Row],[Provider Specialty]]) &amp; TRIM(Table1[[#This Row],[Provider Specialty Description]]), SPECIALTY_TYPE, 2, FALSE)</f>
        <v>2325</v>
      </c>
      <c r="M1184" s="3" t="s">
        <v>18</v>
      </c>
      <c r="N1184" s="27" t="s">
        <v>18</v>
      </c>
      <c r="O1184" s="38">
        <f>VLOOKUP(TRIM(Table1[[#This Row],[Provider Specialty]]) &amp; TRIM(Table1[[#This Row],[Provider Specialty Description]]), SPECIALTY_TYPE, 2, FALSE)</f>
        <v>2325</v>
      </c>
      <c r="P1184" s="3" t="str">
        <f>Table1[[#This Row],[Provider Type]] &amp; "+" &amp; Table1[[#This Row],[Provider Type Description]]</f>
        <v>53+Technologist</v>
      </c>
      <c r="Q1184" s="7" t="str">
        <f>Table1[[#This Row],[Provider Specialty]] &amp; "+" &amp; Table1[[#This Row],[Provider Specialty Description]]</f>
        <v xml:space="preserve">632+Bone Densitometry </v>
      </c>
      <c r="R1184" s="7" t="str">
        <f>Table1[[#This Row],[PDMS Specialty Type ID]] &amp; "+" &amp; Table1[[#This Row],[PDMS Provider Type ID]] &amp; "+" &amp;Table1[[#This Row],[TAXONOMY]]</f>
        <v>2325+115+2471B0102X</v>
      </c>
      <c r="S11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(10105, 2325, 115, N'2471B0102X', N'Radiologic Technologist - Bone Densitometry')</v>
      </c>
    </row>
    <row r="1185" spans="1:19" ht="47.25" customHeight="1" x14ac:dyDescent="0.25">
      <c r="A1185" s="22" t="s">
        <v>227</v>
      </c>
      <c r="B1185" s="3" t="s">
        <v>1555</v>
      </c>
      <c r="C1185" s="3" t="s">
        <v>1599</v>
      </c>
      <c r="D1185" s="3" t="s">
        <v>1603</v>
      </c>
      <c r="E1185" s="3" t="s">
        <v>1604</v>
      </c>
      <c r="F1185" s="3">
        <f>VLOOKUP(Table1[[#This Row],[Column2]], TAXONOMY_TYPE, 2, FALSE)</f>
        <v>10106</v>
      </c>
      <c r="G1185" s="3">
        <v>53</v>
      </c>
      <c r="H1185" s="3" t="s">
        <v>1593</v>
      </c>
      <c r="I1185" s="3">
        <f>VLOOKUP(Table1[[#This Row],[Provider Type]] &amp; Table1[[#This Row],[Provider Type Description]], PROVIDER_TYPE, 2, FALSE)</f>
        <v>115</v>
      </c>
      <c r="J1185" s="3">
        <v>633</v>
      </c>
      <c r="K1185" s="3" t="s">
        <v>1605</v>
      </c>
      <c r="L1185" s="3">
        <f>VLOOKUP(TRIM(Table1[[#This Row],[Provider Specialty]]) &amp; TRIM(Table1[[#This Row],[Provider Specialty Description]]), SPECIALTY_TYPE, 2, FALSE)</f>
        <v>2326</v>
      </c>
      <c r="M1185" s="3" t="s">
        <v>18</v>
      </c>
      <c r="N1185" s="27" t="s">
        <v>18</v>
      </c>
      <c r="O1185" s="38">
        <f>VLOOKUP(TRIM(Table1[[#This Row],[Provider Specialty]]) &amp; TRIM(Table1[[#This Row],[Provider Specialty Description]]), SPECIALTY_TYPE, 2, FALSE)</f>
        <v>2326</v>
      </c>
      <c r="P1185" s="3" t="str">
        <f>Table1[[#This Row],[Provider Type]] &amp; "+" &amp; Table1[[#This Row],[Provider Type Description]]</f>
        <v>53+Technologist</v>
      </c>
      <c r="Q1185" s="7" t="str">
        <f>Table1[[#This Row],[Provider Specialty]] &amp; "+" &amp; Table1[[#This Row],[Provider Specialty Description]]</f>
        <v xml:space="preserve">633+Cardiac/Cardiovascular-Interventional Technology </v>
      </c>
      <c r="R1185" s="7" t="str">
        <f>Table1[[#This Row],[PDMS Specialty Type ID]] &amp; "+" &amp; Table1[[#This Row],[PDMS Provider Type ID]] &amp; "+" &amp;Table1[[#This Row],[TAXONOMY]]</f>
        <v>2326+115+2471C1101X</v>
      </c>
      <c r="S11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(10106, 2326, 115, N'2471C1101X', N'Radiologic Technologist - Cardiovascular-Interventional Technology')</v>
      </c>
    </row>
    <row r="1186" spans="1:19" ht="47.25" customHeight="1" x14ac:dyDescent="0.25">
      <c r="A1186" s="22" t="s">
        <v>227</v>
      </c>
      <c r="B1186" s="3" t="s">
        <v>1555</v>
      </c>
      <c r="C1186" s="3" t="s">
        <v>1599</v>
      </c>
      <c r="D1186" s="3" t="s">
        <v>1606</v>
      </c>
      <c r="E1186" s="3" t="s">
        <v>1607</v>
      </c>
      <c r="F1186" s="3">
        <f>VLOOKUP(Table1[[#This Row],[Column2]], TAXONOMY_TYPE, 2, FALSE)</f>
        <v>10107</v>
      </c>
      <c r="G1186" s="3">
        <v>53</v>
      </c>
      <c r="H1186" s="3" t="s">
        <v>1593</v>
      </c>
      <c r="I1186" s="3">
        <f>VLOOKUP(Table1[[#This Row],[Provider Type]] &amp; Table1[[#This Row],[Provider Type Description]], PROVIDER_TYPE, 2, FALSE)</f>
        <v>115</v>
      </c>
      <c r="J1186" s="3">
        <v>633</v>
      </c>
      <c r="K1186" s="3" t="s">
        <v>1605</v>
      </c>
      <c r="L1186" s="3">
        <f>VLOOKUP(TRIM(Table1[[#This Row],[Provider Specialty]]) &amp; TRIM(Table1[[#This Row],[Provider Specialty Description]]), SPECIALTY_TYPE, 2, FALSE)</f>
        <v>2326</v>
      </c>
      <c r="M1186" s="3" t="s">
        <v>18</v>
      </c>
      <c r="N1186" s="27" t="s">
        <v>18</v>
      </c>
      <c r="O1186" s="38">
        <f>VLOOKUP(TRIM(Table1[[#This Row],[Provider Specialty]]) &amp; TRIM(Table1[[#This Row],[Provider Specialty Description]]), SPECIALTY_TYPE, 2, FALSE)</f>
        <v>2326</v>
      </c>
      <c r="P1186" s="3" t="str">
        <f>Table1[[#This Row],[Provider Type]] &amp; "+" &amp; Table1[[#This Row],[Provider Type Description]]</f>
        <v>53+Technologist</v>
      </c>
      <c r="Q1186" s="7" t="str">
        <f>Table1[[#This Row],[Provider Specialty]] &amp; "+" &amp; Table1[[#This Row],[Provider Specialty Description]]</f>
        <v xml:space="preserve">633+Cardiac/Cardiovascular-Interventional Technology </v>
      </c>
      <c r="R1186" s="7" t="str">
        <f>Table1[[#This Row],[PDMS Specialty Type ID]] &amp; "+" &amp; Table1[[#This Row],[PDMS Provider Type ID]] &amp; "+" &amp;Table1[[#This Row],[TAXONOMY]]</f>
        <v>2326+115+2471C1106X</v>
      </c>
      <c r="S11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(10107, 2326, 115, N'2471C1106X', N'Radiologic Technologist - Cardiac-Interventional Technology')</v>
      </c>
    </row>
    <row r="1187" spans="1:19" ht="47.25" customHeight="1" x14ac:dyDescent="0.25">
      <c r="A1187" s="22" t="s">
        <v>227</v>
      </c>
      <c r="B1187" s="3" t="s">
        <v>1555</v>
      </c>
      <c r="C1187" s="3" t="s">
        <v>1599</v>
      </c>
      <c r="D1187" s="3" t="s">
        <v>1608</v>
      </c>
      <c r="E1187" s="3" t="s">
        <v>1609</v>
      </c>
      <c r="F1187" s="3">
        <f>VLOOKUP(Table1[[#This Row],[Column2]], TAXONOMY_TYPE, 2, FALSE)</f>
        <v>10108</v>
      </c>
      <c r="G1187" s="3">
        <v>53</v>
      </c>
      <c r="H1187" s="3" t="s">
        <v>1593</v>
      </c>
      <c r="I1187" s="3">
        <f>VLOOKUP(Table1[[#This Row],[Provider Type]] &amp; Table1[[#This Row],[Provider Type Description]], PROVIDER_TYPE, 2, FALSE)</f>
        <v>115</v>
      </c>
      <c r="J1187" s="3">
        <v>634</v>
      </c>
      <c r="K1187" s="3" t="s">
        <v>1608</v>
      </c>
      <c r="L1187" s="3">
        <f>VLOOKUP(TRIM(Table1[[#This Row],[Provider Specialty]]) &amp; TRIM(Table1[[#This Row],[Provider Specialty Description]]), SPECIALTY_TYPE, 2, FALSE)</f>
        <v>2327</v>
      </c>
      <c r="M1187" s="3" t="s">
        <v>18</v>
      </c>
      <c r="N1187" s="27" t="s">
        <v>18</v>
      </c>
      <c r="O1187" s="38">
        <f>VLOOKUP(TRIM(Table1[[#This Row],[Provider Specialty]]) &amp; TRIM(Table1[[#This Row],[Provider Specialty Description]]), SPECIALTY_TYPE, 2, FALSE)</f>
        <v>2327</v>
      </c>
      <c r="P1187" s="3" t="str">
        <f>Table1[[#This Row],[Provider Type]] &amp; "+" &amp; Table1[[#This Row],[Provider Type Description]]</f>
        <v>53+Technologist</v>
      </c>
      <c r="Q1187" s="7" t="str">
        <f>Table1[[#This Row],[Provider Specialty]] &amp; "+" &amp; Table1[[#This Row],[Provider Specialty Description]]</f>
        <v xml:space="preserve">634+Computed Tomography </v>
      </c>
      <c r="R1187" s="7" t="str">
        <f>Table1[[#This Row],[PDMS Specialty Type ID]] &amp; "+" &amp; Table1[[#This Row],[PDMS Provider Type ID]] &amp; "+" &amp;Table1[[#This Row],[TAXONOMY]]</f>
        <v>2327+115+2471C3401X</v>
      </c>
      <c r="S11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(10108, 2327, 115, N'2471C3401X', N'Radiologic Technologist - Computed Tomography')</v>
      </c>
    </row>
    <row r="1188" spans="1:19" ht="47.25" customHeight="1" x14ac:dyDescent="0.25">
      <c r="A1188" s="22" t="s">
        <v>227</v>
      </c>
      <c r="B1188" s="3" t="s">
        <v>1555</v>
      </c>
      <c r="C1188" s="3" t="s">
        <v>1599</v>
      </c>
      <c r="D1188" s="3" t="s">
        <v>1612</v>
      </c>
      <c r="E1188" s="3" t="s">
        <v>1613</v>
      </c>
      <c r="F1188" s="3">
        <f>VLOOKUP(Table1[[#This Row],[Column2]], TAXONOMY_TYPE, 2, FALSE)</f>
        <v>10109</v>
      </c>
      <c r="G1188" s="3">
        <v>53</v>
      </c>
      <c r="H1188" s="3" t="s">
        <v>1593</v>
      </c>
      <c r="I1188" s="3">
        <f>VLOOKUP(Table1[[#This Row],[Provider Type]] &amp; Table1[[#This Row],[Provider Type Description]], PROVIDER_TYPE, 2, FALSE)</f>
        <v>115</v>
      </c>
      <c r="J1188" s="3">
        <v>635</v>
      </c>
      <c r="K1188" s="3" t="s">
        <v>1612</v>
      </c>
      <c r="L1188" s="3">
        <f>VLOOKUP(TRIM(Table1[[#This Row],[Provider Specialty]]) &amp; TRIM(Table1[[#This Row],[Provider Specialty Description]]), SPECIALTY_TYPE, 2, FALSE)</f>
        <v>2328</v>
      </c>
      <c r="M1188" s="3" t="s">
        <v>18</v>
      </c>
      <c r="N1188" s="27" t="s">
        <v>18</v>
      </c>
      <c r="O1188" s="38">
        <f>VLOOKUP(TRIM(Table1[[#This Row],[Provider Specialty]]) &amp; TRIM(Table1[[#This Row],[Provider Specialty Description]]), SPECIALTY_TYPE, 2, FALSE)</f>
        <v>2328</v>
      </c>
      <c r="P1188" s="3" t="str">
        <f>Table1[[#This Row],[Provider Type]] &amp; "+" &amp; Table1[[#This Row],[Provider Type Description]]</f>
        <v>53+Technologist</v>
      </c>
      <c r="Q1188" s="7" t="str">
        <f>Table1[[#This Row],[Provider Specialty]] &amp; "+" &amp; Table1[[#This Row],[Provider Specialty Description]]</f>
        <v xml:space="preserve">635+Magnetic Resonance Imaging  </v>
      </c>
      <c r="R1188" s="7" t="str">
        <f>Table1[[#This Row],[PDMS Specialty Type ID]] &amp; "+" &amp; Table1[[#This Row],[PDMS Provider Type ID]] &amp; "+" &amp;Table1[[#This Row],[TAXONOMY]]</f>
        <v>2328+115+2471M1202X</v>
      </c>
      <c r="S11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(10109, 2328, 115, N'2471M1202X', N'Radiologic Technologist - Magnetic Resonance Imaging')</v>
      </c>
    </row>
    <row r="1189" spans="1:19" ht="47.25" customHeight="1" x14ac:dyDescent="0.25">
      <c r="A1189" s="22" t="s">
        <v>227</v>
      </c>
      <c r="B1189" s="3" t="s">
        <v>1555</v>
      </c>
      <c r="C1189" s="3" t="s">
        <v>1599</v>
      </c>
      <c r="D1189" s="3" t="s">
        <v>1616</v>
      </c>
      <c r="E1189" s="3" t="s">
        <v>1617</v>
      </c>
      <c r="F1189" s="3">
        <f>VLOOKUP(Table1[[#This Row],[Column2]], TAXONOMY_TYPE, 2, FALSE)</f>
        <v>10110</v>
      </c>
      <c r="G1189" s="3">
        <v>53</v>
      </c>
      <c r="H1189" s="3" t="s">
        <v>1593</v>
      </c>
      <c r="I1189" s="3">
        <f>VLOOKUP(Table1[[#This Row],[Provider Type]] &amp; Table1[[#This Row],[Provider Type Description]], PROVIDER_TYPE, 2, FALSE)</f>
        <v>115</v>
      </c>
      <c r="J1189" s="3">
        <v>636</v>
      </c>
      <c r="K1189" s="3" t="s">
        <v>1616</v>
      </c>
      <c r="L1189" s="3">
        <f>VLOOKUP(TRIM(Table1[[#This Row],[Provider Specialty]]) &amp; TRIM(Table1[[#This Row],[Provider Specialty Description]]), SPECIALTY_TYPE, 2, FALSE)</f>
        <v>2329</v>
      </c>
      <c r="M1189" s="3" t="s">
        <v>18</v>
      </c>
      <c r="N1189" s="27" t="s">
        <v>18</v>
      </c>
      <c r="O1189" s="38">
        <f>VLOOKUP(TRIM(Table1[[#This Row],[Provider Specialty]]) &amp; TRIM(Table1[[#This Row],[Provider Specialty Description]]), SPECIALTY_TYPE, 2, FALSE)</f>
        <v>2329</v>
      </c>
      <c r="P1189" s="3" t="str">
        <f>Table1[[#This Row],[Provider Type]] &amp; "+" &amp; Table1[[#This Row],[Provider Type Description]]</f>
        <v>53+Technologist</v>
      </c>
      <c r="Q1189" s="7" t="str">
        <f>Table1[[#This Row],[Provider Specialty]] &amp; "+" &amp; Table1[[#This Row],[Provider Specialty Description]]</f>
        <v xml:space="preserve">636+Nuclear Medicine Technology </v>
      </c>
      <c r="R1189" s="7" t="str">
        <f>Table1[[#This Row],[PDMS Specialty Type ID]] &amp; "+" &amp; Table1[[#This Row],[PDMS Provider Type ID]] &amp; "+" &amp;Table1[[#This Row],[TAXONOMY]]</f>
        <v>2329+115+2471N0900X</v>
      </c>
      <c r="S11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(10110, 2329, 115, N'2471N0900X', N'Radiologic Technologist - Nuclear Medicine Technology')</v>
      </c>
    </row>
    <row r="1190" spans="1:19" ht="47.25" customHeight="1" x14ac:dyDescent="0.25">
      <c r="A1190" s="22" t="s">
        <v>227</v>
      </c>
      <c r="B1190" s="3" t="s">
        <v>1555</v>
      </c>
      <c r="C1190" s="3" t="s">
        <v>1599</v>
      </c>
      <c r="D1190" s="3" t="s">
        <v>1618</v>
      </c>
      <c r="E1190" s="3" t="s">
        <v>1619</v>
      </c>
      <c r="F1190" s="3">
        <f>VLOOKUP(Table1[[#This Row],[Column2]], TAXONOMY_TYPE, 2, FALSE)</f>
        <v>10111</v>
      </c>
      <c r="G1190" s="3">
        <v>53</v>
      </c>
      <c r="H1190" s="3" t="s">
        <v>1593</v>
      </c>
      <c r="I1190" s="3">
        <f>VLOOKUP(Table1[[#This Row],[Provider Type]] &amp; Table1[[#This Row],[Provider Type Description]], PROVIDER_TYPE, 2, FALSE)</f>
        <v>115</v>
      </c>
      <c r="J1190" s="3">
        <v>637</v>
      </c>
      <c r="K1190" s="3" t="s">
        <v>1618</v>
      </c>
      <c r="L1190" s="3">
        <f>VLOOKUP(TRIM(Table1[[#This Row],[Provider Specialty]]) &amp; TRIM(Table1[[#This Row],[Provider Specialty Description]]), SPECIALTY_TYPE, 2, FALSE)</f>
        <v>2330</v>
      </c>
      <c r="M1190" s="3" t="s">
        <v>18</v>
      </c>
      <c r="N1190" s="27" t="s">
        <v>18</v>
      </c>
      <c r="O1190" s="38">
        <f>VLOOKUP(TRIM(Table1[[#This Row],[Provider Specialty]]) &amp; TRIM(Table1[[#This Row],[Provider Specialty Description]]), SPECIALTY_TYPE, 2, FALSE)</f>
        <v>2330</v>
      </c>
      <c r="P1190" s="3" t="str">
        <f>Table1[[#This Row],[Provider Type]] &amp; "+" &amp; Table1[[#This Row],[Provider Type Description]]</f>
        <v>53+Technologist</v>
      </c>
      <c r="Q1190" s="7" t="str">
        <f>Table1[[#This Row],[Provider Specialty]] &amp; "+" &amp; Table1[[#This Row],[Provider Specialty Description]]</f>
        <v xml:space="preserve">637+Quality Management </v>
      </c>
      <c r="R1190" s="7" t="str">
        <f>Table1[[#This Row],[PDMS Specialty Type ID]] &amp; "+" &amp; Table1[[#This Row],[PDMS Provider Type ID]] &amp; "+" &amp;Table1[[#This Row],[TAXONOMY]]</f>
        <v>2330+115+2471Q0001X</v>
      </c>
      <c r="S11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(10111, 2330, 115, N'2471Q0001X', N'Radiologic Technologist - Quality Management')</v>
      </c>
    </row>
    <row r="1191" spans="1:19" ht="47.25" customHeight="1" x14ac:dyDescent="0.25">
      <c r="A1191" s="22" t="s">
        <v>227</v>
      </c>
      <c r="B1191" s="3" t="s">
        <v>1555</v>
      </c>
      <c r="C1191" s="3" t="s">
        <v>1599</v>
      </c>
      <c r="D1191" s="3" t="s">
        <v>1610</v>
      </c>
      <c r="E1191" s="3" t="s">
        <v>1611</v>
      </c>
      <c r="F1191" s="3">
        <f>VLOOKUP(Table1[[#This Row],[Column2]], TAXONOMY_TYPE, 2, FALSE)</f>
        <v>10112</v>
      </c>
      <c r="G1191" s="3">
        <v>53</v>
      </c>
      <c r="H1191" s="3" t="s">
        <v>1593</v>
      </c>
      <c r="I1191" s="3">
        <f>VLOOKUP(Table1[[#This Row],[Provider Type]] &amp; Table1[[#This Row],[Provider Type Description]], PROVIDER_TYPE, 2, FALSE)</f>
        <v>115</v>
      </c>
      <c r="J1191" s="3">
        <v>638</v>
      </c>
      <c r="K1191" s="3" t="s">
        <v>1610</v>
      </c>
      <c r="L1191" s="3">
        <f>VLOOKUP(TRIM(Table1[[#This Row],[Provider Specialty]]) &amp; TRIM(Table1[[#This Row],[Provider Specialty Description]]), SPECIALTY_TYPE, 2, FALSE)</f>
        <v>2331</v>
      </c>
      <c r="M1191" s="3" t="s">
        <v>18</v>
      </c>
      <c r="N1191" s="27" t="s">
        <v>18</v>
      </c>
      <c r="O1191" s="38">
        <f>VLOOKUP(TRIM(Table1[[#This Row],[Provider Specialty]]) &amp; TRIM(Table1[[#This Row],[Provider Specialty Description]]), SPECIALTY_TYPE, 2, FALSE)</f>
        <v>2331</v>
      </c>
      <c r="P1191" s="3" t="str">
        <f>Table1[[#This Row],[Provider Type]] &amp; "+" &amp; Table1[[#This Row],[Provider Type Description]]</f>
        <v>53+Technologist</v>
      </c>
      <c r="Q1191" s="7" t="str">
        <f>Table1[[#This Row],[Provider Specialty]] &amp; "+" &amp; Table1[[#This Row],[Provider Specialty Description]]</f>
        <v xml:space="preserve">638+Radiography </v>
      </c>
      <c r="R1191" s="7" t="str">
        <f>Table1[[#This Row],[PDMS Specialty Type ID]] &amp; "+" &amp; Table1[[#This Row],[PDMS Provider Type ID]] &amp; "+" &amp;Table1[[#This Row],[TAXONOMY]]</f>
        <v>2331+115+2471C3402X</v>
      </c>
      <c r="S11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(10112, 2331, 115, N'2471C3402X', N'Radiologic Technologist - Radiography')</v>
      </c>
    </row>
    <row r="1192" spans="1:19" ht="47.25" customHeight="1" x14ac:dyDescent="0.25">
      <c r="A1192" s="22" t="s">
        <v>227</v>
      </c>
      <c r="B1192" s="3" t="s">
        <v>1555</v>
      </c>
      <c r="C1192" s="3" t="s">
        <v>1599</v>
      </c>
      <c r="D1192" s="3" t="s">
        <v>1623</v>
      </c>
      <c r="E1192" s="3" t="s">
        <v>1624</v>
      </c>
      <c r="F1192" s="3">
        <f>VLOOKUP(Table1[[#This Row],[Column2]], TAXONOMY_TYPE, 2, FALSE)</f>
        <v>10113</v>
      </c>
      <c r="G1192" s="3">
        <v>53</v>
      </c>
      <c r="H1192" s="3" t="s">
        <v>1593</v>
      </c>
      <c r="I1192" s="3">
        <f>VLOOKUP(Table1[[#This Row],[Provider Type]] &amp; Table1[[#This Row],[Provider Type Description]], PROVIDER_TYPE, 2, FALSE)</f>
        <v>115</v>
      </c>
      <c r="J1192" s="3">
        <v>639</v>
      </c>
      <c r="K1192" s="3" t="s">
        <v>1625</v>
      </c>
      <c r="L1192" s="3">
        <f>VLOOKUP(TRIM(Table1[[#This Row],[Provider Specialty]]) &amp; TRIM(Table1[[#This Row],[Provider Specialty Description]]), SPECIALTY_TYPE, 2, FALSE)</f>
        <v>2332</v>
      </c>
      <c r="M1192" s="3" t="s">
        <v>18</v>
      </c>
      <c r="N1192" s="27" t="s">
        <v>18</v>
      </c>
      <c r="O1192" s="38">
        <f>VLOOKUP(TRIM(Table1[[#This Row],[Provider Specialty]]) &amp; TRIM(Table1[[#This Row],[Provider Specialty Description]]), SPECIALTY_TYPE, 2, FALSE)</f>
        <v>2332</v>
      </c>
      <c r="P1192" s="3" t="str">
        <f>Table1[[#This Row],[Provider Type]] &amp; "+" &amp; Table1[[#This Row],[Provider Type Description]]</f>
        <v>53+Technologist</v>
      </c>
      <c r="Q1192" s="7" t="str">
        <f>Table1[[#This Row],[Provider Specialty]] &amp; "+" &amp; Table1[[#This Row],[Provider Specialty Description]]</f>
        <v>639+Sonography / Vascular</v>
      </c>
      <c r="R1192" s="7" t="str">
        <f>Table1[[#This Row],[PDMS Specialty Type ID]] &amp; "+" &amp; Table1[[#This Row],[PDMS Provider Type ID]] &amp; "+" &amp;Table1[[#This Row],[TAXONOMY]]</f>
        <v>2332+115+2471S1302X</v>
      </c>
      <c r="S11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(10113, 2332, 115, N'2471S1302X', N'Radiologic Technologist - Sonography')</v>
      </c>
    </row>
    <row r="1193" spans="1:19" ht="47.25" customHeight="1" x14ac:dyDescent="0.25">
      <c r="A1193" s="22" t="s">
        <v>227</v>
      </c>
      <c r="B1193" s="3" t="s">
        <v>1555</v>
      </c>
      <c r="C1193" s="3" t="s">
        <v>1599</v>
      </c>
      <c r="D1193" s="3" t="s">
        <v>1626</v>
      </c>
      <c r="E1193" s="3" t="s">
        <v>1627</v>
      </c>
      <c r="F1193" s="3">
        <f>VLOOKUP(Table1[[#This Row],[Column2]], TAXONOMY_TYPE, 2, FALSE)</f>
        <v>10114</v>
      </c>
      <c r="G1193" s="3">
        <v>53</v>
      </c>
      <c r="H1193" s="3" t="s">
        <v>1593</v>
      </c>
      <c r="I1193" s="3">
        <f>VLOOKUP(Table1[[#This Row],[Provider Type]] &amp; Table1[[#This Row],[Provider Type Description]], PROVIDER_TYPE, 2, FALSE)</f>
        <v>115</v>
      </c>
      <c r="J1193" s="3">
        <v>639</v>
      </c>
      <c r="K1193" s="3" t="s">
        <v>1625</v>
      </c>
      <c r="L1193" s="3">
        <f>VLOOKUP(TRIM(Table1[[#This Row],[Provider Specialty]]) &amp; TRIM(Table1[[#This Row],[Provider Specialty Description]]), SPECIALTY_TYPE, 2, FALSE)</f>
        <v>2332</v>
      </c>
      <c r="M1193" s="3" t="s">
        <v>18</v>
      </c>
      <c r="N1193" s="27" t="s">
        <v>18</v>
      </c>
      <c r="O1193" s="38">
        <f>VLOOKUP(TRIM(Table1[[#This Row],[Provider Specialty]]) &amp; TRIM(Table1[[#This Row],[Provider Specialty Description]]), SPECIALTY_TYPE, 2, FALSE)</f>
        <v>2332</v>
      </c>
      <c r="P1193" s="3" t="str">
        <f>Table1[[#This Row],[Provider Type]] &amp; "+" &amp; Table1[[#This Row],[Provider Type Description]]</f>
        <v>53+Technologist</v>
      </c>
      <c r="Q1193" s="7" t="str">
        <f>Table1[[#This Row],[Provider Specialty]] &amp; "+" &amp; Table1[[#This Row],[Provider Specialty Description]]</f>
        <v>639+Sonography / Vascular</v>
      </c>
      <c r="R1193" s="7" t="str">
        <f>Table1[[#This Row],[PDMS Specialty Type ID]] &amp; "+" &amp; Table1[[#This Row],[PDMS Provider Type ID]] &amp; "+" &amp;Table1[[#This Row],[TAXONOMY]]</f>
        <v>2332+115+2471V0105X</v>
      </c>
      <c r="S11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(10114, 2332, 115, N'2471V0105X', N'Radiologic Technologist - Vascular Sonography')</v>
      </c>
    </row>
    <row r="1194" spans="1:19" ht="47.25" customHeight="1" x14ac:dyDescent="0.25">
      <c r="A1194" s="22" t="s">
        <v>227</v>
      </c>
      <c r="B1194" s="3" t="s">
        <v>1555</v>
      </c>
      <c r="C1194" s="3" t="s">
        <v>1599</v>
      </c>
      <c r="D1194" s="3" t="s">
        <v>1628</v>
      </c>
      <c r="E1194" s="3" t="s">
        <v>1629</v>
      </c>
      <c r="F1194" s="3">
        <f>VLOOKUP(Table1[[#This Row],[Column2]], TAXONOMY_TYPE, 2, FALSE)</f>
        <v>10115</v>
      </c>
      <c r="G1194" s="3">
        <v>53</v>
      </c>
      <c r="H1194" s="3" t="s">
        <v>1593</v>
      </c>
      <c r="I1194" s="3">
        <f>VLOOKUP(Table1[[#This Row],[Provider Type]] &amp; Table1[[#This Row],[Provider Type Description]], PROVIDER_TYPE, 2, FALSE)</f>
        <v>115</v>
      </c>
      <c r="J1194" s="3">
        <v>640</v>
      </c>
      <c r="K1194" s="3" t="s">
        <v>1628</v>
      </c>
      <c r="L1194" s="3">
        <f>VLOOKUP(TRIM(Table1[[#This Row],[Provider Specialty]]) &amp; TRIM(Table1[[#This Row],[Provider Specialty Description]]), SPECIALTY_TYPE, 2, FALSE)</f>
        <v>2333</v>
      </c>
      <c r="M1194" s="3" t="s">
        <v>18</v>
      </c>
      <c r="N1194" s="27" t="s">
        <v>18</v>
      </c>
      <c r="O1194" s="38">
        <f>VLOOKUP(TRIM(Table1[[#This Row],[Provider Specialty]]) &amp; TRIM(Table1[[#This Row],[Provider Specialty Description]]), SPECIALTY_TYPE, 2, FALSE)</f>
        <v>2333</v>
      </c>
      <c r="P1194" s="3" t="str">
        <f>Table1[[#This Row],[Provider Type]] &amp; "+" &amp; Table1[[#This Row],[Provider Type Description]]</f>
        <v>53+Technologist</v>
      </c>
      <c r="Q1194" s="7" t="str">
        <f>Table1[[#This Row],[Provider Specialty]] &amp; "+" &amp; Table1[[#This Row],[Provider Specialty Description]]</f>
        <v xml:space="preserve">640+Vascular-Interventional Technology </v>
      </c>
      <c r="R1194" s="7" t="str">
        <f>Table1[[#This Row],[PDMS Specialty Type ID]] &amp; "+" &amp; Table1[[#This Row],[PDMS Provider Type ID]] &amp; "+" &amp;Table1[[#This Row],[TAXONOMY]]</f>
        <v>2333+115+2471V0106X</v>
      </c>
      <c r="S11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(10115, 2333, 115, N'2471V0106X', N'Radiologic Technologist - Vascular-Interventional Technology')</v>
      </c>
    </row>
    <row r="1195" spans="1:19" ht="47.25" customHeight="1" x14ac:dyDescent="0.25">
      <c r="A1195" s="22" t="s">
        <v>227</v>
      </c>
      <c r="B1195" s="3" t="s">
        <v>1555</v>
      </c>
      <c r="C1195" s="3" t="s">
        <v>1591</v>
      </c>
      <c r="D1195" s="3" t="s">
        <v>1849</v>
      </c>
      <c r="E1195" s="3" t="s">
        <v>1592</v>
      </c>
      <c r="F1195" s="3">
        <f>VLOOKUP(Table1[[#This Row],[Column2]], TAXONOMY_TYPE, 2, FALSE)</f>
        <v>10116</v>
      </c>
      <c r="G1195" s="3">
        <v>53</v>
      </c>
      <c r="H1195" s="3" t="s">
        <v>1593</v>
      </c>
      <c r="I1195" s="3">
        <f>VLOOKUP(Table1[[#This Row],[Provider Type]] &amp; Table1[[#This Row],[Provider Type Description]], PROVIDER_TYPE, 2, FALSE)</f>
        <v>115</v>
      </c>
      <c r="J1195" s="3">
        <v>647</v>
      </c>
      <c r="K1195" s="3" t="s">
        <v>1594</v>
      </c>
      <c r="L1195" s="3">
        <f>VLOOKUP(TRIM(Table1[[#This Row],[Provider Specialty]]) &amp; TRIM(Table1[[#This Row],[Provider Specialty Description]]), SPECIALTY_TYPE, 2, FALSE)</f>
        <v>2340</v>
      </c>
      <c r="M1195" s="3" t="s">
        <v>18</v>
      </c>
      <c r="N1195" s="27" t="s">
        <v>18</v>
      </c>
      <c r="O1195" s="38">
        <f>VLOOKUP(TRIM(Table1[[#This Row],[Provider Specialty]]) &amp; TRIM(Table1[[#This Row],[Provider Specialty Description]]), SPECIALTY_TYPE, 2, FALSE)</f>
        <v>2340</v>
      </c>
      <c r="P1195" s="3" t="str">
        <f>Table1[[#This Row],[Provider Type]] &amp; "+" &amp; Table1[[#This Row],[Provider Type Description]]</f>
        <v>53+Technologist</v>
      </c>
      <c r="Q1195" s="7" t="str">
        <f>Table1[[#This Row],[Provider Specialty]] &amp; "+" &amp; Table1[[#This Row],[Provider Specialty Description]]</f>
        <v>647+Certified First Assistant</v>
      </c>
      <c r="R1195" s="7" t="str">
        <f>Table1[[#This Row],[PDMS Specialty Type ID]] &amp; "+" &amp; Table1[[#This Row],[PDMS Provider Type ID]] &amp; "+" &amp;Table1[[#This Row],[TAXONOMY]]</f>
        <v>2340+115+246ZC0007X</v>
      </c>
      <c r="S11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(10116, 2340, 115, N'246ZC0007X', N'Specialist/Technologist, Other - Surgical Assistant')</v>
      </c>
    </row>
    <row r="1196" spans="1:19" ht="47.25" customHeight="1" x14ac:dyDescent="0.25">
      <c r="A1196" s="22" t="s">
        <v>227</v>
      </c>
      <c r="B1196" s="3" t="s">
        <v>1555</v>
      </c>
      <c r="C1196" s="3" t="s">
        <v>1640</v>
      </c>
      <c r="D1196" s="3" t="s">
        <v>1640</v>
      </c>
      <c r="E1196" s="3" t="s">
        <v>1641</v>
      </c>
      <c r="F1196" s="3">
        <f>VLOOKUP(Table1[[#This Row],[Column2]], TAXONOMY_TYPE, 2, FALSE)</f>
        <v>10117</v>
      </c>
      <c r="G1196" s="3">
        <v>54</v>
      </c>
      <c r="H1196" s="3" t="s">
        <v>1632</v>
      </c>
      <c r="I1196" s="3">
        <f>VLOOKUP(Table1[[#This Row],[Provider Type]] &amp; Table1[[#This Row],[Provider Type Description]], PROVIDER_TYPE, 2, FALSE)</f>
        <v>116</v>
      </c>
      <c r="J1196" s="3">
        <v>282</v>
      </c>
      <c r="K1196" s="3" t="s">
        <v>1642</v>
      </c>
      <c r="L1196" s="3">
        <f>VLOOKUP(TRIM(Table1[[#This Row],[Provider Specialty]]) &amp; TRIM(Table1[[#This Row],[Provider Specialty Description]]), SPECIALTY_TYPE, 2, FALSE)</f>
        <v>2245</v>
      </c>
      <c r="M1196" s="3" t="s">
        <v>18</v>
      </c>
      <c r="N1196" s="27" t="s">
        <v>18</v>
      </c>
      <c r="O1196" s="38">
        <f>VLOOKUP(TRIM(Table1[[#This Row],[Provider Specialty]]) &amp; TRIM(Table1[[#This Row],[Provider Specialty Description]]), SPECIALTY_TYPE, 2, FALSE)</f>
        <v>2245</v>
      </c>
      <c r="P1196" s="3" t="str">
        <f>Table1[[#This Row],[Provider Type]] &amp; "+" &amp; Table1[[#This Row],[Provider Type Description]]</f>
        <v>54+Assistant</v>
      </c>
      <c r="Q1196" s="7" t="str">
        <f>Table1[[#This Row],[Provider Specialty]] &amp; "+" &amp; Table1[[#This Row],[Provider Specialty Description]]</f>
        <v>282+Radiology Practitioner Assistants</v>
      </c>
      <c r="R1196" s="7" t="str">
        <f>Table1[[#This Row],[PDMS Specialty Type ID]] &amp; "+" &amp; Table1[[#This Row],[PDMS Provider Type ID]] &amp; "+" &amp;Table1[[#This Row],[TAXONOMY]]</f>
        <v>2245+116+243U00000X</v>
      </c>
      <c r="S11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(10117, 2245, 116, N'243U00000X', N'Radiology Practitioner Assistant - Radiology Practitioner Assistant')</v>
      </c>
    </row>
    <row r="1197" spans="1:19" ht="47.25" customHeight="1" x14ac:dyDescent="0.25">
      <c r="A1197" s="22" t="s">
        <v>227</v>
      </c>
      <c r="B1197" s="3" t="s">
        <v>919</v>
      </c>
      <c r="C1197" s="3" t="s">
        <v>1630</v>
      </c>
      <c r="D1197" s="3" t="s">
        <v>1630</v>
      </c>
      <c r="E1197" s="3" t="s">
        <v>1631</v>
      </c>
      <c r="F1197" s="3">
        <f>VLOOKUP(Table1[[#This Row],[Column2]], TAXONOMY_TYPE, 2, FALSE)</f>
        <v>10118</v>
      </c>
      <c r="G1197" s="3">
        <v>54</v>
      </c>
      <c r="H1197" s="3" t="s">
        <v>1632</v>
      </c>
      <c r="I1197" s="3">
        <f>VLOOKUP(Table1[[#This Row],[Provider Type]] &amp; Table1[[#This Row],[Provider Type Description]], PROVIDER_TYPE, 2, FALSE)</f>
        <v>116</v>
      </c>
      <c r="J1197" s="3">
        <v>550</v>
      </c>
      <c r="K1197" s="3" t="s">
        <v>1633</v>
      </c>
      <c r="L1197" s="3">
        <f>VLOOKUP(TRIM(Table1[[#This Row],[Provider Specialty]]) &amp; TRIM(Table1[[#This Row],[Provider Specialty Description]]), SPECIALTY_TYPE, 2, FALSE)</f>
        <v>2284</v>
      </c>
      <c r="M1197" s="3" t="s">
        <v>19</v>
      </c>
      <c r="N1197" s="27" t="s">
        <v>18</v>
      </c>
      <c r="O1197" s="38">
        <f>VLOOKUP(TRIM(Table1[[#This Row],[Provider Specialty]]) &amp; TRIM(Table1[[#This Row],[Provider Specialty Description]]), SPECIALTY_TYPE, 2, FALSE)</f>
        <v>2284</v>
      </c>
      <c r="P1197" s="3" t="str">
        <f>Table1[[#This Row],[Provider Type]] &amp; "+" &amp; Table1[[#This Row],[Provider Type Description]]</f>
        <v>54+Assistant</v>
      </c>
      <c r="Q1197" s="7" t="str">
        <f>Table1[[#This Row],[Provider Specialty]] &amp; "+" &amp; Table1[[#This Row],[Provider Specialty Description]]</f>
        <v>550+Dental Assistant</v>
      </c>
      <c r="R1197" s="7" t="str">
        <f>Table1[[#This Row],[PDMS Specialty Type ID]] &amp; "+" &amp; Table1[[#This Row],[PDMS Provider Type ID]] &amp; "+" &amp;Table1[[#This Row],[TAXONOMY]]</f>
        <v>2284+116+126800000X</v>
      </c>
      <c r="S11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(10118, 2284, 116, N'126800000X', N'Dental Assistant - Dental Assistant')</v>
      </c>
    </row>
    <row r="1198" spans="1:19" ht="47.25" customHeight="1" x14ac:dyDescent="0.25">
      <c r="A1198" s="22" t="s">
        <v>227</v>
      </c>
      <c r="B1198" s="3" t="s">
        <v>748</v>
      </c>
      <c r="C1198" s="3" t="s">
        <v>1634</v>
      </c>
      <c r="D1198" s="3" t="s">
        <v>1635</v>
      </c>
      <c r="E1198" s="3" t="s">
        <v>1636</v>
      </c>
      <c r="F1198" s="3">
        <f>VLOOKUP(Table1[[#This Row],[Column2]], TAXONOMY_TYPE, 2, FALSE)</f>
        <v>10119</v>
      </c>
      <c r="G1198" s="3">
        <v>54</v>
      </c>
      <c r="H1198" s="3" t="s">
        <v>1632</v>
      </c>
      <c r="I1198" s="3">
        <f>VLOOKUP(Table1[[#This Row],[Provider Type]] &amp; Table1[[#This Row],[Provider Type Description]], PROVIDER_TYPE, 2, FALSE)</f>
        <v>116</v>
      </c>
      <c r="J1198" s="3">
        <v>627</v>
      </c>
      <c r="K1198" s="3" t="s">
        <v>1637</v>
      </c>
      <c r="L1198" s="3">
        <f>VLOOKUP(TRIM(Table1[[#This Row],[Provider Specialty]]) &amp; TRIM(Table1[[#This Row],[Provider Specialty Description]]), SPECIALTY_TYPE, 2, FALSE)</f>
        <v>2320</v>
      </c>
      <c r="M1198" s="3" t="s">
        <v>18</v>
      </c>
      <c r="N1198" s="27" t="s">
        <v>18</v>
      </c>
      <c r="O1198" s="38">
        <f>VLOOKUP(TRIM(Table1[[#This Row],[Provider Specialty]]) &amp; TRIM(Table1[[#This Row],[Provider Specialty Description]]), SPECIALTY_TYPE, 2, FALSE)</f>
        <v>2320</v>
      </c>
      <c r="P1198" s="3" t="str">
        <f>Table1[[#This Row],[Provider Type]] &amp; "+" &amp; Table1[[#This Row],[Provider Type Description]]</f>
        <v>54+Assistant</v>
      </c>
      <c r="Q1198" s="7" t="str">
        <f>Table1[[#This Row],[Provider Specialty]] &amp; "+" &amp; Table1[[#This Row],[Provider Specialty Description]]</f>
        <v>627+Audiology Assistant</v>
      </c>
      <c r="R1198" s="7" t="str">
        <f>Table1[[#This Row],[PDMS Specialty Type ID]] &amp; "+" &amp; Table1[[#This Row],[PDMS Provider Type ID]] &amp; "+" &amp;Table1[[#This Row],[TAXONOMY]]</f>
        <v>2320+116+2355A2700X</v>
      </c>
      <c r="S11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(10119, 2320, 116, N'2355A2700X', N'Specialist/Technologist - Audiology Assistant')</v>
      </c>
    </row>
    <row r="1199" spans="1:19" ht="47.25" customHeight="1" x14ac:dyDescent="0.25">
      <c r="A1199" s="22" t="s">
        <v>227</v>
      </c>
      <c r="B1199" s="3" t="s">
        <v>748</v>
      </c>
      <c r="C1199" s="3" t="s">
        <v>1634</v>
      </c>
      <c r="D1199" s="3" t="s">
        <v>1638</v>
      </c>
      <c r="E1199" s="3" t="s">
        <v>1639</v>
      </c>
      <c r="F1199" s="3">
        <f>VLOOKUP(Table1[[#This Row],[Column2]], TAXONOMY_TYPE, 2, FALSE)</f>
        <v>10120</v>
      </c>
      <c r="G1199" s="3">
        <v>54</v>
      </c>
      <c r="H1199" s="3" t="s">
        <v>1632</v>
      </c>
      <c r="I1199" s="3">
        <f>VLOOKUP(Table1[[#This Row],[Provider Type]] &amp; Table1[[#This Row],[Provider Type Description]], PROVIDER_TYPE, 2, FALSE)</f>
        <v>116</v>
      </c>
      <c r="J1199" s="3">
        <v>628</v>
      </c>
      <c r="K1199" s="3" t="s">
        <v>1638</v>
      </c>
      <c r="L1199" s="3">
        <f>VLOOKUP(TRIM(Table1[[#This Row],[Provider Specialty]]) &amp; TRIM(Table1[[#This Row],[Provider Specialty Description]]), SPECIALTY_TYPE, 2, FALSE)</f>
        <v>2321</v>
      </c>
      <c r="M1199" s="3" t="s">
        <v>18</v>
      </c>
      <c r="N1199" s="27" t="s">
        <v>18</v>
      </c>
      <c r="O1199" s="38">
        <f>VLOOKUP(TRIM(Table1[[#This Row],[Provider Specialty]]) &amp; TRIM(Table1[[#This Row],[Provider Specialty Description]]), SPECIALTY_TYPE, 2, FALSE)</f>
        <v>2321</v>
      </c>
      <c r="P1199" s="3" t="str">
        <f>Table1[[#This Row],[Provider Type]] &amp; "+" &amp; Table1[[#This Row],[Provider Type Description]]</f>
        <v>54+Assistant</v>
      </c>
      <c r="Q1199" s="7" t="str">
        <f>Table1[[#This Row],[Provider Specialty]] &amp; "+" &amp; Table1[[#This Row],[Provider Specialty Description]]</f>
        <v xml:space="preserve">628+Speech-Language Assistant </v>
      </c>
      <c r="R1199" s="7" t="str">
        <f>Table1[[#This Row],[PDMS Specialty Type ID]] &amp; "+" &amp; Table1[[#This Row],[PDMS Provider Type ID]] &amp; "+" &amp;Table1[[#This Row],[TAXONOMY]]</f>
        <v>2321+116+2355S0801X</v>
      </c>
      <c r="S11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(10120, 2321, 116, N'2355S0801X', N'Specialist/Technologist - Speech-Language Assistant')</v>
      </c>
    </row>
    <row r="1200" spans="1:19" ht="47.25" customHeight="1" x14ac:dyDescent="0.25">
      <c r="A1200" s="22" t="s">
        <v>227</v>
      </c>
      <c r="B1200" s="3" t="s">
        <v>919</v>
      </c>
      <c r="C1200" s="3" t="s">
        <v>1643</v>
      </c>
      <c r="D1200" s="3" t="s">
        <v>1643</v>
      </c>
      <c r="E1200" s="3" t="s">
        <v>1644</v>
      </c>
      <c r="F1200" s="3">
        <f>VLOOKUP(Table1[[#This Row],[Column2]], TAXONOMY_TYPE, 2, FALSE)</f>
        <v>10121</v>
      </c>
      <c r="G1200" s="3">
        <v>55</v>
      </c>
      <c r="H1200" s="3" t="s">
        <v>1645</v>
      </c>
      <c r="I1200" s="3">
        <f>VLOOKUP(Table1[[#This Row],[Provider Type]] &amp; Table1[[#This Row],[Provider Type Description]], PROVIDER_TYPE, 2, FALSE)</f>
        <v>117</v>
      </c>
      <c r="J1200" s="3">
        <v>551</v>
      </c>
      <c r="K1200" s="3" t="s">
        <v>1645</v>
      </c>
      <c r="L1200" s="3">
        <f>VLOOKUP(TRIM(Table1[[#This Row],[Provider Specialty]]) &amp; TRIM(Table1[[#This Row],[Provider Specialty Description]]), SPECIALTY_TYPE, 2, FALSE)</f>
        <v>2285</v>
      </c>
      <c r="M1200" s="3" t="s">
        <v>19</v>
      </c>
      <c r="N1200" s="27" t="s">
        <v>18</v>
      </c>
      <c r="O1200" s="38">
        <f>VLOOKUP(TRIM(Table1[[#This Row],[Provider Specialty]]) &amp; TRIM(Table1[[#This Row],[Provider Specialty Description]]), SPECIALTY_TYPE, 2, FALSE)</f>
        <v>2285</v>
      </c>
      <c r="P1200" s="3" t="str">
        <f>Table1[[#This Row],[Provider Type]] &amp; "+" &amp; Table1[[#This Row],[Provider Type Description]]</f>
        <v>55+Dental Hygienist</v>
      </c>
      <c r="Q1200" s="7" t="str">
        <f>Table1[[#This Row],[Provider Specialty]] &amp; "+" &amp; Table1[[#This Row],[Provider Specialty Description]]</f>
        <v>551+Dental Hygienist</v>
      </c>
      <c r="R1200" s="7" t="str">
        <f>Table1[[#This Row],[PDMS Specialty Type ID]] &amp; "+" &amp; Table1[[#This Row],[PDMS Provider Type ID]] &amp; "+" &amp;Table1[[#This Row],[TAXONOMY]]</f>
        <v>2285+117+124Q00000X</v>
      </c>
      <c r="S12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(10121, 2285, 117, N'124Q00000X', N'Dental Hygienist - Dental Hygienist')</v>
      </c>
    </row>
    <row r="1201" spans="1:19" ht="47.25" customHeight="1" x14ac:dyDescent="0.25">
      <c r="A1201" s="22" t="s">
        <v>227</v>
      </c>
      <c r="B1201" s="3" t="s">
        <v>659</v>
      </c>
      <c r="C1201" s="3" t="s">
        <v>1646</v>
      </c>
      <c r="D1201" s="3" t="s">
        <v>1646</v>
      </c>
      <c r="E1201" s="3" t="s">
        <v>1647</v>
      </c>
      <c r="F1201" s="3">
        <f>VLOOKUP(Table1[[#This Row],[Column2]], TAXONOMY_TYPE, 2, FALSE)</f>
        <v>10122</v>
      </c>
      <c r="G1201" s="3">
        <v>56</v>
      </c>
      <c r="H1201" s="3" t="s">
        <v>1648</v>
      </c>
      <c r="I1201" s="3">
        <f>VLOOKUP(Table1[[#This Row],[Provider Type]] &amp; Table1[[#This Row],[Provider Type Description]], PROVIDER_TYPE, 2, FALSE)</f>
        <v>118</v>
      </c>
      <c r="J1201" s="3">
        <v>581</v>
      </c>
      <c r="K1201" s="3" t="s">
        <v>1649</v>
      </c>
      <c r="L1201" s="3">
        <f>VLOOKUP(TRIM(Table1[[#This Row],[Provider Specialty]]) &amp; TRIM(Table1[[#This Row],[Provider Specialty Description]]), SPECIALTY_TYPE, 2, FALSE)</f>
        <v>2292</v>
      </c>
      <c r="M1201" s="3" t="s">
        <v>18</v>
      </c>
      <c r="N1201" s="27" t="s">
        <v>18</v>
      </c>
      <c r="O1201" s="38">
        <f>VLOOKUP(TRIM(Table1[[#This Row],[Provider Specialty]]) &amp; TRIM(Table1[[#This Row],[Provider Specialty Description]]), SPECIALTY_TYPE, 2, FALSE)</f>
        <v>2292</v>
      </c>
      <c r="P1201" s="3" t="str">
        <f>Table1[[#This Row],[Provider Type]] &amp; "+" &amp; Table1[[#This Row],[Provider Type Description]]</f>
        <v>56+Administrator</v>
      </c>
      <c r="Q1201" s="7" t="str">
        <f>Table1[[#This Row],[Provider Specialty]] &amp; "+" &amp; Table1[[#This Row],[Provider Specialty Description]]</f>
        <v>581+Nursing Home Administrator</v>
      </c>
      <c r="R1201" s="7" t="str">
        <f>Table1[[#This Row],[PDMS Specialty Type ID]] &amp; "+" &amp; Table1[[#This Row],[PDMS Provider Type ID]] &amp; "+" &amp;Table1[[#This Row],[TAXONOMY]]</f>
        <v>2292+118+376G00000X</v>
      </c>
      <c r="S12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(10122, 2292, 118, N'376G00000X', N'Nursing Home Administrator - Nursing Home Administrator')</v>
      </c>
    </row>
    <row r="1202" spans="1:19" ht="47.25" customHeight="1" x14ac:dyDescent="0.25">
      <c r="A1202" s="22" t="s">
        <v>227</v>
      </c>
      <c r="B1202" s="3" t="s">
        <v>337</v>
      </c>
      <c r="C1202" s="3" t="s">
        <v>1650</v>
      </c>
      <c r="D1202" s="3" t="s">
        <v>1650</v>
      </c>
      <c r="E1202" s="3" t="s">
        <v>1651</v>
      </c>
      <c r="F1202" s="3">
        <f>VLOOKUP(Table1[[#This Row],[Column2]], TAXONOMY_TYPE, 2, FALSE)</f>
        <v>10123</v>
      </c>
      <c r="G1202" s="3">
        <v>57</v>
      </c>
      <c r="H1202" s="3" t="s">
        <v>1652</v>
      </c>
      <c r="I1202" s="3">
        <f>VLOOKUP(Table1[[#This Row],[Provider Type]] &amp; Table1[[#This Row],[Provider Type Description]], PROVIDER_TYPE, 2, FALSE)</f>
        <v>119</v>
      </c>
      <c r="J1202" s="3">
        <v>590</v>
      </c>
      <c r="K1202" s="3" t="s">
        <v>1652</v>
      </c>
      <c r="L1202" s="3">
        <f>VLOOKUP(TRIM(Table1[[#This Row],[Provider Specialty]]) &amp; TRIM(Table1[[#This Row],[Provider Specialty Description]]), SPECIALTY_TYPE, 2, FALSE)</f>
        <v>2293</v>
      </c>
      <c r="M1202" s="3" t="s">
        <v>18</v>
      </c>
      <c r="N1202" s="27" t="s">
        <v>18</v>
      </c>
      <c r="O1202" s="38">
        <f>VLOOKUP(TRIM(Table1[[#This Row],[Provider Specialty]]) &amp; TRIM(Table1[[#This Row],[Provider Specialty Description]]), SPECIALTY_TYPE, 2, FALSE)</f>
        <v>2293</v>
      </c>
      <c r="P1202" s="3" t="str">
        <f>Table1[[#This Row],[Provider Type]] &amp; "+" &amp; Table1[[#This Row],[Provider Type Description]]</f>
        <v>57+Homeopath</v>
      </c>
      <c r="Q1202" s="7" t="str">
        <f>Table1[[#This Row],[Provider Specialty]] &amp; "+" &amp; Table1[[#This Row],[Provider Specialty Description]]</f>
        <v>590+Homeopath</v>
      </c>
      <c r="R1202" s="7" t="str">
        <f>Table1[[#This Row],[PDMS Specialty Type ID]] &amp; "+" &amp; Table1[[#This Row],[PDMS Provider Type ID]] &amp; "+" &amp;Table1[[#This Row],[TAXONOMY]]</f>
        <v>2293+119+175L00000X</v>
      </c>
      <c r="S12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(10123, 2293, 119, N'175L00000X', N'Homeopath - Homeopath')</v>
      </c>
    </row>
    <row r="1203" spans="1:19" ht="47.25" customHeight="1" x14ac:dyDescent="0.25">
      <c r="A1203" s="22" t="s">
        <v>227</v>
      </c>
      <c r="B1203" s="3" t="s">
        <v>337</v>
      </c>
      <c r="C1203" s="3" t="s">
        <v>1653</v>
      </c>
      <c r="D1203" s="3" t="s">
        <v>1653</v>
      </c>
      <c r="E1203" s="3" t="s">
        <v>1654</v>
      </c>
      <c r="F1203" s="3">
        <f>VLOOKUP(Table1[[#This Row],[Column2]], TAXONOMY_TYPE, 2, FALSE)</f>
        <v>10124</v>
      </c>
      <c r="G1203" s="3">
        <v>58</v>
      </c>
      <c r="H1203" s="3" t="s">
        <v>1655</v>
      </c>
      <c r="I1203" s="3">
        <f>VLOOKUP(Table1[[#This Row],[Provider Type]] &amp; Table1[[#This Row],[Provider Type Description]], PROVIDER_TYPE, 2, FALSE)</f>
        <v>120</v>
      </c>
      <c r="J1203" s="3">
        <v>591</v>
      </c>
      <c r="K1203" s="3" t="s">
        <v>1655</v>
      </c>
      <c r="L1203" s="3">
        <f>VLOOKUP(TRIM(Table1[[#This Row],[Provider Specialty]]) &amp; TRIM(Table1[[#This Row],[Provider Specialty Description]]), SPECIALTY_TYPE, 2, FALSE)</f>
        <v>2294</v>
      </c>
      <c r="M1203" s="3" t="s">
        <v>18</v>
      </c>
      <c r="N1203" s="27" t="s">
        <v>18</v>
      </c>
      <c r="O1203" s="38">
        <f>VLOOKUP(TRIM(Table1[[#This Row],[Provider Specialty]]) &amp; TRIM(Table1[[#This Row],[Provider Specialty Description]]), SPECIALTY_TYPE, 2, FALSE)</f>
        <v>2294</v>
      </c>
      <c r="P1203" s="3" t="str">
        <f>Table1[[#This Row],[Provider Type]] &amp; "+" &amp; Table1[[#This Row],[Provider Type Description]]</f>
        <v>58+Interpreter</v>
      </c>
      <c r="Q1203" s="7" t="str">
        <f>Table1[[#This Row],[Provider Specialty]] &amp; "+" &amp; Table1[[#This Row],[Provider Specialty Description]]</f>
        <v>591+Interpreter</v>
      </c>
      <c r="R1203" s="7" t="str">
        <f>Table1[[#This Row],[PDMS Specialty Type ID]] &amp; "+" &amp; Table1[[#This Row],[PDMS Provider Type ID]] &amp; "+" &amp;Table1[[#This Row],[TAXONOMY]]</f>
        <v>2294+120+171R00000X</v>
      </c>
      <c r="S12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(10124, 2294, 120, N'171R00000X', N'Interpreter - Interpreter')</v>
      </c>
    </row>
    <row r="1204" spans="1:19" ht="47.25" customHeight="1" x14ac:dyDescent="0.25">
      <c r="A1204" s="22" t="s">
        <v>227</v>
      </c>
      <c r="B1204" s="3" t="s">
        <v>337</v>
      </c>
      <c r="C1204" s="3" t="s">
        <v>1656</v>
      </c>
      <c r="D1204" s="3" t="s">
        <v>1656</v>
      </c>
      <c r="E1204" s="3" t="s">
        <v>1657</v>
      </c>
      <c r="F1204" s="3">
        <f>VLOOKUP(Table1[[#This Row],[Column2]], TAXONOMY_TYPE, 2, FALSE)</f>
        <v>10125</v>
      </c>
      <c r="G1204" s="3">
        <v>59</v>
      </c>
      <c r="H1204" s="3" t="s">
        <v>1658</v>
      </c>
      <c r="I1204" s="3">
        <f>VLOOKUP(Table1[[#This Row],[Provider Type]] &amp; Table1[[#This Row],[Provider Type Description]], PROVIDER_TYPE, 2, FALSE)</f>
        <v>121</v>
      </c>
      <c r="J1204" s="3">
        <v>357</v>
      </c>
      <c r="K1204" s="3" t="s">
        <v>536</v>
      </c>
      <c r="L1204" s="3">
        <f>VLOOKUP(TRIM(Table1[[#This Row],[Provider Specialty]]) &amp; TRIM(Table1[[#This Row],[Provider Specialty Description]]), SPECIALTY_TYPE, 2, FALSE)</f>
        <v>2114</v>
      </c>
      <c r="M1204" s="3" t="s">
        <v>18</v>
      </c>
      <c r="N1204" s="27" t="s">
        <v>18</v>
      </c>
      <c r="O1204" s="38">
        <f>VLOOKUP(TRIM(Table1[[#This Row],[Provider Specialty]]) &amp; TRIM(Table1[[#This Row],[Provider Specialty Description]]), SPECIALTY_TYPE, 2, FALSE)</f>
        <v>2114</v>
      </c>
      <c r="P1204" s="3" t="str">
        <f>Table1[[#This Row],[Provider Type]] &amp; "+" &amp; Table1[[#This Row],[Provider Type Description]]</f>
        <v>59+Medical Genetics, Non-physician</v>
      </c>
      <c r="Q1204" s="7" t="str">
        <f>Table1[[#This Row],[Provider Specialty]] &amp; "+" &amp; Table1[[#This Row],[Provider Specialty Description]]</f>
        <v>357+Genetics</v>
      </c>
      <c r="R1204" s="7" t="str">
        <f>Table1[[#This Row],[PDMS Specialty Type ID]] &amp; "+" &amp; Table1[[#This Row],[PDMS Provider Type ID]] &amp; "+" &amp;Table1[[#This Row],[TAXONOMY]]</f>
        <v>2114+121+170100000X</v>
      </c>
      <c r="S12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(10125, 2114, 121, N'170100000X', N'Medical Genetics, Ph.D. Medical Genetics - Medical Genetics, Ph.D. Medical Genetics')</v>
      </c>
    </row>
    <row r="1205" spans="1:19" ht="47.25" hidden="1" customHeight="1" x14ac:dyDescent="0.25">
      <c r="A1205" s="22" t="s">
        <v>227</v>
      </c>
      <c r="B1205" s="3" t="s">
        <v>337</v>
      </c>
      <c r="C1205" s="3" t="s">
        <v>1659</v>
      </c>
      <c r="D1205" s="3" t="s">
        <v>1659</v>
      </c>
      <c r="E1205" s="3" t="s">
        <v>1660</v>
      </c>
      <c r="F1205" s="3">
        <f>VLOOKUP(Table1[[#This Row],[Column2]], TAXONOMY_TYPE, 2, FALSE)</f>
        <v>10126</v>
      </c>
      <c r="G1205" s="3">
        <v>60</v>
      </c>
      <c r="H1205" s="3" t="s">
        <v>1661</v>
      </c>
      <c r="I1205" s="3">
        <f>VLOOKUP(Table1[[#This Row],[Provider Type]] &amp; Table1[[#This Row],[Provider Type Description]], PROVIDER_TYPE, 2, FALSE)</f>
        <v>35</v>
      </c>
      <c r="J1205" s="3">
        <v>592</v>
      </c>
      <c r="K1205" s="3" t="s">
        <v>1662</v>
      </c>
      <c r="L1205" s="3">
        <f>VLOOKUP(TRIM(Table1[[#This Row],[Provider Specialty]]) &amp; TRIM(Table1[[#This Row],[Provider Specialty Description]]), SPECIALTY_TYPE, 2, FALSE)</f>
        <v>2295</v>
      </c>
      <c r="M1205" s="3" t="s">
        <v>18</v>
      </c>
      <c r="N1205" s="27" t="s">
        <v>18</v>
      </c>
      <c r="O1205" s="38">
        <f>VLOOKUP(TRIM(Table1[[#This Row],[Provider Specialty]]) &amp; TRIM(Table1[[#This Row],[Provider Specialty Description]]), SPECIALTY_TYPE, 2, FALSE)</f>
        <v>2295</v>
      </c>
      <c r="P1205" s="3" t="str">
        <f>Table1[[#This Row],[Provider Type]] &amp; "+" &amp; Table1[[#This Row],[Provider Type Description]]</f>
        <v>60+Midwife, Lay</v>
      </c>
      <c r="Q1205" s="7" t="str">
        <f>Table1[[#This Row],[Provider Specialty]] &amp; "+" &amp; Table1[[#This Row],[Provider Specialty Description]]</f>
        <v>592+Non-certified Midwife</v>
      </c>
      <c r="R1205" s="7" t="str">
        <f>Table1[[#This Row],[PDMS Specialty Type ID]] &amp; "+" &amp; Table1[[#This Row],[PDMS Provider Type ID]] &amp; "+" &amp;Table1[[#This Row],[TAXONOMY]]</f>
        <v>2295+35+175M00000X</v>
      </c>
      <c r="S12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(10126, 2295, 35, N'175M00000X', N'Midwife, Lay - Midwife, Lay')</v>
      </c>
    </row>
    <row r="1206" spans="1:19" ht="47.25" customHeight="1" x14ac:dyDescent="0.25">
      <c r="A1206" s="22" t="s">
        <v>227</v>
      </c>
      <c r="B1206" s="3" t="s">
        <v>337</v>
      </c>
      <c r="C1206" s="3" t="s">
        <v>1663</v>
      </c>
      <c r="D1206" s="3" t="s">
        <v>1663</v>
      </c>
      <c r="E1206" s="3" t="s">
        <v>1664</v>
      </c>
      <c r="F1206" s="3">
        <f>VLOOKUP(Table1[[#This Row],[Column2]], TAXONOMY_TYPE, 2, FALSE)</f>
        <v>10127</v>
      </c>
      <c r="G1206" s="3">
        <v>61</v>
      </c>
      <c r="H1206" s="3" t="s">
        <v>1665</v>
      </c>
      <c r="I1206" s="3">
        <f>VLOOKUP(Table1[[#This Row],[Provider Type]] &amp; Table1[[#This Row],[Provider Type Description]], PROVIDER_TYPE, 2, FALSE)</f>
        <v>123</v>
      </c>
      <c r="J1206" s="3">
        <v>593</v>
      </c>
      <c r="K1206" s="3" t="s">
        <v>1665</v>
      </c>
      <c r="L1206" s="3">
        <f>VLOOKUP(TRIM(Table1[[#This Row],[Provider Specialty]]) &amp; TRIM(Table1[[#This Row],[Provider Specialty Description]]), SPECIALTY_TYPE, 2, FALSE)</f>
        <v>2296</v>
      </c>
      <c r="M1206" s="3" t="s">
        <v>18</v>
      </c>
      <c r="N1206" s="27" t="s">
        <v>18</v>
      </c>
      <c r="O1206" s="38">
        <f>VLOOKUP(TRIM(Table1[[#This Row],[Provider Specialty]]) &amp; TRIM(Table1[[#This Row],[Provider Specialty Description]]), SPECIALTY_TYPE, 2, FALSE)</f>
        <v>2296</v>
      </c>
      <c r="P1206" s="3" t="str">
        <f>Table1[[#This Row],[Provider Type]] &amp; "+" &amp; Table1[[#This Row],[Provider Type Description]]</f>
        <v>61+Military Health Care Provider</v>
      </c>
      <c r="Q1206" s="7" t="str">
        <f>Table1[[#This Row],[Provider Specialty]] &amp; "+" &amp; Table1[[#This Row],[Provider Specialty Description]]</f>
        <v>593+Military Health Care Provider</v>
      </c>
      <c r="R1206" s="7" t="str">
        <f>Table1[[#This Row],[PDMS Specialty Type ID]] &amp; "+" &amp; Table1[[#This Row],[PDMS Provider Type ID]] &amp; "+" &amp;Table1[[#This Row],[TAXONOMY]]</f>
        <v>2296+123+171000000X</v>
      </c>
      <c r="S12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(10127, 2296, 123, N'171000000X', N'Military Health Care Provider - Military Health Care Provider')</v>
      </c>
    </row>
    <row r="1207" spans="1:19" ht="47.25" customHeight="1" x14ac:dyDescent="0.25">
      <c r="A1207" s="22" t="s">
        <v>227</v>
      </c>
      <c r="B1207" s="3" t="s">
        <v>337</v>
      </c>
      <c r="C1207" s="3" t="s">
        <v>1663</v>
      </c>
      <c r="D1207" s="3" t="s">
        <v>1666</v>
      </c>
      <c r="E1207" s="3" t="s">
        <v>1667</v>
      </c>
      <c r="F1207" s="3">
        <f>VLOOKUP(Table1[[#This Row],[Column2]], TAXONOMY_TYPE, 2, FALSE)</f>
        <v>10128</v>
      </c>
      <c r="G1207" s="3">
        <v>61</v>
      </c>
      <c r="H1207" s="3" t="s">
        <v>1665</v>
      </c>
      <c r="I1207" s="3">
        <f>VLOOKUP(Table1[[#This Row],[Provider Type]] &amp; Table1[[#This Row],[Provider Type Description]], PROVIDER_TYPE, 2, FALSE)</f>
        <v>123</v>
      </c>
      <c r="J1207" s="3">
        <v>594</v>
      </c>
      <c r="K1207" s="3" t="s">
        <v>1666</v>
      </c>
      <c r="L1207" s="3">
        <f>VLOOKUP(TRIM(Table1[[#This Row],[Provider Specialty]]) &amp; TRIM(Table1[[#This Row],[Provider Specialty Description]]), SPECIALTY_TYPE, 2, FALSE)</f>
        <v>2297</v>
      </c>
      <c r="M1207" s="3" t="s">
        <v>18</v>
      </c>
      <c r="N1207" s="27" t="s">
        <v>18</v>
      </c>
      <c r="O1207" s="38">
        <f>VLOOKUP(TRIM(Table1[[#This Row],[Provider Specialty]]) &amp; TRIM(Table1[[#This Row],[Provider Specialty Description]]), SPECIALTY_TYPE, 2, FALSE)</f>
        <v>2297</v>
      </c>
      <c r="P1207" s="3" t="str">
        <f>Table1[[#This Row],[Provider Type]] &amp; "+" &amp; Table1[[#This Row],[Provider Type Description]]</f>
        <v>61+Military Health Care Provider</v>
      </c>
      <c r="Q1207" s="7" t="str">
        <f>Table1[[#This Row],[Provider Specialty]] &amp; "+" &amp; Table1[[#This Row],[Provider Specialty Description]]</f>
        <v xml:space="preserve">594+Independent Duty Corpsman </v>
      </c>
      <c r="R1207" s="7" t="str">
        <f>Table1[[#This Row],[PDMS Specialty Type ID]] &amp; "+" &amp; Table1[[#This Row],[PDMS Provider Type ID]] &amp; "+" &amp;Table1[[#This Row],[TAXONOMY]]</f>
        <v>2297+123+1710I1002X</v>
      </c>
      <c r="S12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(10128, 2297, 123, N'1710I1002X', N'Military Health Care Provider - Independent Duty Corpsman')</v>
      </c>
    </row>
    <row r="1208" spans="1:19" ht="47.25" customHeight="1" x14ac:dyDescent="0.25">
      <c r="A1208" s="22" t="s">
        <v>227</v>
      </c>
      <c r="B1208" s="3" t="s">
        <v>337</v>
      </c>
      <c r="C1208" s="3" t="s">
        <v>1663</v>
      </c>
      <c r="D1208" s="3" t="s">
        <v>1668</v>
      </c>
      <c r="E1208" s="3" t="s">
        <v>1669</v>
      </c>
      <c r="F1208" s="3">
        <f>VLOOKUP(Table1[[#This Row],[Column2]], TAXONOMY_TYPE, 2, FALSE)</f>
        <v>10129</v>
      </c>
      <c r="G1208" s="3">
        <v>61</v>
      </c>
      <c r="H1208" s="3" t="s">
        <v>1665</v>
      </c>
      <c r="I1208" s="3">
        <f>VLOOKUP(Table1[[#This Row],[Provider Type]] &amp; Table1[[#This Row],[Provider Type Description]], PROVIDER_TYPE, 2, FALSE)</f>
        <v>123</v>
      </c>
      <c r="J1208" s="3">
        <v>595</v>
      </c>
      <c r="K1208" s="3" t="s">
        <v>1668</v>
      </c>
      <c r="L1208" s="3">
        <f>VLOOKUP(TRIM(Table1[[#This Row],[Provider Specialty]]) &amp; TRIM(Table1[[#This Row],[Provider Specialty Description]]), SPECIALTY_TYPE, 2, FALSE)</f>
        <v>2298</v>
      </c>
      <c r="M1208" s="3" t="s">
        <v>18</v>
      </c>
      <c r="N1208" s="27" t="s">
        <v>18</v>
      </c>
      <c r="O1208" s="38">
        <f>VLOOKUP(TRIM(Table1[[#This Row],[Provider Specialty]]) &amp; TRIM(Table1[[#This Row],[Provider Specialty Description]]), SPECIALTY_TYPE, 2, FALSE)</f>
        <v>2298</v>
      </c>
      <c r="P1208" s="3" t="str">
        <f>Table1[[#This Row],[Provider Type]] &amp; "+" &amp; Table1[[#This Row],[Provider Type Description]]</f>
        <v>61+Military Health Care Provider</v>
      </c>
      <c r="Q1208" s="7" t="str">
        <f>Table1[[#This Row],[Provider Specialty]] &amp; "+" &amp; Table1[[#This Row],[Provider Specialty Description]]</f>
        <v xml:space="preserve">595+Independent Duty Medical Technicians </v>
      </c>
      <c r="R1208" s="7" t="str">
        <f>Table1[[#This Row],[PDMS Specialty Type ID]] &amp; "+" &amp; Table1[[#This Row],[PDMS Provider Type ID]] &amp; "+" &amp;Table1[[#This Row],[TAXONOMY]]</f>
        <v>2298+123+1710I1003X</v>
      </c>
      <c r="S12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(10129, 2298, 123, N'1710I1003X', N'Military Health Care Provider - Independent Duty Medical Technicians')</v>
      </c>
    </row>
    <row r="1209" spans="1:19" ht="47.25" customHeight="1" x14ac:dyDescent="0.25">
      <c r="A1209" s="22" t="s">
        <v>227</v>
      </c>
      <c r="B1209" s="3" t="s">
        <v>1262</v>
      </c>
      <c r="C1209" s="3" t="s">
        <v>1670</v>
      </c>
      <c r="D1209" s="3" t="s">
        <v>1670</v>
      </c>
      <c r="E1209" s="3" t="s">
        <v>1671</v>
      </c>
      <c r="F1209" s="3">
        <f>VLOOKUP(Table1[[#This Row],[Column2]], TAXONOMY_TYPE, 2, FALSE)</f>
        <v>10130</v>
      </c>
      <c r="G1209" s="3">
        <v>61</v>
      </c>
      <c r="H1209" s="8" t="s">
        <v>1672</v>
      </c>
      <c r="I1209" s="3">
        <f>VLOOKUP(Table1[[#This Row],[Provider Type]] &amp; Table1[[#This Row],[Provider Type Description]], PROVIDER_TYPE, 2, FALSE)</f>
        <v>122</v>
      </c>
      <c r="J1209" s="3">
        <v>667</v>
      </c>
      <c r="K1209" s="8" t="s">
        <v>1673</v>
      </c>
      <c r="L1209" s="8">
        <f>VLOOKUP(TRIM(Table1[[#This Row],[Provider Specialty]]) &amp; TRIM(Table1[[#This Row],[Provider Specialty Description]]), SPECIALTY_TYPE, 2, FALSE)</f>
        <v>2344</v>
      </c>
      <c r="M1209" s="3" t="s">
        <v>18</v>
      </c>
      <c r="N1209" s="27" t="s">
        <v>18</v>
      </c>
      <c r="O1209" s="38">
        <f>VLOOKUP(TRIM(Table1[[#This Row],[Provider Specialty]]) &amp; TRIM(Table1[[#This Row],[Provider Specialty Description]]), SPECIALTY_TYPE, 2, FALSE)</f>
        <v>2344</v>
      </c>
      <c r="P1209" s="3" t="str">
        <f>Table1[[#This Row],[Provider Type]] &amp; "+" &amp; Table1[[#This Row],[Provider Type Description]]</f>
        <v>61+Electrodiagnostic Medicine Specialist</v>
      </c>
      <c r="Q1209" s="7" t="str">
        <f>Table1[[#This Row],[Provider Specialty]] &amp; "+" &amp; Table1[[#This Row],[Provider Specialty Description]]</f>
        <v>667+Neurophysiologic Tech Specialist</v>
      </c>
      <c r="R1209" s="7" t="str">
        <f>Table1[[#This Row],[PDMS Specialty Type ID]] &amp; "+" &amp; Table1[[#This Row],[PDMS Provider Type ID]] &amp; "+" &amp;Table1[[#This Row],[TAXONOMY]]</f>
        <v>2344+122+204R00000X</v>
      </c>
      <c r="S12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(10130, 2344, 122, N'204R00000X', N'Electrodiagnostic Medicine - Electrodiagnostic Medicine')</v>
      </c>
    </row>
    <row r="1210" spans="1:19" ht="47.25" customHeight="1" x14ac:dyDescent="0.25">
      <c r="A1210" s="22" t="s">
        <v>227</v>
      </c>
      <c r="B1210" s="3" t="s">
        <v>337</v>
      </c>
      <c r="C1210" s="3" t="s">
        <v>1674</v>
      </c>
      <c r="D1210" s="3" t="s">
        <v>1674</v>
      </c>
      <c r="E1210" s="3" t="s">
        <v>1675</v>
      </c>
      <c r="F1210" s="3">
        <f>VLOOKUP(Table1[[#This Row],[Column2]], TAXONOMY_TYPE, 2, FALSE)</f>
        <v>10131</v>
      </c>
      <c r="G1210" s="3">
        <v>62</v>
      </c>
      <c r="H1210" s="3" t="s">
        <v>1676</v>
      </c>
      <c r="I1210" s="3">
        <f>VLOOKUP(Table1[[#This Row],[Provider Type]] &amp; Table1[[#This Row],[Provider Type Description]], PROVIDER_TYPE, 2, FALSE)</f>
        <v>124</v>
      </c>
      <c r="J1210" s="3">
        <v>596</v>
      </c>
      <c r="K1210" s="3" t="s">
        <v>1676</v>
      </c>
      <c r="L1210" s="3">
        <f>VLOOKUP(TRIM(Table1[[#This Row],[Provider Specialty]]) &amp; TRIM(Table1[[#This Row],[Provider Specialty Description]]), SPECIALTY_TYPE, 2, FALSE)</f>
        <v>2299</v>
      </c>
      <c r="M1210" s="3" t="s">
        <v>18</v>
      </c>
      <c r="N1210" s="27" t="s">
        <v>18</v>
      </c>
      <c r="O1210" s="38">
        <f>VLOOKUP(TRIM(Table1[[#This Row],[Provider Specialty]]) &amp; TRIM(Table1[[#This Row],[Provider Specialty Description]]), SPECIALTY_TYPE, 2, FALSE)</f>
        <v>2299</v>
      </c>
      <c r="P1210" s="3" t="str">
        <f>Table1[[#This Row],[Provider Type]] &amp; "+" &amp; Table1[[#This Row],[Provider Type Description]]</f>
        <v>62+Naprapath</v>
      </c>
      <c r="Q1210" s="7" t="str">
        <f>Table1[[#This Row],[Provider Specialty]] &amp; "+" &amp; Table1[[#This Row],[Provider Specialty Description]]</f>
        <v>596+Naprapath</v>
      </c>
      <c r="R1210" s="7" t="str">
        <f>Table1[[#This Row],[PDMS Specialty Type ID]] &amp; "+" &amp; Table1[[#This Row],[PDMS Provider Type ID]] &amp; "+" &amp;Table1[[#This Row],[TAXONOMY]]</f>
        <v>2299+124+172P00000X</v>
      </c>
      <c r="S12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(10131, 2299, 124, N'172P00000X', N'Naprapath** - Naprapath**')</v>
      </c>
    </row>
    <row r="1211" spans="1:19" ht="47.25" hidden="1" customHeight="1" x14ac:dyDescent="0.25">
      <c r="A1211" s="22" t="s">
        <v>227</v>
      </c>
      <c r="B1211" s="3" t="s">
        <v>337</v>
      </c>
      <c r="C1211" s="3" t="s">
        <v>1677</v>
      </c>
      <c r="D1211" s="3" t="s">
        <v>1677</v>
      </c>
      <c r="E1211" s="3" t="s">
        <v>1678</v>
      </c>
      <c r="F1211" s="3">
        <f>VLOOKUP(Table1[[#This Row],[Column2]], TAXONOMY_TYPE, 2, FALSE)</f>
        <v>10132</v>
      </c>
      <c r="G1211" s="3">
        <v>63</v>
      </c>
      <c r="H1211" s="3" t="s">
        <v>1679</v>
      </c>
      <c r="I1211" s="3">
        <f>VLOOKUP(Table1[[#This Row],[Provider Type]] &amp; Table1[[#This Row],[Provider Type Description]], PROVIDER_TYPE, 2, FALSE)</f>
        <v>33</v>
      </c>
      <c r="J1211" s="3">
        <v>597</v>
      </c>
      <c r="K1211" s="3" t="s">
        <v>1679</v>
      </c>
      <c r="L1211" s="3">
        <f>VLOOKUP(TRIM(Table1[[#This Row],[Provider Specialty]]) &amp; TRIM(Table1[[#This Row],[Provider Specialty Description]]), SPECIALTY_TYPE, 2, FALSE)</f>
        <v>2300</v>
      </c>
      <c r="M1211" s="3" t="s">
        <v>18</v>
      </c>
      <c r="N1211" s="27" t="s">
        <v>18</v>
      </c>
      <c r="O1211" s="38">
        <f>VLOOKUP(TRIM(Table1[[#This Row],[Provider Specialty]]) &amp; TRIM(Table1[[#This Row],[Provider Specialty Description]]), SPECIALTY_TYPE, 2, FALSE)</f>
        <v>2300</v>
      </c>
      <c r="P1211" s="3" t="str">
        <f>Table1[[#This Row],[Provider Type]] &amp; "+" &amp; Table1[[#This Row],[Provider Type Description]]</f>
        <v>63+Naturopath</v>
      </c>
      <c r="Q1211" s="7" t="str">
        <f>Table1[[#This Row],[Provider Specialty]] &amp; "+" &amp; Table1[[#This Row],[Provider Specialty Description]]</f>
        <v>597+Naturopath</v>
      </c>
      <c r="R1211" s="7" t="str">
        <f>Table1[[#This Row],[PDMS Specialty Type ID]] &amp; "+" &amp; Table1[[#This Row],[PDMS Provider Type ID]] &amp; "+" &amp;Table1[[#This Row],[TAXONOMY]]</f>
        <v>2300+33+175F00000X</v>
      </c>
      <c r="S12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(10132, 2300, 33, N'175F00000X', N'Naturopath - Naturopath')</v>
      </c>
    </row>
    <row r="1212" spans="1:19" ht="47.25" customHeight="1" x14ac:dyDescent="0.25">
      <c r="A1212" s="22" t="s">
        <v>227</v>
      </c>
      <c r="B1212" s="3" t="s">
        <v>337</v>
      </c>
      <c r="C1212" s="3" t="s">
        <v>1680</v>
      </c>
      <c r="D1212" s="3" t="s">
        <v>1683</v>
      </c>
      <c r="E1212" s="3" t="s">
        <v>1684</v>
      </c>
      <c r="F1212" s="3">
        <f>VLOOKUP(Table1[[#This Row],[Column2]], TAXONOMY_TYPE, 2, FALSE)</f>
        <v>10133</v>
      </c>
      <c r="G1212" s="3">
        <v>64</v>
      </c>
      <c r="H1212" s="3" t="s">
        <v>1682</v>
      </c>
      <c r="I1212" s="3">
        <f>VLOOKUP(Table1[[#This Row],[Provider Type]] &amp; Table1[[#This Row],[Provider Type Description]], PROVIDER_TYPE, 2, FALSE)</f>
        <v>125</v>
      </c>
      <c r="J1212" s="3">
        <v>598</v>
      </c>
      <c r="K1212" s="3" t="s">
        <v>1685</v>
      </c>
      <c r="L1212" s="3">
        <f>VLOOKUP(TRIM(Table1[[#This Row],[Provider Specialty]]) &amp; TRIM(Table1[[#This Row],[Provider Specialty Description]]), SPECIALTY_TYPE, 2, FALSE)</f>
        <v>2301</v>
      </c>
      <c r="M1212" s="3" t="s">
        <v>18</v>
      </c>
      <c r="N1212" s="27" t="s">
        <v>18</v>
      </c>
      <c r="O1212" s="38">
        <f>VLOOKUP(TRIM(Table1[[#This Row],[Provider Specialty]]) &amp; TRIM(Table1[[#This Row],[Provider Specialty Description]]), SPECIALTY_TYPE, 2, FALSE)</f>
        <v>2301</v>
      </c>
      <c r="P1212" s="3" t="str">
        <f>Table1[[#This Row],[Provider Type]] &amp; "+" &amp; Table1[[#This Row],[Provider Type Description]]</f>
        <v>64+Specialist</v>
      </c>
      <c r="Q1212" s="7" t="str">
        <f>Table1[[#This Row],[Provider Specialty]] &amp; "+" &amp; Table1[[#This Row],[Provider Specialty Description]]</f>
        <v>598+Graphic Designer</v>
      </c>
      <c r="R1212" s="7" t="str">
        <f>Table1[[#This Row],[PDMS Specialty Type ID]] &amp; "+" &amp; Table1[[#This Row],[PDMS Provider Type ID]] &amp; "+" &amp;Table1[[#This Row],[TAXONOMY]]</f>
        <v>2301+125+1744G0900X</v>
      </c>
      <c r="S12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(10133, 2301, 125, N'1744G0900X', N'Specialist - Graphics Designer')</v>
      </c>
    </row>
    <row r="1213" spans="1:19" ht="47.25" customHeight="1" x14ac:dyDescent="0.25">
      <c r="A1213" s="22" t="s">
        <v>227</v>
      </c>
      <c r="B1213" s="3" t="s">
        <v>337</v>
      </c>
      <c r="C1213" s="3" t="s">
        <v>1680</v>
      </c>
      <c r="D1213" s="3" t="s">
        <v>1686</v>
      </c>
      <c r="E1213" s="3" t="s">
        <v>1687</v>
      </c>
      <c r="F1213" s="3">
        <f>VLOOKUP(Table1[[#This Row],[Column2]], TAXONOMY_TYPE, 2, FALSE)</f>
        <v>10134</v>
      </c>
      <c r="G1213" s="3">
        <v>64</v>
      </c>
      <c r="H1213" s="3" t="s">
        <v>1682</v>
      </c>
      <c r="I1213" s="3">
        <f>VLOOKUP(Table1[[#This Row],[Provider Type]] &amp; Table1[[#This Row],[Provider Type Description]], PROVIDER_TYPE, 2, FALSE)</f>
        <v>125</v>
      </c>
      <c r="J1213" s="3">
        <v>599</v>
      </c>
      <c r="K1213" s="3" t="s">
        <v>1688</v>
      </c>
      <c r="L1213" s="3">
        <f>VLOOKUP(TRIM(Table1[[#This Row],[Provider Specialty]]) &amp; TRIM(Table1[[#This Row],[Provider Specialty Description]]), SPECIALTY_TYPE, 2, FALSE)</f>
        <v>2302</v>
      </c>
      <c r="M1213" s="3" t="s">
        <v>18</v>
      </c>
      <c r="N1213" s="27" t="s">
        <v>18</v>
      </c>
      <c r="O1213" s="38">
        <f>VLOOKUP(TRIM(Table1[[#This Row],[Provider Specialty]]) &amp; TRIM(Table1[[#This Row],[Provider Specialty Description]]), SPECIALTY_TYPE, 2, FALSE)</f>
        <v>2302</v>
      </c>
      <c r="P1213" s="3" t="str">
        <f>Table1[[#This Row],[Provider Type]] &amp; "+" &amp; Table1[[#This Row],[Provider Type Description]]</f>
        <v>64+Specialist</v>
      </c>
      <c r="Q1213" s="7" t="str">
        <f>Table1[[#This Row],[Provider Specialty]] &amp; "+" &amp; Table1[[#This Row],[Provider Specialty Description]]</f>
        <v>599+Prosthetics Case Manager</v>
      </c>
      <c r="R1213" s="7" t="str">
        <f>Table1[[#This Row],[PDMS Specialty Type ID]] &amp; "+" &amp; Table1[[#This Row],[PDMS Provider Type ID]] &amp; "+" &amp;Table1[[#This Row],[TAXONOMY]]</f>
        <v>2302+125+1744P3200X</v>
      </c>
      <c r="S12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(10134, 2302, 125, N'1744P3200X', N'Specialist - Prosthetics Case Management')</v>
      </c>
    </row>
    <row r="1214" spans="1:19" ht="47.25" customHeight="1" x14ac:dyDescent="0.25">
      <c r="A1214" s="22" t="s">
        <v>227</v>
      </c>
      <c r="B1214" s="3" t="s">
        <v>337</v>
      </c>
      <c r="C1214" s="3" t="s">
        <v>1680</v>
      </c>
      <c r="D1214" s="3" t="s">
        <v>1692</v>
      </c>
      <c r="E1214" s="3" t="s">
        <v>1693</v>
      </c>
      <c r="F1214" s="3">
        <f>VLOOKUP(Table1[[#This Row],[Column2]], TAXONOMY_TYPE, 2, FALSE)</f>
        <v>10135</v>
      </c>
      <c r="G1214" s="3">
        <v>64</v>
      </c>
      <c r="H1214" s="3" t="s">
        <v>1682</v>
      </c>
      <c r="I1214" s="3">
        <f>VLOOKUP(Table1[[#This Row],[Provider Type]] &amp; Table1[[#This Row],[Provider Type Description]], PROVIDER_TYPE, 2, FALSE)</f>
        <v>125</v>
      </c>
      <c r="J1214" s="3">
        <v>600</v>
      </c>
      <c r="K1214" s="3" t="s">
        <v>1694</v>
      </c>
      <c r="L1214" s="3">
        <f>VLOOKUP(TRIM(Table1[[#This Row],[Provider Specialty]]) &amp; TRIM(Table1[[#This Row],[Provider Specialty Description]]), SPECIALTY_TYPE, 2, FALSE)</f>
        <v>2303</v>
      </c>
      <c r="M1214" s="3" t="s">
        <v>18</v>
      </c>
      <c r="N1214" s="27" t="s">
        <v>18</v>
      </c>
      <c r="O1214" s="38">
        <f>VLOOKUP(TRIM(Table1[[#This Row],[Provider Specialty]]) &amp; TRIM(Table1[[#This Row],[Provider Specialty Description]]), SPECIALTY_TYPE, 2, FALSE)</f>
        <v>2303</v>
      </c>
      <c r="P1214" s="3" t="str">
        <f>Table1[[#This Row],[Provider Type]] &amp; "+" &amp; Table1[[#This Row],[Provider Type Description]]</f>
        <v>64+Specialist</v>
      </c>
      <c r="Q1214" s="7" t="str">
        <f>Table1[[#This Row],[Provider Specialty]] &amp; "+" &amp; Table1[[#This Row],[Provider Specialty Description]]</f>
        <v>600+Research Data Abstractor/Coder</v>
      </c>
      <c r="R1214" s="7" t="str">
        <f>Table1[[#This Row],[PDMS Specialty Type ID]] &amp; "+" &amp; Table1[[#This Row],[PDMS Provider Type ID]] &amp; "+" &amp;Table1[[#This Row],[TAXONOMY]]</f>
        <v>2303+125+1744R1103X</v>
      </c>
      <c r="S12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(10135, 2303, 125, N'1744R1103X', N'Specialist - Research Data Abstracter/Coder')</v>
      </c>
    </row>
    <row r="1215" spans="1:19" ht="47.25" customHeight="1" x14ac:dyDescent="0.25">
      <c r="A1215" s="22" t="s">
        <v>227</v>
      </c>
      <c r="B1215" s="3" t="s">
        <v>337</v>
      </c>
      <c r="C1215" s="3" t="s">
        <v>1680</v>
      </c>
      <c r="D1215" s="3" t="s">
        <v>1689</v>
      </c>
      <c r="E1215" s="3" t="s">
        <v>1690</v>
      </c>
      <c r="F1215" s="3">
        <f>VLOOKUP(Table1[[#This Row],[Column2]], TAXONOMY_TYPE, 2, FALSE)</f>
        <v>10136</v>
      </c>
      <c r="G1215" s="3">
        <v>64</v>
      </c>
      <c r="H1215" s="3" t="s">
        <v>1682</v>
      </c>
      <c r="I1215" s="3">
        <f>VLOOKUP(Table1[[#This Row],[Provider Type]] &amp; Table1[[#This Row],[Provider Type Description]], PROVIDER_TYPE, 2, FALSE)</f>
        <v>125</v>
      </c>
      <c r="J1215" s="3">
        <v>601</v>
      </c>
      <c r="K1215" s="3" t="s">
        <v>1691</v>
      </c>
      <c r="L1215" s="3">
        <f>VLOOKUP(TRIM(Table1[[#This Row],[Provider Specialty]]) &amp; TRIM(Table1[[#This Row],[Provider Specialty Description]]), SPECIALTY_TYPE, 2, FALSE)</f>
        <v>2304</v>
      </c>
      <c r="M1215" s="3" t="s">
        <v>18</v>
      </c>
      <c r="N1215" s="27" t="s">
        <v>18</v>
      </c>
      <c r="O1215" s="38">
        <f>VLOOKUP(TRIM(Table1[[#This Row],[Provider Specialty]]) &amp; TRIM(Table1[[#This Row],[Provider Specialty Description]]), SPECIALTY_TYPE, 2, FALSE)</f>
        <v>2304</v>
      </c>
      <c r="P1215" s="3" t="str">
        <f>Table1[[#This Row],[Provider Type]] &amp; "+" &amp; Table1[[#This Row],[Provider Type Description]]</f>
        <v>64+Specialist</v>
      </c>
      <c r="Q1215" s="7" t="str">
        <f>Table1[[#This Row],[Provider Specialty]] &amp; "+" &amp; Table1[[#This Row],[Provider Specialty Description]]</f>
        <v>601+Research Study</v>
      </c>
      <c r="R1215" s="7" t="str">
        <f>Table1[[#This Row],[PDMS Specialty Type ID]] &amp; "+" &amp; Table1[[#This Row],[PDMS Provider Type ID]] &amp; "+" &amp;Table1[[#This Row],[TAXONOMY]]</f>
        <v>2304+125+1744R1102X</v>
      </c>
      <c r="S12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(10136, 2304, 125, N'1744R1102X', N'Specialist - Research Study')</v>
      </c>
    </row>
    <row r="1216" spans="1:19" ht="47.25" customHeight="1" x14ac:dyDescent="0.25">
      <c r="A1216" s="22" t="s">
        <v>227</v>
      </c>
      <c r="B1216" s="3" t="s">
        <v>661</v>
      </c>
      <c r="C1216" s="3" t="s">
        <v>1634</v>
      </c>
      <c r="D1216" s="3" t="s">
        <v>1696</v>
      </c>
      <c r="E1216" s="3" t="s">
        <v>1697</v>
      </c>
      <c r="F1216" s="3">
        <f>VLOOKUP(Table1[[#This Row],[Column2]], TAXONOMY_TYPE, 2, FALSE)</f>
        <v>10137</v>
      </c>
      <c r="G1216" s="3">
        <v>64</v>
      </c>
      <c r="H1216" s="3" t="s">
        <v>1682</v>
      </c>
      <c r="I1216" s="3">
        <f>VLOOKUP(Table1[[#This Row],[Provider Type]] &amp; Table1[[#This Row],[Provider Type Description]], PROVIDER_TYPE, 2, FALSE)</f>
        <v>125</v>
      </c>
      <c r="J1216" s="3">
        <v>623</v>
      </c>
      <c r="K1216" s="3" t="s">
        <v>1698</v>
      </c>
      <c r="L1216" s="3">
        <f>VLOOKUP(TRIM(Table1[[#This Row],[Provider Specialty]]) &amp; TRIM(Table1[[#This Row],[Provider Specialty Description]]), SPECIALTY_TYPE, 2, FALSE)</f>
        <v>2316</v>
      </c>
      <c r="M1216" s="3" t="s">
        <v>18</v>
      </c>
      <c r="N1216" s="27" t="s">
        <v>18</v>
      </c>
      <c r="O1216" s="38">
        <f>VLOOKUP(TRIM(Table1[[#This Row],[Provider Specialty]]) &amp; TRIM(Table1[[#This Row],[Provider Specialty Description]]), SPECIALTY_TYPE, 2, FALSE)</f>
        <v>2316</v>
      </c>
      <c r="P1216" s="3" t="str">
        <f>Table1[[#This Row],[Provider Type]] &amp; "+" &amp; Table1[[#This Row],[Provider Type Description]]</f>
        <v>64+Specialist</v>
      </c>
      <c r="Q1216" s="7" t="str">
        <f>Table1[[#This Row],[Provider Specialty]] &amp; "+" &amp; Table1[[#This Row],[Provider Specialty Description]]</f>
        <v>623+Athletic Trainer</v>
      </c>
      <c r="R1216" s="7" t="str">
        <f>Table1[[#This Row],[PDMS Specialty Type ID]] &amp; "+" &amp; Table1[[#This Row],[PDMS Provider Type ID]] &amp; "+" &amp;Table1[[#This Row],[TAXONOMY]]</f>
        <v>2316+125+2255A2300X</v>
      </c>
      <c r="S12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(10137, 2316, 125, N'2255A2300X', N'Specialist/Technologist - Athletic Trainer')</v>
      </c>
    </row>
    <row r="1217" spans="1:19" ht="47.25" customHeight="1" x14ac:dyDescent="0.25">
      <c r="A1217" s="22" t="s">
        <v>227</v>
      </c>
      <c r="B1217" s="3" t="s">
        <v>661</v>
      </c>
      <c r="C1217" s="3" t="s">
        <v>1634</v>
      </c>
      <c r="D1217" s="3" t="s">
        <v>1699</v>
      </c>
      <c r="E1217" s="3" t="s">
        <v>1700</v>
      </c>
      <c r="F1217" s="3">
        <f>VLOOKUP(Table1[[#This Row],[Column2]], TAXONOMY_TYPE, 2, FALSE)</f>
        <v>10138</v>
      </c>
      <c r="G1217" s="3">
        <v>64</v>
      </c>
      <c r="H1217" s="3" t="s">
        <v>1682</v>
      </c>
      <c r="I1217" s="3">
        <f>VLOOKUP(Table1[[#This Row],[Provider Type]] &amp; Table1[[#This Row],[Provider Type Description]], PROVIDER_TYPE, 2, FALSE)</f>
        <v>125</v>
      </c>
      <c r="J1217" s="3">
        <v>624</v>
      </c>
      <c r="K1217" s="3" t="s">
        <v>1701</v>
      </c>
      <c r="L1217" s="3">
        <f>VLOOKUP(TRIM(Table1[[#This Row],[Provider Specialty]]) &amp; TRIM(Table1[[#This Row],[Provider Specialty Description]]), SPECIALTY_TYPE, 2, FALSE)</f>
        <v>2317</v>
      </c>
      <c r="M1217" s="3" t="s">
        <v>18</v>
      </c>
      <c r="N1217" s="27" t="s">
        <v>18</v>
      </c>
      <c r="O1217" s="38">
        <f>VLOOKUP(TRIM(Table1[[#This Row],[Provider Specialty]]) &amp; TRIM(Table1[[#This Row],[Provider Specialty Description]]), SPECIALTY_TYPE, 2, FALSE)</f>
        <v>2317</v>
      </c>
      <c r="P1217" s="3" t="str">
        <f>Table1[[#This Row],[Provider Type]] &amp; "+" &amp; Table1[[#This Row],[Provider Type Description]]</f>
        <v>64+Specialist</v>
      </c>
      <c r="Q1217" s="7" t="str">
        <f>Table1[[#This Row],[Provider Specialty]] &amp; "+" &amp; Table1[[#This Row],[Provider Specialty Description]]</f>
        <v>624+Rehabilitation, Blind</v>
      </c>
      <c r="R1217" s="7" t="str">
        <f>Table1[[#This Row],[PDMS Specialty Type ID]] &amp; "+" &amp; Table1[[#This Row],[PDMS Provider Type ID]] &amp; "+" &amp;Table1[[#This Row],[TAXONOMY]]</f>
        <v>2317+125+2255R0406X</v>
      </c>
      <c r="S12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(10138, 2317, 125, N'2255R0406X', N'Specialist/Technologist - Rehabilitation, Blind')</v>
      </c>
    </row>
    <row r="1218" spans="1:19" ht="47.25" customHeight="1" x14ac:dyDescent="0.25">
      <c r="A1218" s="22" t="s">
        <v>227</v>
      </c>
      <c r="B1218" s="3" t="s">
        <v>748</v>
      </c>
      <c r="C1218" s="3" t="s">
        <v>1703</v>
      </c>
      <c r="D1218" s="3" t="s">
        <v>1703</v>
      </c>
      <c r="E1218" s="3" t="s">
        <v>1704</v>
      </c>
      <c r="F1218" s="3">
        <f>VLOOKUP(Table1[[#This Row],[Column2]], TAXONOMY_TYPE, 2, FALSE)</f>
        <v>10139</v>
      </c>
      <c r="G1218" s="3">
        <v>64</v>
      </c>
      <c r="H1218" s="3" t="s">
        <v>1682</v>
      </c>
      <c r="I1218" s="3">
        <f>VLOOKUP(Table1[[#This Row],[Provider Type]] &amp; Table1[[#This Row],[Provider Type Description]], PROVIDER_TYPE, 2, FALSE)</f>
        <v>125</v>
      </c>
      <c r="J1218" s="3">
        <v>626</v>
      </c>
      <c r="K1218" s="3" t="s">
        <v>1703</v>
      </c>
      <c r="L1218" s="3">
        <f>VLOOKUP(TRIM(Table1[[#This Row],[Provider Specialty]]) &amp; TRIM(Table1[[#This Row],[Provider Specialty Description]]), SPECIALTY_TYPE, 2, FALSE)</f>
        <v>2319</v>
      </c>
      <c r="M1218" s="3" t="s">
        <v>18</v>
      </c>
      <c r="N1218" s="27" t="s">
        <v>18</v>
      </c>
      <c r="O1218" s="38">
        <f>VLOOKUP(TRIM(Table1[[#This Row],[Provider Specialty]]) &amp; TRIM(Table1[[#This Row],[Provider Specialty Description]]), SPECIALTY_TYPE, 2, FALSE)</f>
        <v>2319</v>
      </c>
      <c r="P1218" s="3" t="str">
        <f>Table1[[#This Row],[Provider Type]] &amp; "+" &amp; Table1[[#This Row],[Provider Type Description]]</f>
        <v>64+Specialist</v>
      </c>
      <c r="Q1218" s="7" t="str">
        <f>Table1[[#This Row],[Provider Specialty]] &amp; "+" &amp; Table1[[#This Row],[Provider Specialty Description]]</f>
        <v xml:space="preserve">626+Hearing Instrument Specialist </v>
      </c>
      <c r="R1218" s="7" t="str">
        <f>Table1[[#This Row],[PDMS Specialty Type ID]] &amp; "+" &amp; Table1[[#This Row],[PDMS Provider Type ID]] &amp; "+" &amp;Table1[[#This Row],[TAXONOMY]]</f>
        <v>2319+125+237700000X</v>
      </c>
      <c r="S12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(10139, 2319, 125, N'237700000X', N'Hearing Instrument Specialist - Hearing Instrument Specialist')</v>
      </c>
    </row>
    <row r="1219" spans="1:19" ht="47.25" customHeight="1" x14ac:dyDescent="0.25">
      <c r="A1219" s="22" t="s">
        <v>227</v>
      </c>
      <c r="B1219" s="3" t="s">
        <v>1555</v>
      </c>
      <c r="C1219" s="3" t="s">
        <v>1727</v>
      </c>
      <c r="D1219" s="3" t="s">
        <v>1727</v>
      </c>
      <c r="E1219" s="3" t="s">
        <v>1728</v>
      </c>
      <c r="F1219" s="3">
        <f>VLOOKUP(Table1[[#This Row],[Column2]], TAXONOMY_TYPE, 2, FALSE)</f>
        <v>10140</v>
      </c>
      <c r="G1219" s="3">
        <v>64</v>
      </c>
      <c r="H1219" s="3" t="s">
        <v>1682</v>
      </c>
      <c r="I1219" s="3">
        <f>VLOOKUP(Table1[[#This Row],[Provider Type]] &amp; Table1[[#This Row],[Provider Type Description]], PROVIDER_TYPE, 2, FALSE)</f>
        <v>125</v>
      </c>
      <c r="J1219" s="3">
        <v>633</v>
      </c>
      <c r="K1219" s="3" t="s">
        <v>1605</v>
      </c>
      <c r="L1219" s="3">
        <f>VLOOKUP(TRIM(Table1[[#This Row],[Provider Specialty]]) &amp; TRIM(Table1[[#This Row],[Provider Specialty Description]]), SPECIALTY_TYPE, 2, FALSE)</f>
        <v>2326</v>
      </c>
      <c r="M1219" s="3" t="s">
        <v>18</v>
      </c>
      <c r="N1219" s="27" t="s">
        <v>18</v>
      </c>
      <c r="O1219" s="38">
        <f>VLOOKUP(TRIM(Table1[[#This Row],[Provider Specialty]]) &amp; TRIM(Table1[[#This Row],[Provider Specialty Description]]), SPECIALTY_TYPE, 2, FALSE)</f>
        <v>2326</v>
      </c>
      <c r="P1219" s="3" t="str">
        <f>Table1[[#This Row],[Provider Type]] &amp; "+" &amp; Table1[[#This Row],[Provider Type Description]]</f>
        <v>64+Specialist</v>
      </c>
      <c r="Q1219" s="7" t="str">
        <f>Table1[[#This Row],[Provider Specialty]] &amp; "+" &amp; Table1[[#This Row],[Provider Specialty Description]]</f>
        <v xml:space="preserve">633+Cardiac/Cardiovascular-Interventional Technology </v>
      </c>
      <c r="R1219" s="7" t="str">
        <f>Table1[[#This Row],[PDMS Specialty Type ID]] &amp; "+" &amp; Table1[[#This Row],[PDMS Provider Type ID]] &amp; "+" &amp;Table1[[#This Row],[TAXONOMY]]</f>
        <v>2326+125+246X00000X</v>
      </c>
      <c r="S12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(10140, 2326, 125, N'246X00000X', N'Specialist/Technologist Cardiovascular - Specialist/Technologist Cardiovascular')</v>
      </c>
    </row>
    <row r="1220" spans="1:19" ht="47.25" customHeight="1" x14ac:dyDescent="0.25">
      <c r="A1220" s="22" t="s">
        <v>227</v>
      </c>
      <c r="B1220" s="3" t="s">
        <v>1555</v>
      </c>
      <c r="C1220" s="3" t="s">
        <v>1727</v>
      </c>
      <c r="D1220" s="3" t="s">
        <v>1729</v>
      </c>
      <c r="E1220" s="3" t="s">
        <v>1730</v>
      </c>
      <c r="F1220" s="3">
        <f>VLOOKUP(Table1[[#This Row],[Column2]], TAXONOMY_TYPE, 2, FALSE)</f>
        <v>10141</v>
      </c>
      <c r="G1220" s="3">
        <v>64</v>
      </c>
      <c r="H1220" s="3" t="s">
        <v>1682</v>
      </c>
      <c r="I1220" s="3">
        <f>VLOOKUP(Table1[[#This Row],[Provider Type]] &amp; Table1[[#This Row],[Provider Type Description]], PROVIDER_TYPE, 2, FALSE)</f>
        <v>125</v>
      </c>
      <c r="J1220" s="3">
        <v>633</v>
      </c>
      <c r="K1220" s="3" t="s">
        <v>1605</v>
      </c>
      <c r="L1220" s="3">
        <f>VLOOKUP(TRIM(Table1[[#This Row],[Provider Specialty]]) &amp; TRIM(Table1[[#This Row],[Provider Specialty Description]]), SPECIALTY_TYPE, 2, FALSE)</f>
        <v>2326</v>
      </c>
      <c r="M1220" s="3" t="s">
        <v>18</v>
      </c>
      <c r="N1220" s="27" t="s">
        <v>18</v>
      </c>
      <c r="O1220" s="38">
        <f>VLOOKUP(TRIM(Table1[[#This Row],[Provider Specialty]]) &amp; TRIM(Table1[[#This Row],[Provider Specialty Description]]), SPECIALTY_TYPE, 2, FALSE)</f>
        <v>2326</v>
      </c>
      <c r="P1220" s="3" t="str">
        <f>Table1[[#This Row],[Provider Type]] &amp; "+" &amp; Table1[[#This Row],[Provider Type Description]]</f>
        <v>64+Specialist</v>
      </c>
      <c r="Q1220" s="7" t="str">
        <f>Table1[[#This Row],[Provider Specialty]] &amp; "+" &amp; Table1[[#This Row],[Provider Specialty Description]]</f>
        <v xml:space="preserve">633+Cardiac/Cardiovascular-Interventional Technology </v>
      </c>
      <c r="R1220" s="7" t="str">
        <f>Table1[[#This Row],[PDMS Specialty Type ID]] &amp; "+" &amp; Table1[[#This Row],[PDMS Provider Type ID]] &amp; "+" &amp;Table1[[#This Row],[TAXONOMY]]</f>
        <v>2326+125+246XC2901X</v>
      </c>
      <c r="S12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(10141, 2326, 125, N'246XC2901X', N'Specialist/Technologist Cardiovascular - Cardiovascular Invasive Specialist')</v>
      </c>
    </row>
    <row r="1221" spans="1:19" ht="47.25" customHeight="1" x14ac:dyDescent="0.25">
      <c r="A1221" s="22" t="s">
        <v>227</v>
      </c>
      <c r="B1221" s="3" t="s">
        <v>1555</v>
      </c>
      <c r="C1221" s="3" t="s">
        <v>1727</v>
      </c>
      <c r="D1221" s="3" t="s">
        <v>1731</v>
      </c>
      <c r="E1221" s="3" t="s">
        <v>1732</v>
      </c>
      <c r="F1221" s="3">
        <f>VLOOKUP(Table1[[#This Row],[Column2]], TAXONOMY_TYPE, 2, FALSE)</f>
        <v>10142</v>
      </c>
      <c r="G1221" s="3">
        <v>64</v>
      </c>
      <c r="H1221" s="3" t="s">
        <v>1682</v>
      </c>
      <c r="I1221" s="3">
        <f>VLOOKUP(Table1[[#This Row],[Provider Type]] &amp; Table1[[#This Row],[Provider Type Description]], PROVIDER_TYPE, 2, FALSE)</f>
        <v>125</v>
      </c>
      <c r="J1221" s="3">
        <v>639</v>
      </c>
      <c r="K1221" s="3" t="s">
        <v>1625</v>
      </c>
      <c r="L1221" s="3">
        <f>VLOOKUP(TRIM(Table1[[#This Row],[Provider Specialty]]) &amp; TRIM(Table1[[#This Row],[Provider Specialty Description]]), SPECIALTY_TYPE, 2, FALSE)</f>
        <v>2332</v>
      </c>
      <c r="M1221" s="3" t="s">
        <v>18</v>
      </c>
      <c r="N1221" s="27" t="s">
        <v>18</v>
      </c>
      <c r="O1221" s="38">
        <f>VLOOKUP(TRIM(Table1[[#This Row],[Provider Specialty]]) &amp; TRIM(Table1[[#This Row],[Provider Specialty Description]]), SPECIALTY_TYPE, 2, FALSE)</f>
        <v>2332</v>
      </c>
      <c r="P1221" s="3" t="str">
        <f>Table1[[#This Row],[Provider Type]] &amp; "+" &amp; Table1[[#This Row],[Provider Type Description]]</f>
        <v>64+Specialist</v>
      </c>
      <c r="Q1221" s="7" t="str">
        <f>Table1[[#This Row],[Provider Specialty]] &amp; "+" &amp; Table1[[#This Row],[Provider Specialty Description]]</f>
        <v>639+Sonography / Vascular</v>
      </c>
      <c r="R1221" s="7" t="str">
        <f>Table1[[#This Row],[PDMS Specialty Type ID]] &amp; "+" &amp; Table1[[#This Row],[PDMS Provider Type ID]] &amp; "+" &amp;Table1[[#This Row],[TAXONOMY]]</f>
        <v>2332+125+246XC2903X</v>
      </c>
      <c r="S12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(10142, 2332, 125, N'246XC2903X', N'Specialist/Technologist Cardiovascular - Vascular Specialist')</v>
      </c>
    </row>
    <row r="1222" spans="1:19" ht="47.25" customHeight="1" x14ac:dyDescent="0.25">
      <c r="A1222" s="22" t="s">
        <v>227</v>
      </c>
      <c r="B1222" s="3" t="s">
        <v>1555</v>
      </c>
      <c r="C1222" s="3" t="s">
        <v>1727</v>
      </c>
      <c r="D1222" s="3" t="s">
        <v>1623</v>
      </c>
      <c r="E1222" s="3" t="s">
        <v>1733</v>
      </c>
      <c r="F1222" s="3">
        <f>VLOOKUP(Table1[[#This Row],[Column2]], TAXONOMY_TYPE, 2, FALSE)</f>
        <v>10143</v>
      </c>
      <c r="G1222" s="3">
        <v>64</v>
      </c>
      <c r="H1222" s="3" t="s">
        <v>1682</v>
      </c>
      <c r="I1222" s="3">
        <f>VLOOKUP(Table1[[#This Row],[Provider Type]] &amp; Table1[[#This Row],[Provider Type Description]], PROVIDER_TYPE, 2, FALSE)</f>
        <v>125</v>
      </c>
      <c r="J1222" s="3">
        <v>639</v>
      </c>
      <c r="K1222" s="3" t="s">
        <v>1625</v>
      </c>
      <c r="L1222" s="3">
        <f>VLOOKUP(TRIM(Table1[[#This Row],[Provider Specialty]]) &amp; TRIM(Table1[[#This Row],[Provider Specialty Description]]), SPECIALTY_TYPE, 2, FALSE)</f>
        <v>2332</v>
      </c>
      <c r="M1222" s="3" t="s">
        <v>18</v>
      </c>
      <c r="N1222" s="27" t="s">
        <v>18</v>
      </c>
      <c r="O1222" s="38">
        <f>VLOOKUP(TRIM(Table1[[#This Row],[Provider Specialty]]) &amp; TRIM(Table1[[#This Row],[Provider Specialty Description]]), SPECIALTY_TYPE, 2, FALSE)</f>
        <v>2332</v>
      </c>
      <c r="P1222" s="3" t="str">
        <f>Table1[[#This Row],[Provider Type]] &amp; "+" &amp; Table1[[#This Row],[Provider Type Description]]</f>
        <v>64+Specialist</v>
      </c>
      <c r="Q1222" s="7" t="str">
        <f>Table1[[#This Row],[Provider Specialty]] &amp; "+" &amp; Table1[[#This Row],[Provider Specialty Description]]</f>
        <v>639+Sonography / Vascular</v>
      </c>
      <c r="R1222" s="7" t="str">
        <f>Table1[[#This Row],[PDMS Specialty Type ID]] &amp; "+" &amp; Table1[[#This Row],[PDMS Provider Type ID]] &amp; "+" &amp;Table1[[#This Row],[TAXONOMY]]</f>
        <v>2332+125+246XS1301X</v>
      </c>
      <c r="S12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(10143, 2332, 125, N'246XS1301X', N'Specialist/Technologist Cardiovascular - Sonography')</v>
      </c>
    </row>
    <row r="1223" spans="1:19" ht="47.25" customHeight="1" x14ac:dyDescent="0.25">
      <c r="A1223" s="22" t="s">
        <v>227</v>
      </c>
      <c r="B1223" s="3" t="s">
        <v>1555</v>
      </c>
      <c r="C1223" s="3" t="s">
        <v>1734</v>
      </c>
      <c r="D1223" s="3" t="s">
        <v>1734</v>
      </c>
      <c r="E1223" s="3" t="s">
        <v>1735</v>
      </c>
      <c r="F1223" s="3">
        <f>VLOOKUP(Table1[[#This Row],[Column2]], TAXONOMY_TYPE, 2, FALSE)</f>
        <v>10144</v>
      </c>
      <c r="G1223" s="3">
        <v>64</v>
      </c>
      <c r="H1223" s="3" t="s">
        <v>1682</v>
      </c>
      <c r="I1223" s="3">
        <f>VLOOKUP(Table1[[#This Row],[Provider Type]] &amp; Table1[[#This Row],[Provider Type Description]], PROVIDER_TYPE, 2, FALSE)</f>
        <v>125</v>
      </c>
      <c r="J1223" s="3">
        <v>641</v>
      </c>
      <c r="K1223" s="3" t="s">
        <v>1570</v>
      </c>
      <c r="L1223" s="3">
        <f>VLOOKUP(TRIM(Table1[[#This Row],[Provider Specialty]]) &amp; TRIM(Table1[[#This Row],[Provider Specialty Description]]), SPECIALTY_TYPE, 2, FALSE)</f>
        <v>2334</v>
      </c>
      <c r="M1223" s="3" t="s">
        <v>18</v>
      </c>
      <c r="N1223" s="27" t="s">
        <v>18</v>
      </c>
      <c r="O1223" s="38">
        <f>VLOOKUP(TRIM(Table1[[#This Row],[Provider Specialty]]) &amp; TRIM(Table1[[#This Row],[Provider Specialty Description]]), SPECIALTY_TYPE, 2, FALSE)</f>
        <v>2334</v>
      </c>
      <c r="P1223" s="3" t="str">
        <f>Table1[[#This Row],[Provider Type]] &amp; "+" &amp; Table1[[#This Row],[Provider Type Description]]</f>
        <v>64+Specialist</v>
      </c>
      <c r="Q1223" s="7" t="str">
        <f>Table1[[#This Row],[Provider Specialty]] &amp; "+" &amp; Table1[[#This Row],[Provider Specialty Description]]</f>
        <v>641+Specialist/Technologist, Health Information / Coding Specialist</v>
      </c>
      <c r="R1223" s="7" t="str">
        <f>Table1[[#This Row],[PDMS Specialty Type ID]] &amp; "+" &amp; Table1[[#This Row],[PDMS Provider Type ID]] &amp; "+" &amp;Table1[[#This Row],[TAXONOMY]]</f>
        <v>2334+125+246Y00000X</v>
      </c>
      <c r="S12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(10144, 2334, 125, N'246Y00000X', N'Specialist/Technologist, Health Information - Specialist/Technologist, Health Information')</v>
      </c>
    </row>
    <row r="1224" spans="1:19" ht="47.25" customHeight="1" x14ac:dyDescent="0.25">
      <c r="A1224" s="22" t="s">
        <v>227</v>
      </c>
      <c r="B1224" s="3" t="s">
        <v>1555</v>
      </c>
      <c r="C1224" s="3" t="s">
        <v>1734</v>
      </c>
      <c r="D1224" s="3" t="s">
        <v>1736</v>
      </c>
      <c r="E1224" s="3" t="s">
        <v>1737</v>
      </c>
      <c r="F1224" s="3">
        <f>VLOOKUP(Table1[[#This Row],[Column2]], TAXONOMY_TYPE, 2, FALSE)</f>
        <v>10145</v>
      </c>
      <c r="G1224" s="3">
        <v>64</v>
      </c>
      <c r="H1224" s="3" t="s">
        <v>1682</v>
      </c>
      <c r="I1224" s="3">
        <f>VLOOKUP(Table1[[#This Row],[Provider Type]] &amp; Table1[[#This Row],[Provider Type Description]], PROVIDER_TYPE, 2, FALSE)</f>
        <v>125</v>
      </c>
      <c r="J1224" s="3">
        <v>641</v>
      </c>
      <c r="K1224" s="3" t="s">
        <v>1570</v>
      </c>
      <c r="L1224" s="3">
        <f>VLOOKUP(TRIM(Table1[[#This Row],[Provider Specialty]]) &amp; TRIM(Table1[[#This Row],[Provider Specialty Description]]), SPECIALTY_TYPE, 2, FALSE)</f>
        <v>2334</v>
      </c>
      <c r="M1224" s="3" t="s">
        <v>18</v>
      </c>
      <c r="N1224" s="27" t="s">
        <v>18</v>
      </c>
      <c r="O1224" s="38">
        <f>VLOOKUP(TRIM(Table1[[#This Row],[Provider Specialty]]) &amp; TRIM(Table1[[#This Row],[Provider Specialty Description]]), SPECIALTY_TYPE, 2, FALSE)</f>
        <v>2334</v>
      </c>
      <c r="P1224" s="3" t="str">
        <f>Table1[[#This Row],[Provider Type]] &amp; "+" &amp; Table1[[#This Row],[Provider Type Description]]</f>
        <v>64+Specialist</v>
      </c>
      <c r="Q1224" s="7" t="str">
        <f>Table1[[#This Row],[Provider Specialty]] &amp; "+" &amp; Table1[[#This Row],[Provider Specialty Description]]</f>
        <v>641+Specialist/Technologist, Health Information / Coding Specialist</v>
      </c>
      <c r="R1224" s="7" t="str">
        <f>Table1[[#This Row],[PDMS Specialty Type ID]] &amp; "+" &amp; Table1[[#This Row],[PDMS Provider Type ID]] &amp; "+" &amp;Table1[[#This Row],[TAXONOMY]]</f>
        <v>2334+125+246YC3301X</v>
      </c>
      <c r="S12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(10145, 2334, 125, N'246YC3301X', N'Specialist/Technologist, Health Information - Coding Specialist, Hospital Based')</v>
      </c>
    </row>
    <row r="1225" spans="1:19" ht="47.25" customHeight="1" x14ac:dyDescent="0.25">
      <c r="A1225" s="22" t="s">
        <v>227</v>
      </c>
      <c r="B1225" s="3" t="s">
        <v>1555</v>
      </c>
      <c r="C1225" s="3" t="s">
        <v>1734</v>
      </c>
      <c r="D1225" s="3" t="s">
        <v>1738</v>
      </c>
      <c r="E1225" s="3" t="s">
        <v>1739</v>
      </c>
      <c r="F1225" s="3">
        <f>VLOOKUP(Table1[[#This Row],[Column2]], TAXONOMY_TYPE, 2, FALSE)</f>
        <v>10146</v>
      </c>
      <c r="G1225" s="3">
        <v>64</v>
      </c>
      <c r="H1225" s="3" t="s">
        <v>1682</v>
      </c>
      <c r="I1225" s="3">
        <f>VLOOKUP(Table1[[#This Row],[Provider Type]] &amp; Table1[[#This Row],[Provider Type Description]], PROVIDER_TYPE, 2, FALSE)</f>
        <v>125</v>
      </c>
      <c r="J1225" s="3">
        <v>641</v>
      </c>
      <c r="K1225" s="3" t="s">
        <v>1570</v>
      </c>
      <c r="L1225" s="3">
        <f>VLOOKUP(TRIM(Table1[[#This Row],[Provider Specialty]]) &amp; TRIM(Table1[[#This Row],[Provider Specialty Description]]), SPECIALTY_TYPE, 2, FALSE)</f>
        <v>2334</v>
      </c>
      <c r="M1225" s="3" t="s">
        <v>18</v>
      </c>
      <c r="N1225" s="27" t="s">
        <v>18</v>
      </c>
      <c r="O1225" s="38">
        <f>VLOOKUP(TRIM(Table1[[#This Row],[Provider Specialty]]) &amp; TRIM(Table1[[#This Row],[Provider Specialty Description]]), SPECIALTY_TYPE, 2, FALSE)</f>
        <v>2334</v>
      </c>
      <c r="P1225" s="3" t="str">
        <f>Table1[[#This Row],[Provider Type]] &amp; "+" &amp; Table1[[#This Row],[Provider Type Description]]</f>
        <v>64+Specialist</v>
      </c>
      <c r="Q1225" s="7" t="str">
        <f>Table1[[#This Row],[Provider Specialty]] &amp; "+" &amp; Table1[[#This Row],[Provider Specialty Description]]</f>
        <v>641+Specialist/Technologist, Health Information / Coding Specialist</v>
      </c>
      <c r="R1225" s="7" t="str">
        <f>Table1[[#This Row],[PDMS Specialty Type ID]] &amp; "+" &amp; Table1[[#This Row],[PDMS Provider Type ID]] &amp; "+" &amp;Table1[[#This Row],[TAXONOMY]]</f>
        <v>2334+125+246YC3302X</v>
      </c>
      <c r="S12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(10146, 2334, 125, N'246YC3302X', N'Specialist/Technologist, Health Information - Coding Specialist, Physician Office Based')</v>
      </c>
    </row>
    <row r="1226" spans="1:19" ht="47.25" customHeight="1" x14ac:dyDescent="0.25">
      <c r="A1226" s="22" t="s">
        <v>227</v>
      </c>
      <c r="B1226" s="3" t="s">
        <v>1555</v>
      </c>
      <c r="C1226" s="3" t="s">
        <v>1734</v>
      </c>
      <c r="D1226" s="3" t="s">
        <v>1740</v>
      </c>
      <c r="E1226" s="3" t="s">
        <v>1741</v>
      </c>
      <c r="F1226" s="3">
        <f>VLOOKUP(Table1[[#This Row],[Column2]], TAXONOMY_TYPE, 2, FALSE)</f>
        <v>10147</v>
      </c>
      <c r="G1226" s="3">
        <v>64</v>
      </c>
      <c r="H1226" s="3" t="s">
        <v>1682</v>
      </c>
      <c r="I1226" s="3">
        <f>VLOOKUP(Table1[[#This Row],[Provider Type]] &amp; Table1[[#This Row],[Provider Type Description]], PROVIDER_TYPE, 2, FALSE)</f>
        <v>125</v>
      </c>
      <c r="J1226" s="3">
        <v>642</v>
      </c>
      <c r="K1226" s="3" t="s">
        <v>1740</v>
      </c>
      <c r="L1226" s="3">
        <f>VLOOKUP(TRIM(Table1[[#This Row],[Provider Specialty]]) &amp; TRIM(Table1[[#This Row],[Provider Specialty Description]]), SPECIALTY_TYPE, 2, FALSE)</f>
        <v>2335</v>
      </c>
      <c r="M1226" s="3" t="s">
        <v>18</v>
      </c>
      <c r="N1226" s="27" t="s">
        <v>18</v>
      </c>
      <c r="O1226" s="38">
        <f>VLOOKUP(TRIM(Table1[[#This Row],[Provider Specialty]]) &amp; TRIM(Table1[[#This Row],[Provider Specialty Description]]), SPECIALTY_TYPE, 2, FALSE)</f>
        <v>2335</v>
      </c>
      <c r="P1226" s="3" t="str">
        <f>Table1[[#This Row],[Provider Type]] &amp; "+" &amp; Table1[[#This Row],[Provider Type Description]]</f>
        <v>64+Specialist</v>
      </c>
      <c r="Q1226" s="7" t="str">
        <f>Table1[[#This Row],[Provider Specialty]] &amp; "+" &amp; Table1[[#This Row],[Provider Specialty Description]]</f>
        <v xml:space="preserve">642+Registered Record Administrator </v>
      </c>
      <c r="R1226" s="7" t="str">
        <f>Table1[[#This Row],[PDMS Specialty Type ID]] &amp; "+" &amp; Table1[[#This Row],[PDMS Provider Type ID]] &amp; "+" &amp;Table1[[#This Row],[TAXONOMY]]</f>
        <v>2335+125+246YR1600X</v>
      </c>
      <c r="S12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(10147, 2335, 125, N'246YR1600X', N'Specialist/Technologist, Health Information - Registered Record Administrator')</v>
      </c>
    </row>
    <row r="1227" spans="1:19" ht="47.25" customHeight="1" x14ac:dyDescent="0.25">
      <c r="A1227" s="22" t="s">
        <v>227</v>
      </c>
      <c r="B1227" s="3" t="s">
        <v>1555</v>
      </c>
      <c r="C1227" s="3" t="s">
        <v>1705</v>
      </c>
      <c r="D1227" s="3" t="s">
        <v>1705</v>
      </c>
      <c r="E1227" s="3" t="s">
        <v>1706</v>
      </c>
      <c r="F1227" s="3">
        <f>VLOOKUP(Table1[[#This Row],[Column2]], TAXONOMY_TYPE, 2, FALSE)</f>
        <v>10148</v>
      </c>
      <c r="G1227" s="3">
        <v>64</v>
      </c>
      <c r="H1227" s="3" t="s">
        <v>1682</v>
      </c>
      <c r="I1227" s="3">
        <f>VLOOKUP(Table1[[#This Row],[Provider Type]] &amp; Table1[[#This Row],[Provider Type Description]], PROVIDER_TYPE, 2, FALSE)</f>
        <v>125</v>
      </c>
      <c r="J1227" s="3">
        <v>643</v>
      </c>
      <c r="K1227" s="3" t="s">
        <v>1558</v>
      </c>
      <c r="L1227" s="3">
        <f>VLOOKUP(TRIM(Table1[[#This Row],[Provider Specialty]]) &amp; TRIM(Table1[[#This Row],[Provider Specialty Description]]), SPECIALTY_TYPE, 2, FALSE)</f>
        <v>2336</v>
      </c>
      <c r="M1227" s="3" t="s">
        <v>18</v>
      </c>
      <c r="N1227" s="27" t="s">
        <v>18</v>
      </c>
      <c r="O1227" s="38">
        <f>VLOOKUP(TRIM(Table1[[#This Row],[Provider Specialty]]) &amp; TRIM(Table1[[#This Row],[Provider Specialty Description]]), SPECIALTY_TYPE, 2, FALSE)</f>
        <v>2336</v>
      </c>
      <c r="P1227" s="3" t="str">
        <f>Table1[[#This Row],[Provider Type]] &amp; "+" &amp; Table1[[#This Row],[Provider Type Description]]</f>
        <v>64+Specialist</v>
      </c>
      <c r="Q1227" s="7" t="str">
        <f>Table1[[#This Row],[Provider Specialty]] &amp; "+" &amp; Table1[[#This Row],[Provider Specialty Description]]</f>
        <v xml:space="preserve">643+Pathology </v>
      </c>
      <c r="R1227" s="7" t="str">
        <f>Table1[[#This Row],[PDMS Specialty Type ID]] &amp; "+" &amp; Table1[[#This Row],[PDMS Provider Type ID]] &amp; "+" &amp;Table1[[#This Row],[TAXONOMY]]</f>
        <v>2336+125+246Q00000X</v>
      </c>
      <c r="S12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(10148, 2336, 125, N'246Q00000X', N'Specialist/Technologist, Pathology - Specialist/Technologist, Pathology')</v>
      </c>
    </row>
    <row r="1228" spans="1:19" ht="47.25" customHeight="1" x14ac:dyDescent="0.25">
      <c r="A1228" s="22" t="s">
        <v>227</v>
      </c>
      <c r="B1228" s="3" t="s">
        <v>1555</v>
      </c>
      <c r="C1228" s="3" t="s">
        <v>1705</v>
      </c>
      <c r="D1228" s="3" t="s">
        <v>1707</v>
      </c>
      <c r="E1228" s="3" t="s">
        <v>1708</v>
      </c>
      <c r="F1228" s="3">
        <f>VLOOKUP(Table1[[#This Row],[Column2]], TAXONOMY_TYPE, 2, FALSE)</f>
        <v>10149</v>
      </c>
      <c r="G1228" s="3">
        <v>64</v>
      </c>
      <c r="H1228" s="3" t="s">
        <v>1682</v>
      </c>
      <c r="I1228" s="3">
        <f>VLOOKUP(Table1[[#This Row],[Provider Type]] &amp; Table1[[#This Row],[Provider Type Description]], PROVIDER_TYPE, 2, FALSE)</f>
        <v>125</v>
      </c>
      <c r="J1228" s="3">
        <v>643</v>
      </c>
      <c r="K1228" s="3" t="s">
        <v>1558</v>
      </c>
      <c r="L1228" s="3">
        <f>VLOOKUP(TRIM(Table1[[#This Row],[Provider Specialty]]) &amp; TRIM(Table1[[#This Row],[Provider Specialty Description]]), SPECIALTY_TYPE, 2, FALSE)</f>
        <v>2336</v>
      </c>
      <c r="M1228" s="3" t="s">
        <v>18</v>
      </c>
      <c r="N1228" s="27" t="s">
        <v>18</v>
      </c>
      <c r="O1228" s="38">
        <f>VLOOKUP(TRIM(Table1[[#This Row],[Provider Specialty]]) &amp; TRIM(Table1[[#This Row],[Provider Specialty Description]]), SPECIALTY_TYPE, 2, FALSE)</f>
        <v>2336</v>
      </c>
      <c r="P1228" s="3" t="str">
        <f>Table1[[#This Row],[Provider Type]] &amp; "+" &amp; Table1[[#This Row],[Provider Type Description]]</f>
        <v>64+Specialist</v>
      </c>
      <c r="Q1228" s="7" t="str">
        <f>Table1[[#This Row],[Provider Specialty]] &amp; "+" &amp; Table1[[#This Row],[Provider Specialty Description]]</f>
        <v xml:space="preserve">643+Pathology </v>
      </c>
      <c r="R1228" s="7" t="str">
        <f>Table1[[#This Row],[PDMS Specialty Type ID]] &amp; "+" &amp; Table1[[#This Row],[PDMS Provider Type ID]] &amp; "+" &amp;Table1[[#This Row],[TAXONOMY]]</f>
        <v>2336+125+246QB0000X</v>
      </c>
      <c r="S12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(10149, 2336, 125, N'246QB0000X', N'Specialist/Technologist, Pathology - Blood Banking')</v>
      </c>
    </row>
    <row r="1229" spans="1:19" ht="47.25" customHeight="1" x14ac:dyDescent="0.25">
      <c r="A1229" s="22" t="s">
        <v>227</v>
      </c>
      <c r="B1229" s="3" t="s">
        <v>1555</v>
      </c>
      <c r="C1229" s="3" t="s">
        <v>1705</v>
      </c>
      <c r="D1229" s="3" t="s">
        <v>1709</v>
      </c>
      <c r="E1229" s="3" t="s">
        <v>1710</v>
      </c>
      <c r="F1229" s="3">
        <f>VLOOKUP(Table1[[#This Row],[Column2]], TAXONOMY_TYPE, 2, FALSE)</f>
        <v>10150</v>
      </c>
      <c r="G1229" s="3">
        <v>64</v>
      </c>
      <c r="H1229" s="3" t="s">
        <v>1682</v>
      </c>
      <c r="I1229" s="3">
        <f>VLOOKUP(Table1[[#This Row],[Provider Type]] &amp; Table1[[#This Row],[Provider Type Description]], PROVIDER_TYPE, 2, FALSE)</f>
        <v>125</v>
      </c>
      <c r="J1229" s="3">
        <v>643</v>
      </c>
      <c r="K1229" s="3" t="s">
        <v>1558</v>
      </c>
      <c r="L1229" s="3">
        <f>VLOOKUP(TRIM(Table1[[#This Row],[Provider Specialty]]) &amp; TRIM(Table1[[#This Row],[Provider Specialty Description]]), SPECIALTY_TYPE, 2, FALSE)</f>
        <v>2336</v>
      </c>
      <c r="M1229" s="3" t="s">
        <v>18</v>
      </c>
      <c r="N1229" s="27" t="s">
        <v>18</v>
      </c>
      <c r="O1229" s="38">
        <f>VLOOKUP(TRIM(Table1[[#This Row],[Provider Specialty]]) &amp; TRIM(Table1[[#This Row],[Provider Specialty Description]]), SPECIALTY_TYPE, 2, FALSE)</f>
        <v>2336</v>
      </c>
      <c r="P1229" s="3" t="str">
        <f>Table1[[#This Row],[Provider Type]] &amp; "+" &amp; Table1[[#This Row],[Provider Type Description]]</f>
        <v>64+Specialist</v>
      </c>
      <c r="Q1229" s="7" t="str">
        <f>Table1[[#This Row],[Provider Specialty]] &amp; "+" &amp; Table1[[#This Row],[Provider Specialty Description]]</f>
        <v xml:space="preserve">643+Pathology </v>
      </c>
      <c r="R1229" s="7" t="str">
        <f>Table1[[#This Row],[PDMS Specialty Type ID]] &amp; "+" &amp; Table1[[#This Row],[PDMS Provider Type ID]] &amp; "+" &amp;Table1[[#This Row],[TAXONOMY]]</f>
        <v>2336+125+246QC1000X</v>
      </c>
      <c r="S12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(10150, 2336, 125, N'246QC1000X', N'Specialist/Technologist, Pathology - Chemistry')</v>
      </c>
    </row>
    <row r="1230" spans="1:19" ht="47.25" customHeight="1" x14ac:dyDescent="0.25">
      <c r="A1230" s="22" t="s">
        <v>227</v>
      </c>
      <c r="B1230" s="3" t="s">
        <v>1555</v>
      </c>
      <c r="C1230" s="3" t="s">
        <v>1705</v>
      </c>
      <c r="D1230" s="3" t="s">
        <v>1711</v>
      </c>
      <c r="E1230" s="3" t="s">
        <v>1712</v>
      </c>
      <c r="F1230" s="3">
        <f>VLOOKUP(Table1[[#This Row],[Column2]], TAXONOMY_TYPE, 2, FALSE)</f>
        <v>10151</v>
      </c>
      <c r="G1230" s="3">
        <v>64</v>
      </c>
      <c r="H1230" s="3" t="s">
        <v>1682</v>
      </c>
      <c r="I1230" s="3">
        <f>VLOOKUP(Table1[[#This Row],[Provider Type]] &amp; Table1[[#This Row],[Provider Type Description]], PROVIDER_TYPE, 2, FALSE)</f>
        <v>125</v>
      </c>
      <c r="J1230" s="3">
        <v>643</v>
      </c>
      <c r="K1230" s="3" t="s">
        <v>1558</v>
      </c>
      <c r="L1230" s="3">
        <f>VLOOKUP(TRIM(Table1[[#This Row],[Provider Specialty]]) &amp; TRIM(Table1[[#This Row],[Provider Specialty Description]]), SPECIALTY_TYPE, 2, FALSE)</f>
        <v>2336</v>
      </c>
      <c r="M1230" s="3" t="s">
        <v>18</v>
      </c>
      <c r="N1230" s="27" t="s">
        <v>18</v>
      </c>
      <c r="O1230" s="38">
        <f>VLOOKUP(TRIM(Table1[[#This Row],[Provider Specialty]]) &amp; TRIM(Table1[[#This Row],[Provider Specialty Description]]), SPECIALTY_TYPE, 2, FALSE)</f>
        <v>2336</v>
      </c>
      <c r="P1230" s="3" t="str">
        <f>Table1[[#This Row],[Provider Type]] &amp; "+" &amp; Table1[[#This Row],[Provider Type Description]]</f>
        <v>64+Specialist</v>
      </c>
      <c r="Q1230" s="7" t="str">
        <f>Table1[[#This Row],[Provider Specialty]] &amp; "+" &amp; Table1[[#This Row],[Provider Specialty Description]]</f>
        <v xml:space="preserve">643+Pathology </v>
      </c>
      <c r="R1230" s="7" t="str">
        <f>Table1[[#This Row],[PDMS Specialty Type ID]] &amp; "+" &amp; Table1[[#This Row],[PDMS Provider Type ID]] &amp; "+" &amp;Table1[[#This Row],[TAXONOMY]]</f>
        <v>2336+125+246QC2700X</v>
      </c>
      <c r="S12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(10151, 2336, 125, N'246QC2700X', N'Specialist/Technologist, Pathology - Cytotechnology')</v>
      </c>
    </row>
    <row r="1231" spans="1:19" ht="47.25" customHeight="1" x14ac:dyDescent="0.25">
      <c r="A1231" s="22" t="s">
        <v>227</v>
      </c>
      <c r="B1231" s="3" t="s">
        <v>1555</v>
      </c>
      <c r="C1231" s="3" t="s">
        <v>1705</v>
      </c>
      <c r="D1231" s="3" t="s">
        <v>1037</v>
      </c>
      <c r="E1231" s="3" t="s">
        <v>1713</v>
      </c>
      <c r="F1231" s="3">
        <f>VLOOKUP(Table1[[#This Row],[Column2]], TAXONOMY_TYPE, 2, FALSE)</f>
        <v>10152</v>
      </c>
      <c r="G1231" s="3">
        <v>64</v>
      </c>
      <c r="H1231" s="3" t="s">
        <v>1682</v>
      </c>
      <c r="I1231" s="3">
        <f>VLOOKUP(Table1[[#This Row],[Provider Type]] &amp; Table1[[#This Row],[Provider Type Description]], PROVIDER_TYPE, 2, FALSE)</f>
        <v>125</v>
      </c>
      <c r="J1231" s="3">
        <v>643</v>
      </c>
      <c r="K1231" s="3" t="s">
        <v>1558</v>
      </c>
      <c r="L1231" s="3">
        <f>VLOOKUP(TRIM(Table1[[#This Row],[Provider Specialty]]) &amp; TRIM(Table1[[#This Row],[Provider Specialty Description]]), SPECIALTY_TYPE, 2, FALSE)</f>
        <v>2336</v>
      </c>
      <c r="M1231" s="3" t="s">
        <v>18</v>
      </c>
      <c r="N1231" s="27" t="s">
        <v>18</v>
      </c>
      <c r="O1231" s="38">
        <f>VLOOKUP(TRIM(Table1[[#This Row],[Provider Specialty]]) &amp; TRIM(Table1[[#This Row],[Provider Specialty Description]]), SPECIALTY_TYPE, 2, FALSE)</f>
        <v>2336</v>
      </c>
      <c r="P1231" s="3" t="str">
        <f>Table1[[#This Row],[Provider Type]] &amp; "+" &amp; Table1[[#This Row],[Provider Type Description]]</f>
        <v>64+Specialist</v>
      </c>
      <c r="Q1231" s="7" t="str">
        <f>Table1[[#This Row],[Provider Specialty]] &amp; "+" &amp; Table1[[#This Row],[Provider Specialty Description]]</f>
        <v xml:space="preserve">643+Pathology </v>
      </c>
      <c r="R1231" s="7" t="str">
        <f>Table1[[#This Row],[PDMS Specialty Type ID]] &amp; "+" &amp; Table1[[#This Row],[PDMS Provider Type ID]] &amp; "+" &amp;Table1[[#This Row],[TAXONOMY]]</f>
        <v>2336+125+246QH0000X</v>
      </c>
      <c r="S12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(10152, 2336, 125, N'246QH0000X', N'Specialist/Technologist, Pathology - Hematology')</v>
      </c>
    </row>
    <row r="1232" spans="1:19" ht="47.25" customHeight="1" x14ac:dyDescent="0.25">
      <c r="A1232" s="22" t="s">
        <v>227</v>
      </c>
      <c r="B1232" s="3" t="s">
        <v>1555</v>
      </c>
      <c r="C1232" s="3" t="s">
        <v>1705</v>
      </c>
      <c r="D1232" s="3" t="s">
        <v>1714</v>
      </c>
      <c r="E1232" s="3" t="s">
        <v>1715</v>
      </c>
      <c r="F1232" s="3">
        <f>VLOOKUP(Table1[[#This Row],[Column2]], TAXONOMY_TYPE, 2, FALSE)</f>
        <v>10153</v>
      </c>
      <c r="G1232" s="3">
        <v>64</v>
      </c>
      <c r="H1232" s="3" t="s">
        <v>1682</v>
      </c>
      <c r="I1232" s="3">
        <f>VLOOKUP(Table1[[#This Row],[Provider Type]] &amp; Table1[[#This Row],[Provider Type Description]], PROVIDER_TYPE, 2, FALSE)</f>
        <v>125</v>
      </c>
      <c r="J1232" s="3">
        <v>643</v>
      </c>
      <c r="K1232" s="3" t="s">
        <v>1558</v>
      </c>
      <c r="L1232" s="3">
        <f>VLOOKUP(TRIM(Table1[[#This Row],[Provider Specialty]]) &amp; TRIM(Table1[[#This Row],[Provider Specialty Description]]), SPECIALTY_TYPE, 2, FALSE)</f>
        <v>2336</v>
      </c>
      <c r="M1232" s="3" t="s">
        <v>18</v>
      </c>
      <c r="N1232" s="27" t="s">
        <v>18</v>
      </c>
      <c r="O1232" s="38">
        <f>VLOOKUP(TRIM(Table1[[#This Row],[Provider Specialty]]) &amp; TRIM(Table1[[#This Row],[Provider Specialty Description]]), SPECIALTY_TYPE, 2, FALSE)</f>
        <v>2336</v>
      </c>
      <c r="P1232" s="3" t="str">
        <f>Table1[[#This Row],[Provider Type]] &amp; "+" &amp; Table1[[#This Row],[Provider Type Description]]</f>
        <v>64+Specialist</v>
      </c>
      <c r="Q1232" s="7" t="str">
        <f>Table1[[#This Row],[Provider Specialty]] &amp; "+" &amp; Table1[[#This Row],[Provider Specialty Description]]</f>
        <v xml:space="preserve">643+Pathology </v>
      </c>
      <c r="R1232" s="7" t="str">
        <f>Table1[[#This Row],[PDMS Specialty Type ID]] &amp; "+" &amp; Table1[[#This Row],[PDMS Provider Type ID]] &amp; "+" &amp;Table1[[#This Row],[TAXONOMY]]</f>
        <v>2336+125+246QH0401X</v>
      </c>
      <c r="S12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(10153, 2336, 125, N'246QH0401X', N'Specialist/Technologist, Pathology - Hemapheresis Practitioner')</v>
      </c>
    </row>
    <row r="1233" spans="1:19" ht="47.25" customHeight="1" x14ac:dyDescent="0.25">
      <c r="A1233" s="22" t="s">
        <v>227</v>
      </c>
      <c r="B1233" s="3" t="s">
        <v>1555</v>
      </c>
      <c r="C1233" s="3" t="s">
        <v>1705</v>
      </c>
      <c r="D1233" s="3" t="s">
        <v>1559</v>
      </c>
      <c r="E1233" s="3" t="s">
        <v>1716</v>
      </c>
      <c r="F1233" s="3">
        <f>VLOOKUP(Table1[[#This Row],[Column2]], TAXONOMY_TYPE, 2, FALSE)</f>
        <v>10154</v>
      </c>
      <c r="G1233" s="3">
        <v>64</v>
      </c>
      <c r="H1233" s="3" t="s">
        <v>1682</v>
      </c>
      <c r="I1233" s="3">
        <f>VLOOKUP(Table1[[#This Row],[Provider Type]] &amp; Table1[[#This Row],[Provider Type Description]], PROVIDER_TYPE, 2, FALSE)</f>
        <v>125</v>
      </c>
      <c r="J1233" s="3">
        <v>643</v>
      </c>
      <c r="K1233" s="3" t="s">
        <v>1558</v>
      </c>
      <c r="L1233" s="3">
        <f>VLOOKUP(TRIM(Table1[[#This Row],[Provider Specialty]]) &amp; TRIM(Table1[[#This Row],[Provider Specialty Description]]), SPECIALTY_TYPE, 2, FALSE)</f>
        <v>2336</v>
      </c>
      <c r="M1233" s="3" t="s">
        <v>18</v>
      </c>
      <c r="N1233" s="27" t="s">
        <v>18</v>
      </c>
      <c r="O1233" s="38">
        <f>VLOOKUP(TRIM(Table1[[#This Row],[Provider Specialty]]) &amp; TRIM(Table1[[#This Row],[Provider Specialty Description]]), SPECIALTY_TYPE, 2, FALSE)</f>
        <v>2336</v>
      </c>
      <c r="P1233" s="3" t="str">
        <f>Table1[[#This Row],[Provider Type]] &amp; "+" &amp; Table1[[#This Row],[Provider Type Description]]</f>
        <v>64+Specialist</v>
      </c>
      <c r="Q1233" s="7" t="str">
        <f>Table1[[#This Row],[Provider Specialty]] &amp; "+" &amp; Table1[[#This Row],[Provider Specialty Description]]</f>
        <v xml:space="preserve">643+Pathology </v>
      </c>
      <c r="R1233" s="7" t="str">
        <f>Table1[[#This Row],[PDMS Specialty Type ID]] &amp; "+" &amp; Table1[[#This Row],[PDMS Provider Type ID]] &amp; "+" &amp;Table1[[#This Row],[TAXONOMY]]</f>
        <v>2336+125+246QH0600X</v>
      </c>
      <c r="S12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(10154, 2336, 125, N'246QH0600X', N'Specialist/Technologist, Pathology - Histology')</v>
      </c>
    </row>
    <row r="1234" spans="1:19" ht="47.25" customHeight="1" x14ac:dyDescent="0.25">
      <c r="A1234" s="22" t="s">
        <v>227</v>
      </c>
      <c r="B1234" s="3" t="s">
        <v>1555</v>
      </c>
      <c r="C1234" s="3" t="s">
        <v>1705</v>
      </c>
      <c r="D1234" s="3" t="s">
        <v>1717</v>
      </c>
      <c r="E1234" s="3" t="s">
        <v>1718</v>
      </c>
      <c r="F1234" s="3">
        <f>VLOOKUP(Table1[[#This Row],[Column2]], TAXONOMY_TYPE, 2, FALSE)</f>
        <v>10155</v>
      </c>
      <c r="G1234" s="3">
        <v>64</v>
      </c>
      <c r="H1234" s="3" t="s">
        <v>1682</v>
      </c>
      <c r="I1234" s="3">
        <f>VLOOKUP(Table1[[#This Row],[Provider Type]] &amp; Table1[[#This Row],[Provider Type Description]], PROVIDER_TYPE, 2, FALSE)</f>
        <v>125</v>
      </c>
      <c r="J1234" s="3">
        <v>643</v>
      </c>
      <c r="K1234" s="3" t="s">
        <v>1558</v>
      </c>
      <c r="L1234" s="3">
        <f>VLOOKUP(TRIM(Table1[[#This Row],[Provider Specialty]]) &amp; TRIM(Table1[[#This Row],[Provider Specialty Description]]), SPECIALTY_TYPE, 2, FALSE)</f>
        <v>2336</v>
      </c>
      <c r="M1234" s="3" t="s">
        <v>18</v>
      </c>
      <c r="N1234" s="27" t="s">
        <v>18</v>
      </c>
      <c r="O1234" s="38">
        <f>VLOOKUP(TRIM(Table1[[#This Row],[Provider Specialty]]) &amp; TRIM(Table1[[#This Row],[Provider Specialty Description]]), SPECIALTY_TYPE, 2, FALSE)</f>
        <v>2336</v>
      </c>
      <c r="P1234" s="3" t="str">
        <f>Table1[[#This Row],[Provider Type]] &amp; "+" &amp; Table1[[#This Row],[Provider Type Description]]</f>
        <v>64+Specialist</v>
      </c>
      <c r="Q1234" s="7" t="str">
        <f>Table1[[#This Row],[Provider Specialty]] &amp; "+" &amp; Table1[[#This Row],[Provider Specialty Description]]</f>
        <v xml:space="preserve">643+Pathology </v>
      </c>
      <c r="R1234" s="7" t="str">
        <f>Table1[[#This Row],[PDMS Specialty Type ID]] &amp; "+" &amp; Table1[[#This Row],[PDMS Provider Type ID]] &amp; "+" &amp;Table1[[#This Row],[TAXONOMY]]</f>
        <v>2336+125+246QI0000X</v>
      </c>
      <c r="S12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(10155, 2336, 125, N'246QI0000X', N'Specialist/Technologist, Pathology - Immunology')</v>
      </c>
    </row>
    <row r="1235" spans="1:19" ht="47.25" customHeight="1" x14ac:dyDescent="0.25">
      <c r="A1235" s="22" t="s">
        <v>227</v>
      </c>
      <c r="B1235" s="3" t="s">
        <v>1555</v>
      </c>
      <c r="C1235" s="3" t="s">
        <v>1705</v>
      </c>
      <c r="D1235" s="3" t="s">
        <v>1719</v>
      </c>
      <c r="E1235" s="3" t="s">
        <v>1720</v>
      </c>
      <c r="F1235" s="3">
        <f>VLOOKUP(Table1[[#This Row],[Column2]], TAXONOMY_TYPE, 2, FALSE)</f>
        <v>10156</v>
      </c>
      <c r="G1235" s="3">
        <v>64</v>
      </c>
      <c r="H1235" s="3" t="s">
        <v>1682</v>
      </c>
      <c r="I1235" s="3">
        <f>VLOOKUP(Table1[[#This Row],[Provider Type]] &amp; Table1[[#This Row],[Provider Type Description]], PROVIDER_TYPE, 2, FALSE)</f>
        <v>125</v>
      </c>
      <c r="J1235" s="3">
        <v>643</v>
      </c>
      <c r="K1235" s="3" t="s">
        <v>1558</v>
      </c>
      <c r="L1235" s="3">
        <f>VLOOKUP(TRIM(Table1[[#This Row],[Provider Specialty]]) &amp; TRIM(Table1[[#This Row],[Provider Specialty Description]]), SPECIALTY_TYPE, 2, FALSE)</f>
        <v>2336</v>
      </c>
      <c r="M1235" s="3" t="s">
        <v>18</v>
      </c>
      <c r="N1235" s="27" t="s">
        <v>18</v>
      </c>
      <c r="O1235" s="38">
        <f>VLOOKUP(TRIM(Table1[[#This Row],[Provider Specialty]]) &amp; TRIM(Table1[[#This Row],[Provider Specialty Description]]), SPECIALTY_TYPE, 2, FALSE)</f>
        <v>2336</v>
      </c>
      <c r="P1235" s="3" t="str">
        <f>Table1[[#This Row],[Provider Type]] &amp; "+" &amp; Table1[[#This Row],[Provider Type Description]]</f>
        <v>64+Specialist</v>
      </c>
      <c r="Q1235" s="7" t="str">
        <f>Table1[[#This Row],[Provider Specialty]] &amp; "+" &amp; Table1[[#This Row],[Provider Specialty Description]]</f>
        <v xml:space="preserve">643+Pathology </v>
      </c>
      <c r="R1235" s="7" t="str">
        <f>Table1[[#This Row],[PDMS Specialty Type ID]] &amp; "+" &amp; Table1[[#This Row],[PDMS Provider Type ID]] &amp; "+" &amp;Table1[[#This Row],[TAXONOMY]]</f>
        <v>2336+125+246QL0900X</v>
      </c>
      <c r="S12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(10156, 2336, 125, N'246QL0900X', N'Specialist/Technologist, Pathology - Laboratory Management')</v>
      </c>
    </row>
    <row r="1236" spans="1:19" ht="47.25" customHeight="1" x14ac:dyDescent="0.25">
      <c r="A1236" s="22" t="s">
        <v>227</v>
      </c>
      <c r="B1236" s="3" t="s">
        <v>1555</v>
      </c>
      <c r="C1236" s="3" t="s">
        <v>1705</v>
      </c>
      <c r="D1236" s="3" t="s">
        <v>1721</v>
      </c>
      <c r="E1236" s="3" t="s">
        <v>1722</v>
      </c>
      <c r="F1236" s="3">
        <f>VLOOKUP(Table1[[#This Row],[Column2]], TAXONOMY_TYPE, 2, FALSE)</f>
        <v>10157</v>
      </c>
      <c r="G1236" s="3">
        <v>64</v>
      </c>
      <c r="H1236" s="3" t="s">
        <v>1682</v>
      </c>
      <c r="I1236" s="3">
        <f>VLOOKUP(Table1[[#This Row],[Provider Type]] &amp; Table1[[#This Row],[Provider Type Description]], PROVIDER_TYPE, 2, FALSE)</f>
        <v>125</v>
      </c>
      <c r="J1236" s="3">
        <v>643</v>
      </c>
      <c r="K1236" s="3" t="s">
        <v>1558</v>
      </c>
      <c r="L1236" s="3">
        <f>VLOOKUP(TRIM(Table1[[#This Row],[Provider Specialty]]) &amp; TRIM(Table1[[#This Row],[Provider Specialty Description]]), SPECIALTY_TYPE, 2, FALSE)</f>
        <v>2336</v>
      </c>
      <c r="M1236" s="3" t="s">
        <v>18</v>
      </c>
      <c r="N1236" s="27" t="s">
        <v>18</v>
      </c>
      <c r="O1236" s="38">
        <f>VLOOKUP(TRIM(Table1[[#This Row],[Provider Specialty]]) &amp; TRIM(Table1[[#This Row],[Provider Specialty Description]]), SPECIALTY_TYPE, 2, FALSE)</f>
        <v>2336</v>
      </c>
      <c r="P1236" s="3" t="str">
        <f>Table1[[#This Row],[Provider Type]] &amp; "+" &amp; Table1[[#This Row],[Provider Type Description]]</f>
        <v>64+Specialist</v>
      </c>
      <c r="Q1236" s="7" t="str">
        <f>Table1[[#This Row],[Provider Specialty]] &amp; "+" &amp; Table1[[#This Row],[Provider Specialty Description]]</f>
        <v xml:space="preserve">643+Pathology </v>
      </c>
      <c r="R1236" s="7" t="str">
        <f>Table1[[#This Row],[PDMS Specialty Type ID]] &amp; "+" &amp; Table1[[#This Row],[PDMS Provider Type ID]] &amp; "+" &amp;Table1[[#This Row],[TAXONOMY]]</f>
        <v>2336+125+246QL0901X</v>
      </c>
      <c r="S12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(10157, 2336, 125, N'246QL0901X', N'Specialist/Technologist, Pathology - Laboratory Management, Diplomate')</v>
      </c>
    </row>
    <row r="1237" spans="1:19" ht="47.25" customHeight="1" x14ac:dyDescent="0.25">
      <c r="A1237" s="22" t="s">
        <v>227</v>
      </c>
      <c r="B1237" s="3" t="s">
        <v>1555</v>
      </c>
      <c r="C1237" s="3" t="s">
        <v>1705</v>
      </c>
      <c r="D1237" s="3" t="s">
        <v>1723</v>
      </c>
      <c r="E1237" s="3" t="s">
        <v>1724</v>
      </c>
      <c r="F1237" s="3">
        <f>VLOOKUP(Table1[[#This Row],[Column2]], TAXONOMY_TYPE, 2, FALSE)</f>
        <v>10158</v>
      </c>
      <c r="G1237" s="3">
        <v>64</v>
      </c>
      <c r="H1237" s="3" t="s">
        <v>1682</v>
      </c>
      <c r="I1237" s="3">
        <f>VLOOKUP(Table1[[#This Row],[Provider Type]] &amp; Table1[[#This Row],[Provider Type Description]], PROVIDER_TYPE, 2, FALSE)</f>
        <v>125</v>
      </c>
      <c r="J1237" s="3">
        <v>643</v>
      </c>
      <c r="K1237" s="3" t="s">
        <v>1558</v>
      </c>
      <c r="L1237" s="3">
        <f>VLOOKUP(TRIM(Table1[[#This Row],[Provider Specialty]]) &amp; TRIM(Table1[[#This Row],[Provider Specialty Description]]), SPECIALTY_TYPE, 2, FALSE)</f>
        <v>2336</v>
      </c>
      <c r="M1237" s="3" t="s">
        <v>18</v>
      </c>
      <c r="N1237" s="27" t="s">
        <v>18</v>
      </c>
      <c r="O1237" s="38">
        <f>VLOOKUP(TRIM(Table1[[#This Row],[Provider Specialty]]) &amp; TRIM(Table1[[#This Row],[Provider Specialty Description]]), SPECIALTY_TYPE, 2, FALSE)</f>
        <v>2336</v>
      </c>
      <c r="P1237" s="3" t="str">
        <f>Table1[[#This Row],[Provider Type]] &amp; "+" &amp; Table1[[#This Row],[Provider Type Description]]</f>
        <v>64+Specialist</v>
      </c>
      <c r="Q1237" s="7" t="str">
        <f>Table1[[#This Row],[Provider Specialty]] &amp; "+" &amp; Table1[[#This Row],[Provider Specialty Description]]</f>
        <v xml:space="preserve">643+Pathology </v>
      </c>
      <c r="R1237" s="7" t="str">
        <f>Table1[[#This Row],[PDMS Specialty Type ID]] &amp; "+" &amp; Table1[[#This Row],[PDMS Provider Type ID]] &amp; "+" &amp;Table1[[#This Row],[TAXONOMY]]</f>
        <v>2336+125+246QM0706X</v>
      </c>
      <c r="S12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(10158, 2336, 125, N'246QM0706X', N'Specialist/Technologist, Pathology - Medical Technologist')</v>
      </c>
    </row>
    <row r="1238" spans="1:19" ht="47.25" customHeight="1" x14ac:dyDescent="0.25">
      <c r="A1238" s="22" t="s">
        <v>227</v>
      </c>
      <c r="B1238" s="3" t="s">
        <v>1555</v>
      </c>
      <c r="C1238" s="3" t="s">
        <v>1705</v>
      </c>
      <c r="D1238" s="3" t="s">
        <v>1725</v>
      </c>
      <c r="E1238" s="3" t="s">
        <v>1726</v>
      </c>
      <c r="F1238" s="3">
        <f>VLOOKUP(Table1[[#This Row],[Column2]], TAXONOMY_TYPE, 2, FALSE)</f>
        <v>10159</v>
      </c>
      <c r="G1238" s="3">
        <v>64</v>
      </c>
      <c r="H1238" s="3" t="s">
        <v>1682</v>
      </c>
      <c r="I1238" s="3">
        <f>VLOOKUP(Table1[[#This Row],[Provider Type]] &amp; Table1[[#This Row],[Provider Type Description]], PROVIDER_TYPE, 2, FALSE)</f>
        <v>125</v>
      </c>
      <c r="J1238" s="3">
        <v>643</v>
      </c>
      <c r="K1238" s="3" t="s">
        <v>1558</v>
      </c>
      <c r="L1238" s="3">
        <f>VLOOKUP(TRIM(Table1[[#This Row],[Provider Specialty]]) &amp; TRIM(Table1[[#This Row],[Provider Specialty Description]]), SPECIALTY_TYPE, 2, FALSE)</f>
        <v>2336</v>
      </c>
      <c r="M1238" s="3" t="s">
        <v>18</v>
      </c>
      <c r="N1238" s="27" t="s">
        <v>18</v>
      </c>
      <c r="O1238" s="38">
        <f>VLOOKUP(TRIM(Table1[[#This Row],[Provider Specialty]]) &amp; TRIM(Table1[[#This Row],[Provider Specialty Description]]), SPECIALTY_TYPE, 2, FALSE)</f>
        <v>2336</v>
      </c>
      <c r="P1238" s="3" t="str">
        <f>Table1[[#This Row],[Provider Type]] &amp; "+" &amp; Table1[[#This Row],[Provider Type Description]]</f>
        <v>64+Specialist</v>
      </c>
      <c r="Q1238" s="7" t="str">
        <f>Table1[[#This Row],[Provider Specialty]] &amp; "+" &amp; Table1[[#This Row],[Provider Specialty Description]]</f>
        <v xml:space="preserve">643+Pathology </v>
      </c>
      <c r="R1238" s="7" t="str">
        <f>Table1[[#This Row],[PDMS Specialty Type ID]] &amp; "+" &amp; Table1[[#This Row],[PDMS Provider Type ID]] &amp; "+" &amp;Table1[[#This Row],[TAXONOMY]]</f>
        <v>2336+125+246QM0900X</v>
      </c>
      <c r="S12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(10159, 2336, 125, N'246QM0900X', N'Specialist/Technologist, Pathology - Microbiology')</v>
      </c>
    </row>
    <row r="1239" spans="1:19" ht="47.25" customHeight="1" x14ac:dyDescent="0.25">
      <c r="A1239" s="22" t="s">
        <v>227</v>
      </c>
      <c r="B1239" s="3" t="s">
        <v>1555</v>
      </c>
      <c r="C1239" s="3" t="s">
        <v>1591</v>
      </c>
      <c r="D1239" s="3" t="s">
        <v>1743</v>
      </c>
      <c r="E1239" s="3" t="s">
        <v>1744</v>
      </c>
      <c r="F1239" s="3">
        <f>VLOOKUP(Table1[[#This Row],[Column2]], TAXONOMY_TYPE, 2, FALSE)</f>
        <v>10160</v>
      </c>
      <c r="G1239" s="3">
        <v>64</v>
      </c>
      <c r="H1239" s="3" t="s">
        <v>1682</v>
      </c>
      <c r="I1239" s="3">
        <f>VLOOKUP(Table1[[#This Row],[Provider Type]] &amp; Table1[[#This Row],[Provider Type Description]], PROVIDER_TYPE, 2, FALSE)</f>
        <v>125</v>
      </c>
      <c r="J1239" s="3">
        <v>998</v>
      </c>
      <c r="K1239" s="3" t="s">
        <v>191</v>
      </c>
      <c r="L1239" s="3">
        <f>VLOOKUP(TRIM(Table1[[#This Row],[Provider Specialty]]) &amp; TRIM(Table1[[#This Row],[Provider Specialty Description]]), SPECIALTY_TYPE, 2, FALSE)</f>
        <v>2190</v>
      </c>
      <c r="M1239" s="3" t="s">
        <v>18</v>
      </c>
      <c r="N1239" s="27" t="s">
        <v>18</v>
      </c>
      <c r="O1239" s="38">
        <f>VLOOKUP(TRIM(Table1[[#This Row],[Provider Specialty]]) &amp; TRIM(Table1[[#This Row],[Provider Specialty Description]]), SPECIALTY_TYPE, 2, FALSE)</f>
        <v>2190</v>
      </c>
      <c r="P1239" s="3" t="str">
        <f>Table1[[#This Row],[Provider Type]] &amp; "+" &amp; Table1[[#This Row],[Provider Type Description]]</f>
        <v>64+Specialist</v>
      </c>
      <c r="Q1239" s="7" t="str">
        <f>Table1[[#This Row],[Provider Specialty]] &amp; "+" &amp; Table1[[#This Row],[Provider Specialty Description]]</f>
        <v>998+Specialty not yet defined</v>
      </c>
      <c r="R1239" s="7" t="str">
        <f>Table1[[#This Row],[PDMS Specialty Type ID]] &amp; "+" &amp; Table1[[#This Row],[PDMS Provider Type ID]] &amp; "+" &amp;Table1[[#This Row],[TAXONOMY]]</f>
        <v>2190+125+246ZA2600X</v>
      </c>
      <c r="S123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(10160, 2190, 125, N'246ZA2600X', N'Specialist/Technologist, Other - Art, Medical')</v>
      </c>
    </row>
    <row r="1240" spans="1:19" ht="47.25" customHeight="1" x14ac:dyDescent="0.25">
      <c r="A1240" s="22" t="s">
        <v>227</v>
      </c>
      <c r="B1240" s="3" t="s">
        <v>1555</v>
      </c>
      <c r="C1240" s="3" t="s">
        <v>1591</v>
      </c>
      <c r="D1240" s="3" t="s">
        <v>1576</v>
      </c>
      <c r="E1240" s="3" t="s">
        <v>1745</v>
      </c>
      <c r="F1240" s="3">
        <f>VLOOKUP(Table1[[#This Row],[Column2]], TAXONOMY_TYPE, 2, FALSE)</f>
        <v>10161</v>
      </c>
      <c r="G1240" s="3">
        <v>64</v>
      </c>
      <c r="H1240" s="3" t="s">
        <v>1682</v>
      </c>
      <c r="I1240" s="3">
        <f>VLOOKUP(Table1[[#This Row],[Provider Type]] &amp; Table1[[#This Row],[Provider Type Description]], PROVIDER_TYPE, 2, FALSE)</f>
        <v>125</v>
      </c>
      <c r="J1240" s="3">
        <v>998</v>
      </c>
      <c r="K1240" s="3" t="s">
        <v>191</v>
      </c>
      <c r="L1240" s="3">
        <f>VLOOKUP(TRIM(Table1[[#This Row],[Provider Specialty]]) &amp; TRIM(Table1[[#This Row],[Provider Specialty Description]]), SPECIALTY_TYPE, 2, FALSE)</f>
        <v>2190</v>
      </c>
      <c r="M1240" s="3" t="s">
        <v>18</v>
      </c>
      <c r="N1240" s="27" t="s">
        <v>18</v>
      </c>
      <c r="O1240" s="38">
        <f>VLOOKUP(TRIM(Table1[[#This Row],[Provider Specialty]]) &amp; TRIM(Table1[[#This Row],[Provider Specialty Description]]), SPECIALTY_TYPE, 2, FALSE)</f>
        <v>2190</v>
      </c>
      <c r="P1240" s="3" t="str">
        <f>Table1[[#This Row],[Provider Type]] &amp; "+" &amp; Table1[[#This Row],[Provider Type Description]]</f>
        <v>64+Specialist</v>
      </c>
      <c r="Q1240" s="7" t="str">
        <f>Table1[[#This Row],[Provider Specialty]] &amp; "+" &amp; Table1[[#This Row],[Provider Specialty Description]]</f>
        <v>998+Specialty not yet defined</v>
      </c>
      <c r="R1240" s="7" t="str">
        <f>Table1[[#This Row],[PDMS Specialty Type ID]] &amp; "+" &amp; Table1[[#This Row],[PDMS Provider Type ID]] &amp; "+" &amp;Table1[[#This Row],[TAXONOMY]]</f>
        <v>2190+125+246ZB0301X</v>
      </c>
      <c r="S124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(10161, 2190, 125, N'246ZB0301X', N'Specialist/Technologist, Other - Biomedical Engineering')</v>
      </c>
    </row>
    <row r="1241" spans="1:19" ht="47.25" customHeight="1" x14ac:dyDescent="0.25">
      <c r="A1241" s="22" t="s">
        <v>227</v>
      </c>
      <c r="B1241" s="3" t="s">
        <v>1555</v>
      </c>
      <c r="C1241" s="3" t="s">
        <v>1591</v>
      </c>
      <c r="D1241" s="3" t="s">
        <v>1746</v>
      </c>
      <c r="E1241" s="3" t="s">
        <v>1747</v>
      </c>
      <c r="F1241" s="3">
        <f>VLOOKUP(Table1[[#This Row],[Column2]], TAXONOMY_TYPE, 2, FALSE)</f>
        <v>10162</v>
      </c>
      <c r="G1241" s="3">
        <v>64</v>
      </c>
      <c r="H1241" s="3" t="s">
        <v>1682</v>
      </c>
      <c r="I1241" s="3">
        <f>VLOOKUP(Table1[[#This Row],[Provider Type]] &amp; Table1[[#This Row],[Provider Type Description]], PROVIDER_TYPE, 2, FALSE)</f>
        <v>125</v>
      </c>
      <c r="J1241" s="3">
        <v>998</v>
      </c>
      <c r="K1241" s="3" t="s">
        <v>191</v>
      </c>
      <c r="L1241" s="3">
        <f>VLOOKUP(TRIM(Table1[[#This Row],[Provider Specialty]]) &amp; TRIM(Table1[[#This Row],[Provider Specialty Description]]), SPECIALTY_TYPE, 2, FALSE)</f>
        <v>2190</v>
      </c>
      <c r="M1241" s="3" t="s">
        <v>18</v>
      </c>
      <c r="N1241" s="27" t="s">
        <v>18</v>
      </c>
      <c r="O1241" s="38">
        <f>VLOOKUP(TRIM(Table1[[#This Row],[Provider Specialty]]) &amp; TRIM(Table1[[#This Row],[Provider Specialty Description]]), SPECIALTY_TYPE, 2, FALSE)</f>
        <v>2190</v>
      </c>
      <c r="P1241" s="3" t="str">
        <f>Table1[[#This Row],[Provider Type]] &amp; "+" &amp; Table1[[#This Row],[Provider Type Description]]</f>
        <v>64+Specialist</v>
      </c>
      <c r="Q1241" s="7" t="str">
        <f>Table1[[#This Row],[Provider Specialty]] &amp; "+" &amp; Table1[[#This Row],[Provider Specialty Description]]</f>
        <v>998+Specialty not yet defined</v>
      </c>
      <c r="R1241" s="7" t="str">
        <f>Table1[[#This Row],[PDMS Specialty Type ID]] &amp; "+" &amp; Table1[[#This Row],[PDMS Provider Type ID]] &amp; "+" &amp;Table1[[#This Row],[TAXONOMY]]</f>
        <v>2190+125+246ZB0302X</v>
      </c>
      <c r="S124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(10162, 2190, 125, N'246ZB0302X', N'Specialist/Technologist, Other - Biomedical Photographer')</v>
      </c>
    </row>
    <row r="1242" spans="1:19" ht="47.25" customHeight="1" x14ac:dyDescent="0.25">
      <c r="A1242" s="22" t="s">
        <v>227</v>
      </c>
      <c r="B1242" s="3" t="s">
        <v>1555</v>
      </c>
      <c r="C1242" s="3" t="s">
        <v>1591</v>
      </c>
      <c r="D1242" s="3" t="s">
        <v>1748</v>
      </c>
      <c r="E1242" s="3" t="s">
        <v>1749</v>
      </c>
      <c r="F1242" s="3">
        <f>VLOOKUP(Table1[[#This Row],[Column2]], TAXONOMY_TYPE, 2, FALSE)</f>
        <v>10163</v>
      </c>
      <c r="G1242" s="3">
        <v>64</v>
      </c>
      <c r="H1242" s="3" t="s">
        <v>1682</v>
      </c>
      <c r="I1242" s="3">
        <f>VLOOKUP(Table1[[#This Row],[Provider Type]] &amp; Table1[[#This Row],[Provider Type Description]], PROVIDER_TYPE, 2, FALSE)</f>
        <v>125</v>
      </c>
      <c r="J1242" s="3">
        <v>998</v>
      </c>
      <c r="K1242" s="3" t="s">
        <v>191</v>
      </c>
      <c r="L1242" s="3">
        <f>VLOOKUP(TRIM(Table1[[#This Row],[Provider Specialty]]) &amp; TRIM(Table1[[#This Row],[Provider Specialty Description]]), SPECIALTY_TYPE, 2, FALSE)</f>
        <v>2190</v>
      </c>
      <c r="M1242" s="3" t="s">
        <v>18</v>
      </c>
      <c r="N1242" s="27" t="s">
        <v>18</v>
      </c>
      <c r="O1242" s="38">
        <f>VLOOKUP(TRIM(Table1[[#This Row],[Provider Specialty]]) &amp; TRIM(Table1[[#This Row],[Provider Specialty Description]]), SPECIALTY_TYPE, 2, FALSE)</f>
        <v>2190</v>
      </c>
      <c r="P1242" s="3" t="str">
        <f>Table1[[#This Row],[Provider Type]] &amp; "+" &amp; Table1[[#This Row],[Provider Type Description]]</f>
        <v>64+Specialist</v>
      </c>
      <c r="Q1242" s="7" t="str">
        <f>Table1[[#This Row],[Provider Specialty]] &amp; "+" &amp; Table1[[#This Row],[Provider Specialty Description]]</f>
        <v>998+Specialty not yet defined</v>
      </c>
      <c r="R1242" s="7" t="str">
        <f>Table1[[#This Row],[PDMS Specialty Type ID]] &amp; "+" &amp; Table1[[#This Row],[PDMS Provider Type ID]] &amp; "+" &amp;Table1[[#This Row],[TAXONOMY]]</f>
        <v>2190+125+246ZB0500X</v>
      </c>
      <c r="S124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(10163, 2190, 125, N'246ZB0500X', N'Specialist/Technologist, Other - Biochemist')</v>
      </c>
    </row>
    <row r="1243" spans="1:19" ht="47.25" customHeight="1" x14ac:dyDescent="0.25">
      <c r="A1243" s="22" t="s">
        <v>227</v>
      </c>
      <c r="B1243" s="3" t="s">
        <v>1555</v>
      </c>
      <c r="C1243" s="3" t="s">
        <v>1591</v>
      </c>
      <c r="D1243" s="3" t="s">
        <v>1750</v>
      </c>
      <c r="E1243" s="3" t="s">
        <v>1751</v>
      </c>
      <c r="F1243" s="3">
        <f>VLOOKUP(Table1[[#This Row],[Column2]], TAXONOMY_TYPE, 2, FALSE)</f>
        <v>10164</v>
      </c>
      <c r="G1243" s="3">
        <v>64</v>
      </c>
      <c r="H1243" s="3" t="s">
        <v>1682</v>
      </c>
      <c r="I1243" s="3">
        <f>VLOOKUP(Table1[[#This Row],[Provider Type]] &amp; Table1[[#This Row],[Provider Type Description]], PROVIDER_TYPE, 2, FALSE)</f>
        <v>125</v>
      </c>
      <c r="J1243" s="3">
        <v>998</v>
      </c>
      <c r="K1243" s="3" t="s">
        <v>191</v>
      </c>
      <c r="L1243" s="3">
        <f>VLOOKUP(TRIM(Table1[[#This Row],[Provider Specialty]]) &amp; TRIM(Table1[[#This Row],[Provider Specialty Description]]), SPECIALTY_TYPE, 2, FALSE)</f>
        <v>2190</v>
      </c>
      <c r="M1243" s="3" t="s">
        <v>18</v>
      </c>
      <c r="N1243" s="27" t="s">
        <v>18</v>
      </c>
      <c r="O1243" s="38">
        <f>VLOOKUP(TRIM(Table1[[#This Row],[Provider Specialty]]) &amp; TRIM(Table1[[#This Row],[Provider Specialty Description]]), SPECIALTY_TYPE, 2, FALSE)</f>
        <v>2190</v>
      </c>
      <c r="P1243" s="3" t="str">
        <f>Table1[[#This Row],[Provider Type]] &amp; "+" &amp; Table1[[#This Row],[Provider Type Description]]</f>
        <v>64+Specialist</v>
      </c>
      <c r="Q1243" s="7" t="str">
        <f>Table1[[#This Row],[Provider Specialty]] &amp; "+" &amp; Table1[[#This Row],[Provider Specialty Description]]</f>
        <v>998+Specialty not yet defined</v>
      </c>
      <c r="R1243" s="7" t="str">
        <f>Table1[[#This Row],[PDMS Specialty Type ID]] &amp; "+" &amp; Table1[[#This Row],[PDMS Provider Type ID]] &amp; "+" &amp;Table1[[#This Row],[TAXONOMY]]</f>
        <v>2190+125+246ZB0600X</v>
      </c>
      <c r="S124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(10164, 2190, 125, N'246ZB0600X', N'Specialist/Technologist, Other - Biostatistician')</v>
      </c>
    </row>
    <row r="1244" spans="1:19" ht="47.25" customHeight="1" x14ac:dyDescent="0.25">
      <c r="A1244" s="22" t="s">
        <v>227</v>
      </c>
      <c r="B1244" s="3" t="s">
        <v>1555</v>
      </c>
      <c r="C1244" s="3" t="s">
        <v>1591</v>
      </c>
      <c r="D1244" s="3" t="s">
        <v>1580</v>
      </c>
      <c r="E1244" s="3" t="s">
        <v>1752</v>
      </c>
      <c r="F1244" s="3">
        <f>VLOOKUP(Table1[[#This Row],[Column2]], TAXONOMY_TYPE, 2, FALSE)</f>
        <v>10165</v>
      </c>
      <c r="G1244" s="3">
        <v>64</v>
      </c>
      <c r="H1244" s="3" t="s">
        <v>1682</v>
      </c>
      <c r="I1244" s="3">
        <f>VLOOKUP(Table1[[#This Row],[Provider Type]] &amp; Table1[[#This Row],[Provider Type Description]], PROVIDER_TYPE, 2, FALSE)</f>
        <v>125</v>
      </c>
      <c r="J1244" s="3">
        <v>998</v>
      </c>
      <c r="K1244" s="3" t="s">
        <v>191</v>
      </c>
      <c r="L1244" s="3">
        <f>VLOOKUP(TRIM(Table1[[#This Row],[Provider Specialty]]) &amp; TRIM(Table1[[#This Row],[Provider Specialty Description]]), SPECIALTY_TYPE, 2, FALSE)</f>
        <v>2190</v>
      </c>
      <c r="M1244" s="3" t="s">
        <v>18</v>
      </c>
      <c r="N1244" s="27" t="s">
        <v>18</v>
      </c>
      <c r="O1244" s="38">
        <f>VLOOKUP(TRIM(Table1[[#This Row],[Provider Specialty]]) &amp; TRIM(Table1[[#This Row],[Provider Specialty Description]]), SPECIALTY_TYPE, 2, FALSE)</f>
        <v>2190</v>
      </c>
      <c r="P1244" s="3" t="str">
        <f>Table1[[#This Row],[Provider Type]] &amp; "+" &amp; Table1[[#This Row],[Provider Type Description]]</f>
        <v>64+Specialist</v>
      </c>
      <c r="Q1244" s="7" t="str">
        <f>Table1[[#This Row],[Provider Specialty]] &amp; "+" &amp; Table1[[#This Row],[Provider Specialty Description]]</f>
        <v>998+Specialty not yet defined</v>
      </c>
      <c r="R1244" s="7" t="str">
        <f>Table1[[#This Row],[PDMS Specialty Type ID]] &amp; "+" &amp; Table1[[#This Row],[PDMS Provider Type ID]] &amp; "+" &amp;Table1[[#This Row],[TAXONOMY]]</f>
        <v>2190+125+246ZE0500X</v>
      </c>
      <c r="S124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(10165, 2190, 125, N'246ZE0500X', N'Specialist/Technologist, Other - EEG')</v>
      </c>
    </row>
    <row r="1245" spans="1:19" ht="47.25" customHeight="1" x14ac:dyDescent="0.25">
      <c r="A1245" s="22" t="s">
        <v>227</v>
      </c>
      <c r="B1245" s="3" t="s">
        <v>1555</v>
      </c>
      <c r="C1245" s="3" t="s">
        <v>1591</v>
      </c>
      <c r="D1245" s="3" t="s">
        <v>1753</v>
      </c>
      <c r="E1245" s="3" t="s">
        <v>1754</v>
      </c>
      <c r="F1245" s="3">
        <f>VLOOKUP(Table1[[#This Row],[Column2]], TAXONOMY_TYPE, 2, FALSE)</f>
        <v>10166</v>
      </c>
      <c r="G1245" s="3">
        <v>64</v>
      </c>
      <c r="H1245" s="3" t="s">
        <v>1682</v>
      </c>
      <c r="I1245" s="3">
        <f>VLOOKUP(Table1[[#This Row],[Provider Type]] &amp; Table1[[#This Row],[Provider Type Description]], PROVIDER_TYPE, 2, FALSE)</f>
        <v>125</v>
      </c>
      <c r="J1245" s="3">
        <v>998</v>
      </c>
      <c r="K1245" s="3" t="s">
        <v>191</v>
      </c>
      <c r="L1245" s="3">
        <f>VLOOKUP(TRIM(Table1[[#This Row],[Provider Specialty]]) &amp; TRIM(Table1[[#This Row],[Provider Specialty Description]]), SPECIALTY_TYPE, 2, FALSE)</f>
        <v>2190</v>
      </c>
      <c r="M1245" s="3" t="s">
        <v>18</v>
      </c>
      <c r="N1245" s="27" t="s">
        <v>18</v>
      </c>
      <c r="O1245" s="38">
        <f>VLOOKUP(TRIM(Table1[[#This Row],[Provider Specialty]]) &amp; TRIM(Table1[[#This Row],[Provider Specialty Description]]), SPECIALTY_TYPE, 2, FALSE)</f>
        <v>2190</v>
      </c>
      <c r="P1245" s="3" t="str">
        <f>Table1[[#This Row],[Provider Type]] &amp; "+" &amp; Table1[[#This Row],[Provider Type Description]]</f>
        <v>64+Specialist</v>
      </c>
      <c r="Q1245" s="7" t="str">
        <f>Table1[[#This Row],[Provider Specialty]] &amp; "+" &amp; Table1[[#This Row],[Provider Specialty Description]]</f>
        <v>998+Specialty not yet defined</v>
      </c>
      <c r="R1245" s="7" t="str">
        <f>Table1[[#This Row],[PDMS Specialty Type ID]] &amp; "+" &amp; Table1[[#This Row],[PDMS Provider Type ID]] &amp; "+" &amp;Table1[[#This Row],[TAXONOMY]]</f>
        <v>2190+125+246ZE0600X</v>
      </c>
      <c r="S124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(10166, 2190, 125, N'246ZE0600X', N'Specialist/Technologist, Other - Electroneurodiagnostic')</v>
      </c>
    </row>
    <row r="1246" spans="1:19" ht="47.25" customHeight="1" x14ac:dyDescent="0.25">
      <c r="A1246" s="22" t="s">
        <v>227</v>
      </c>
      <c r="B1246" s="3" t="s">
        <v>1555</v>
      </c>
      <c r="C1246" s="3" t="s">
        <v>1591</v>
      </c>
      <c r="D1246" s="3" t="s">
        <v>1755</v>
      </c>
      <c r="E1246" s="3" t="s">
        <v>1756</v>
      </c>
      <c r="F1246" s="3">
        <f>VLOOKUP(Table1[[#This Row],[Column2]], TAXONOMY_TYPE, 2, FALSE)</f>
        <v>10167</v>
      </c>
      <c r="G1246" s="3">
        <v>64</v>
      </c>
      <c r="H1246" s="3" t="s">
        <v>1682</v>
      </c>
      <c r="I1246" s="3">
        <f>VLOOKUP(Table1[[#This Row],[Provider Type]] &amp; Table1[[#This Row],[Provider Type Description]], PROVIDER_TYPE, 2, FALSE)</f>
        <v>125</v>
      </c>
      <c r="J1246" s="3">
        <v>998</v>
      </c>
      <c r="K1246" s="3" t="s">
        <v>191</v>
      </c>
      <c r="L1246" s="3">
        <f>VLOOKUP(TRIM(Table1[[#This Row],[Provider Specialty]]) &amp; TRIM(Table1[[#This Row],[Provider Specialty Description]]), SPECIALTY_TYPE, 2, FALSE)</f>
        <v>2190</v>
      </c>
      <c r="M1246" s="3" t="s">
        <v>18</v>
      </c>
      <c r="N1246" s="27" t="s">
        <v>18</v>
      </c>
      <c r="O1246" s="38">
        <f>VLOOKUP(TRIM(Table1[[#This Row],[Provider Specialty]]) &amp; TRIM(Table1[[#This Row],[Provider Specialty Description]]), SPECIALTY_TYPE, 2, FALSE)</f>
        <v>2190</v>
      </c>
      <c r="P1246" s="3" t="str">
        <f>Table1[[#This Row],[Provider Type]] &amp; "+" &amp; Table1[[#This Row],[Provider Type Description]]</f>
        <v>64+Specialist</v>
      </c>
      <c r="Q1246" s="7" t="str">
        <f>Table1[[#This Row],[Provider Specialty]] &amp; "+" &amp; Table1[[#This Row],[Provider Specialty Description]]</f>
        <v>998+Specialty not yet defined</v>
      </c>
      <c r="R1246" s="7" t="str">
        <f>Table1[[#This Row],[PDMS Specialty Type ID]] &amp; "+" &amp; Table1[[#This Row],[PDMS Provider Type ID]] &amp; "+" &amp;Table1[[#This Row],[TAXONOMY]]</f>
        <v>2190+125+246ZG0701X</v>
      </c>
      <c r="S124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(10167, 2190, 125, N'246ZG0701X', N'Specialist/Technologist, Other - Graphics Methods')</v>
      </c>
    </row>
    <row r="1247" spans="1:19" ht="47.25" customHeight="1" x14ac:dyDescent="0.25">
      <c r="A1247" s="22" t="s">
        <v>227</v>
      </c>
      <c r="B1247" s="3" t="s">
        <v>1555</v>
      </c>
      <c r="C1247" s="3" t="s">
        <v>1591</v>
      </c>
      <c r="D1247" s="3" t="s">
        <v>1757</v>
      </c>
      <c r="E1247" s="3" t="s">
        <v>1758</v>
      </c>
      <c r="F1247" s="3">
        <f>VLOOKUP(Table1[[#This Row],[Column2]], TAXONOMY_TYPE, 2, FALSE)</f>
        <v>10168</v>
      </c>
      <c r="G1247" s="3">
        <v>64</v>
      </c>
      <c r="H1247" s="3" t="s">
        <v>1682</v>
      </c>
      <c r="I1247" s="3">
        <f>VLOOKUP(Table1[[#This Row],[Provider Type]] &amp; Table1[[#This Row],[Provider Type Description]], PROVIDER_TYPE, 2, FALSE)</f>
        <v>125</v>
      </c>
      <c r="J1247" s="3">
        <v>998</v>
      </c>
      <c r="K1247" s="3" t="s">
        <v>191</v>
      </c>
      <c r="L1247" s="3">
        <f>VLOOKUP(TRIM(Table1[[#This Row],[Provider Specialty]]) &amp; TRIM(Table1[[#This Row],[Provider Specialty Description]]), SPECIALTY_TYPE, 2, FALSE)</f>
        <v>2190</v>
      </c>
      <c r="M1247" s="3" t="s">
        <v>18</v>
      </c>
      <c r="N1247" s="27" t="s">
        <v>18</v>
      </c>
      <c r="O1247" s="38">
        <f>VLOOKUP(TRIM(Table1[[#This Row],[Provider Specialty]]) &amp; TRIM(Table1[[#This Row],[Provider Specialty Description]]), SPECIALTY_TYPE, 2, FALSE)</f>
        <v>2190</v>
      </c>
      <c r="P1247" s="3" t="str">
        <f>Table1[[#This Row],[Provider Type]] &amp; "+" &amp; Table1[[#This Row],[Provider Type Description]]</f>
        <v>64+Specialist</v>
      </c>
      <c r="Q1247" s="7" t="str">
        <f>Table1[[#This Row],[Provider Specialty]] &amp; "+" &amp; Table1[[#This Row],[Provider Specialty Description]]</f>
        <v>998+Specialty not yet defined</v>
      </c>
      <c r="R1247" s="7" t="str">
        <f>Table1[[#This Row],[PDMS Specialty Type ID]] &amp; "+" &amp; Table1[[#This Row],[PDMS Provider Type ID]] &amp; "+" &amp;Table1[[#This Row],[TAXONOMY]]</f>
        <v>2190+125+246ZG1000X</v>
      </c>
      <c r="S124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(10168, 2190, 125, N'246ZG1000X', N'Specialist/Technologist, Other - Geneticist, Medical (PhD)')</v>
      </c>
    </row>
    <row r="1248" spans="1:19" ht="47.25" customHeight="1" x14ac:dyDescent="0.25">
      <c r="A1248" s="22" t="s">
        <v>227</v>
      </c>
      <c r="B1248" s="3" t="s">
        <v>1555</v>
      </c>
      <c r="C1248" s="3" t="s">
        <v>1591</v>
      </c>
      <c r="D1248" s="3" t="s">
        <v>1759</v>
      </c>
      <c r="E1248" s="3" t="s">
        <v>1760</v>
      </c>
      <c r="F1248" s="3">
        <f>VLOOKUP(Table1[[#This Row],[Column2]], TAXONOMY_TYPE, 2, FALSE)</f>
        <v>10169</v>
      </c>
      <c r="G1248" s="3">
        <v>64</v>
      </c>
      <c r="H1248" s="3" t="s">
        <v>1682</v>
      </c>
      <c r="I1248" s="3">
        <f>VLOOKUP(Table1[[#This Row],[Provider Type]] &amp; Table1[[#This Row],[Provider Type Description]], PROVIDER_TYPE, 2, FALSE)</f>
        <v>125</v>
      </c>
      <c r="J1248" s="3">
        <v>998</v>
      </c>
      <c r="K1248" s="3" t="s">
        <v>191</v>
      </c>
      <c r="L1248" s="3">
        <f>VLOOKUP(TRIM(Table1[[#This Row],[Provider Specialty]]) &amp; TRIM(Table1[[#This Row],[Provider Specialty Description]]), SPECIALTY_TYPE, 2, FALSE)</f>
        <v>2190</v>
      </c>
      <c r="M1248" s="3" t="s">
        <v>18</v>
      </c>
      <c r="N1248" s="27" t="s">
        <v>18</v>
      </c>
      <c r="O1248" s="38">
        <f>VLOOKUP(TRIM(Table1[[#This Row],[Provider Specialty]]) &amp; TRIM(Table1[[#This Row],[Provider Specialty Description]]), SPECIALTY_TYPE, 2, FALSE)</f>
        <v>2190</v>
      </c>
      <c r="P1248" s="3" t="str">
        <f>Table1[[#This Row],[Provider Type]] &amp; "+" &amp; Table1[[#This Row],[Provider Type Description]]</f>
        <v>64+Specialist</v>
      </c>
      <c r="Q1248" s="7" t="str">
        <f>Table1[[#This Row],[Provider Specialty]] &amp; "+" &amp; Table1[[#This Row],[Provider Specialty Description]]</f>
        <v>998+Specialty not yet defined</v>
      </c>
      <c r="R1248" s="7" t="str">
        <f>Table1[[#This Row],[PDMS Specialty Type ID]] &amp; "+" &amp; Table1[[#This Row],[PDMS Provider Type ID]] &amp; "+" &amp;Table1[[#This Row],[TAXONOMY]]</f>
        <v>2190+125+246ZI1000X</v>
      </c>
      <c r="S124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(10169, 2190, 125, N'246ZI1000X', N'Specialist/Technologist, Other - Illustration, Medical')</v>
      </c>
    </row>
    <row r="1249" spans="1:19" ht="47.25" customHeight="1" x14ac:dyDescent="0.25">
      <c r="A1249" s="22" t="s">
        <v>227</v>
      </c>
      <c r="B1249" s="3" t="s">
        <v>1555</v>
      </c>
      <c r="C1249" s="3" t="s">
        <v>1591</v>
      </c>
      <c r="D1249" s="3" t="s">
        <v>631</v>
      </c>
      <c r="E1249" s="3" t="s">
        <v>1761</v>
      </c>
      <c r="F1249" s="3">
        <f>VLOOKUP(Table1[[#This Row],[Column2]], TAXONOMY_TYPE, 2, FALSE)</f>
        <v>10170</v>
      </c>
      <c r="G1249" s="3">
        <v>64</v>
      </c>
      <c r="H1249" s="3" t="s">
        <v>1682</v>
      </c>
      <c r="I1249" s="3">
        <f>VLOOKUP(Table1[[#This Row],[Provider Type]] &amp; Table1[[#This Row],[Provider Type Description]], PROVIDER_TYPE, 2, FALSE)</f>
        <v>125</v>
      </c>
      <c r="J1249" s="3">
        <v>998</v>
      </c>
      <c r="K1249" s="3" t="s">
        <v>191</v>
      </c>
      <c r="L1249" s="3">
        <f>VLOOKUP(TRIM(Table1[[#This Row],[Provider Specialty]]) &amp; TRIM(Table1[[#This Row],[Provider Specialty Description]]), SPECIALTY_TYPE, 2, FALSE)</f>
        <v>2190</v>
      </c>
      <c r="M1249" s="3" t="s">
        <v>18</v>
      </c>
      <c r="N1249" s="27" t="s">
        <v>18</v>
      </c>
      <c r="O1249" s="38">
        <f>VLOOKUP(TRIM(Table1[[#This Row],[Provider Specialty]]) &amp; TRIM(Table1[[#This Row],[Provider Specialty Description]]), SPECIALTY_TYPE, 2, FALSE)</f>
        <v>2190</v>
      </c>
      <c r="P1249" s="3" t="str">
        <f>Table1[[#This Row],[Provider Type]] &amp; "+" &amp; Table1[[#This Row],[Provider Type Description]]</f>
        <v>64+Specialist</v>
      </c>
      <c r="Q1249" s="7" t="str">
        <f>Table1[[#This Row],[Provider Specialty]] &amp; "+" &amp; Table1[[#This Row],[Provider Specialty Description]]</f>
        <v>998+Specialty not yet defined</v>
      </c>
      <c r="R1249" s="7" t="str">
        <f>Table1[[#This Row],[PDMS Specialty Type ID]] &amp; "+" &amp; Table1[[#This Row],[PDMS Provider Type ID]] &amp; "+" &amp;Table1[[#This Row],[TAXONOMY]]</f>
        <v>2190+125+246ZN0300X</v>
      </c>
      <c r="S124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(10170, 2190, 125, N'246ZN0300X', N'Specialist/Technologist, Other - Nephrology')</v>
      </c>
    </row>
    <row r="1250" spans="1:19" ht="47.25" customHeight="1" x14ac:dyDescent="0.25">
      <c r="A1250" s="22" t="s">
        <v>227</v>
      </c>
      <c r="B1250" s="3" t="s">
        <v>1555</v>
      </c>
      <c r="C1250" s="3" t="s">
        <v>1591</v>
      </c>
      <c r="D1250" s="3" t="s">
        <v>1851</v>
      </c>
      <c r="E1250" s="3" t="s">
        <v>1850</v>
      </c>
      <c r="F1250" s="3">
        <f>VLOOKUP(Table1[[#This Row],[Column2]], TAXONOMY_TYPE, 2, FALSE)</f>
        <v>10171</v>
      </c>
      <c r="G1250" s="3">
        <v>64</v>
      </c>
      <c r="H1250" s="3" t="s">
        <v>1682</v>
      </c>
      <c r="I1250" s="3">
        <f>VLOOKUP(Table1[[#This Row],[Provider Type]] &amp; Table1[[#This Row],[Provider Type Description]], PROVIDER_TYPE, 2, FALSE)</f>
        <v>125</v>
      </c>
      <c r="J1250" s="3">
        <v>998</v>
      </c>
      <c r="K1250" s="3" t="s">
        <v>191</v>
      </c>
      <c r="L1250" s="3">
        <f>VLOOKUP(TRIM(Table1[[#This Row],[Provider Specialty]]) &amp; TRIM(Table1[[#This Row],[Provider Specialty Description]]), SPECIALTY_TYPE, 2, FALSE)</f>
        <v>2190</v>
      </c>
      <c r="M1250" s="3" t="s">
        <v>18</v>
      </c>
      <c r="N1250" s="27" t="s">
        <v>18</v>
      </c>
      <c r="O1250" s="38">
        <f>VLOOKUP(TRIM(Table1[[#This Row],[Provider Specialty]]) &amp; TRIM(Table1[[#This Row],[Provider Specialty Description]]), SPECIALTY_TYPE, 2, FALSE)</f>
        <v>2190</v>
      </c>
      <c r="P1250" s="3" t="str">
        <f>Table1[[#This Row],[Provider Type]] &amp; "+" &amp; Table1[[#This Row],[Provider Type Description]]</f>
        <v>64+Specialist</v>
      </c>
      <c r="Q1250" s="7" t="str">
        <f>Table1[[#This Row],[Provider Specialty]] &amp; "+" &amp; Table1[[#This Row],[Provider Specialty Description]]</f>
        <v>998+Specialty not yet defined</v>
      </c>
      <c r="R1250" s="7" t="str">
        <f>Table1[[#This Row],[PDMS Specialty Type ID]] &amp; "+" &amp; Table1[[#This Row],[PDMS Provider Type ID]] &amp; "+" &amp;Table1[[#This Row],[TAXONOMY]]</f>
        <v>2190+125+246ZS0410X</v>
      </c>
      <c r="S125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(10171, 2190, 125, N'246ZS0410X', N'Specialist/Technologist, Other - Surgical Technologist')</v>
      </c>
    </row>
    <row r="1251" spans="1:19" ht="47.25" customHeight="1" x14ac:dyDescent="0.25">
      <c r="A1251" s="22" t="s">
        <v>227</v>
      </c>
      <c r="B1251" s="3" t="s">
        <v>337</v>
      </c>
      <c r="C1251" s="3" t="s">
        <v>1680</v>
      </c>
      <c r="D1251" s="3" t="s">
        <v>1680</v>
      </c>
      <c r="E1251" s="3" t="s">
        <v>1681</v>
      </c>
      <c r="F1251" s="3">
        <f>VLOOKUP(Table1[[#This Row],[Column2]], TAXONOMY_TYPE, 2, FALSE)</f>
        <v>10172</v>
      </c>
      <c r="G1251" s="3">
        <v>64</v>
      </c>
      <c r="H1251" s="3" t="s">
        <v>1682</v>
      </c>
      <c r="I1251" s="3">
        <f>VLOOKUP(Table1[[#This Row],[Provider Type]] &amp; Table1[[#This Row],[Provider Type Description]], PROVIDER_TYPE, 2, FALSE)</f>
        <v>125</v>
      </c>
      <c r="J1251" s="3">
        <v>999</v>
      </c>
      <c r="K1251" s="3" t="s">
        <v>935</v>
      </c>
      <c r="L1251" s="3">
        <f>VLOOKUP(TRIM(Table1[[#This Row],[Provider Specialty]]) &amp; TRIM(Table1[[#This Row],[Provider Specialty Description]]), SPECIALTY_TYPE, 2, FALSE)</f>
        <v>2346</v>
      </c>
      <c r="M1251" s="3" t="s">
        <v>18</v>
      </c>
      <c r="N1251" s="27" t="s">
        <v>18</v>
      </c>
      <c r="O1251" s="38">
        <f>VLOOKUP(TRIM(Table1[[#This Row],[Provider Specialty]]) &amp; TRIM(Table1[[#This Row],[Provider Specialty Description]]), SPECIALTY_TYPE, 2, FALSE)</f>
        <v>2346</v>
      </c>
      <c r="P1251" s="3" t="str">
        <f>Table1[[#This Row],[Provider Type]] &amp; "+" &amp; Table1[[#This Row],[Provider Type Description]]</f>
        <v>64+Specialist</v>
      </c>
      <c r="Q1251" s="7" t="str">
        <f>Table1[[#This Row],[Provider Specialty]] &amp; "+" &amp; Table1[[#This Row],[Provider Specialty Description]]</f>
        <v>999+Miscellaneous</v>
      </c>
      <c r="R1251" s="7" t="str">
        <f>Table1[[#This Row],[PDMS Specialty Type ID]] &amp; "+" &amp; Table1[[#This Row],[PDMS Provider Type ID]] &amp; "+" &amp;Table1[[#This Row],[TAXONOMY]]</f>
        <v>2346+125+174400000X</v>
      </c>
      <c r="S125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(10172, 2346, 125, N'174400000X', N'Specialist - Specialist')</v>
      </c>
    </row>
    <row r="1252" spans="1:19" ht="47.25" customHeight="1" x14ac:dyDescent="0.25">
      <c r="A1252" s="22" t="s">
        <v>227</v>
      </c>
      <c r="B1252" s="3" t="s">
        <v>661</v>
      </c>
      <c r="C1252" s="3" t="s">
        <v>1634</v>
      </c>
      <c r="D1252" s="3" t="s">
        <v>1634</v>
      </c>
      <c r="E1252" s="3" t="s">
        <v>1695</v>
      </c>
      <c r="F1252" s="3">
        <f>VLOOKUP(Table1[[#This Row],[Column2]], TAXONOMY_TYPE, 2, FALSE)</f>
        <v>10173</v>
      </c>
      <c r="G1252" s="3">
        <v>64</v>
      </c>
      <c r="H1252" s="3" t="s">
        <v>1682</v>
      </c>
      <c r="I1252" s="3">
        <f>VLOOKUP(Table1[[#This Row],[Provider Type]] &amp; Table1[[#This Row],[Provider Type Description]], PROVIDER_TYPE, 2, FALSE)</f>
        <v>125</v>
      </c>
      <c r="J1252" s="3">
        <v>999</v>
      </c>
      <c r="K1252" s="3" t="s">
        <v>935</v>
      </c>
      <c r="L1252" s="3">
        <f>VLOOKUP(TRIM(Table1[[#This Row],[Provider Specialty]]) &amp; TRIM(Table1[[#This Row],[Provider Specialty Description]]), SPECIALTY_TYPE, 2, FALSE)</f>
        <v>2346</v>
      </c>
      <c r="M1252" s="3" t="s">
        <v>18</v>
      </c>
      <c r="N1252" s="27" t="s">
        <v>18</v>
      </c>
      <c r="O1252" s="38">
        <f>VLOOKUP(TRIM(Table1[[#This Row],[Provider Specialty]]) &amp; TRIM(Table1[[#This Row],[Provider Specialty Description]]), SPECIALTY_TYPE, 2, FALSE)</f>
        <v>2346</v>
      </c>
      <c r="P1252" s="3" t="str">
        <f>Table1[[#This Row],[Provider Type]] &amp; "+" &amp; Table1[[#This Row],[Provider Type Description]]</f>
        <v>64+Specialist</v>
      </c>
      <c r="Q1252" s="7" t="str">
        <f>Table1[[#This Row],[Provider Specialty]] &amp; "+" &amp; Table1[[#This Row],[Provider Specialty Description]]</f>
        <v>999+Miscellaneous</v>
      </c>
      <c r="R1252" s="7" t="str">
        <f>Table1[[#This Row],[PDMS Specialty Type ID]] &amp; "+" &amp; Table1[[#This Row],[PDMS Provider Type ID]] &amp; "+" &amp;Table1[[#This Row],[TAXONOMY]]</f>
        <v>2346+125+225500000X</v>
      </c>
      <c r="S125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(10173, 2346, 125, N'225500000X', N'Specialist/Technologist - Specialist/Technologist')</v>
      </c>
    </row>
    <row r="1253" spans="1:19" ht="47.25" customHeight="1" x14ac:dyDescent="0.25">
      <c r="A1253" s="22" t="s">
        <v>227</v>
      </c>
      <c r="B1253" s="3" t="s">
        <v>748</v>
      </c>
      <c r="C1253" s="3" t="s">
        <v>1634</v>
      </c>
      <c r="D1253" s="3" t="s">
        <v>1634</v>
      </c>
      <c r="E1253" s="3" t="s">
        <v>1702</v>
      </c>
      <c r="F1253" s="3">
        <f>VLOOKUP(Table1[[#This Row],[Column2]], TAXONOMY_TYPE, 2, FALSE)</f>
        <v>10174</v>
      </c>
      <c r="G1253" s="3">
        <v>64</v>
      </c>
      <c r="H1253" s="3" t="s">
        <v>1682</v>
      </c>
      <c r="I1253" s="3">
        <f>VLOOKUP(Table1[[#This Row],[Provider Type]] &amp; Table1[[#This Row],[Provider Type Description]], PROVIDER_TYPE, 2, FALSE)</f>
        <v>125</v>
      </c>
      <c r="J1253" s="3">
        <v>999</v>
      </c>
      <c r="K1253" s="3" t="s">
        <v>935</v>
      </c>
      <c r="L1253" s="3">
        <f>VLOOKUP(TRIM(Table1[[#This Row],[Provider Specialty]]) &amp; TRIM(Table1[[#This Row],[Provider Specialty Description]]), SPECIALTY_TYPE, 2, FALSE)</f>
        <v>2346</v>
      </c>
      <c r="M1253" s="3" t="s">
        <v>18</v>
      </c>
      <c r="N1253" s="27" t="s">
        <v>18</v>
      </c>
      <c r="O1253" s="38">
        <f>VLOOKUP(TRIM(Table1[[#This Row],[Provider Specialty]]) &amp; TRIM(Table1[[#This Row],[Provider Specialty Description]]), SPECIALTY_TYPE, 2, FALSE)</f>
        <v>2346</v>
      </c>
      <c r="P1253" s="3" t="str">
        <f>Table1[[#This Row],[Provider Type]] &amp; "+" &amp; Table1[[#This Row],[Provider Type Description]]</f>
        <v>64+Specialist</v>
      </c>
      <c r="Q1253" s="7" t="str">
        <f>Table1[[#This Row],[Provider Specialty]] &amp; "+" &amp; Table1[[#This Row],[Provider Specialty Description]]</f>
        <v>999+Miscellaneous</v>
      </c>
      <c r="R1253" s="7" t="str">
        <f>Table1[[#This Row],[PDMS Specialty Type ID]] &amp; "+" &amp; Table1[[#This Row],[PDMS Provider Type ID]] &amp; "+" &amp;Table1[[#This Row],[TAXONOMY]]</f>
        <v>2346+125+235500000X</v>
      </c>
      <c r="S125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(10174, 2346, 125, N'235500000X', N'Specialist/Technologist - Specialist/Technologist')</v>
      </c>
    </row>
    <row r="1254" spans="1:19" ht="47.25" customHeight="1" x14ac:dyDescent="0.25">
      <c r="A1254" s="22" t="s">
        <v>227</v>
      </c>
      <c r="B1254" s="3" t="s">
        <v>1555</v>
      </c>
      <c r="C1254" s="3" t="s">
        <v>1591</v>
      </c>
      <c r="D1254" s="3" t="s">
        <v>1591</v>
      </c>
      <c r="E1254" s="3" t="s">
        <v>1742</v>
      </c>
      <c r="F1254" s="3">
        <f>VLOOKUP(Table1[[#This Row],[Column2]], TAXONOMY_TYPE, 2, FALSE)</f>
        <v>10175</v>
      </c>
      <c r="G1254" s="3">
        <v>64</v>
      </c>
      <c r="H1254" s="3" t="s">
        <v>1682</v>
      </c>
      <c r="I1254" s="3">
        <f>VLOOKUP(Table1[[#This Row],[Provider Type]] &amp; Table1[[#This Row],[Provider Type Description]], PROVIDER_TYPE, 2, FALSE)</f>
        <v>125</v>
      </c>
      <c r="J1254" s="3">
        <v>999</v>
      </c>
      <c r="K1254" s="3" t="s">
        <v>935</v>
      </c>
      <c r="L1254" s="3">
        <f>VLOOKUP(TRIM(Table1[[#This Row],[Provider Specialty]]) &amp; TRIM(Table1[[#This Row],[Provider Specialty Description]]), SPECIALTY_TYPE, 2, FALSE)</f>
        <v>2346</v>
      </c>
      <c r="M1254" s="3" t="s">
        <v>18</v>
      </c>
      <c r="N1254" s="27" t="s">
        <v>18</v>
      </c>
      <c r="O1254" s="38">
        <f>VLOOKUP(TRIM(Table1[[#This Row],[Provider Specialty]]) &amp; TRIM(Table1[[#This Row],[Provider Specialty Description]]), SPECIALTY_TYPE, 2, FALSE)</f>
        <v>2346</v>
      </c>
      <c r="P1254" s="3" t="str">
        <f>Table1[[#This Row],[Provider Type]] &amp; "+" &amp; Table1[[#This Row],[Provider Type Description]]</f>
        <v>64+Specialist</v>
      </c>
      <c r="Q1254" s="7" t="str">
        <f>Table1[[#This Row],[Provider Specialty]] &amp; "+" &amp; Table1[[#This Row],[Provider Specialty Description]]</f>
        <v>999+Miscellaneous</v>
      </c>
      <c r="R1254" s="7" t="str">
        <f>Table1[[#This Row],[PDMS Specialty Type ID]] &amp; "+" &amp; Table1[[#This Row],[PDMS Provider Type ID]] &amp; "+" &amp;Table1[[#This Row],[TAXONOMY]]</f>
        <v>2346+125+246Z00000X</v>
      </c>
      <c r="S125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(10175, 2346, 125, N'246Z00000X', N'Specialist/Technologist, Other - Specialist/Technologist, Other')</v>
      </c>
    </row>
    <row r="1255" spans="1:19" ht="47.25" hidden="1" customHeight="1" x14ac:dyDescent="0.25">
      <c r="A1255" s="22" t="s">
        <v>227</v>
      </c>
      <c r="B1255" s="3" t="s">
        <v>1544</v>
      </c>
      <c r="C1255" s="3" t="s">
        <v>1762</v>
      </c>
      <c r="D1255" s="3" t="s">
        <v>1762</v>
      </c>
      <c r="E1255" s="3" t="s">
        <v>1763</v>
      </c>
      <c r="F1255" s="3">
        <f>VLOOKUP(Table1[[#This Row],[Column2]], TAXONOMY_TYPE, 2, FALSE)</f>
        <v>10176</v>
      </c>
      <c r="G1255" s="3">
        <v>65</v>
      </c>
      <c r="H1255" s="3" t="s">
        <v>1764</v>
      </c>
      <c r="I1255" s="3">
        <f>VLOOKUP(Table1[[#This Row],[Provider Type]] &amp; Table1[[#This Row],[Provider Type Description]], PROVIDER_TYPE, 2, FALSE)</f>
        <v>42</v>
      </c>
      <c r="J1255" s="3">
        <v>241</v>
      </c>
      <c r="K1255" s="3" t="s">
        <v>1764</v>
      </c>
      <c r="L1255" s="3">
        <f>VLOOKUP(TRIM(Table1[[#This Row],[Provider Specialty]]) &amp; TRIM(Table1[[#This Row],[Provider Specialty Description]]), SPECIALTY_TYPE, 2, FALSE)</f>
        <v>2228</v>
      </c>
      <c r="M1255" s="3" t="s">
        <v>18</v>
      </c>
      <c r="N1255" s="27" t="s">
        <v>18</v>
      </c>
      <c r="O1255" s="38">
        <f>VLOOKUP(TRIM(Table1[[#This Row],[Provider Specialty]]) &amp; TRIM(Table1[[#This Row],[Provider Specialty Description]]), SPECIALTY_TYPE, 2, FALSE)</f>
        <v>2228</v>
      </c>
      <c r="P1255" s="3" t="str">
        <f>Table1[[#This Row],[Provider Type]] &amp; "+" &amp; Table1[[#This Row],[Provider Type Description]]</f>
        <v>65+Pharmacist</v>
      </c>
      <c r="Q1255" s="7" t="str">
        <f>Table1[[#This Row],[Provider Specialty]] &amp; "+" &amp; Table1[[#This Row],[Provider Specialty Description]]</f>
        <v>241+Pharmacist</v>
      </c>
      <c r="R1255" s="7" t="str">
        <f>Table1[[#This Row],[PDMS Specialty Type ID]] &amp; "+" &amp; Table1[[#This Row],[PDMS Provider Type ID]] &amp; "+" &amp;Table1[[#This Row],[TAXONOMY]]</f>
        <v>2228+42+183500000X</v>
      </c>
      <c r="S125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(10176, 2228, 42, N'183500000X', N'Pharmacist - Pharmacist')</v>
      </c>
    </row>
    <row r="1256" spans="1:19" ht="47.25" hidden="1" customHeight="1" x14ac:dyDescent="0.25">
      <c r="A1256" s="22" t="s">
        <v>227</v>
      </c>
      <c r="B1256" s="3" t="s">
        <v>1544</v>
      </c>
      <c r="C1256" s="3" t="s">
        <v>1762</v>
      </c>
      <c r="D1256" s="3" t="s">
        <v>1765</v>
      </c>
      <c r="E1256" s="3" t="s">
        <v>1766</v>
      </c>
      <c r="F1256" s="3">
        <f>VLOOKUP(Table1[[#This Row],[Column2]], TAXONOMY_TYPE, 2, FALSE)</f>
        <v>10177</v>
      </c>
      <c r="G1256" s="3">
        <v>65</v>
      </c>
      <c r="H1256" s="3" t="s">
        <v>1764</v>
      </c>
      <c r="I1256" s="3">
        <f>VLOOKUP(Table1[[#This Row],[Provider Type]] &amp; Table1[[#This Row],[Provider Type Description]], PROVIDER_TYPE, 2, FALSE)</f>
        <v>42</v>
      </c>
      <c r="J1256" s="3">
        <v>241</v>
      </c>
      <c r="K1256" s="3" t="s">
        <v>1764</v>
      </c>
      <c r="L1256" s="3">
        <f>VLOOKUP(TRIM(Table1[[#This Row],[Provider Specialty]]) &amp; TRIM(Table1[[#This Row],[Provider Specialty Description]]), SPECIALTY_TYPE, 2, FALSE)</f>
        <v>2228</v>
      </c>
      <c r="M1256" s="3" t="s">
        <v>18</v>
      </c>
      <c r="N1256" s="27" t="s">
        <v>18</v>
      </c>
      <c r="O1256" s="38">
        <f>VLOOKUP(TRIM(Table1[[#This Row],[Provider Specialty]]) &amp; TRIM(Table1[[#This Row],[Provider Specialty Description]]), SPECIALTY_TYPE, 2, FALSE)</f>
        <v>2228</v>
      </c>
      <c r="P1256" s="3" t="str">
        <f>Table1[[#This Row],[Provider Type]] &amp; "+" &amp; Table1[[#This Row],[Provider Type Description]]</f>
        <v>65+Pharmacist</v>
      </c>
      <c r="Q1256" s="7" t="str">
        <f>Table1[[#This Row],[Provider Specialty]] &amp; "+" &amp; Table1[[#This Row],[Provider Specialty Description]]</f>
        <v>241+Pharmacist</v>
      </c>
      <c r="R1256" s="7" t="str">
        <f>Table1[[#This Row],[PDMS Specialty Type ID]] &amp; "+" &amp; Table1[[#This Row],[PDMS Provider Type ID]] &amp; "+" &amp;Table1[[#This Row],[TAXONOMY]]</f>
        <v>2228+42+1835G0000X</v>
      </c>
      <c r="S125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(10177, 2228, 42, N'1835G0000X', N'Pharmacist - General Practice^^ (use 183500000X)')</v>
      </c>
    </row>
    <row r="1257" spans="1:19" ht="47.25" hidden="1" customHeight="1" x14ac:dyDescent="0.25">
      <c r="A1257" s="22" t="s">
        <v>227</v>
      </c>
      <c r="B1257" s="3" t="s">
        <v>1544</v>
      </c>
      <c r="C1257" s="3" t="s">
        <v>1762</v>
      </c>
      <c r="D1257" s="3" t="s">
        <v>1767</v>
      </c>
      <c r="E1257" s="3" t="s">
        <v>1768</v>
      </c>
      <c r="F1257" s="3">
        <f>VLOOKUP(Table1[[#This Row],[Column2]], TAXONOMY_TYPE, 2, FALSE)</f>
        <v>10178</v>
      </c>
      <c r="G1257" s="3">
        <v>65</v>
      </c>
      <c r="H1257" s="3" t="s">
        <v>1764</v>
      </c>
      <c r="I1257" s="3">
        <f>VLOOKUP(Table1[[#This Row],[Provider Type]] &amp; Table1[[#This Row],[Provider Type Description]], PROVIDER_TYPE, 2, FALSE)</f>
        <v>42</v>
      </c>
      <c r="J1257" s="3">
        <v>242</v>
      </c>
      <c r="K1257" s="3" t="s">
        <v>1769</v>
      </c>
      <c r="L1257" s="3">
        <f>VLOOKUP(TRIM(Table1[[#This Row],[Provider Specialty]]) &amp; TRIM(Table1[[#This Row],[Provider Specialty Description]]), SPECIALTY_TYPE, 2, FALSE)</f>
        <v>2229</v>
      </c>
      <c r="M1257" s="3" t="s">
        <v>18</v>
      </c>
      <c r="N1257" s="27" t="s">
        <v>18</v>
      </c>
      <c r="O1257" s="38">
        <f>VLOOKUP(TRIM(Table1[[#This Row],[Provider Specialty]]) &amp; TRIM(Table1[[#This Row],[Provider Specialty Description]]), SPECIALTY_TYPE, 2, FALSE)</f>
        <v>2229</v>
      </c>
      <c r="P1257" s="3" t="str">
        <f>Table1[[#This Row],[Provider Type]] &amp; "+" &amp; Table1[[#This Row],[Provider Type Description]]</f>
        <v>65+Pharmacist</v>
      </c>
      <c r="Q1257" s="7" t="str">
        <f>Table1[[#This Row],[Provider Specialty]] &amp; "+" &amp; Table1[[#This Row],[Provider Specialty Description]]</f>
        <v>242+Geriatric Pharmacist</v>
      </c>
      <c r="R1257" s="7" t="str">
        <f>Table1[[#This Row],[PDMS Specialty Type ID]] &amp; "+" &amp; Table1[[#This Row],[PDMS Provider Type ID]] &amp; "+" &amp;Table1[[#This Row],[TAXONOMY]]</f>
        <v>2229+42+1835G0303X</v>
      </c>
      <c r="S125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(10178, 2229, 42, N'1835G0303X', N'Pharmacist - Geriatric')</v>
      </c>
    </row>
    <row r="1258" spans="1:19" ht="47.25" hidden="1" customHeight="1" x14ac:dyDescent="0.25">
      <c r="A1258" s="22" t="s">
        <v>227</v>
      </c>
      <c r="B1258" s="3" t="s">
        <v>1544</v>
      </c>
      <c r="C1258" s="3" t="s">
        <v>1762</v>
      </c>
      <c r="D1258" s="3" t="s">
        <v>1770</v>
      </c>
      <c r="E1258" s="3" t="s">
        <v>1771</v>
      </c>
      <c r="F1258" s="3">
        <f>VLOOKUP(Table1[[#This Row],[Column2]], TAXONOMY_TYPE, 2, FALSE)</f>
        <v>10179</v>
      </c>
      <c r="G1258" s="3">
        <v>65</v>
      </c>
      <c r="H1258" s="3" t="s">
        <v>1764</v>
      </c>
      <c r="I1258" s="3">
        <f>VLOOKUP(Table1[[#This Row],[Provider Type]] &amp; Table1[[#This Row],[Provider Type Description]], PROVIDER_TYPE, 2, FALSE)</f>
        <v>42</v>
      </c>
      <c r="J1258" s="3">
        <v>243</v>
      </c>
      <c r="K1258" s="3" t="s">
        <v>1772</v>
      </c>
      <c r="L1258" s="3">
        <f>VLOOKUP(TRIM(Table1[[#This Row],[Provider Specialty]]) &amp; TRIM(Table1[[#This Row],[Provider Specialty Description]]), SPECIALTY_TYPE, 2, FALSE)</f>
        <v>2230</v>
      </c>
      <c r="M1258" s="3" t="s">
        <v>18</v>
      </c>
      <c r="N1258" s="27" t="s">
        <v>18</v>
      </c>
      <c r="O1258" s="38">
        <f>VLOOKUP(TRIM(Table1[[#This Row],[Provider Specialty]]) &amp; TRIM(Table1[[#This Row],[Provider Specialty Description]]), SPECIALTY_TYPE, 2, FALSE)</f>
        <v>2230</v>
      </c>
      <c r="P1258" s="3" t="str">
        <f>Table1[[#This Row],[Provider Type]] &amp; "+" &amp; Table1[[#This Row],[Provider Type Description]]</f>
        <v>65+Pharmacist</v>
      </c>
      <c r="Q1258" s="7" t="str">
        <f>Table1[[#This Row],[Provider Specialty]] &amp; "+" &amp; Table1[[#This Row],[Provider Specialty Description]]</f>
        <v>243+Nuclear Pharmacist</v>
      </c>
      <c r="R1258" s="7" t="str">
        <f>Table1[[#This Row],[PDMS Specialty Type ID]] &amp; "+" &amp; Table1[[#This Row],[PDMS Provider Type ID]] &amp; "+" &amp;Table1[[#This Row],[TAXONOMY]]</f>
        <v>2230+42+1835N0905X</v>
      </c>
      <c r="S125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(10179, 2230, 42, N'1835N0905X', N'Pharmacist - Nuclear')</v>
      </c>
    </row>
    <row r="1259" spans="1:19" ht="47.25" hidden="1" customHeight="1" x14ac:dyDescent="0.25">
      <c r="A1259" s="22" t="s">
        <v>227</v>
      </c>
      <c r="B1259" s="3" t="s">
        <v>1544</v>
      </c>
      <c r="C1259" s="3" t="s">
        <v>1762</v>
      </c>
      <c r="D1259" s="3" t="s">
        <v>634</v>
      </c>
      <c r="E1259" s="3" t="s">
        <v>1773</v>
      </c>
      <c r="F1259" s="3">
        <f>VLOOKUP(Table1[[#This Row],[Column2]], TAXONOMY_TYPE, 2, FALSE)</f>
        <v>10180</v>
      </c>
      <c r="G1259" s="3">
        <v>65</v>
      </c>
      <c r="H1259" s="3" t="s">
        <v>1764</v>
      </c>
      <c r="I1259" s="3">
        <f>VLOOKUP(Table1[[#This Row],[Provider Type]] &amp; Table1[[#This Row],[Provider Type Description]], PROVIDER_TYPE, 2, FALSE)</f>
        <v>42</v>
      </c>
      <c r="J1259" s="3">
        <v>244</v>
      </c>
      <c r="K1259" s="3" t="s">
        <v>1774</v>
      </c>
      <c r="L1259" s="3">
        <f>VLOOKUP(TRIM(Table1[[#This Row],[Provider Specialty]]) &amp; TRIM(Table1[[#This Row],[Provider Specialty Description]]), SPECIALTY_TYPE, 2, FALSE)</f>
        <v>2231</v>
      </c>
      <c r="M1259" s="3" t="s">
        <v>18</v>
      </c>
      <c r="N1259" s="27" t="s">
        <v>18</v>
      </c>
      <c r="O1259" s="38">
        <f>VLOOKUP(TRIM(Table1[[#This Row],[Provider Specialty]]) &amp; TRIM(Table1[[#This Row],[Provider Specialty Description]]), SPECIALTY_TYPE, 2, FALSE)</f>
        <v>2231</v>
      </c>
      <c r="P1259" s="3" t="str">
        <f>Table1[[#This Row],[Provider Type]] &amp; "+" &amp; Table1[[#This Row],[Provider Type Description]]</f>
        <v>65+Pharmacist</v>
      </c>
      <c r="Q1259" s="7" t="str">
        <f>Table1[[#This Row],[Provider Specialty]] &amp; "+" &amp; Table1[[#This Row],[Provider Specialty Description]]</f>
        <v>244+Nutrition Support Pharmacist</v>
      </c>
      <c r="R1259" s="7" t="str">
        <f>Table1[[#This Row],[PDMS Specialty Type ID]] &amp; "+" &amp; Table1[[#This Row],[PDMS Provider Type ID]] &amp; "+" &amp;Table1[[#This Row],[TAXONOMY]]</f>
        <v>2231+42+1835N1003X</v>
      </c>
      <c r="S125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(10180, 2231, 42, N'1835N1003X', N'Pharmacist - Nutrition Support')</v>
      </c>
    </row>
    <row r="1260" spans="1:19" ht="47.25" hidden="1" customHeight="1" x14ac:dyDescent="0.25">
      <c r="A1260" s="22" t="s">
        <v>227</v>
      </c>
      <c r="B1260" s="3" t="s">
        <v>1544</v>
      </c>
      <c r="C1260" s="3" t="s">
        <v>1762</v>
      </c>
      <c r="D1260" s="3" t="s">
        <v>319</v>
      </c>
      <c r="E1260" s="3" t="s">
        <v>1783</v>
      </c>
      <c r="F1260" s="3">
        <f>VLOOKUP(Table1[[#This Row],[Column2]], TAXONOMY_TYPE, 2, FALSE)</f>
        <v>10181</v>
      </c>
      <c r="G1260" s="3">
        <v>65</v>
      </c>
      <c r="H1260" s="3" t="s">
        <v>1764</v>
      </c>
      <c r="I1260" s="3">
        <f>VLOOKUP(Table1[[#This Row],[Provider Type]] &amp; Table1[[#This Row],[Provider Type Description]], PROVIDER_TYPE, 2, FALSE)</f>
        <v>42</v>
      </c>
      <c r="J1260" s="3">
        <v>245</v>
      </c>
      <c r="K1260" s="3" t="s">
        <v>1784</v>
      </c>
      <c r="L1260" s="3">
        <f>VLOOKUP(TRIM(Table1[[#This Row],[Provider Specialty]]) &amp; TRIM(Table1[[#This Row],[Provider Specialty Description]]), SPECIALTY_TYPE, 2, FALSE)</f>
        <v>2232</v>
      </c>
      <c r="M1260" s="3" t="s">
        <v>18</v>
      </c>
      <c r="N1260" s="27" t="s">
        <v>18</v>
      </c>
      <c r="O1260" s="38">
        <f>VLOOKUP(TRIM(Table1[[#This Row],[Provider Specialty]]) &amp; TRIM(Table1[[#This Row],[Provider Specialty Description]]), SPECIALTY_TYPE, 2, FALSE)</f>
        <v>2232</v>
      </c>
      <c r="P1260" s="3" t="str">
        <f>Table1[[#This Row],[Provider Type]] &amp; "+" &amp; Table1[[#This Row],[Provider Type Description]]</f>
        <v>65+Pharmacist</v>
      </c>
      <c r="Q1260" s="7" t="str">
        <f>Table1[[#This Row],[Provider Specialty]] &amp; "+" &amp; Table1[[#This Row],[Provider Specialty Description]]</f>
        <v>245+Oncology Pharmacist</v>
      </c>
      <c r="R1260" s="7" t="str">
        <f>Table1[[#This Row],[PDMS Specialty Type ID]] &amp; "+" &amp; Table1[[#This Row],[PDMS Provider Type ID]] &amp; "+" &amp;Table1[[#This Row],[TAXONOMY]]</f>
        <v>2232+42+1835X0200X</v>
      </c>
      <c r="S126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(10181, 2232, 42, N'1835X0200X', N'Pharmacist - Oncology')</v>
      </c>
    </row>
    <row r="1261" spans="1:19" ht="47.25" hidden="1" customHeight="1" x14ac:dyDescent="0.25">
      <c r="A1261" s="22" t="s">
        <v>227</v>
      </c>
      <c r="B1261" s="3" t="s">
        <v>1544</v>
      </c>
      <c r="C1261" s="3" t="s">
        <v>1762</v>
      </c>
      <c r="D1261" s="3" t="s">
        <v>1777</v>
      </c>
      <c r="E1261" s="3" t="s">
        <v>1778</v>
      </c>
      <c r="F1261" s="3">
        <f>VLOOKUP(Table1[[#This Row],[Column2]], TAXONOMY_TYPE, 2, FALSE)</f>
        <v>10182</v>
      </c>
      <c r="G1261" s="3">
        <v>65</v>
      </c>
      <c r="H1261" s="3" t="s">
        <v>1764</v>
      </c>
      <c r="I1261" s="3">
        <f>VLOOKUP(Table1[[#This Row],[Provider Type]] &amp; Table1[[#This Row],[Provider Type Description]], PROVIDER_TYPE, 2, FALSE)</f>
        <v>42</v>
      </c>
      <c r="J1261" s="3">
        <v>246</v>
      </c>
      <c r="K1261" s="3" t="s">
        <v>1779</v>
      </c>
      <c r="L1261" s="3">
        <f>VLOOKUP(TRIM(Table1[[#This Row],[Provider Specialty]]) &amp; TRIM(Table1[[#This Row],[Provider Specialty Description]]), SPECIALTY_TYPE, 2, FALSE)</f>
        <v>2233</v>
      </c>
      <c r="M1261" s="3" t="s">
        <v>18</v>
      </c>
      <c r="N1261" s="27" t="s">
        <v>18</v>
      </c>
      <c r="O1261" s="38">
        <f>VLOOKUP(TRIM(Table1[[#This Row],[Provider Specialty]]) &amp; TRIM(Table1[[#This Row],[Provider Specialty Description]]), SPECIALTY_TYPE, 2, FALSE)</f>
        <v>2233</v>
      </c>
      <c r="P1261" s="3" t="str">
        <f>Table1[[#This Row],[Provider Type]] &amp; "+" &amp; Table1[[#This Row],[Provider Type Description]]</f>
        <v>65+Pharmacist</v>
      </c>
      <c r="Q1261" s="7" t="str">
        <f>Table1[[#This Row],[Provider Specialty]] &amp; "+" &amp; Table1[[#This Row],[Provider Specialty Description]]</f>
        <v>246+Pharmacology Pharmacist</v>
      </c>
      <c r="R1261" s="7" t="str">
        <f>Table1[[#This Row],[PDMS Specialty Type ID]] &amp; "+" &amp; Table1[[#This Row],[PDMS Provider Type ID]] &amp; "+" &amp;Table1[[#This Row],[TAXONOMY]]</f>
        <v>2233+42+1835P1200X</v>
      </c>
      <c r="S126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(10182, 2233, 42, N'1835P1200X', N'Pharmacist - Pharmacotherapy')</v>
      </c>
    </row>
    <row r="1262" spans="1:19" ht="47.25" hidden="1" customHeight="1" x14ac:dyDescent="0.25">
      <c r="A1262" s="22" t="s">
        <v>227</v>
      </c>
      <c r="B1262" s="3" t="s">
        <v>1544</v>
      </c>
      <c r="C1262" s="3" t="s">
        <v>1762</v>
      </c>
      <c r="D1262" s="3" t="s">
        <v>1780</v>
      </c>
      <c r="E1262" s="3" t="s">
        <v>1781</v>
      </c>
      <c r="F1262" s="3">
        <f>VLOOKUP(Table1[[#This Row],[Column2]], TAXONOMY_TYPE, 2, FALSE)</f>
        <v>10183</v>
      </c>
      <c r="G1262" s="3">
        <v>65</v>
      </c>
      <c r="H1262" s="3" t="s">
        <v>1764</v>
      </c>
      <c r="I1262" s="3">
        <f>VLOOKUP(Table1[[#This Row],[Provider Type]] &amp; Table1[[#This Row],[Provider Type Description]], PROVIDER_TYPE, 2, FALSE)</f>
        <v>42</v>
      </c>
      <c r="J1262" s="3">
        <v>247</v>
      </c>
      <c r="K1262" s="3" t="s">
        <v>1782</v>
      </c>
      <c r="L1262" s="3">
        <f>VLOOKUP(TRIM(Table1[[#This Row],[Provider Specialty]]) &amp; TRIM(Table1[[#This Row],[Provider Specialty Description]]), SPECIALTY_TYPE, 2, FALSE)</f>
        <v>2234</v>
      </c>
      <c r="M1262" s="3" t="s">
        <v>18</v>
      </c>
      <c r="N1262" s="27" t="s">
        <v>18</v>
      </c>
      <c r="O1262" s="38">
        <f>VLOOKUP(TRIM(Table1[[#This Row],[Provider Specialty]]) &amp; TRIM(Table1[[#This Row],[Provider Specialty Description]]), SPECIALTY_TYPE, 2, FALSE)</f>
        <v>2234</v>
      </c>
      <c r="P1262" s="3" t="str">
        <f>Table1[[#This Row],[Provider Type]] &amp; "+" &amp; Table1[[#This Row],[Provider Type Description]]</f>
        <v>65+Pharmacist</v>
      </c>
      <c r="Q1262" s="7" t="str">
        <f>Table1[[#This Row],[Provider Specialty]] &amp; "+" &amp; Table1[[#This Row],[Provider Specialty Description]]</f>
        <v xml:space="preserve">247+Psychiatric Pharmacist </v>
      </c>
      <c r="R1262" s="7" t="str">
        <f>Table1[[#This Row],[PDMS Specialty Type ID]] &amp; "+" &amp; Table1[[#This Row],[PDMS Provider Type ID]] &amp; "+" &amp;Table1[[#This Row],[TAXONOMY]]</f>
        <v>2234+42+1835P1300X</v>
      </c>
      <c r="S126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(10183, 2234, 42, N'1835P1300X', N'Pharmacist - Psychiatric')</v>
      </c>
    </row>
    <row r="1263" spans="1:19" ht="47.25" hidden="1" customHeight="1" x14ac:dyDescent="0.25">
      <c r="A1263" s="22" t="s">
        <v>227</v>
      </c>
      <c r="B1263" s="3" t="s">
        <v>1544</v>
      </c>
      <c r="C1263" s="3" t="s">
        <v>1762</v>
      </c>
      <c r="D1263" s="3" t="s">
        <v>1775</v>
      </c>
      <c r="E1263" s="3" t="s">
        <v>1776</v>
      </c>
      <c r="F1263" s="3">
        <f>VLOOKUP(Table1[[#This Row],[Column2]], TAXONOMY_TYPE, 2, FALSE)</f>
        <v>10184</v>
      </c>
      <c r="G1263" s="3">
        <v>65</v>
      </c>
      <c r="H1263" s="3" t="s">
        <v>1764</v>
      </c>
      <c r="I1263" s="3">
        <f>VLOOKUP(Table1[[#This Row],[Provider Type]] &amp; Table1[[#This Row],[Provider Type Description]], PROVIDER_TYPE, 2, FALSE)</f>
        <v>42</v>
      </c>
      <c r="J1263" s="3">
        <v>520</v>
      </c>
      <c r="K1263" s="3" t="s">
        <v>1435</v>
      </c>
      <c r="L1263" s="3">
        <f>VLOOKUP(TRIM(Table1[[#This Row],[Provider Specialty]]) &amp; TRIM(Table1[[#This Row],[Provider Specialty Description]]), SPECIALTY_TYPE, 2, FALSE)</f>
        <v>518</v>
      </c>
      <c r="M1263" s="3" t="s">
        <v>18</v>
      </c>
      <c r="N1263" s="27" t="s">
        <v>18</v>
      </c>
      <c r="O1263" s="38">
        <f>VLOOKUP(TRIM(Table1[[#This Row],[Provider Specialty]]) &amp; TRIM(Table1[[#This Row],[Provider Specialty Description]]), SPECIALTY_TYPE, 2, FALSE)</f>
        <v>518</v>
      </c>
      <c r="P1263" s="3" t="str">
        <f>Table1[[#This Row],[Provider Type]] &amp; "+" &amp; Table1[[#This Row],[Provider Type Description]]</f>
        <v>65+Pharmacist</v>
      </c>
      <c r="Q1263" s="7" t="str">
        <f>Table1[[#This Row],[Provider Specialty]] &amp; "+" &amp; Table1[[#This Row],[Provider Specialty Description]]</f>
        <v>520+Clinical Pharmacology</v>
      </c>
      <c r="R1263" s="7" t="str">
        <f>Table1[[#This Row],[PDMS Specialty Type ID]] &amp; "+" &amp; Table1[[#This Row],[PDMS Provider Type ID]] &amp; "+" &amp;Table1[[#This Row],[TAXONOMY]]</f>
        <v>518+42+1835P0018X</v>
      </c>
      <c r="S126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(10184, 518, 42, N'1835P0018X', N'Pharmacist - Pharmacist Clinician (PhC)/ Clinical Pharmacy Specialist*****')</v>
      </c>
    </row>
    <row r="1264" spans="1:19" ht="47.25" customHeight="1" x14ac:dyDescent="0.25">
      <c r="A1264" s="22" t="s">
        <v>227</v>
      </c>
      <c r="B1264" s="3" t="s">
        <v>661</v>
      </c>
      <c r="C1264" s="3" t="s">
        <v>1785</v>
      </c>
      <c r="D1264" s="3" t="s">
        <v>1785</v>
      </c>
      <c r="E1264" s="3" t="s">
        <v>1786</v>
      </c>
      <c r="F1264" s="3">
        <f>VLOOKUP(Table1[[#This Row],[Column2]], TAXONOMY_TYPE, 2, FALSE)</f>
        <v>10185</v>
      </c>
      <c r="G1264" s="3">
        <v>66</v>
      </c>
      <c r="H1264" s="3" t="s">
        <v>1787</v>
      </c>
      <c r="I1264" s="3">
        <f>VLOOKUP(Table1[[#This Row],[Provider Type]] &amp; Table1[[#This Row],[Provider Type Description]], PROVIDER_TYPE, 2, FALSE)</f>
        <v>126</v>
      </c>
      <c r="J1264" s="3">
        <v>277</v>
      </c>
      <c r="K1264" s="3" t="s">
        <v>1788</v>
      </c>
      <c r="L1264" s="3">
        <f>VLOOKUP(TRIM(Table1[[#This Row],[Provider Specialty]]) &amp; TRIM(Table1[[#This Row],[Provider Specialty Description]]), SPECIALTY_TYPE, 2, FALSE)</f>
        <v>2243</v>
      </c>
      <c r="M1264" s="3" t="s">
        <v>18</v>
      </c>
      <c r="N1264" s="27" t="s">
        <v>18</v>
      </c>
      <c r="O1264" s="38">
        <f>VLOOKUP(TRIM(Table1[[#This Row],[Provider Specialty]]) &amp; TRIM(Table1[[#This Row],[Provider Specialty Description]]), SPECIALTY_TYPE, 2, FALSE)</f>
        <v>2243</v>
      </c>
      <c r="P1264" s="3" t="str">
        <f>Table1[[#This Row],[Provider Type]] &amp; "+" &amp; Table1[[#This Row],[Provider Type Description]]</f>
        <v>66+Anaplastologist</v>
      </c>
      <c r="Q1264" s="7" t="str">
        <f>Table1[[#This Row],[Provider Specialty]] &amp; "+" &amp; Table1[[#This Row],[Provider Specialty Description]]</f>
        <v>277+Prosthesis / Orthotics</v>
      </c>
      <c r="R1264" s="7" t="str">
        <f>Table1[[#This Row],[PDMS Specialty Type ID]] &amp; "+" &amp; Table1[[#This Row],[PDMS Provider Type ID]] &amp; "+" &amp;Table1[[#This Row],[TAXONOMY]]</f>
        <v>2243+126+229N00000X</v>
      </c>
      <c r="S126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(10185, 2243, 126, N'229N00000X', N'Anaplastologist - Anaplastologist')</v>
      </c>
    </row>
    <row r="1265" spans="1:19" ht="47.25" customHeight="1" x14ac:dyDescent="0.25">
      <c r="A1265" s="22" t="s">
        <v>227</v>
      </c>
      <c r="B1265" s="3" t="s">
        <v>661</v>
      </c>
      <c r="C1265" s="3" t="s">
        <v>1789</v>
      </c>
      <c r="D1265" s="3" t="s">
        <v>1789</v>
      </c>
      <c r="E1265" s="3" t="s">
        <v>1790</v>
      </c>
      <c r="F1265" s="3">
        <f>VLOOKUP(Table1[[#This Row],[Column2]], TAXONOMY_TYPE, 2, FALSE)</f>
        <v>10186</v>
      </c>
      <c r="G1265" s="3">
        <v>67</v>
      </c>
      <c r="H1265" s="3" t="s">
        <v>1791</v>
      </c>
      <c r="I1265" s="3">
        <f>VLOOKUP(Table1[[#This Row],[Provider Type]] &amp; Table1[[#This Row],[Provider Type Description]], PROVIDER_TYPE, 2, FALSE)</f>
        <v>127</v>
      </c>
      <c r="J1265" s="3">
        <v>610</v>
      </c>
      <c r="K1265" s="3" t="s">
        <v>1792</v>
      </c>
      <c r="L1265" s="3">
        <f>VLOOKUP(TRIM(Table1[[#This Row],[Provider Specialty]]) &amp; TRIM(Table1[[#This Row],[Provider Specialty Description]]), SPECIALTY_TYPE, 2, FALSE)</f>
        <v>2305</v>
      </c>
      <c r="M1265" s="3" t="s">
        <v>18</v>
      </c>
      <c r="N1265" s="27" t="s">
        <v>18</v>
      </c>
      <c r="O1265" s="38">
        <f>VLOOKUP(TRIM(Table1[[#This Row],[Provider Specialty]]) &amp; TRIM(Table1[[#This Row],[Provider Specialty Description]]), SPECIALTY_TYPE, 2, FALSE)</f>
        <v>2305</v>
      </c>
      <c r="P1265" s="3" t="str">
        <f>Table1[[#This Row],[Provider Type]] &amp; "+" &amp; Table1[[#This Row],[Provider Type Description]]</f>
        <v>67+Therapist - Non-Certified</v>
      </c>
      <c r="Q1265" s="7" t="str">
        <f>Table1[[#This Row],[Provider Specialty]] &amp; "+" &amp; Table1[[#This Row],[Provider Specialty Description]]</f>
        <v>610+Art Therapist</v>
      </c>
      <c r="R1265" s="7" t="str">
        <f>Table1[[#This Row],[PDMS Specialty Type ID]] &amp; "+" &amp; Table1[[#This Row],[PDMS Provider Type ID]] &amp; "+" &amp;Table1[[#This Row],[TAXONOMY]]</f>
        <v>2305+127+221700000X</v>
      </c>
      <c r="S126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(10186, 2305, 127, N'221700000X', N'Art Therapist - Art Therapist')</v>
      </c>
    </row>
    <row r="1266" spans="1:19" ht="47.25" customHeight="1" x14ac:dyDescent="0.25">
      <c r="A1266" s="22" t="s">
        <v>227</v>
      </c>
      <c r="B1266" s="3" t="s">
        <v>661</v>
      </c>
      <c r="C1266" s="3" t="s">
        <v>1796</v>
      </c>
      <c r="D1266" s="3" t="s">
        <v>1796</v>
      </c>
      <c r="E1266" s="3" t="s">
        <v>1797</v>
      </c>
      <c r="F1266" s="3">
        <f>VLOOKUP(Table1[[#This Row],[Column2]], TAXONOMY_TYPE, 2, FALSE)</f>
        <v>10187</v>
      </c>
      <c r="G1266" s="3">
        <v>67</v>
      </c>
      <c r="H1266" s="3" t="s">
        <v>1791</v>
      </c>
      <c r="I1266" s="3">
        <f>VLOOKUP(Table1[[#This Row],[Provider Type]] &amp; Table1[[#This Row],[Provider Type Description]], PROVIDER_TYPE, 2, FALSE)</f>
        <v>127</v>
      </c>
      <c r="J1266" s="3">
        <v>611</v>
      </c>
      <c r="K1266" s="3" t="s">
        <v>1798</v>
      </c>
      <c r="L1266" s="3">
        <f>VLOOKUP(TRIM(Table1[[#This Row],[Provider Specialty]]) &amp; TRIM(Table1[[#This Row],[Provider Specialty Description]]), SPECIALTY_TYPE, 2, FALSE)</f>
        <v>2306</v>
      </c>
      <c r="M1266" s="3" t="s">
        <v>18</v>
      </c>
      <c r="N1266" s="27" t="s">
        <v>18</v>
      </c>
      <c r="O1266" s="38">
        <f>VLOOKUP(TRIM(Table1[[#This Row],[Provider Specialty]]) &amp; TRIM(Table1[[#This Row],[Provider Specialty Description]]), SPECIALTY_TYPE, 2, FALSE)</f>
        <v>2306</v>
      </c>
      <c r="P1266" s="3" t="str">
        <f>Table1[[#This Row],[Provider Type]] &amp; "+" &amp; Table1[[#This Row],[Provider Type Description]]</f>
        <v>67+Therapist - Non-Certified</v>
      </c>
      <c r="Q1266" s="7" t="str">
        <f>Table1[[#This Row],[Provider Specialty]] &amp; "+" &amp; Table1[[#This Row],[Provider Specialty Description]]</f>
        <v>611+Dance Therapist</v>
      </c>
      <c r="R1266" s="7" t="str">
        <f>Table1[[#This Row],[PDMS Specialty Type ID]] &amp; "+" &amp; Table1[[#This Row],[PDMS Provider Type ID]] &amp; "+" &amp;Table1[[#This Row],[TAXONOMY]]</f>
        <v>2306+127+225600000X</v>
      </c>
      <c r="S126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(10187, 2306, 127, N'225600000X', N'Dance Therapist - Dance Therapist')</v>
      </c>
    </row>
    <row r="1267" spans="1:19" ht="47.25" customHeight="1" x14ac:dyDescent="0.25">
      <c r="A1267" s="22" t="s">
        <v>227</v>
      </c>
      <c r="B1267" s="3" t="s">
        <v>661</v>
      </c>
      <c r="C1267" s="3" t="s">
        <v>1793</v>
      </c>
      <c r="D1267" s="3" t="s">
        <v>1793</v>
      </c>
      <c r="E1267" s="3" t="s">
        <v>1794</v>
      </c>
      <c r="F1267" s="3">
        <f>VLOOKUP(Table1[[#This Row],[Column2]], TAXONOMY_TYPE, 2, FALSE)</f>
        <v>10188</v>
      </c>
      <c r="G1267" s="3">
        <v>67</v>
      </c>
      <c r="H1267" s="3" t="s">
        <v>1791</v>
      </c>
      <c r="I1267" s="3">
        <f>VLOOKUP(Table1[[#This Row],[Provider Type]] &amp; Table1[[#This Row],[Provider Type Description]], PROVIDER_TYPE, 2, FALSE)</f>
        <v>127</v>
      </c>
      <c r="J1267" s="3">
        <v>612</v>
      </c>
      <c r="K1267" s="3" t="s">
        <v>1795</v>
      </c>
      <c r="L1267" s="3">
        <f>VLOOKUP(TRIM(Table1[[#This Row],[Provider Specialty]]) &amp; TRIM(Table1[[#This Row],[Provider Specialty Description]]), SPECIALTY_TYPE, 2, FALSE)</f>
        <v>2307</v>
      </c>
      <c r="M1267" s="3" t="s">
        <v>18</v>
      </c>
      <c r="N1267" s="27" t="s">
        <v>18</v>
      </c>
      <c r="O1267" s="38">
        <f>VLOOKUP(TRIM(Table1[[#This Row],[Provider Specialty]]) &amp; TRIM(Table1[[#This Row],[Provider Specialty Description]]), SPECIALTY_TYPE, 2, FALSE)</f>
        <v>2307</v>
      </c>
      <c r="P1267" s="3" t="str">
        <f>Table1[[#This Row],[Provider Type]] &amp; "+" &amp; Table1[[#This Row],[Provider Type Description]]</f>
        <v>67+Therapist - Non-Certified</v>
      </c>
      <c r="Q1267" s="7" t="str">
        <f>Table1[[#This Row],[Provider Specialty]] &amp; "+" &amp; Table1[[#This Row],[Provider Specialty Description]]</f>
        <v>612+Developmental Therapist</v>
      </c>
      <c r="R1267" s="7" t="str">
        <f>Table1[[#This Row],[PDMS Specialty Type ID]] &amp; "+" &amp; Table1[[#This Row],[PDMS Provider Type ID]] &amp; "+" &amp;Table1[[#This Row],[TAXONOMY]]</f>
        <v>2307+127+222Q00000X</v>
      </c>
      <c r="S126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(10188, 2307, 127, N'222Q00000X', N'Developmental Therapist** - Developmental Therapist**')</v>
      </c>
    </row>
    <row r="1268" spans="1:19" ht="47.25" customHeight="1" x14ac:dyDescent="0.25">
      <c r="A1268" s="22" t="s">
        <v>227</v>
      </c>
      <c r="B1268" s="3" t="s">
        <v>661</v>
      </c>
      <c r="C1268" s="3" t="s">
        <v>1806</v>
      </c>
      <c r="D1268" s="3" t="s">
        <v>1806</v>
      </c>
      <c r="E1268" s="3" t="s">
        <v>1807</v>
      </c>
      <c r="F1268" s="3">
        <f>VLOOKUP(Table1[[#This Row],[Column2]], TAXONOMY_TYPE, 2, FALSE)</f>
        <v>10189</v>
      </c>
      <c r="G1268" s="3">
        <v>67</v>
      </c>
      <c r="H1268" s="3" t="s">
        <v>1791</v>
      </c>
      <c r="I1268" s="3">
        <f>VLOOKUP(Table1[[#This Row],[Provider Type]] &amp; Table1[[#This Row],[Provider Type Description]], PROVIDER_TYPE, 2, FALSE)</f>
        <v>127</v>
      </c>
      <c r="J1268" s="3">
        <v>613</v>
      </c>
      <c r="K1268" s="3" t="s">
        <v>1806</v>
      </c>
      <c r="L1268" s="3">
        <f>VLOOKUP(TRIM(Table1[[#This Row],[Provider Specialty]]) &amp; TRIM(Table1[[#This Row],[Provider Specialty Description]]), SPECIALTY_TYPE, 2, FALSE)</f>
        <v>2308</v>
      </c>
      <c r="M1268" s="3" t="s">
        <v>18</v>
      </c>
      <c r="N1268" s="27" t="s">
        <v>18</v>
      </c>
      <c r="O1268" s="38">
        <f>VLOOKUP(TRIM(Table1[[#This Row],[Provider Specialty]]) &amp; TRIM(Table1[[#This Row],[Provider Specialty Description]]), SPECIALTY_TYPE, 2, FALSE)</f>
        <v>2308</v>
      </c>
      <c r="P1268" s="3" t="str">
        <f>Table1[[#This Row],[Provider Type]] &amp; "+" &amp; Table1[[#This Row],[Provider Type Description]]</f>
        <v>67+Therapist - Non-Certified</v>
      </c>
      <c r="Q1268" s="7" t="str">
        <f>Table1[[#This Row],[Provider Specialty]] &amp; "+" &amp; Table1[[#This Row],[Provider Specialty Description]]</f>
        <v xml:space="preserve">613+Kinesiotherapist </v>
      </c>
      <c r="R1268" s="7" t="str">
        <f>Table1[[#This Row],[PDMS Specialty Type ID]] &amp; "+" &amp; Table1[[#This Row],[PDMS Provider Type ID]] &amp; "+" &amp;Table1[[#This Row],[TAXONOMY]]</f>
        <v>2308+127+226300000X</v>
      </c>
      <c r="S126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(10189, 2308, 127, N'226300000X', N'Kinesiotherapist - Kinesiotherapist')</v>
      </c>
    </row>
    <row r="1269" spans="1:19" ht="47.25" customHeight="1" x14ac:dyDescent="0.25">
      <c r="A1269" s="22" t="s">
        <v>227</v>
      </c>
      <c r="B1269" s="3" t="s">
        <v>661</v>
      </c>
      <c r="C1269" s="3" t="s">
        <v>1799</v>
      </c>
      <c r="D1269" s="3" t="s">
        <v>1799</v>
      </c>
      <c r="E1269" s="3" t="s">
        <v>1800</v>
      </c>
      <c r="F1269" s="3">
        <f>VLOOKUP(Table1[[#This Row],[Column2]], TAXONOMY_TYPE, 2, FALSE)</f>
        <v>10190</v>
      </c>
      <c r="G1269" s="3">
        <v>67</v>
      </c>
      <c r="H1269" s="3" t="s">
        <v>1791</v>
      </c>
      <c r="I1269" s="3">
        <f>VLOOKUP(Table1[[#This Row],[Provider Type]] &amp; Table1[[#This Row],[Provider Type Description]], PROVIDER_TYPE, 2, FALSE)</f>
        <v>127</v>
      </c>
      <c r="J1269" s="3">
        <v>614</v>
      </c>
      <c r="K1269" s="3" t="s">
        <v>1799</v>
      </c>
      <c r="L1269" s="3">
        <f>VLOOKUP(TRIM(Table1[[#This Row],[Provider Specialty]]) &amp; TRIM(Table1[[#This Row],[Provider Specialty Description]]), SPECIALTY_TYPE, 2, FALSE)</f>
        <v>2309</v>
      </c>
      <c r="M1269" s="3" t="s">
        <v>18</v>
      </c>
      <c r="N1269" s="27" t="s">
        <v>18</v>
      </c>
      <c r="O1269" s="38">
        <f>VLOOKUP(TRIM(Table1[[#This Row],[Provider Specialty]]) &amp; TRIM(Table1[[#This Row],[Provider Specialty Description]]), SPECIALTY_TYPE, 2, FALSE)</f>
        <v>2309</v>
      </c>
      <c r="P1269" s="3" t="str">
        <f>Table1[[#This Row],[Provider Type]] &amp; "+" &amp; Table1[[#This Row],[Provider Type Description]]</f>
        <v>67+Therapist - Non-Certified</v>
      </c>
      <c r="Q1269" s="7" t="str">
        <f>Table1[[#This Row],[Provider Specialty]] &amp; "+" &amp; Table1[[#This Row],[Provider Specialty Description]]</f>
        <v xml:space="preserve">614+Massage Therapist </v>
      </c>
      <c r="R1269" s="7" t="str">
        <f>Table1[[#This Row],[PDMS Specialty Type ID]] &amp; "+" &amp; Table1[[#This Row],[PDMS Provider Type ID]] &amp; "+" &amp;Table1[[#This Row],[TAXONOMY]]</f>
        <v>2309+127+225700000X</v>
      </c>
      <c r="S126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(10190, 2309, 127, N'225700000X', N'Massage Therapist - Massage Therapist')</v>
      </c>
    </row>
    <row r="1270" spans="1:19" ht="47.25" customHeight="1" x14ac:dyDescent="0.25">
      <c r="A1270" s="22" t="s">
        <v>227</v>
      </c>
      <c r="B1270" s="3" t="s">
        <v>661</v>
      </c>
      <c r="C1270" s="3" t="s">
        <v>1804</v>
      </c>
      <c r="D1270" s="3" t="s">
        <v>1804</v>
      </c>
      <c r="E1270" s="3" t="s">
        <v>1805</v>
      </c>
      <c r="F1270" s="3">
        <f>VLOOKUP(Table1[[#This Row],[Column2]], TAXONOMY_TYPE, 2, FALSE)</f>
        <v>10191</v>
      </c>
      <c r="G1270" s="3">
        <v>67</v>
      </c>
      <c r="H1270" s="3" t="s">
        <v>1791</v>
      </c>
      <c r="I1270" s="3">
        <f>VLOOKUP(Table1[[#This Row],[Provider Type]] &amp; Table1[[#This Row],[Provider Type Description]], PROVIDER_TYPE, 2, FALSE)</f>
        <v>127</v>
      </c>
      <c r="J1270" s="3">
        <v>615</v>
      </c>
      <c r="K1270" s="3" t="s">
        <v>1804</v>
      </c>
      <c r="L1270" s="3">
        <f>VLOOKUP(TRIM(Table1[[#This Row],[Provider Specialty]]) &amp; TRIM(Table1[[#This Row],[Provider Specialty Description]]), SPECIALTY_TYPE, 2, FALSE)</f>
        <v>2310</v>
      </c>
      <c r="M1270" s="3" t="s">
        <v>18</v>
      </c>
      <c r="N1270" s="27" t="s">
        <v>18</v>
      </c>
      <c r="O1270" s="38">
        <f>VLOOKUP(TRIM(Table1[[#This Row],[Provider Specialty]]) &amp; TRIM(Table1[[#This Row],[Provider Specialty Description]]), SPECIALTY_TYPE, 2, FALSE)</f>
        <v>2310</v>
      </c>
      <c r="P1270" s="3" t="str">
        <f>Table1[[#This Row],[Provider Type]] &amp; "+" &amp; Table1[[#This Row],[Provider Type Description]]</f>
        <v>67+Therapist - Non-Certified</v>
      </c>
      <c r="Q1270" s="7" t="str">
        <f>Table1[[#This Row],[Provider Specialty]] &amp; "+" &amp; Table1[[#This Row],[Provider Specialty Description]]</f>
        <v xml:space="preserve">615+Music Therapist </v>
      </c>
      <c r="R1270" s="7" t="str">
        <f>Table1[[#This Row],[PDMS Specialty Type ID]] &amp; "+" &amp; Table1[[#This Row],[PDMS Provider Type ID]] &amp; "+" &amp;Table1[[#This Row],[TAXONOMY]]</f>
        <v>2310+127+225A00000X</v>
      </c>
      <c r="S127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(10191, 2310, 127, N'225A00000X', N'Music Therapist - Music Therapist')</v>
      </c>
    </row>
    <row r="1271" spans="1:19" ht="47.25" customHeight="1" x14ac:dyDescent="0.25">
      <c r="A1271" s="22" t="s">
        <v>227</v>
      </c>
      <c r="B1271" s="3" t="s">
        <v>661</v>
      </c>
      <c r="C1271" s="3" t="s">
        <v>1801</v>
      </c>
      <c r="D1271" s="3" t="s">
        <v>1801</v>
      </c>
      <c r="E1271" s="3" t="s">
        <v>1802</v>
      </c>
      <c r="F1271" s="3">
        <f>VLOOKUP(Table1[[#This Row],[Column2]], TAXONOMY_TYPE, 2, FALSE)</f>
        <v>10192</v>
      </c>
      <c r="G1271" s="3">
        <v>67</v>
      </c>
      <c r="H1271" s="3" t="s">
        <v>1791</v>
      </c>
      <c r="I1271" s="3">
        <f>VLOOKUP(Table1[[#This Row],[Provider Type]] &amp; Table1[[#This Row],[Provider Type Description]], PROVIDER_TYPE, 2, FALSE)</f>
        <v>127</v>
      </c>
      <c r="J1271" s="3">
        <v>616</v>
      </c>
      <c r="K1271" s="3" t="s">
        <v>1803</v>
      </c>
      <c r="L1271" s="3">
        <f>VLOOKUP(TRIM(Table1[[#This Row],[Provider Specialty]]) &amp; TRIM(Table1[[#This Row],[Provider Specialty Description]]), SPECIALTY_TYPE, 2, FALSE)</f>
        <v>2311</v>
      </c>
      <c r="M1271" s="3" t="s">
        <v>18</v>
      </c>
      <c r="N1271" s="27" t="s">
        <v>18</v>
      </c>
      <c r="O1271" s="38">
        <f>VLOOKUP(TRIM(Table1[[#This Row],[Provider Specialty]]) &amp; TRIM(Table1[[#This Row],[Provider Specialty Description]]), SPECIALTY_TYPE, 2, FALSE)</f>
        <v>2311</v>
      </c>
      <c r="P1271" s="3" t="str">
        <f>Table1[[#This Row],[Provider Type]] &amp; "+" &amp; Table1[[#This Row],[Provider Type Description]]</f>
        <v>67+Therapist - Non-Certified</v>
      </c>
      <c r="Q1271" s="7" t="str">
        <f>Table1[[#This Row],[Provider Specialty]] &amp; "+" &amp; Table1[[#This Row],[Provider Specialty Description]]</f>
        <v>616+Recreation Therapist</v>
      </c>
      <c r="R1271" s="7" t="str">
        <f>Table1[[#This Row],[PDMS Specialty Type ID]] &amp; "+" &amp; Table1[[#This Row],[PDMS Provider Type ID]] &amp; "+" &amp;Table1[[#This Row],[TAXONOMY]]</f>
        <v>2311+127+225800000X</v>
      </c>
      <c r="S127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(10192, 2311, 127, N'225800000X', N'Recreation Therapist - Recreation Therapist')</v>
      </c>
    </row>
    <row r="1272" spans="1:19" ht="47.25" customHeight="1" x14ac:dyDescent="0.25">
      <c r="A1272" s="22" t="s">
        <v>227</v>
      </c>
      <c r="B1272" s="3" t="s">
        <v>661</v>
      </c>
      <c r="C1272" s="3" t="s">
        <v>1816</v>
      </c>
      <c r="D1272" s="3" t="s">
        <v>818</v>
      </c>
      <c r="E1272" s="3" t="s">
        <v>1819</v>
      </c>
      <c r="F1272" s="3">
        <f>VLOOKUP(Table1[[#This Row],[Column2]], TAXONOMY_TYPE, 2, FALSE)</f>
        <v>10193</v>
      </c>
      <c r="G1272" s="3">
        <v>68</v>
      </c>
      <c r="H1272" s="3" t="s">
        <v>1818</v>
      </c>
      <c r="I1272" s="3">
        <f>VLOOKUP(Table1[[#This Row],[Provider Type]] &amp; Table1[[#This Row],[Provider Type Description]], PROVIDER_TYPE, 2, FALSE)</f>
        <v>129</v>
      </c>
      <c r="J1272" s="3">
        <v>251</v>
      </c>
      <c r="K1272" s="3" t="s">
        <v>820</v>
      </c>
      <c r="L1272" s="3">
        <f>VLOOKUP(TRIM(Table1[[#This Row],[Provider Specialty]]) &amp; TRIM(Table1[[#This Row],[Provider Specialty Description]]), SPECIALTY_TYPE, 2, FALSE)</f>
        <v>2178</v>
      </c>
      <c r="M1272" s="3" t="s">
        <v>18</v>
      </c>
      <c r="N1272" s="27" t="s">
        <v>18</v>
      </c>
      <c r="O1272" s="38">
        <f>VLOOKUP(TRIM(Table1[[#This Row],[Provider Specialty]]) &amp; TRIM(Table1[[#This Row],[Provider Specialty Description]]), SPECIALTY_TYPE, 2, FALSE)</f>
        <v>2178</v>
      </c>
      <c r="P1272" s="3" t="str">
        <f>Table1[[#This Row],[Provider Type]] &amp; "+" &amp; Table1[[#This Row],[Provider Type Description]]</f>
        <v>68+Counselor</v>
      </c>
      <c r="Q1272" s="7" t="str">
        <f>Table1[[#This Row],[Provider Specialty]] &amp; "+" &amp; Table1[[#This Row],[Provider Specialty Description]]</f>
        <v>251+Assistive Technology</v>
      </c>
      <c r="R1272" s="7" t="str">
        <f>Table1[[#This Row],[PDMS Specialty Type ID]] &amp; "+" &amp; Table1[[#This Row],[PDMS Provider Type ID]] &amp; "+" &amp;Table1[[#This Row],[TAXONOMY]]</f>
        <v>2178+129+225CA2400X</v>
      </c>
      <c r="S127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(10193, 2178, 129, N'225CA2400X', N'Rehabilitation Counselor - Assistive Technology Practitioner')</v>
      </c>
    </row>
    <row r="1273" spans="1:19" ht="47.25" customHeight="1" x14ac:dyDescent="0.25">
      <c r="A1273" s="22" t="s">
        <v>227</v>
      </c>
      <c r="B1273" s="3" t="s">
        <v>661</v>
      </c>
      <c r="C1273" s="3" t="s">
        <v>1816</v>
      </c>
      <c r="D1273" s="3" t="s">
        <v>1816</v>
      </c>
      <c r="E1273" s="3" t="s">
        <v>1817</v>
      </c>
      <c r="F1273" s="3">
        <f>VLOOKUP(Table1[[#This Row],[Column2]], TAXONOMY_TYPE, 2, FALSE)</f>
        <v>10194</v>
      </c>
      <c r="G1273" s="3">
        <v>68</v>
      </c>
      <c r="H1273" s="3" t="s">
        <v>1818</v>
      </c>
      <c r="I1273" s="3">
        <f>VLOOKUP(Table1[[#This Row],[Provider Type]] &amp; Table1[[#This Row],[Provider Type Description]], PROVIDER_TYPE, 2, FALSE)</f>
        <v>129</v>
      </c>
      <c r="J1273" s="3">
        <v>620</v>
      </c>
      <c r="K1273" s="3" t="s">
        <v>1816</v>
      </c>
      <c r="L1273" s="3">
        <f>VLOOKUP(TRIM(Table1[[#This Row],[Provider Specialty]]) &amp; TRIM(Table1[[#This Row],[Provider Specialty Description]]), SPECIALTY_TYPE, 2, FALSE)</f>
        <v>2313</v>
      </c>
      <c r="M1273" s="3" t="s">
        <v>18</v>
      </c>
      <c r="N1273" s="27" t="s">
        <v>18</v>
      </c>
      <c r="O1273" s="38">
        <f>VLOOKUP(TRIM(Table1[[#This Row],[Provider Specialty]]) &amp; TRIM(Table1[[#This Row],[Provider Specialty Description]]), SPECIALTY_TYPE, 2, FALSE)</f>
        <v>2313</v>
      </c>
      <c r="P1273" s="3" t="str">
        <f>Table1[[#This Row],[Provider Type]] &amp; "+" &amp; Table1[[#This Row],[Provider Type Description]]</f>
        <v>68+Counselor</v>
      </c>
      <c r="Q1273" s="7" t="str">
        <f>Table1[[#This Row],[Provider Specialty]] &amp; "+" &amp; Table1[[#This Row],[Provider Specialty Description]]</f>
        <v xml:space="preserve">620+Rehabilitation Counselor </v>
      </c>
      <c r="R1273" s="7" t="str">
        <f>Table1[[#This Row],[PDMS Specialty Type ID]] &amp; "+" &amp; Table1[[#This Row],[PDMS Provider Type ID]] &amp; "+" &amp;Table1[[#This Row],[TAXONOMY]]</f>
        <v>2313+129+225C00000X</v>
      </c>
      <c r="S127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(10194, 2313, 129, N'225C00000X', N'Rehabilitation Counselor - Rehabilitation Counselor')</v>
      </c>
    </row>
    <row r="1274" spans="1:19" ht="47.25" customHeight="1" x14ac:dyDescent="0.25">
      <c r="A1274" s="22" t="s">
        <v>227</v>
      </c>
      <c r="B1274" s="3" t="s">
        <v>661</v>
      </c>
      <c r="C1274" s="3" t="s">
        <v>1816</v>
      </c>
      <c r="D1274" s="3" t="s">
        <v>821</v>
      </c>
      <c r="E1274" s="3" t="s">
        <v>1820</v>
      </c>
      <c r="F1274" s="3">
        <f>VLOOKUP(Table1[[#This Row],[Column2]], TAXONOMY_TYPE, 2, FALSE)</f>
        <v>10195</v>
      </c>
      <c r="G1274" s="3">
        <v>68</v>
      </c>
      <c r="H1274" s="3" t="s">
        <v>1818</v>
      </c>
      <c r="I1274" s="3">
        <f>VLOOKUP(Table1[[#This Row],[Provider Type]] &amp; Table1[[#This Row],[Provider Type Description]], PROVIDER_TYPE, 2, FALSE)</f>
        <v>129</v>
      </c>
      <c r="J1274" s="3">
        <v>621</v>
      </c>
      <c r="K1274" s="3" t="s">
        <v>823</v>
      </c>
      <c r="L1274" s="3">
        <f>VLOOKUP(TRIM(Table1[[#This Row],[Provider Specialty]]) &amp; TRIM(Table1[[#This Row],[Provider Specialty Description]]), SPECIALTY_TYPE, 2, FALSE)</f>
        <v>2314</v>
      </c>
      <c r="M1274" s="3" t="s">
        <v>18</v>
      </c>
      <c r="N1274" s="27" t="s">
        <v>18</v>
      </c>
      <c r="O1274" s="38">
        <f>VLOOKUP(TRIM(Table1[[#This Row],[Provider Specialty]]) &amp; TRIM(Table1[[#This Row],[Provider Specialty Description]]), SPECIALTY_TYPE, 2, FALSE)</f>
        <v>2314</v>
      </c>
      <c r="P1274" s="3" t="str">
        <f>Table1[[#This Row],[Provider Type]] &amp; "+" &amp; Table1[[#This Row],[Provider Type Description]]</f>
        <v>68+Counselor</v>
      </c>
      <c r="Q1274" s="7" t="str">
        <f>Table1[[#This Row],[Provider Specialty]] &amp; "+" &amp; Table1[[#This Row],[Provider Specialty Description]]</f>
        <v>621+Assistive Technology Supplier</v>
      </c>
      <c r="R1274" s="7" t="str">
        <f>Table1[[#This Row],[PDMS Specialty Type ID]] &amp; "+" &amp; Table1[[#This Row],[PDMS Provider Type ID]] &amp; "+" &amp;Table1[[#This Row],[TAXONOMY]]</f>
        <v>2314+129+225CA2500X</v>
      </c>
      <c r="S127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(10195, 2314, 129, N'225CA2500X', N'Rehabilitation Counselor - Assistive Technology Supplier')</v>
      </c>
    </row>
    <row r="1275" spans="1:19" ht="47.25" customHeight="1" x14ac:dyDescent="0.25">
      <c r="A1275" s="22" t="s">
        <v>227</v>
      </c>
      <c r="B1275" s="3" t="s">
        <v>661</v>
      </c>
      <c r="C1275" s="3" t="s">
        <v>1816</v>
      </c>
      <c r="D1275" s="3" t="s">
        <v>1821</v>
      </c>
      <c r="E1275" s="3" t="s">
        <v>1822</v>
      </c>
      <c r="F1275" s="3">
        <f>VLOOKUP(Table1[[#This Row],[Column2]], TAXONOMY_TYPE, 2, FALSE)</f>
        <v>10196</v>
      </c>
      <c r="G1275" s="3">
        <v>68</v>
      </c>
      <c r="H1275" s="3" t="s">
        <v>1818</v>
      </c>
      <c r="I1275" s="3">
        <f>VLOOKUP(Table1[[#This Row],[Provider Type]] &amp; Table1[[#This Row],[Provider Type Description]], PROVIDER_TYPE, 2, FALSE)</f>
        <v>129</v>
      </c>
      <c r="J1275" s="3">
        <v>622</v>
      </c>
      <c r="K1275" s="3" t="s">
        <v>1821</v>
      </c>
      <c r="L1275" s="3">
        <f>VLOOKUP(TRIM(Table1[[#This Row],[Provider Specialty]]) &amp; TRIM(Table1[[#This Row],[Provider Specialty Description]]), SPECIALTY_TYPE, 2, FALSE)</f>
        <v>2315</v>
      </c>
      <c r="M1275" s="3" t="s">
        <v>18</v>
      </c>
      <c r="N1275" s="27" t="s">
        <v>18</v>
      </c>
      <c r="O1275" s="38">
        <f>VLOOKUP(TRIM(Table1[[#This Row],[Provider Specialty]]) &amp; TRIM(Table1[[#This Row],[Provider Specialty Description]]), SPECIALTY_TYPE, 2, FALSE)</f>
        <v>2315</v>
      </c>
      <c r="P1275" s="3" t="str">
        <f>Table1[[#This Row],[Provider Type]] &amp; "+" &amp; Table1[[#This Row],[Provider Type Description]]</f>
        <v>68+Counselor</v>
      </c>
      <c r="Q1275" s="7" t="str">
        <f>Table1[[#This Row],[Provider Specialty]] &amp; "+" &amp; Table1[[#This Row],[Provider Specialty Description]]</f>
        <v xml:space="preserve">622+Orientation and Mobility Training Provider </v>
      </c>
      <c r="R1275" s="7" t="str">
        <f>Table1[[#This Row],[PDMS Specialty Type ID]] &amp; "+" &amp; Table1[[#This Row],[PDMS Provider Type ID]] &amp; "+" &amp;Table1[[#This Row],[TAXONOMY]]</f>
        <v>2315+129+225CX0006X</v>
      </c>
      <c r="S127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(10196, 2315, 129, N'225CX0006X', N'Rehabilitation Counselor - Orientation and Mobility Training Provider')</v>
      </c>
    </row>
    <row r="1276" spans="1:19" ht="47.25" customHeight="1" x14ac:dyDescent="0.25">
      <c r="A1276" s="22" t="s">
        <v>227</v>
      </c>
      <c r="B1276" s="3" t="s">
        <v>1504</v>
      </c>
      <c r="C1276" s="3" t="s">
        <v>1808</v>
      </c>
      <c r="D1276" s="3" t="s">
        <v>1808</v>
      </c>
      <c r="E1276" s="3" t="s">
        <v>1809</v>
      </c>
      <c r="F1276" s="3">
        <f>VLOOKUP(Table1[[#This Row],[Column2]], TAXONOMY_TYPE, 2, FALSE)</f>
        <v>10197</v>
      </c>
      <c r="G1276" s="3">
        <v>68</v>
      </c>
      <c r="H1276" s="8" t="s">
        <v>1810</v>
      </c>
      <c r="I1276" s="3">
        <f>VLOOKUP(Table1[[#This Row],[Provider Type]] &amp; Table1[[#This Row],[Provider Type Description]], PROVIDER_TYPE, 2, FALSE)</f>
        <v>130</v>
      </c>
      <c r="J1276" s="3">
        <v>665</v>
      </c>
      <c r="K1276" s="8" t="s">
        <v>1811</v>
      </c>
      <c r="L1276" s="8">
        <f>VLOOKUP(TRIM(Table1[[#This Row],[Provider Specialty]]) &amp; TRIM(Table1[[#This Row],[Provider Specialty Description]]), SPECIALTY_TYPE, 2, FALSE)</f>
        <v>2342</v>
      </c>
      <c r="M1276" s="3" t="s">
        <v>18</v>
      </c>
      <c r="N1276" s="27" t="s">
        <v>18</v>
      </c>
      <c r="O1276" s="38">
        <f>VLOOKUP(TRIM(Table1[[#This Row],[Provider Specialty]]) &amp; TRIM(Table1[[#This Row],[Provider Specialty Description]]), SPECIALTY_TYPE, 2, FALSE)</f>
        <v>2342</v>
      </c>
      <c r="P1276" s="3" t="str">
        <f>Table1[[#This Row],[Provider Type]] &amp; "+" &amp; Table1[[#This Row],[Provider Type Description]]</f>
        <v>68+Lactation Consultant, Non-RN Counselor</v>
      </c>
      <c r="Q1276" s="7" t="str">
        <f>Table1[[#This Row],[Provider Specialty]] &amp; "+" &amp; Table1[[#This Row],[Provider Specialty Description]]</f>
        <v>665+Lactation Non-RN Counselor</v>
      </c>
      <c r="R1276" s="7" t="str">
        <f>Table1[[#This Row],[PDMS Specialty Type ID]] &amp; "+" &amp; Table1[[#This Row],[PDMS Provider Type ID]] &amp; "+" &amp;Table1[[#This Row],[TAXONOMY]]</f>
        <v>2342+130+174N00000X</v>
      </c>
      <c r="S127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(10197, 2342, 130, N'174N00000X', N'Lactation Consultant, Non-RN - Lactation Consultant, Non-RN')</v>
      </c>
    </row>
    <row r="1277" spans="1:19" ht="47.25" customHeight="1" x14ac:dyDescent="0.25">
      <c r="A1277" s="22" t="s">
        <v>227</v>
      </c>
      <c r="B1277" s="3" t="s">
        <v>1504</v>
      </c>
      <c r="C1277" s="3" t="s">
        <v>1812</v>
      </c>
      <c r="D1277" s="3" t="s">
        <v>1812</v>
      </c>
      <c r="E1277" s="3" t="s">
        <v>1813</v>
      </c>
      <c r="F1277" s="3">
        <f>VLOOKUP(Table1[[#This Row],[Column2]], TAXONOMY_TYPE, 2, FALSE)</f>
        <v>10198</v>
      </c>
      <c r="G1277" s="3">
        <v>68</v>
      </c>
      <c r="H1277" s="8" t="s">
        <v>1814</v>
      </c>
      <c r="I1277" s="3">
        <f>VLOOKUP(Table1[[#This Row],[Provider Type]] &amp; Table1[[#This Row],[Provider Type Description]], PROVIDER_TYPE, 2, FALSE)</f>
        <v>128</v>
      </c>
      <c r="J1277" s="3">
        <v>666</v>
      </c>
      <c r="K1277" s="8" t="s">
        <v>1815</v>
      </c>
      <c r="L1277" s="8">
        <f>VLOOKUP(TRIM(Table1[[#This Row],[Provider Specialty]]) &amp; TRIM(Table1[[#This Row],[Provider Specialty Description]]), SPECIALTY_TYPE, 2, FALSE)</f>
        <v>2343</v>
      </c>
      <c r="M1277" s="3" t="s">
        <v>18</v>
      </c>
      <c r="N1277" s="27" t="s">
        <v>18</v>
      </c>
      <c r="O1277" s="38">
        <f>VLOOKUP(TRIM(Table1[[#This Row],[Provider Specialty]]) &amp; TRIM(Table1[[#This Row],[Provider Specialty Description]]), SPECIALTY_TYPE, 2, FALSE)</f>
        <v>2343</v>
      </c>
      <c r="P1277" s="3" t="str">
        <f>Table1[[#This Row],[Provider Type]] &amp; "+" &amp; Table1[[#This Row],[Provider Type Description]]</f>
        <v>68+Clinical Ethicist Counselor</v>
      </c>
      <c r="Q1277" s="7" t="str">
        <f>Table1[[#This Row],[Provider Specialty]] &amp; "+" &amp; Table1[[#This Row],[Provider Specialty Description]]</f>
        <v>666+Ethics Case consultant</v>
      </c>
      <c r="R1277" s="7" t="str">
        <f>Table1[[#This Row],[PDMS Specialty Type ID]] &amp; "+" &amp; Table1[[#This Row],[PDMS Provider Type ID]] &amp; "+" &amp;Table1[[#This Row],[TAXONOMY]]</f>
        <v>2343+128+174V00000X</v>
      </c>
      <c r="S127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(10198, 2343, 128, N'174V00000X', N'Clinical Ethicist - Clinical Ethicist')</v>
      </c>
    </row>
    <row r="1278" spans="1:19" ht="47.25" customHeight="1" x14ac:dyDescent="0.25">
      <c r="A1278" s="22" t="s">
        <v>227</v>
      </c>
      <c r="B1278" s="3" t="s">
        <v>1823</v>
      </c>
      <c r="C1278" s="3" t="s">
        <v>1824</v>
      </c>
      <c r="D1278" s="3" t="s">
        <v>1824</v>
      </c>
      <c r="E1278" s="3" t="s">
        <v>1825</v>
      </c>
      <c r="F1278" s="3">
        <f>VLOOKUP(Table1[[#This Row],[Column2]], TAXONOMY_TYPE, 2, FALSE)</f>
        <v>10199</v>
      </c>
      <c r="G1278" s="3">
        <v>69</v>
      </c>
      <c r="H1278" s="3" t="s">
        <v>1823</v>
      </c>
      <c r="I1278" s="3">
        <f>VLOOKUP(Table1[[#This Row],[Provider Type]] &amp; Table1[[#This Row],[Provider Type Description]], PROVIDER_TYPE, 2, FALSE)</f>
        <v>131</v>
      </c>
      <c r="J1278" s="3">
        <v>629</v>
      </c>
      <c r="K1278" s="3" t="s">
        <v>1824</v>
      </c>
      <c r="L1278" s="3">
        <f>VLOOKUP(TRIM(Table1[[#This Row],[Provider Specialty]]) &amp; TRIM(Table1[[#This Row],[Provider Specialty Description]]), SPECIALTY_TYPE, 2, FALSE)</f>
        <v>2322</v>
      </c>
      <c r="M1278" s="3" t="s">
        <v>18</v>
      </c>
      <c r="N1278" s="27" t="s">
        <v>18</v>
      </c>
      <c r="O1278" s="38">
        <f>VLOOKUP(TRIM(Table1[[#This Row],[Provider Specialty]]) &amp; TRIM(Table1[[#This Row],[Provider Specialty Description]]), SPECIALTY_TYPE, 2, FALSE)</f>
        <v>2322</v>
      </c>
      <c r="P1278" s="3" t="str">
        <f>Table1[[#This Row],[Provider Type]] &amp; "+" &amp; Table1[[#This Row],[Provider Type Description]]</f>
        <v>69+Student, Health Care</v>
      </c>
      <c r="Q1278" s="7" t="str">
        <f>Table1[[#This Row],[Provider Specialty]] &amp; "+" &amp; Table1[[#This Row],[Provider Specialty Description]]</f>
        <v xml:space="preserve">629+Student in an Organized Health Care Education/Training Program </v>
      </c>
      <c r="R1278" s="7" t="str">
        <f>Table1[[#This Row],[PDMS Specialty Type ID]] &amp; "+" &amp; Table1[[#This Row],[PDMS Provider Type ID]] &amp; "+" &amp;Table1[[#This Row],[TAXONOMY]]</f>
        <v>2322+131+390200000X</v>
      </c>
      <c r="S127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(10199, 2322, 131, N'390200000X', N'Student in an Organized Health Care Education/Training Program - Student in an Organized Health Care Education/Training Program')</v>
      </c>
    </row>
    <row r="1279" spans="1:19" ht="47.25" hidden="1" customHeight="1" x14ac:dyDescent="0.25">
      <c r="A1279" s="22" t="s">
        <v>227</v>
      </c>
      <c r="B1279" s="3" t="s">
        <v>828</v>
      </c>
      <c r="C1279" s="3" t="s">
        <v>1830</v>
      </c>
      <c r="D1279" s="3" t="s">
        <v>1831</v>
      </c>
      <c r="E1279" s="3" t="s">
        <v>1832</v>
      </c>
      <c r="F1279" s="3">
        <f>VLOOKUP(Table1[[#This Row],[Column2]], TAXONOMY_TYPE, 2, FALSE)</f>
        <v>10200</v>
      </c>
      <c r="G1279" s="3">
        <v>75</v>
      </c>
      <c r="H1279" s="3" t="s">
        <v>2029</v>
      </c>
      <c r="I1279" s="3">
        <f>VLOOKUP(Table1[[#This Row],[Provider Type]] &amp; Table1[[#This Row],[Provider Type Description]], PROVIDER_TYPE, 2, FALSE)</f>
        <v>91</v>
      </c>
      <c r="J1279" s="3">
        <v>664</v>
      </c>
      <c r="K1279" s="3" t="s">
        <v>1830</v>
      </c>
      <c r="L1279" s="3">
        <f>VLOOKUP(TRIM(Table1[[#This Row],[Provider Specialty]]) &amp; TRIM(Table1[[#This Row],[Provider Specialty Description]]), SPECIALTY_TYPE, 2, FALSE)</f>
        <v>2341</v>
      </c>
      <c r="M1279" s="3" t="s">
        <v>18</v>
      </c>
      <c r="N1279" s="27" t="s">
        <v>18</v>
      </c>
      <c r="O1279" s="38">
        <f>VLOOKUP(TRIM(Table1[[#This Row],[Provider Specialty]]) &amp; TRIM(Table1[[#This Row],[Provider Specialty Description]]), SPECIALTY_TYPE, 2, FALSE)</f>
        <v>2341</v>
      </c>
      <c r="P1279" s="3" t="str">
        <f>Table1[[#This Row],[Provider Type]] &amp; "+" &amp; Table1[[#This Row],[Provider Type Description]]</f>
        <v>75+Emergency Response System Company</v>
      </c>
      <c r="Q1279" s="7" t="str">
        <f>Table1[[#This Row],[Provider Specialty]] &amp; "+" &amp; Table1[[#This Row],[Provider Specialty Description]]</f>
        <v>664+Emergency Response System Companies</v>
      </c>
      <c r="R1279" s="7" t="str">
        <f>Table1[[#This Row],[PDMS Specialty Type ID]] &amp; "+" &amp; Table1[[#This Row],[PDMS Provider Type ID]] &amp; "+" &amp;Table1[[#This Row],[TAXONOMY]]</f>
        <v>2341+91+333300000X</v>
      </c>
      <c r="S127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(10200, 2341, 91, N'333300000X', N'Emergency Response System Companies - Emergency Response System Companies****')</v>
      </c>
    </row>
    <row r="1280" spans="1:19" ht="47.25" customHeight="1" x14ac:dyDescent="0.25">
      <c r="A1280" s="22" t="s">
        <v>11</v>
      </c>
      <c r="B1280" s="3" t="s">
        <v>337</v>
      </c>
      <c r="C1280" s="3" t="s">
        <v>1833</v>
      </c>
      <c r="D1280" s="3" t="s">
        <v>1834</v>
      </c>
      <c r="E1280" s="3" t="s">
        <v>1835</v>
      </c>
      <c r="F1280" s="3">
        <f>VLOOKUP(Table1[[#This Row],[Column2]], TAXONOMY_TYPE, 2, FALSE)</f>
        <v>10201</v>
      </c>
      <c r="G1280" s="3">
        <v>99</v>
      </c>
      <c r="H1280" s="3" t="s">
        <v>1836</v>
      </c>
      <c r="I1280" s="3">
        <f>VLOOKUP(Table1[[#This Row],[Provider Type]] &amp; Table1[[#This Row],[Provider Type Description]], PROVIDER_TYPE, 2, FALSE)</f>
        <v>132</v>
      </c>
      <c r="J1280" s="3">
        <v>187</v>
      </c>
      <c r="K1280" s="3" t="s">
        <v>1837</v>
      </c>
      <c r="L1280" s="3">
        <f>VLOOKUP(TRIM(Table1[[#This Row],[Provider Specialty]]) &amp; TRIM(Table1[[#This Row],[Provider Specialty Description]]), SPECIALTY_TYPE, 2, FALSE)</f>
        <v>2223</v>
      </c>
      <c r="M1280" s="3" t="s">
        <v>18</v>
      </c>
      <c r="N1280" s="27" t="s">
        <v>18</v>
      </c>
      <c r="O1280" s="38">
        <f>VLOOKUP(TRIM(Table1[[#This Row],[Provider Specialty]]) &amp; TRIM(Table1[[#This Row],[Provider Specialty Description]]), SPECIALTY_TYPE, 2, FALSE)</f>
        <v>2223</v>
      </c>
      <c r="P1280" s="3" t="str">
        <f>Table1[[#This Row],[Provider Type]] &amp; "+" &amp; Table1[[#This Row],[Provider Type Description]]</f>
        <v>99+Other</v>
      </c>
      <c r="Q1280" s="7" t="str">
        <f>Table1[[#This Row],[Provider Specialty]] &amp; "+" &amp; Table1[[#This Row],[Provider Specialty Description]]</f>
        <v>187+Community Health - Non-Professional</v>
      </c>
      <c r="R1280" s="7" t="str">
        <f>Table1[[#This Row],[PDMS Specialty Type ID]] &amp; "+" &amp; Table1[[#This Row],[PDMS Provider Type ID]] &amp; "+" &amp;Table1[[#This Row],[TAXONOMY]]</f>
        <v>2223+132+172V00000X</v>
      </c>
      <c r="S128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(10201, 2223, 132, N'172V00000X', N'Community Health Worker - Community Health Worker****')</v>
      </c>
    </row>
    <row r="1281" spans="1:19" ht="47.25" customHeight="1" x14ac:dyDescent="0.25">
      <c r="A1281" s="22" t="s">
        <v>11</v>
      </c>
      <c r="B1281" s="3" t="s">
        <v>1504</v>
      </c>
      <c r="C1281" s="3" t="s">
        <v>1853</v>
      </c>
      <c r="D1281" s="3" t="s">
        <v>1842</v>
      </c>
      <c r="E1281" s="3" t="s">
        <v>1843</v>
      </c>
      <c r="F1281" s="3">
        <f>VLOOKUP(Table1[[#This Row],[Column2]], TAXONOMY_TYPE, 2, FALSE)</f>
        <v>10202</v>
      </c>
      <c r="G1281" s="3">
        <v>99</v>
      </c>
      <c r="H1281" s="3" t="s">
        <v>1844</v>
      </c>
      <c r="I1281" s="3">
        <f>VLOOKUP(Table1[[#This Row],[Provider Type]] &amp; Table1[[#This Row],[Provider Type Description]], PROVIDER_TYPE, 2, FALSE)</f>
        <v>132</v>
      </c>
      <c r="J1281" s="3">
        <v>511</v>
      </c>
      <c r="K1281" s="3" t="s">
        <v>1845</v>
      </c>
      <c r="L1281" s="3">
        <f>VLOOKUP(TRIM(Table1[[#This Row],[Provider Specialty]]) &amp; TRIM(Table1[[#This Row],[Provider Specialty Description]]), SPECIALTY_TYPE, 2, FALSE)</f>
        <v>2283</v>
      </c>
      <c r="M1281" s="3" t="s">
        <v>18</v>
      </c>
      <c r="N1281" s="27" t="s">
        <v>18</v>
      </c>
      <c r="O1281" s="38">
        <f>VLOOKUP(TRIM(Table1[[#This Row],[Provider Specialty]]) &amp; TRIM(Table1[[#This Row],[Provider Specialty Description]]), SPECIALTY_TYPE, 2, FALSE)</f>
        <v>2283</v>
      </c>
      <c r="P1281" s="3" t="str">
        <f>Table1[[#This Row],[Provider Type]] &amp; "+" &amp; Table1[[#This Row],[Provider Type Description]]</f>
        <v>99+other</v>
      </c>
      <c r="Q1281" s="7" t="str">
        <f>Table1[[#This Row],[Provider Specialty]] &amp; "+" &amp; Table1[[#This Row],[Provider Specialty Description]]</f>
        <v>511+Health Educator</v>
      </c>
      <c r="R1281" s="7" t="str">
        <f>Table1[[#This Row],[PDMS Specialty Type ID]] &amp; "+" &amp; Table1[[#This Row],[PDMS Provider Type ID]] &amp; "+" &amp;Table1[[#This Row],[TAXONOMY]]</f>
        <v>2283+132+174H00000X</v>
      </c>
      <c r="S128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(10202, 2283, 132, N'174H00000X', N'Health Educator (Weight Watchers) - Health Educator')</v>
      </c>
    </row>
    <row r="1282" spans="1:19" ht="47.25" customHeight="1" x14ac:dyDescent="0.25">
      <c r="A1282" s="22" t="s">
        <v>11</v>
      </c>
      <c r="B1282" s="3" t="s">
        <v>337</v>
      </c>
      <c r="C1282" s="3" t="s">
        <v>1838</v>
      </c>
      <c r="D1282" s="3" t="s">
        <v>1838</v>
      </c>
      <c r="E1282" s="3" t="s">
        <v>1839</v>
      </c>
      <c r="F1282" s="3">
        <f>VLOOKUP(Table1[[#This Row],[Column2]], TAXONOMY_TYPE, 2, FALSE)</f>
        <v>10203</v>
      </c>
      <c r="G1282" s="3">
        <v>99</v>
      </c>
      <c r="H1282" s="3" t="s">
        <v>1836</v>
      </c>
      <c r="I1282" s="3">
        <f>VLOOKUP(Table1[[#This Row],[Provider Type]] &amp; Table1[[#This Row],[Provider Type Description]], PROVIDER_TYPE, 2, FALSE)</f>
        <v>132</v>
      </c>
      <c r="J1282" s="3">
        <v>999</v>
      </c>
      <c r="K1282" s="3" t="s">
        <v>935</v>
      </c>
      <c r="L1282" s="3">
        <f>VLOOKUP(TRIM(Table1[[#This Row],[Provider Specialty]]) &amp; TRIM(Table1[[#This Row],[Provider Specialty Description]]), SPECIALTY_TYPE, 2, FALSE)</f>
        <v>2346</v>
      </c>
      <c r="M1282" s="3" t="s">
        <v>18</v>
      </c>
      <c r="N1282" s="27" t="s">
        <v>18</v>
      </c>
      <c r="O1282" s="38">
        <f>VLOOKUP(TRIM(Table1[[#This Row],[Provider Specialty]]) &amp; TRIM(Table1[[#This Row],[Provider Specialty Description]]), SPECIALTY_TYPE, 2, FALSE)</f>
        <v>2346</v>
      </c>
      <c r="P1282" s="3" t="str">
        <f>Table1[[#This Row],[Provider Type]] &amp; "+" &amp; Table1[[#This Row],[Provider Type Description]]</f>
        <v>99+Other</v>
      </c>
      <c r="Q1282" s="7" t="str">
        <f>Table1[[#This Row],[Provider Specialty]] &amp; "+" &amp; Table1[[#This Row],[Provider Specialty Description]]</f>
        <v>999+Miscellaneous</v>
      </c>
      <c r="R1282" s="7" t="str">
        <f>Table1[[#This Row],[PDMS Specialty Type ID]] &amp; "+" &amp; Table1[[#This Row],[PDMS Provider Type ID]] &amp; "+" &amp;Table1[[#This Row],[TAXONOMY]]</f>
        <v>2346+132+174M00000X</v>
      </c>
      <c r="S128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(10203, 2346, 132, N'174M00000X', N'Veterinarian - Veterinarian')</v>
      </c>
    </row>
    <row r="1283" spans="1:19" ht="47.25" customHeight="1" x14ac:dyDescent="0.25">
      <c r="A1283" s="22" t="s">
        <v>11</v>
      </c>
      <c r="B1283" s="3" t="s">
        <v>337</v>
      </c>
      <c r="C1283" s="3" t="s">
        <v>1838</v>
      </c>
      <c r="D1283" s="3" t="s">
        <v>1840</v>
      </c>
      <c r="E1283" s="3" t="s">
        <v>1841</v>
      </c>
      <c r="F1283" s="3">
        <f>VLOOKUP(Table1[[#This Row],[Column2]], TAXONOMY_TYPE, 2, FALSE)</f>
        <v>10204</v>
      </c>
      <c r="G1283" s="3">
        <v>99</v>
      </c>
      <c r="H1283" s="3" t="s">
        <v>1836</v>
      </c>
      <c r="I1283" s="3">
        <f>VLOOKUP(Table1[[#This Row],[Provider Type]] &amp; Table1[[#This Row],[Provider Type Description]], PROVIDER_TYPE, 2, FALSE)</f>
        <v>132</v>
      </c>
      <c r="J1283" s="3">
        <v>999</v>
      </c>
      <c r="K1283" s="3" t="s">
        <v>935</v>
      </c>
      <c r="L1283" s="3">
        <f>VLOOKUP(TRIM(Table1[[#This Row],[Provider Specialty]]) &amp; TRIM(Table1[[#This Row],[Provider Specialty Description]]), SPECIALTY_TYPE, 2, FALSE)</f>
        <v>2346</v>
      </c>
      <c r="M1283" s="3" t="s">
        <v>18</v>
      </c>
      <c r="N1283" s="27" t="s">
        <v>18</v>
      </c>
      <c r="O1283" s="38">
        <f>VLOOKUP(TRIM(Table1[[#This Row],[Provider Specialty]]) &amp; TRIM(Table1[[#This Row],[Provider Specialty Description]]), SPECIALTY_TYPE, 2, FALSE)</f>
        <v>2346</v>
      </c>
      <c r="P1283" s="3" t="str">
        <f>Table1[[#This Row],[Provider Type]] &amp; "+" &amp; Table1[[#This Row],[Provider Type Description]]</f>
        <v>99+Other</v>
      </c>
      <c r="Q1283" s="7" t="str">
        <f>Table1[[#This Row],[Provider Specialty]] &amp; "+" &amp; Table1[[#This Row],[Provider Specialty Description]]</f>
        <v>999+Miscellaneous</v>
      </c>
      <c r="R1283" s="7" t="str">
        <f>Table1[[#This Row],[PDMS Specialty Type ID]] &amp; "+" &amp; Table1[[#This Row],[PDMS Provider Type ID]] &amp; "+" &amp;Table1[[#This Row],[TAXONOMY]]</f>
        <v>2346+132+174MM1900X</v>
      </c>
      <c r="S128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(10204, 2346, 132, N'174MM1900X', N'Veterinarian - Medical Research')</v>
      </c>
    </row>
    <row r="1284" spans="1:19" ht="47.25" hidden="1" customHeight="1" x14ac:dyDescent="0.25">
      <c r="A1284" s="22" t="s">
        <v>11</v>
      </c>
      <c r="B1284" s="3" t="s">
        <v>84</v>
      </c>
      <c r="C1284" s="3" t="s">
        <v>85</v>
      </c>
      <c r="D1284" s="3" t="s">
        <v>85</v>
      </c>
      <c r="E1284" s="3" t="s">
        <v>233</v>
      </c>
      <c r="F1284" s="3">
        <f>VLOOKUP(Table1[[#This Row],[Column2]], TAXONOMY_TYPE, 2, FALSE)</f>
        <v>10205</v>
      </c>
      <c r="G1284" s="4">
        <v>32</v>
      </c>
      <c r="H1284" s="3" t="s">
        <v>1444</v>
      </c>
      <c r="I1284" s="41">
        <f>VLOOKUP(Table1[[#This Row],[Provider Type]] &amp; Table1[[#This Row],[Provider Type Description]], PROVIDER_TYPE, 2, FALSE)</f>
        <v>50</v>
      </c>
      <c r="J1284" s="4" t="s">
        <v>234</v>
      </c>
      <c r="K1284" s="3" t="s">
        <v>235</v>
      </c>
      <c r="L1284" s="3">
        <f>VLOOKUP(TRIM(Table1[[#This Row],[Provider Specialty]]) &amp; TRIM(Table1[[#This Row],[Provider Specialty Description]]), SPECIALTY_TYPE, 2, FALSE)</f>
        <v>2174</v>
      </c>
      <c r="M1284" s="3" t="s">
        <v>18</v>
      </c>
      <c r="N1284" s="27" t="s">
        <v>19</v>
      </c>
      <c r="O1284" s="41">
        <f>VLOOKUP(TRIM(Table1[[#This Row],[Provider Specialty]]) &amp; TRIM(Table1[[#This Row],[Provider Specialty Description]]), SPECIALTY_TYPE, 2, FALSE)</f>
        <v>2174</v>
      </c>
      <c r="P1284" s="3" t="str">
        <f>Table1[[#This Row],[Provider Type]] &amp; "+" &amp; Table1[[#This Row],[Provider Type Description]]</f>
        <v>32+Multi-Specialty</v>
      </c>
      <c r="Q1284" s="7" t="str">
        <f>Table1[[#This Row],[Provider Specialty]] &amp; "+" &amp; Table1[[#This Row],[Provider Specialty Description]]</f>
        <v>082+Medical Clinic</v>
      </c>
      <c r="R1284" s="7" t="str">
        <f>Table1[[#This Row],[PDMS Specialty Type ID]] &amp; "+" &amp; Table1[[#This Row],[PDMS Provider Type ID]] &amp; "+" &amp;Table1[[#This Row],[TAXONOMY]]</f>
        <v>2174+50+261Q00000X</v>
      </c>
      <c r="S128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(10205, 2174, 50, N'261Q00000X', N'Clinic/Center - Clinic/Center')</v>
      </c>
    </row>
    <row r="1285" spans="1:19" ht="47.25" hidden="1" customHeight="1" x14ac:dyDescent="0.25">
      <c r="A1285" s="22" t="s">
        <v>11</v>
      </c>
      <c r="B1285" s="3" t="s">
        <v>84</v>
      </c>
      <c r="C1285" s="3" t="s">
        <v>85</v>
      </c>
      <c r="D1285" s="3" t="s">
        <v>242</v>
      </c>
      <c r="E1285" s="3" t="s">
        <v>243</v>
      </c>
      <c r="F1285" s="3">
        <f>VLOOKUP(Table1[[#This Row],[Column2]], TAXONOMY_TYPE, 2, FALSE)</f>
        <v>10206</v>
      </c>
      <c r="G1285" s="4">
        <v>32</v>
      </c>
      <c r="H1285" s="3" t="s">
        <v>1444</v>
      </c>
      <c r="I1285" s="41">
        <f>VLOOKUP(Table1[[#This Row],[Provider Type]] &amp; Table1[[#This Row],[Provider Type Description]], PROVIDER_TYPE, 2, FALSE)</f>
        <v>50</v>
      </c>
      <c r="J1285" s="4" t="s">
        <v>234</v>
      </c>
      <c r="K1285" s="3" t="s">
        <v>235</v>
      </c>
      <c r="L1285" s="3">
        <f>VLOOKUP(TRIM(Table1[[#This Row],[Provider Specialty]]) &amp; TRIM(Table1[[#This Row],[Provider Specialty Description]]), SPECIALTY_TYPE, 2, FALSE)</f>
        <v>2174</v>
      </c>
      <c r="M1285" s="3" t="s">
        <v>18</v>
      </c>
      <c r="N1285" s="27" t="s">
        <v>19</v>
      </c>
      <c r="O1285" s="41">
        <f>VLOOKUP(TRIM(Table1[[#This Row],[Provider Specialty]]) &amp; TRIM(Table1[[#This Row],[Provider Specialty Description]]), SPECIALTY_TYPE, 2, FALSE)</f>
        <v>2174</v>
      </c>
      <c r="P1285" s="3" t="str">
        <f>Table1[[#This Row],[Provider Type]] &amp; "+" &amp; Table1[[#This Row],[Provider Type Description]]</f>
        <v>32+Multi-Specialty</v>
      </c>
      <c r="Q1285" s="7" t="str">
        <f>Table1[[#This Row],[Provider Specialty]] &amp; "+" &amp; Table1[[#This Row],[Provider Specialty Description]]</f>
        <v>082+Medical Clinic</v>
      </c>
      <c r="R1285" s="7" t="str">
        <f>Table1[[#This Row],[PDMS Specialty Type ID]] &amp; "+" &amp; Table1[[#This Row],[PDMS Provider Type ID]] &amp; "+" &amp;Table1[[#This Row],[TAXONOMY]]</f>
        <v>2174+50+261QA0900X</v>
      </c>
      <c r="S128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(10206, 2174, 50, N'261QA0900X', N'Clinic/Center - Amputee')</v>
      </c>
    </row>
    <row r="1286" spans="1:19" ht="47.25" hidden="1" customHeight="1" x14ac:dyDescent="0.25">
      <c r="A1286" s="22" t="s">
        <v>11</v>
      </c>
      <c r="B1286" s="3" t="s">
        <v>84</v>
      </c>
      <c r="C1286" s="3" t="s">
        <v>85</v>
      </c>
      <c r="D1286" s="3" t="s">
        <v>244</v>
      </c>
      <c r="E1286" s="3" t="s">
        <v>245</v>
      </c>
      <c r="F1286" s="3">
        <f>VLOOKUP(Table1[[#This Row],[Column2]], TAXONOMY_TYPE, 2, FALSE)</f>
        <v>10207</v>
      </c>
      <c r="G1286" s="4">
        <v>32</v>
      </c>
      <c r="H1286" s="3" t="s">
        <v>1444</v>
      </c>
      <c r="I1286" s="41">
        <f>VLOOKUP(Table1[[#This Row],[Provider Type]] &amp; Table1[[#This Row],[Provider Type Description]], PROVIDER_TYPE, 2, FALSE)</f>
        <v>50</v>
      </c>
      <c r="J1286" s="4" t="s">
        <v>234</v>
      </c>
      <c r="K1286" s="3" t="s">
        <v>235</v>
      </c>
      <c r="L1286" s="3">
        <f>VLOOKUP(TRIM(Table1[[#This Row],[Provider Specialty]]) &amp; TRIM(Table1[[#This Row],[Provider Specialty Description]]), SPECIALTY_TYPE, 2, FALSE)</f>
        <v>2174</v>
      </c>
      <c r="M1286" s="3" t="s">
        <v>18</v>
      </c>
      <c r="N1286" s="27" t="s">
        <v>19</v>
      </c>
      <c r="O1286" s="41">
        <f>VLOOKUP(TRIM(Table1[[#This Row],[Provider Specialty]]) &amp; TRIM(Table1[[#This Row],[Provider Specialty Description]]), SPECIALTY_TYPE, 2, FALSE)</f>
        <v>2174</v>
      </c>
      <c r="P1286" s="3" t="str">
        <f>Table1[[#This Row],[Provider Type]] &amp; "+" &amp; Table1[[#This Row],[Provider Type Description]]</f>
        <v>32+Multi-Specialty</v>
      </c>
      <c r="Q1286" s="7" t="str">
        <f>Table1[[#This Row],[Provider Specialty]] &amp; "+" &amp; Table1[[#This Row],[Provider Specialty Description]]</f>
        <v>082+Medical Clinic</v>
      </c>
      <c r="R1286" s="7" t="str">
        <f>Table1[[#This Row],[PDMS Specialty Type ID]] &amp; "+" &amp; Table1[[#This Row],[PDMS Provider Type ID]] &amp; "+" &amp;Table1[[#This Row],[TAXONOMY]]</f>
        <v>2174+50+261QA3000X</v>
      </c>
      <c r="S128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(10207, 2174, 50, N'261QA3000X', N'Clinic/Center - Augmentative Communication')</v>
      </c>
    </row>
    <row r="1287" spans="1:19" ht="47.25" hidden="1" customHeight="1" x14ac:dyDescent="0.25">
      <c r="A1287" s="22" t="s">
        <v>11</v>
      </c>
      <c r="B1287" s="3" t="s">
        <v>84</v>
      </c>
      <c r="C1287" s="3" t="s">
        <v>85</v>
      </c>
      <c r="D1287" s="3" t="s">
        <v>246</v>
      </c>
      <c r="E1287" s="3" t="s">
        <v>247</v>
      </c>
      <c r="F1287" s="3">
        <f>VLOOKUP(Table1[[#This Row],[Column2]], TAXONOMY_TYPE, 2, FALSE)</f>
        <v>10208</v>
      </c>
      <c r="G1287" s="4">
        <v>32</v>
      </c>
      <c r="H1287" s="3" t="s">
        <v>1444</v>
      </c>
      <c r="I1287" s="41">
        <f>VLOOKUP(Table1[[#This Row],[Provider Type]] &amp; Table1[[#This Row],[Provider Type Description]], PROVIDER_TYPE, 2, FALSE)</f>
        <v>50</v>
      </c>
      <c r="J1287" s="4" t="s">
        <v>234</v>
      </c>
      <c r="K1287" s="3" t="s">
        <v>235</v>
      </c>
      <c r="L1287" s="3">
        <f>VLOOKUP(TRIM(Table1[[#This Row],[Provider Specialty]]) &amp; TRIM(Table1[[#This Row],[Provider Specialty Description]]), SPECIALTY_TYPE, 2, FALSE)</f>
        <v>2174</v>
      </c>
      <c r="M1287" s="3" t="s">
        <v>18</v>
      </c>
      <c r="N1287" s="27" t="s">
        <v>19</v>
      </c>
      <c r="O1287" s="41">
        <f>VLOOKUP(TRIM(Table1[[#This Row],[Provider Specialty]]) &amp; TRIM(Table1[[#This Row],[Provider Specialty Description]]), SPECIALTY_TYPE, 2, FALSE)</f>
        <v>2174</v>
      </c>
      <c r="P1287" s="3" t="str">
        <f>Table1[[#This Row],[Provider Type]] &amp; "+" &amp; Table1[[#This Row],[Provider Type Description]]</f>
        <v>32+Multi-Specialty</v>
      </c>
      <c r="Q1287" s="7" t="str">
        <f>Table1[[#This Row],[Provider Specialty]] &amp; "+" &amp; Table1[[#This Row],[Provider Specialty Description]]</f>
        <v>082+Medical Clinic</v>
      </c>
      <c r="R1287" s="7" t="str">
        <f>Table1[[#This Row],[PDMS Specialty Type ID]] &amp; "+" &amp; Table1[[#This Row],[PDMS Provider Type ID]] &amp; "+" &amp;Table1[[#This Row],[TAXONOMY]]</f>
        <v>2174+50+261QC0050X</v>
      </c>
      <c r="S128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(10208, 2174, 50, N'261QC0050X', N'Clinic/Center - Critical Access Hospital')</v>
      </c>
    </row>
    <row r="1288" spans="1:19" ht="47.25" hidden="1" customHeight="1" x14ac:dyDescent="0.25">
      <c r="A1288" s="22" t="s">
        <v>11</v>
      </c>
      <c r="B1288" s="3" t="s">
        <v>84</v>
      </c>
      <c r="C1288" s="3" t="s">
        <v>85</v>
      </c>
      <c r="D1288" s="3" t="s">
        <v>257</v>
      </c>
      <c r="E1288" s="3" t="s">
        <v>258</v>
      </c>
      <c r="F1288" s="3">
        <f>VLOOKUP(Table1[[#This Row],[Column2]], TAXONOMY_TYPE, 2, FALSE)</f>
        <v>10209</v>
      </c>
      <c r="G1288" s="4">
        <v>32</v>
      </c>
      <c r="H1288" s="3" t="s">
        <v>1444</v>
      </c>
      <c r="I1288" s="41">
        <f>VLOOKUP(Table1[[#This Row],[Provider Type]] &amp; Table1[[#This Row],[Provider Type Description]], PROVIDER_TYPE, 2, FALSE)</f>
        <v>50</v>
      </c>
      <c r="J1288" s="4" t="s">
        <v>234</v>
      </c>
      <c r="K1288" s="3" t="s">
        <v>235</v>
      </c>
      <c r="L1288" s="3">
        <f>VLOOKUP(TRIM(Table1[[#This Row],[Provider Specialty]]) &amp; TRIM(Table1[[#This Row],[Provider Specialty Description]]), SPECIALTY_TYPE, 2, FALSE)</f>
        <v>2174</v>
      </c>
      <c r="M1288" s="3" t="s">
        <v>18</v>
      </c>
      <c r="N1288" s="27" t="s">
        <v>19</v>
      </c>
      <c r="O1288" s="41">
        <f>VLOOKUP(TRIM(Table1[[#This Row],[Provider Specialty]]) &amp; TRIM(Table1[[#This Row],[Provider Specialty Description]]), SPECIALTY_TYPE, 2, FALSE)</f>
        <v>2174</v>
      </c>
      <c r="P1288" s="3" t="str">
        <f>Table1[[#This Row],[Provider Type]] &amp; "+" &amp; Table1[[#This Row],[Provider Type Description]]</f>
        <v>32+Multi-Specialty</v>
      </c>
      <c r="Q1288" s="7" t="str">
        <f>Table1[[#This Row],[Provider Specialty]] &amp; "+" &amp; Table1[[#This Row],[Provider Specialty Description]]</f>
        <v>082+Medical Clinic</v>
      </c>
      <c r="R1288" s="7" t="str">
        <f>Table1[[#This Row],[PDMS Specialty Type ID]] &amp; "+" &amp; Table1[[#This Row],[PDMS Provider Type ID]] &amp; "+" &amp;Table1[[#This Row],[TAXONOMY]]</f>
        <v>2174+50+261QD1600X</v>
      </c>
      <c r="S128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(10209, 2174, 50, N'261QD1600X', N'Clinic/Center - Developmental Disabilities')</v>
      </c>
    </row>
    <row r="1289" spans="1:19" ht="47.25" hidden="1" customHeight="1" x14ac:dyDescent="0.25">
      <c r="A1289" s="22" t="s">
        <v>11</v>
      </c>
      <c r="B1289" s="3" t="s">
        <v>84</v>
      </c>
      <c r="C1289" s="3" t="s">
        <v>85</v>
      </c>
      <c r="D1289" s="3" t="s">
        <v>259</v>
      </c>
      <c r="E1289" s="3" t="s">
        <v>260</v>
      </c>
      <c r="F1289" s="3">
        <f>VLOOKUP(Table1[[#This Row],[Column2]], TAXONOMY_TYPE, 2, FALSE)</f>
        <v>10210</v>
      </c>
      <c r="G1289" s="4">
        <v>32</v>
      </c>
      <c r="H1289" s="3" t="s">
        <v>1444</v>
      </c>
      <c r="I1289" s="41">
        <f>VLOOKUP(Table1[[#This Row],[Provider Type]] &amp; Table1[[#This Row],[Provider Type Description]], PROVIDER_TYPE, 2, FALSE)</f>
        <v>50</v>
      </c>
      <c r="J1289" s="4" t="s">
        <v>234</v>
      </c>
      <c r="K1289" s="3" t="s">
        <v>235</v>
      </c>
      <c r="L1289" s="3">
        <f>VLOOKUP(TRIM(Table1[[#This Row],[Provider Specialty]]) &amp; TRIM(Table1[[#This Row],[Provider Specialty Description]]), SPECIALTY_TYPE, 2, FALSE)</f>
        <v>2174</v>
      </c>
      <c r="M1289" s="3" t="s">
        <v>18</v>
      </c>
      <c r="N1289" s="27" t="s">
        <v>19</v>
      </c>
      <c r="O1289" s="41">
        <f>VLOOKUP(TRIM(Table1[[#This Row],[Provider Specialty]]) &amp; TRIM(Table1[[#This Row],[Provider Specialty Description]]), SPECIALTY_TYPE, 2, FALSE)</f>
        <v>2174</v>
      </c>
      <c r="P1289" s="3" t="str">
        <f>Table1[[#This Row],[Provider Type]] &amp; "+" &amp; Table1[[#This Row],[Provider Type Description]]</f>
        <v>32+Multi-Specialty</v>
      </c>
      <c r="Q1289" s="7" t="str">
        <f>Table1[[#This Row],[Provider Specialty]] &amp; "+" &amp; Table1[[#This Row],[Provider Specialty Description]]</f>
        <v>082+Medical Clinic</v>
      </c>
      <c r="R1289" s="7" t="str">
        <f>Table1[[#This Row],[PDMS Specialty Type ID]] &amp; "+" &amp; Table1[[#This Row],[PDMS Provider Type ID]] &amp; "+" &amp;Table1[[#This Row],[TAXONOMY]]</f>
        <v>2174+50+261QE0002X</v>
      </c>
      <c r="S128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(10210, 2174, 50, N'261QE0002X', N'Clinic/Center - Emergency Care')</v>
      </c>
    </row>
    <row r="1290" spans="1:19" ht="47.25" hidden="1" customHeight="1" x14ac:dyDescent="0.25">
      <c r="A1290" s="22" t="s">
        <v>11</v>
      </c>
      <c r="B1290" s="3" t="s">
        <v>84</v>
      </c>
      <c r="C1290" s="3" t="s">
        <v>85</v>
      </c>
      <c r="D1290" s="3" t="s">
        <v>261</v>
      </c>
      <c r="E1290" s="3" t="s">
        <v>262</v>
      </c>
      <c r="F1290" s="3">
        <f>VLOOKUP(Table1[[#This Row],[Column2]], TAXONOMY_TYPE, 2, FALSE)</f>
        <v>10211</v>
      </c>
      <c r="G1290" s="4">
        <v>32</v>
      </c>
      <c r="H1290" s="3" t="s">
        <v>1444</v>
      </c>
      <c r="I1290" s="41">
        <f>VLOOKUP(Table1[[#This Row],[Provider Type]] &amp; Table1[[#This Row],[Provider Type Description]], PROVIDER_TYPE, 2, FALSE)</f>
        <v>50</v>
      </c>
      <c r="J1290" s="4" t="s">
        <v>234</v>
      </c>
      <c r="K1290" s="3" t="s">
        <v>235</v>
      </c>
      <c r="L1290" s="3">
        <f>VLOOKUP(TRIM(Table1[[#This Row],[Provider Specialty]]) &amp; TRIM(Table1[[#This Row],[Provider Specialty Description]]), SPECIALTY_TYPE, 2, FALSE)</f>
        <v>2174</v>
      </c>
      <c r="M1290" s="3" t="s">
        <v>18</v>
      </c>
      <c r="N1290" s="27" t="s">
        <v>19</v>
      </c>
      <c r="O1290" s="41">
        <f>VLOOKUP(TRIM(Table1[[#This Row],[Provider Specialty]]) &amp; TRIM(Table1[[#This Row],[Provider Specialty Description]]), SPECIALTY_TYPE, 2, FALSE)</f>
        <v>2174</v>
      </c>
      <c r="P1290" s="3" t="str">
        <f>Table1[[#This Row],[Provider Type]] &amp; "+" &amp; Table1[[#This Row],[Provider Type Description]]</f>
        <v>32+Multi-Specialty</v>
      </c>
      <c r="Q1290" s="7" t="str">
        <f>Table1[[#This Row],[Provider Specialty]] &amp; "+" &amp; Table1[[#This Row],[Provider Specialty Description]]</f>
        <v>082+Medical Clinic</v>
      </c>
      <c r="R1290" s="7" t="str">
        <f>Table1[[#This Row],[PDMS Specialty Type ID]] &amp; "+" &amp; Table1[[#This Row],[PDMS Provider Type ID]] &amp; "+" &amp;Table1[[#This Row],[TAXONOMY]]</f>
        <v>2174+50+261QE0800X</v>
      </c>
      <c r="S129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(10211, 2174, 50, N'261QE0800X', N'Clinic/Center - Endoscopy')</v>
      </c>
    </row>
    <row r="1291" spans="1:19" ht="47.25" hidden="1" customHeight="1" x14ac:dyDescent="0.25">
      <c r="A1291" s="22" t="s">
        <v>11</v>
      </c>
      <c r="B1291" s="3" t="s">
        <v>84</v>
      </c>
      <c r="C1291" s="3" t="s">
        <v>85</v>
      </c>
      <c r="D1291" s="3" t="s">
        <v>269</v>
      </c>
      <c r="E1291" s="3" t="s">
        <v>270</v>
      </c>
      <c r="F1291" s="3">
        <f>VLOOKUP(Table1[[#This Row],[Column2]], TAXONOMY_TYPE, 2, FALSE)</f>
        <v>10212</v>
      </c>
      <c r="G1291" s="4">
        <v>32</v>
      </c>
      <c r="H1291" s="3" t="s">
        <v>1444</v>
      </c>
      <c r="I1291" s="41">
        <f>VLOOKUP(Table1[[#This Row],[Provider Type]] &amp; Table1[[#This Row],[Provider Type Description]], PROVIDER_TYPE, 2, FALSE)</f>
        <v>50</v>
      </c>
      <c r="J1291" s="4" t="s">
        <v>234</v>
      </c>
      <c r="K1291" s="3" t="s">
        <v>235</v>
      </c>
      <c r="L1291" s="3">
        <f>VLOOKUP(TRIM(Table1[[#This Row],[Provider Specialty]]) &amp; TRIM(Table1[[#This Row],[Provider Specialty Description]]), SPECIALTY_TYPE, 2, FALSE)</f>
        <v>2174</v>
      </c>
      <c r="M1291" s="3" t="s">
        <v>18</v>
      </c>
      <c r="N1291" s="27" t="s">
        <v>19</v>
      </c>
      <c r="O1291" s="41">
        <f>VLOOKUP(TRIM(Table1[[#This Row],[Provider Specialty]]) &amp; TRIM(Table1[[#This Row],[Provider Specialty Description]]), SPECIALTY_TYPE, 2, FALSE)</f>
        <v>2174</v>
      </c>
      <c r="P1291" s="3" t="str">
        <f>Table1[[#This Row],[Provider Type]] &amp; "+" &amp; Table1[[#This Row],[Provider Type Description]]</f>
        <v>32+Multi-Specialty</v>
      </c>
      <c r="Q1291" s="7" t="str">
        <f>Table1[[#This Row],[Provider Specialty]] &amp; "+" &amp; Table1[[#This Row],[Provider Specialty Description]]</f>
        <v>082+Medical Clinic</v>
      </c>
      <c r="R1291" s="7" t="str">
        <f>Table1[[#This Row],[PDMS Specialty Type ID]] &amp; "+" &amp; Table1[[#This Row],[PDMS Provider Type ID]] &amp; "+" &amp;Table1[[#This Row],[TAXONOMY]]</f>
        <v>2174+50+261QG0250X</v>
      </c>
      <c r="S129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(10212, 2174, 50, N'261QG0250X', N'Clinic/Center - Genetics')</v>
      </c>
    </row>
    <row r="1292" spans="1:19" ht="47.25" hidden="1" customHeight="1" x14ac:dyDescent="0.25">
      <c r="A1292" s="22" t="s">
        <v>11</v>
      </c>
      <c r="B1292" s="3" t="s">
        <v>84</v>
      </c>
      <c r="C1292" s="3" t="s">
        <v>85</v>
      </c>
      <c r="D1292" s="3" t="s">
        <v>275</v>
      </c>
      <c r="E1292" s="3" t="s">
        <v>276</v>
      </c>
      <c r="F1292" s="3">
        <f>VLOOKUP(Table1[[#This Row],[Column2]], TAXONOMY_TYPE, 2, FALSE)</f>
        <v>10213</v>
      </c>
      <c r="G1292" s="4">
        <v>32</v>
      </c>
      <c r="H1292" s="3" t="s">
        <v>1444</v>
      </c>
      <c r="I1292" s="41">
        <f>VLOOKUP(Table1[[#This Row],[Provider Type]] &amp; Table1[[#This Row],[Provider Type Description]], PROVIDER_TYPE, 2, FALSE)</f>
        <v>50</v>
      </c>
      <c r="J1292" s="4" t="s">
        <v>234</v>
      </c>
      <c r="K1292" s="3" t="s">
        <v>235</v>
      </c>
      <c r="L1292" s="3">
        <f>VLOOKUP(TRIM(Table1[[#This Row],[Provider Specialty]]) &amp; TRIM(Table1[[#This Row],[Provider Specialty Description]]), SPECIALTY_TYPE, 2, FALSE)</f>
        <v>2174</v>
      </c>
      <c r="M1292" s="3" t="s">
        <v>18</v>
      </c>
      <c r="N1292" s="27" t="s">
        <v>19</v>
      </c>
      <c r="O1292" s="41">
        <f>VLOOKUP(TRIM(Table1[[#This Row],[Provider Specialty]]) &amp; TRIM(Table1[[#This Row],[Provider Specialty Description]]), SPECIALTY_TYPE, 2, FALSE)</f>
        <v>2174</v>
      </c>
      <c r="P1292" s="3" t="str">
        <f>Table1[[#This Row],[Provider Type]] &amp; "+" &amp; Table1[[#This Row],[Provider Type Description]]</f>
        <v>32+Multi-Specialty</v>
      </c>
      <c r="Q1292" s="7" t="str">
        <f>Table1[[#This Row],[Provider Specialty]] &amp; "+" &amp; Table1[[#This Row],[Provider Specialty Description]]</f>
        <v>082+Medical Clinic</v>
      </c>
      <c r="R1292" s="7" t="str">
        <f>Table1[[#This Row],[PDMS Specialty Type ID]] &amp; "+" &amp; Table1[[#This Row],[PDMS Provider Type ID]] &amp; "+" &amp;Table1[[#This Row],[TAXONOMY]]</f>
        <v>2174+50+261QL0400X</v>
      </c>
      <c r="S129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(10213, 2174, 50, N'261QL0400X', N'Clinic/Center - Lithotripsy')</v>
      </c>
    </row>
    <row r="1293" spans="1:19" ht="47.25" hidden="1" customHeight="1" x14ac:dyDescent="0.25">
      <c r="A1293" s="22" t="s">
        <v>11</v>
      </c>
      <c r="B1293" s="3" t="s">
        <v>84</v>
      </c>
      <c r="C1293" s="3" t="s">
        <v>85</v>
      </c>
      <c r="D1293" s="3" t="s">
        <v>277</v>
      </c>
      <c r="E1293" s="3" t="s">
        <v>278</v>
      </c>
      <c r="F1293" s="3">
        <f>VLOOKUP(Table1[[#This Row],[Column2]], TAXONOMY_TYPE, 2, FALSE)</f>
        <v>10214</v>
      </c>
      <c r="G1293" s="4">
        <v>32</v>
      </c>
      <c r="H1293" s="3" t="s">
        <v>1444</v>
      </c>
      <c r="I1293" s="41">
        <f>VLOOKUP(Table1[[#This Row],[Provider Type]] &amp; Table1[[#This Row],[Provider Type Description]], PROVIDER_TYPE, 2, FALSE)</f>
        <v>50</v>
      </c>
      <c r="J1293" s="4" t="s">
        <v>234</v>
      </c>
      <c r="K1293" s="3" t="s">
        <v>235</v>
      </c>
      <c r="L1293" s="3">
        <f>VLOOKUP(TRIM(Table1[[#This Row],[Provider Specialty]]) &amp; TRIM(Table1[[#This Row],[Provider Specialty Description]]), SPECIALTY_TYPE, 2, FALSE)</f>
        <v>2174</v>
      </c>
      <c r="M1293" s="3" t="s">
        <v>18</v>
      </c>
      <c r="N1293" s="27" t="s">
        <v>19</v>
      </c>
      <c r="O1293" s="41">
        <f>VLOOKUP(TRIM(Table1[[#This Row],[Provider Specialty]]) &amp; TRIM(Table1[[#This Row],[Provider Specialty Description]]), SPECIALTY_TYPE, 2, FALSE)</f>
        <v>2174</v>
      </c>
      <c r="P1293" s="3" t="str">
        <f>Table1[[#This Row],[Provider Type]] &amp; "+" &amp; Table1[[#This Row],[Provider Type Description]]</f>
        <v>32+Multi-Specialty</v>
      </c>
      <c r="Q1293" s="7" t="str">
        <f>Table1[[#This Row],[Provider Specialty]] &amp; "+" &amp; Table1[[#This Row],[Provider Specialty Description]]</f>
        <v>082+Medical Clinic</v>
      </c>
      <c r="R1293" s="7" t="str">
        <f>Table1[[#This Row],[PDMS Specialty Type ID]] &amp; "+" &amp; Table1[[#This Row],[PDMS Provider Type ID]] &amp; "+" &amp;Table1[[#This Row],[TAXONOMY]]</f>
        <v>2174+50+261QM1000X</v>
      </c>
      <c r="S129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(10214, 2174, 50, N'261QM1000X', N'Clinic/Center - Migrant Health')</v>
      </c>
    </row>
    <row r="1294" spans="1:19" ht="47.25" hidden="1" customHeight="1" x14ac:dyDescent="0.25">
      <c r="A1294" s="22" t="s">
        <v>11</v>
      </c>
      <c r="B1294" s="3" t="s">
        <v>84</v>
      </c>
      <c r="C1294" s="3" t="s">
        <v>85</v>
      </c>
      <c r="D1294" s="3" t="s">
        <v>279</v>
      </c>
      <c r="E1294" s="3" t="s">
        <v>280</v>
      </c>
      <c r="F1294" s="3">
        <f>VLOOKUP(Table1[[#This Row],[Column2]], TAXONOMY_TYPE, 2, FALSE)</f>
        <v>10215</v>
      </c>
      <c r="G1294" s="4">
        <v>32</v>
      </c>
      <c r="H1294" s="3" t="s">
        <v>1444</v>
      </c>
      <c r="I1294" s="41">
        <f>VLOOKUP(Table1[[#This Row],[Provider Type]] &amp; Table1[[#This Row],[Provider Type Description]], PROVIDER_TYPE, 2, FALSE)</f>
        <v>50</v>
      </c>
      <c r="J1294" s="4" t="s">
        <v>234</v>
      </c>
      <c r="K1294" s="3" t="s">
        <v>235</v>
      </c>
      <c r="L1294" s="3">
        <f>VLOOKUP(TRIM(Table1[[#This Row],[Provider Specialty]]) &amp; TRIM(Table1[[#This Row],[Provider Specialty Description]]), SPECIALTY_TYPE, 2, FALSE)</f>
        <v>2174</v>
      </c>
      <c r="M1294" s="3" t="s">
        <v>18</v>
      </c>
      <c r="N1294" s="27" t="s">
        <v>19</v>
      </c>
      <c r="O1294" s="41">
        <f>VLOOKUP(TRIM(Table1[[#This Row],[Provider Specialty]]) &amp; TRIM(Table1[[#This Row],[Provider Specialty Description]]), SPECIALTY_TYPE, 2, FALSE)</f>
        <v>2174</v>
      </c>
      <c r="P1294" s="3" t="str">
        <f>Table1[[#This Row],[Provider Type]] &amp; "+" &amp; Table1[[#This Row],[Provider Type Description]]</f>
        <v>32+Multi-Specialty</v>
      </c>
      <c r="Q1294" s="7" t="str">
        <f>Table1[[#This Row],[Provider Specialty]] &amp; "+" &amp; Table1[[#This Row],[Provider Specialty Description]]</f>
        <v>082+Medical Clinic</v>
      </c>
      <c r="R1294" s="7" t="str">
        <f>Table1[[#This Row],[PDMS Specialty Type ID]] &amp; "+" &amp; Table1[[#This Row],[PDMS Provider Type ID]] &amp; "+" &amp;Table1[[#This Row],[TAXONOMY]]</f>
        <v>2174+50+261QM1100X</v>
      </c>
      <c r="S129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(10215, 2174, 50, N'261QM1100X', N'Clinic/Center - Military/U.S. Coast Guard Outpatient')</v>
      </c>
    </row>
    <row r="1295" spans="1:19" ht="47.25" hidden="1" customHeight="1" x14ac:dyDescent="0.25">
      <c r="A1295" s="22" t="s">
        <v>11</v>
      </c>
      <c r="B1295" s="3" t="s">
        <v>84</v>
      </c>
      <c r="C1295" s="3" t="s">
        <v>85</v>
      </c>
      <c r="D1295" s="3" t="s">
        <v>281</v>
      </c>
      <c r="E1295" s="3" t="s">
        <v>282</v>
      </c>
      <c r="F1295" s="3">
        <f>VLOOKUP(Table1[[#This Row],[Column2]], TAXONOMY_TYPE, 2, FALSE)</f>
        <v>10216</v>
      </c>
      <c r="G1295" s="4">
        <v>32</v>
      </c>
      <c r="H1295" s="3" t="s">
        <v>1444</v>
      </c>
      <c r="I1295" s="41">
        <f>VLOOKUP(Table1[[#This Row],[Provider Type]] &amp; Table1[[#This Row],[Provider Type Description]], PROVIDER_TYPE, 2, FALSE)</f>
        <v>50</v>
      </c>
      <c r="J1295" s="4" t="s">
        <v>234</v>
      </c>
      <c r="K1295" s="3" t="s">
        <v>235</v>
      </c>
      <c r="L1295" s="3">
        <f>VLOOKUP(TRIM(Table1[[#This Row],[Provider Specialty]]) &amp; TRIM(Table1[[#This Row],[Provider Specialty Description]]), SPECIALTY_TYPE, 2, FALSE)</f>
        <v>2174</v>
      </c>
      <c r="M1295" s="3" t="s">
        <v>18</v>
      </c>
      <c r="N1295" s="27" t="s">
        <v>19</v>
      </c>
      <c r="O1295" s="41">
        <f>VLOOKUP(TRIM(Table1[[#This Row],[Provider Specialty]]) &amp; TRIM(Table1[[#This Row],[Provider Specialty Description]]), SPECIALTY_TYPE, 2, FALSE)</f>
        <v>2174</v>
      </c>
      <c r="P1295" s="3" t="str">
        <f>Table1[[#This Row],[Provider Type]] &amp; "+" &amp; Table1[[#This Row],[Provider Type Description]]</f>
        <v>32+Multi-Specialty</v>
      </c>
      <c r="Q1295" s="7" t="str">
        <f>Table1[[#This Row],[Provider Specialty]] &amp; "+" &amp; Table1[[#This Row],[Provider Specialty Description]]</f>
        <v>082+Medical Clinic</v>
      </c>
      <c r="R1295" s="7" t="str">
        <f>Table1[[#This Row],[PDMS Specialty Type ID]] &amp; "+" &amp; Table1[[#This Row],[PDMS Provider Type ID]] &amp; "+" &amp;Table1[[#This Row],[TAXONOMY]]</f>
        <v>2174+50+261QM1102X</v>
      </c>
      <c r="S129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(10216, 2174, 50, N'261QM1102X', N'Clinic/Center - Military Outpatient Operational (Transportable) Component')</v>
      </c>
    </row>
    <row r="1296" spans="1:19" ht="47.25" hidden="1" customHeight="1" x14ac:dyDescent="0.25">
      <c r="A1296" s="22" t="s">
        <v>11</v>
      </c>
      <c r="B1296" s="3" t="s">
        <v>84</v>
      </c>
      <c r="C1296" s="3" t="s">
        <v>85</v>
      </c>
      <c r="D1296" s="3" t="s">
        <v>283</v>
      </c>
      <c r="E1296" s="3" t="s">
        <v>284</v>
      </c>
      <c r="F1296" s="3">
        <f>VLOOKUP(Table1[[#This Row],[Column2]], TAXONOMY_TYPE, 2, FALSE)</f>
        <v>10217</v>
      </c>
      <c r="G1296" s="4">
        <v>32</v>
      </c>
      <c r="H1296" s="3" t="s">
        <v>1444</v>
      </c>
      <c r="I1296" s="41">
        <f>VLOOKUP(Table1[[#This Row],[Provider Type]] &amp; Table1[[#This Row],[Provider Type Description]], PROVIDER_TYPE, 2, FALSE)</f>
        <v>50</v>
      </c>
      <c r="J1296" s="4" t="s">
        <v>234</v>
      </c>
      <c r="K1296" s="3" t="s">
        <v>235</v>
      </c>
      <c r="L1296" s="3">
        <f>VLOOKUP(TRIM(Table1[[#This Row],[Provider Specialty]]) &amp; TRIM(Table1[[#This Row],[Provider Specialty Description]]), SPECIALTY_TYPE, 2, FALSE)</f>
        <v>2174</v>
      </c>
      <c r="M1296" s="3" t="s">
        <v>18</v>
      </c>
      <c r="N1296" s="27" t="s">
        <v>19</v>
      </c>
      <c r="O1296" s="41">
        <f>VLOOKUP(TRIM(Table1[[#This Row],[Provider Specialty]]) &amp; TRIM(Table1[[#This Row],[Provider Specialty Description]]), SPECIALTY_TYPE, 2, FALSE)</f>
        <v>2174</v>
      </c>
      <c r="P1296" s="3" t="str">
        <f>Table1[[#This Row],[Provider Type]] &amp; "+" &amp; Table1[[#This Row],[Provider Type Description]]</f>
        <v>32+Multi-Specialty</v>
      </c>
      <c r="Q1296" s="7" t="str">
        <f>Table1[[#This Row],[Provider Specialty]] &amp; "+" &amp; Table1[[#This Row],[Provider Specialty Description]]</f>
        <v>082+Medical Clinic</v>
      </c>
      <c r="R1296" s="7" t="str">
        <f>Table1[[#This Row],[PDMS Specialty Type ID]] &amp; "+" &amp; Table1[[#This Row],[PDMS Provider Type ID]] &amp; "+" &amp;Table1[[#This Row],[TAXONOMY]]</f>
        <v>2174+50+261QM1103X</v>
      </c>
      <c r="S129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(10217, 2174, 50, N'261QM1103X', N'Clinic/Center - Military Ambulatory Procedure Visits Operational (Transportable)')</v>
      </c>
    </row>
    <row r="1297" spans="1:19" ht="47.25" hidden="1" customHeight="1" x14ac:dyDescent="0.25">
      <c r="A1297" s="22" t="s">
        <v>11</v>
      </c>
      <c r="B1297" s="3" t="s">
        <v>84</v>
      </c>
      <c r="C1297" s="3" t="s">
        <v>85</v>
      </c>
      <c r="D1297" s="3" t="s">
        <v>285</v>
      </c>
      <c r="E1297" s="3" t="s">
        <v>286</v>
      </c>
      <c r="F1297" s="3">
        <f>VLOOKUP(Table1[[#This Row],[Column2]], TAXONOMY_TYPE, 2, FALSE)</f>
        <v>10218</v>
      </c>
      <c r="G1297" s="4">
        <v>32</v>
      </c>
      <c r="H1297" s="3" t="s">
        <v>1444</v>
      </c>
      <c r="I1297" s="41">
        <f>VLOOKUP(Table1[[#This Row],[Provider Type]] &amp; Table1[[#This Row],[Provider Type Description]], PROVIDER_TYPE, 2, FALSE)</f>
        <v>50</v>
      </c>
      <c r="J1297" s="4" t="s">
        <v>234</v>
      </c>
      <c r="K1297" s="3" t="s">
        <v>235</v>
      </c>
      <c r="L1297" s="3">
        <f>VLOOKUP(TRIM(Table1[[#This Row],[Provider Specialty]]) &amp; TRIM(Table1[[#This Row],[Provider Specialty Description]]), SPECIALTY_TYPE, 2, FALSE)</f>
        <v>2174</v>
      </c>
      <c r="M1297" s="3" t="s">
        <v>18</v>
      </c>
      <c r="N1297" s="27" t="s">
        <v>19</v>
      </c>
      <c r="O1297" s="41">
        <f>VLOOKUP(TRIM(Table1[[#This Row],[Provider Specialty]]) &amp; TRIM(Table1[[#This Row],[Provider Specialty Description]]), SPECIALTY_TYPE, 2, FALSE)</f>
        <v>2174</v>
      </c>
      <c r="P1297" s="3" t="str">
        <f>Table1[[#This Row],[Provider Type]] &amp; "+" &amp; Table1[[#This Row],[Provider Type Description]]</f>
        <v>32+Multi-Specialty</v>
      </c>
      <c r="Q1297" s="7" t="str">
        <f>Table1[[#This Row],[Provider Specialty]] &amp; "+" &amp; Table1[[#This Row],[Provider Specialty Description]]</f>
        <v>082+Medical Clinic</v>
      </c>
      <c r="R1297" s="7" t="str">
        <f>Table1[[#This Row],[PDMS Specialty Type ID]] &amp; "+" &amp; Table1[[#This Row],[PDMS Provider Type ID]] &amp; "+" &amp;Table1[[#This Row],[TAXONOMY]]</f>
        <v>2174+50+261QM1200X</v>
      </c>
      <c r="S129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(10218, 2174, 50, N'261QM1200X', N'Clinic/Center - Magnetic Resonance Imaging (MRI)')</v>
      </c>
    </row>
    <row r="1298" spans="1:19" ht="47.25" hidden="1" customHeight="1" x14ac:dyDescent="0.25">
      <c r="A1298" s="22" t="s">
        <v>11</v>
      </c>
      <c r="B1298" s="3" t="s">
        <v>84</v>
      </c>
      <c r="C1298" s="3" t="s">
        <v>85</v>
      </c>
      <c r="D1298" s="3" t="s">
        <v>287</v>
      </c>
      <c r="E1298" s="3" t="s">
        <v>288</v>
      </c>
      <c r="F1298" s="3">
        <f>VLOOKUP(Table1[[#This Row],[Column2]], TAXONOMY_TYPE, 2, FALSE)</f>
        <v>10219</v>
      </c>
      <c r="G1298" s="4">
        <v>32</v>
      </c>
      <c r="H1298" s="3" t="s">
        <v>1444</v>
      </c>
      <c r="I1298" s="41">
        <f>VLOOKUP(Table1[[#This Row],[Provider Type]] &amp; Table1[[#This Row],[Provider Type Description]], PROVIDER_TYPE, 2, FALSE)</f>
        <v>50</v>
      </c>
      <c r="J1298" s="4" t="s">
        <v>234</v>
      </c>
      <c r="K1298" s="3" t="s">
        <v>235</v>
      </c>
      <c r="L1298" s="3">
        <f>VLOOKUP(TRIM(Table1[[#This Row],[Provider Specialty]]) &amp; TRIM(Table1[[#This Row],[Provider Specialty Description]]), SPECIALTY_TYPE, 2, FALSE)</f>
        <v>2174</v>
      </c>
      <c r="M1298" s="3" t="s">
        <v>18</v>
      </c>
      <c r="N1298" s="27" t="s">
        <v>19</v>
      </c>
      <c r="O1298" s="41">
        <f>VLOOKUP(TRIM(Table1[[#This Row],[Provider Specialty]]) &amp; TRIM(Table1[[#This Row],[Provider Specialty Description]]), SPECIALTY_TYPE, 2, FALSE)</f>
        <v>2174</v>
      </c>
      <c r="P1298" s="3" t="str">
        <f>Table1[[#This Row],[Provider Type]] &amp; "+" &amp; Table1[[#This Row],[Provider Type Description]]</f>
        <v>32+Multi-Specialty</v>
      </c>
      <c r="Q1298" s="7" t="str">
        <f>Table1[[#This Row],[Provider Specialty]] &amp; "+" &amp; Table1[[#This Row],[Provider Specialty Description]]</f>
        <v>082+Medical Clinic</v>
      </c>
      <c r="R1298" s="7" t="str">
        <f>Table1[[#This Row],[PDMS Specialty Type ID]] &amp; "+" &amp; Table1[[#This Row],[PDMS Provider Type ID]] &amp; "+" &amp;Table1[[#This Row],[TAXONOMY]]</f>
        <v>2174+50+261QM1300X</v>
      </c>
      <c r="S129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(10219, 2174, 50, N'261QM1300X', N'Clinic/Center - Multi-Specialty')</v>
      </c>
    </row>
    <row r="1299" spans="1:19" ht="47.25" hidden="1" customHeight="1" x14ac:dyDescent="0.25">
      <c r="A1299" s="22" t="s">
        <v>11</v>
      </c>
      <c r="B1299" s="3" t="s">
        <v>84</v>
      </c>
      <c r="C1299" s="3" t="s">
        <v>85</v>
      </c>
      <c r="D1299" s="3" t="s">
        <v>289</v>
      </c>
      <c r="E1299" s="3" t="s">
        <v>290</v>
      </c>
      <c r="F1299" s="3">
        <f>VLOOKUP(Table1[[#This Row],[Column2]], TAXONOMY_TYPE, 2, FALSE)</f>
        <v>10220</v>
      </c>
      <c r="G1299" s="4">
        <v>32</v>
      </c>
      <c r="H1299" s="3" t="s">
        <v>1444</v>
      </c>
      <c r="I1299" s="41">
        <f>VLOOKUP(Table1[[#This Row],[Provider Type]] &amp; Table1[[#This Row],[Provider Type Description]], PROVIDER_TYPE, 2, FALSE)</f>
        <v>50</v>
      </c>
      <c r="J1299" s="4" t="s">
        <v>234</v>
      </c>
      <c r="K1299" s="3" t="s">
        <v>235</v>
      </c>
      <c r="L1299" s="3">
        <f>VLOOKUP(TRIM(Table1[[#This Row],[Provider Specialty]]) &amp; TRIM(Table1[[#This Row],[Provider Specialty Description]]), SPECIALTY_TYPE, 2, FALSE)</f>
        <v>2174</v>
      </c>
      <c r="M1299" s="3" t="s">
        <v>18</v>
      </c>
      <c r="N1299" s="27" t="s">
        <v>19</v>
      </c>
      <c r="O1299" s="41">
        <f>VLOOKUP(TRIM(Table1[[#This Row],[Provider Specialty]]) &amp; TRIM(Table1[[#This Row],[Provider Specialty Description]]), SPECIALTY_TYPE, 2, FALSE)</f>
        <v>2174</v>
      </c>
      <c r="P1299" s="3" t="str">
        <f>Table1[[#This Row],[Provider Type]] &amp; "+" &amp; Table1[[#This Row],[Provider Type Description]]</f>
        <v>32+Multi-Specialty</v>
      </c>
      <c r="Q1299" s="7" t="str">
        <f>Table1[[#This Row],[Provider Specialty]] &amp; "+" &amp; Table1[[#This Row],[Provider Specialty Description]]</f>
        <v>082+Medical Clinic</v>
      </c>
      <c r="R1299" s="7" t="str">
        <f>Table1[[#This Row],[PDMS Specialty Type ID]] &amp; "+" &amp; Table1[[#This Row],[PDMS Provider Type ID]] &amp; "+" &amp;Table1[[#This Row],[TAXONOMY]]</f>
        <v>2174+50+261QM2500X</v>
      </c>
      <c r="S129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(10220, 2174, 50, N'261QM2500X', N'Clinic/Center - Medical Specialty')</v>
      </c>
    </row>
    <row r="1300" spans="1:19" ht="47.25" hidden="1" customHeight="1" x14ac:dyDescent="0.25">
      <c r="A1300" s="22" t="s">
        <v>11</v>
      </c>
      <c r="B1300" s="3" t="s">
        <v>84</v>
      </c>
      <c r="C1300" s="3" t="s">
        <v>85</v>
      </c>
      <c r="D1300" s="3" t="s">
        <v>291</v>
      </c>
      <c r="E1300" s="3" t="s">
        <v>292</v>
      </c>
      <c r="F1300" s="3">
        <f>VLOOKUP(Table1[[#This Row],[Column2]], TAXONOMY_TYPE, 2, FALSE)</f>
        <v>10221</v>
      </c>
      <c r="G1300" s="4">
        <v>32</v>
      </c>
      <c r="H1300" s="3" t="s">
        <v>1444</v>
      </c>
      <c r="I1300" s="41">
        <f>VLOOKUP(Table1[[#This Row],[Provider Type]] &amp; Table1[[#This Row],[Provider Type Description]], PROVIDER_TYPE, 2, FALSE)</f>
        <v>50</v>
      </c>
      <c r="J1300" s="4" t="s">
        <v>234</v>
      </c>
      <c r="K1300" s="3" t="s">
        <v>235</v>
      </c>
      <c r="L1300" s="3">
        <f>VLOOKUP(TRIM(Table1[[#This Row],[Provider Specialty]]) &amp; TRIM(Table1[[#This Row],[Provider Specialty Description]]), SPECIALTY_TYPE, 2, FALSE)</f>
        <v>2174</v>
      </c>
      <c r="M1300" s="3" t="s">
        <v>18</v>
      </c>
      <c r="N1300" s="27" t="s">
        <v>19</v>
      </c>
      <c r="O1300" s="41">
        <f>VLOOKUP(TRIM(Table1[[#This Row],[Provider Specialty]]) &amp; TRIM(Table1[[#This Row],[Provider Specialty Description]]), SPECIALTY_TYPE, 2, FALSE)</f>
        <v>2174</v>
      </c>
      <c r="P1300" s="3" t="str">
        <f>Table1[[#This Row],[Provider Type]] &amp; "+" &amp; Table1[[#This Row],[Provider Type Description]]</f>
        <v>32+Multi-Specialty</v>
      </c>
      <c r="Q1300" s="7" t="str">
        <f>Table1[[#This Row],[Provider Specialty]] &amp; "+" &amp; Table1[[#This Row],[Provider Specialty Description]]</f>
        <v>082+Medical Clinic</v>
      </c>
      <c r="R1300" s="7" t="str">
        <f>Table1[[#This Row],[PDMS Specialty Type ID]] &amp; "+" &amp; Table1[[#This Row],[PDMS Provider Type ID]] &amp; "+" &amp;Table1[[#This Row],[TAXONOMY]]</f>
        <v>2174+50+261QM2800X</v>
      </c>
      <c r="S130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(10221, 2174, 50, N'261QM2800X', N'Clinic/Center - Methadone')</v>
      </c>
    </row>
    <row r="1301" spans="1:19" ht="47.25" hidden="1" customHeight="1" x14ac:dyDescent="0.25">
      <c r="A1301" s="22" t="s">
        <v>11</v>
      </c>
      <c r="B1301" s="3" t="s">
        <v>84</v>
      </c>
      <c r="C1301" s="3" t="s">
        <v>85</v>
      </c>
      <c r="D1301" s="3" t="s">
        <v>295</v>
      </c>
      <c r="E1301" s="3" t="s">
        <v>296</v>
      </c>
      <c r="F1301" s="3">
        <f>VLOOKUP(Table1[[#This Row],[Column2]], TAXONOMY_TYPE, 2, FALSE)</f>
        <v>10222</v>
      </c>
      <c r="G1301" s="4">
        <v>32</v>
      </c>
      <c r="H1301" s="3" t="s">
        <v>1444</v>
      </c>
      <c r="I1301" s="41">
        <f>VLOOKUP(Table1[[#This Row],[Provider Type]] &amp; Table1[[#This Row],[Provider Type Description]], PROVIDER_TYPE, 2, FALSE)</f>
        <v>50</v>
      </c>
      <c r="J1301" s="4" t="s">
        <v>234</v>
      </c>
      <c r="K1301" s="3" t="s">
        <v>235</v>
      </c>
      <c r="L1301" s="3">
        <f>VLOOKUP(TRIM(Table1[[#This Row],[Provider Specialty]]) &amp; TRIM(Table1[[#This Row],[Provider Specialty Description]]), SPECIALTY_TYPE, 2, FALSE)</f>
        <v>2174</v>
      </c>
      <c r="M1301" s="3" t="s">
        <v>18</v>
      </c>
      <c r="N1301" s="27" t="s">
        <v>19</v>
      </c>
      <c r="O1301" s="41">
        <f>VLOOKUP(TRIM(Table1[[#This Row],[Provider Specialty]]) &amp; TRIM(Table1[[#This Row],[Provider Specialty Description]]), SPECIALTY_TYPE, 2, FALSE)</f>
        <v>2174</v>
      </c>
      <c r="P1301" s="3" t="str">
        <f>Table1[[#This Row],[Provider Type]] &amp; "+" &amp; Table1[[#This Row],[Provider Type Description]]</f>
        <v>32+Multi-Specialty</v>
      </c>
      <c r="Q1301" s="7" t="str">
        <f>Table1[[#This Row],[Provider Specialty]] &amp; "+" &amp; Table1[[#This Row],[Provider Specialty Description]]</f>
        <v>082+Medical Clinic</v>
      </c>
      <c r="R1301" s="7" t="str">
        <f>Table1[[#This Row],[PDMS Specialty Type ID]] &amp; "+" &amp; Table1[[#This Row],[PDMS Provider Type ID]] &amp; "+" &amp;Table1[[#This Row],[TAXONOMY]]</f>
        <v>2174+50+261QP1100X</v>
      </c>
      <c r="S130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(10222, 2174, 50, N'261QP1100X', N'Clinic/Center - Podiatric')</v>
      </c>
    </row>
    <row r="1302" spans="1:19" ht="47.25" hidden="1" customHeight="1" x14ac:dyDescent="0.25">
      <c r="A1302" s="22" t="s">
        <v>11</v>
      </c>
      <c r="B1302" s="3" t="s">
        <v>84</v>
      </c>
      <c r="C1302" s="3" t="s">
        <v>85</v>
      </c>
      <c r="D1302" s="3" t="s">
        <v>299</v>
      </c>
      <c r="E1302" s="3" t="s">
        <v>300</v>
      </c>
      <c r="F1302" s="3">
        <f>VLOOKUP(Table1[[#This Row],[Column2]], TAXONOMY_TYPE, 2, FALSE)</f>
        <v>10223</v>
      </c>
      <c r="G1302" s="4">
        <v>32</v>
      </c>
      <c r="H1302" s="3" t="s">
        <v>1444</v>
      </c>
      <c r="I1302" s="41">
        <f>VLOOKUP(Table1[[#This Row],[Provider Type]] &amp; Table1[[#This Row],[Provider Type Description]], PROVIDER_TYPE, 2, FALSE)</f>
        <v>50</v>
      </c>
      <c r="J1302" s="4" t="s">
        <v>234</v>
      </c>
      <c r="K1302" s="3" t="s">
        <v>235</v>
      </c>
      <c r="L1302" s="3">
        <f>VLOOKUP(TRIM(Table1[[#This Row],[Provider Specialty]]) &amp; TRIM(Table1[[#This Row],[Provider Specialty Description]]), SPECIALTY_TYPE, 2, FALSE)</f>
        <v>2174</v>
      </c>
      <c r="M1302" s="3" t="s">
        <v>18</v>
      </c>
      <c r="N1302" s="27" t="s">
        <v>19</v>
      </c>
      <c r="O1302" s="41">
        <f>VLOOKUP(TRIM(Table1[[#This Row],[Provider Specialty]]) &amp; TRIM(Table1[[#This Row],[Provider Specialty Description]]), SPECIALTY_TYPE, 2, FALSE)</f>
        <v>2174</v>
      </c>
      <c r="P1302" s="3" t="str">
        <f>Table1[[#This Row],[Provider Type]] &amp; "+" &amp; Table1[[#This Row],[Provider Type Description]]</f>
        <v>32+Multi-Specialty</v>
      </c>
      <c r="Q1302" s="7" t="str">
        <f>Table1[[#This Row],[Provider Specialty]] &amp; "+" &amp; Table1[[#This Row],[Provider Specialty Description]]</f>
        <v>082+Medical Clinic</v>
      </c>
      <c r="R1302" s="7" t="str">
        <f>Table1[[#This Row],[PDMS Specialty Type ID]] &amp; "+" &amp; Table1[[#This Row],[PDMS Provider Type ID]] &amp; "+" &amp;Table1[[#This Row],[TAXONOMY]]</f>
        <v>2174+50+261QP2300X</v>
      </c>
      <c r="S130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(10223, 2174, 50, N'261QP2300X', N'Clinic/Center - Primary Care')</v>
      </c>
    </row>
    <row r="1303" spans="1:19" ht="47.25" hidden="1" customHeight="1" x14ac:dyDescent="0.25">
      <c r="A1303" s="22" t="s">
        <v>11</v>
      </c>
      <c r="B1303" s="3" t="s">
        <v>84</v>
      </c>
      <c r="C1303" s="3" t="s">
        <v>85</v>
      </c>
      <c r="D1303" s="3" t="s">
        <v>301</v>
      </c>
      <c r="E1303" s="3" t="s">
        <v>302</v>
      </c>
      <c r="F1303" s="3">
        <f>VLOOKUP(Table1[[#This Row],[Column2]], TAXONOMY_TYPE, 2, FALSE)</f>
        <v>10224</v>
      </c>
      <c r="G1303" s="4">
        <v>32</v>
      </c>
      <c r="H1303" s="3" t="s">
        <v>1444</v>
      </c>
      <c r="I1303" s="41">
        <f>VLOOKUP(Table1[[#This Row],[Provider Type]] &amp; Table1[[#This Row],[Provider Type Description]], PROVIDER_TYPE, 2, FALSE)</f>
        <v>50</v>
      </c>
      <c r="J1303" s="4" t="s">
        <v>234</v>
      </c>
      <c r="K1303" s="3" t="s">
        <v>235</v>
      </c>
      <c r="L1303" s="3">
        <f>VLOOKUP(TRIM(Table1[[#This Row],[Provider Specialty]]) &amp; TRIM(Table1[[#This Row],[Provider Specialty Description]]), SPECIALTY_TYPE, 2, FALSE)</f>
        <v>2174</v>
      </c>
      <c r="M1303" s="3" t="s">
        <v>18</v>
      </c>
      <c r="N1303" s="27" t="s">
        <v>19</v>
      </c>
      <c r="O1303" s="41">
        <f>VLOOKUP(TRIM(Table1[[#This Row],[Provider Specialty]]) &amp; TRIM(Table1[[#This Row],[Provider Specialty Description]]), SPECIALTY_TYPE, 2, FALSE)</f>
        <v>2174</v>
      </c>
      <c r="P1303" s="3" t="str">
        <f>Table1[[#This Row],[Provider Type]] &amp; "+" &amp; Table1[[#This Row],[Provider Type Description]]</f>
        <v>32+Multi-Specialty</v>
      </c>
      <c r="Q1303" s="7" t="str">
        <f>Table1[[#This Row],[Provider Specialty]] &amp; "+" &amp; Table1[[#This Row],[Provider Specialty Description]]</f>
        <v>082+Medical Clinic</v>
      </c>
      <c r="R1303" s="7" t="str">
        <f>Table1[[#This Row],[PDMS Specialty Type ID]] &amp; "+" &amp; Table1[[#This Row],[PDMS Provider Type ID]] &amp; "+" &amp;Table1[[#This Row],[TAXONOMY]]</f>
        <v>2174+50+261QP2400X</v>
      </c>
      <c r="S130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(10224, 2174, 50, N'261QP2400X', N'Clinic/Center - Prison Health')</v>
      </c>
    </row>
    <row r="1304" spans="1:19" ht="47.25" hidden="1" customHeight="1" x14ac:dyDescent="0.25">
      <c r="A1304" s="22" t="s">
        <v>11</v>
      </c>
      <c r="B1304" s="3" t="s">
        <v>84</v>
      </c>
      <c r="C1304" s="3" t="s">
        <v>85</v>
      </c>
      <c r="D1304" s="3" t="s">
        <v>303</v>
      </c>
      <c r="E1304" s="3" t="s">
        <v>304</v>
      </c>
      <c r="F1304" s="3">
        <f>VLOOKUP(Table1[[#This Row],[Column2]], TAXONOMY_TYPE, 2, FALSE)</f>
        <v>10225</v>
      </c>
      <c r="G1304" s="4">
        <v>32</v>
      </c>
      <c r="H1304" s="3" t="s">
        <v>1444</v>
      </c>
      <c r="I1304" s="41">
        <f>VLOOKUP(Table1[[#This Row],[Provider Type]] &amp; Table1[[#This Row],[Provider Type Description]], PROVIDER_TYPE, 2, FALSE)</f>
        <v>50</v>
      </c>
      <c r="J1304" s="4" t="s">
        <v>234</v>
      </c>
      <c r="K1304" s="3" t="s">
        <v>235</v>
      </c>
      <c r="L1304" s="3">
        <f>VLOOKUP(TRIM(Table1[[#This Row],[Provider Specialty]]) &amp; TRIM(Table1[[#This Row],[Provider Specialty Description]]), SPECIALTY_TYPE, 2, FALSE)</f>
        <v>2174</v>
      </c>
      <c r="M1304" s="3" t="s">
        <v>18</v>
      </c>
      <c r="N1304" s="27" t="s">
        <v>19</v>
      </c>
      <c r="O1304" s="41">
        <f>VLOOKUP(TRIM(Table1[[#This Row],[Provider Specialty]]) &amp; TRIM(Table1[[#This Row],[Provider Specialty Description]]), SPECIALTY_TYPE, 2, FALSE)</f>
        <v>2174</v>
      </c>
      <c r="P1304" s="3" t="str">
        <f>Table1[[#This Row],[Provider Type]] &amp; "+" &amp; Table1[[#This Row],[Provider Type Description]]</f>
        <v>32+Multi-Specialty</v>
      </c>
      <c r="Q1304" s="7" t="str">
        <f>Table1[[#This Row],[Provider Specialty]] &amp; "+" &amp; Table1[[#This Row],[Provider Specialty Description]]</f>
        <v>082+Medical Clinic</v>
      </c>
      <c r="R1304" s="7" t="str">
        <f>Table1[[#This Row],[PDMS Specialty Type ID]] &amp; "+" &amp; Table1[[#This Row],[PDMS Provider Type ID]] &amp; "+" &amp;Table1[[#This Row],[TAXONOMY]]</f>
        <v>2174+50+261QP3300X</v>
      </c>
      <c r="S130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(10225, 2174, 50, N'261QP3300X', N'Clinic/Center - Pain')</v>
      </c>
    </row>
    <row r="1305" spans="1:19" ht="47.25" hidden="1" customHeight="1" x14ac:dyDescent="0.25">
      <c r="A1305" s="22" t="s">
        <v>11</v>
      </c>
      <c r="B1305" s="3" t="s">
        <v>84</v>
      </c>
      <c r="C1305" s="3" t="s">
        <v>85</v>
      </c>
      <c r="D1305" s="3" t="s">
        <v>305</v>
      </c>
      <c r="E1305" s="3" t="s">
        <v>306</v>
      </c>
      <c r="F1305" s="3">
        <f>VLOOKUP(Table1[[#This Row],[Column2]], TAXONOMY_TYPE, 2, FALSE)</f>
        <v>10226</v>
      </c>
      <c r="G1305" s="4">
        <v>32</v>
      </c>
      <c r="H1305" s="3" t="s">
        <v>1444</v>
      </c>
      <c r="I1305" s="41">
        <f>VLOOKUP(Table1[[#This Row],[Provider Type]] &amp; Table1[[#This Row],[Provider Type Description]], PROVIDER_TYPE, 2, FALSE)</f>
        <v>50</v>
      </c>
      <c r="J1305" s="4" t="s">
        <v>234</v>
      </c>
      <c r="K1305" s="3" t="s">
        <v>235</v>
      </c>
      <c r="L1305" s="3">
        <f>VLOOKUP(TRIM(Table1[[#This Row],[Provider Specialty]]) &amp; TRIM(Table1[[#This Row],[Provider Specialty Description]]), SPECIALTY_TYPE, 2, FALSE)</f>
        <v>2174</v>
      </c>
      <c r="M1305" s="3" t="s">
        <v>18</v>
      </c>
      <c r="N1305" s="27" t="s">
        <v>19</v>
      </c>
      <c r="O1305" s="41">
        <f>VLOOKUP(TRIM(Table1[[#This Row],[Provider Specialty]]) &amp; TRIM(Table1[[#This Row],[Provider Specialty Description]]), SPECIALTY_TYPE, 2, FALSE)</f>
        <v>2174</v>
      </c>
      <c r="P1305" s="3" t="str">
        <f>Table1[[#This Row],[Provider Type]] &amp; "+" &amp; Table1[[#This Row],[Provider Type Description]]</f>
        <v>32+Multi-Specialty</v>
      </c>
      <c r="Q1305" s="7" t="str">
        <f>Table1[[#This Row],[Provider Specialty]] &amp; "+" &amp; Table1[[#This Row],[Provider Specialty Description]]</f>
        <v>082+Medical Clinic</v>
      </c>
      <c r="R1305" s="7" t="str">
        <f>Table1[[#This Row],[PDMS Specialty Type ID]] &amp; "+" &amp; Table1[[#This Row],[PDMS Provider Type ID]] &amp; "+" &amp;Table1[[#This Row],[TAXONOMY]]</f>
        <v>2174+50+261QR0800X</v>
      </c>
      <c r="S130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(10226, 2174, 50, N'261QR0800X', N'Clinic/Center - Recovery Care')</v>
      </c>
    </row>
    <row r="1306" spans="1:19" ht="47.25" hidden="1" customHeight="1" x14ac:dyDescent="0.25">
      <c r="A1306" s="22" t="s">
        <v>11</v>
      </c>
      <c r="B1306" s="3" t="s">
        <v>84</v>
      </c>
      <c r="C1306" s="3" t="s">
        <v>85</v>
      </c>
      <c r="D1306" s="3" t="s">
        <v>307</v>
      </c>
      <c r="E1306" s="3" t="s">
        <v>308</v>
      </c>
      <c r="F1306" s="3">
        <f>VLOOKUP(Table1[[#This Row],[Column2]], TAXONOMY_TYPE, 2, FALSE)</f>
        <v>10227</v>
      </c>
      <c r="G1306" s="4">
        <v>32</v>
      </c>
      <c r="H1306" s="3" t="s">
        <v>1444</v>
      </c>
      <c r="I1306" s="41">
        <f>VLOOKUP(Table1[[#This Row],[Provider Type]] &amp; Table1[[#This Row],[Provider Type Description]], PROVIDER_TYPE, 2, FALSE)</f>
        <v>50</v>
      </c>
      <c r="J1306" s="4" t="s">
        <v>234</v>
      </c>
      <c r="K1306" s="3" t="s">
        <v>235</v>
      </c>
      <c r="L1306" s="3">
        <f>VLOOKUP(TRIM(Table1[[#This Row],[Provider Specialty]]) &amp; TRIM(Table1[[#This Row],[Provider Specialty Description]]), SPECIALTY_TYPE, 2, FALSE)</f>
        <v>2174</v>
      </c>
      <c r="M1306" s="3" t="s">
        <v>18</v>
      </c>
      <c r="N1306" s="27" t="s">
        <v>19</v>
      </c>
      <c r="O1306" s="41">
        <f>VLOOKUP(TRIM(Table1[[#This Row],[Provider Specialty]]) &amp; TRIM(Table1[[#This Row],[Provider Specialty Description]]), SPECIALTY_TYPE, 2, FALSE)</f>
        <v>2174</v>
      </c>
      <c r="P1306" s="3" t="str">
        <f>Table1[[#This Row],[Provider Type]] &amp; "+" &amp; Table1[[#This Row],[Provider Type Description]]</f>
        <v>32+Multi-Specialty</v>
      </c>
      <c r="Q1306" s="7" t="str">
        <f>Table1[[#This Row],[Provider Specialty]] &amp; "+" &amp; Table1[[#This Row],[Provider Specialty Description]]</f>
        <v>082+Medical Clinic</v>
      </c>
      <c r="R1306" s="7" t="str">
        <f>Table1[[#This Row],[PDMS Specialty Type ID]] &amp; "+" &amp; Table1[[#This Row],[PDMS Provider Type ID]] &amp; "+" &amp;Table1[[#This Row],[TAXONOMY]]</f>
        <v>2174+50+261QR1100X</v>
      </c>
      <c r="S130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(10227, 2174, 50, N'261QR1100X', N'Clinic/Center - Research')</v>
      </c>
    </row>
    <row r="1307" spans="1:19" ht="47.25" hidden="1" customHeight="1" x14ac:dyDescent="0.25">
      <c r="A1307" s="22" t="s">
        <v>11</v>
      </c>
      <c r="B1307" s="3" t="s">
        <v>84</v>
      </c>
      <c r="C1307" s="3" t="s">
        <v>85</v>
      </c>
      <c r="D1307" s="3" t="s">
        <v>311</v>
      </c>
      <c r="E1307" s="3" t="s">
        <v>312</v>
      </c>
      <c r="F1307" s="3">
        <f>VLOOKUP(Table1[[#This Row],[Column2]], TAXONOMY_TYPE, 2, FALSE)</f>
        <v>10228</v>
      </c>
      <c r="G1307" s="4">
        <v>32</v>
      </c>
      <c r="H1307" s="3" t="s">
        <v>1444</v>
      </c>
      <c r="I1307" s="41">
        <f>VLOOKUP(Table1[[#This Row],[Provider Type]] &amp; Table1[[#This Row],[Provider Type Description]], PROVIDER_TYPE, 2, FALSE)</f>
        <v>50</v>
      </c>
      <c r="J1307" s="4" t="s">
        <v>234</v>
      </c>
      <c r="K1307" s="3" t="s">
        <v>235</v>
      </c>
      <c r="L1307" s="3">
        <f>VLOOKUP(TRIM(Table1[[#This Row],[Provider Specialty]]) &amp; TRIM(Table1[[#This Row],[Provider Specialty Description]]), SPECIALTY_TYPE, 2, FALSE)</f>
        <v>2174</v>
      </c>
      <c r="M1307" s="3" t="s">
        <v>18</v>
      </c>
      <c r="N1307" s="27" t="s">
        <v>19</v>
      </c>
      <c r="O1307" s="41">
        <f>VLOOKUP(TRIM(Table1[[#This Row],[Provider Specialty]]) &amp; TRIM(Table1[[#This Row],[Provider Specialty Description]]), SPECIALTY_TYPE, 2, FALSE)</f>
        <v>2174</v>
      </c>
      <c r="P1307" s="3" t="str">
        <f>Table1[[#This Row],[Provider Type]] &amp; "+" &amp; Table1[[#This Row],[Provider Type Description]]</f>
        <v>32+Multi-Specialty</v>
      </c>
      <c r="Q1307" s="7" t="str">
        <f>Table1[[#This Row],[Provider Specialty]] &amp; "+" &amp; Table1[[#This Row],[Provider Specialty Description]]</f>
        <v>082+Medical Clinic</v>
      </c>
      <c r="R1307" s="7" t="str">
        <f>Table1[[#This Row],[PDMS Specialty Type ID]] &amp; "+" &amp; Table1[[#This Row],[PDMS Provider Type ID]] &amp; "+" &amp;Table1[[#This Row],[TAXONOMY]]</f>
        <v>2174+50+261QS1200X</v>
      </c>
      <c r="S130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(10228, 2174, 50, N'261QS1200X', N'Clinic/Center - Sleep Disorder Diagnostic')</v>
      </c>
    </row>
    <row r="1308" spans="1:19" ht="47.25" hidden="1" customHeight="1" x14ac:dyDescent="0.25">
      <c r="A1308" s="22" t="s">
        <v>11</v>
      </c>
      <c r="B1308" s="3" t="s">
        <v>84</v>
      </c>
      <c r="C1308" s="3" t="s">
        <v>85</v>
      </c>
      <c r="D1308" s="3" t="s">
        <v>313</v>
      </c>
      <c r="E1308" s="3" t="s">
        <v>314</v>
      </c>
      <c r="F1308" s="3">
        <f>VLOOKUP(Table1[[#This Row],[Column2]], TAXONOMY_TYPE, 2, FALSE)</f>
        <v>10229</v>
      </c>
      <c r="G1308" s="4">
        <v>32</v>
      </c>
      <c r="H1308" s="3" t="s">
        <v>1444</v>
      </c>
      <c r="I1308" s="41">
        <f>VLOOKUP(Table1[[#This Row],[Provider Type]] &amp; Table1[[#This Row],[Provider Type Description]], PROVIDER_TYPE, 2, FALSE)</f>
        <v>50</v>
      </c>
      <c r="J1308" s="4" t="s">
        <v>234</v>
      </c>
      <c r="K1308" s="3" t="s">
        <v>235</v>
      </c>
      <c r="L1308" s="3">
        <f>VLOOKUP(TRIM(Table1[[#This Row],[Provider Specialty]]) &amp; TRIM(Table1[[#This Row],[Provider Specialty Description]]), SPECIALTY_TYPE, 2, FALSE)</f>
        <v>2174</v>
      </c>
      <c r="M1308" s="3" t="s">
        <v>18</v>
      </c>
      <c r="N1308" s="27" t="s">
        <v>19</v>
      </c>
      <c r="O1308" s="41">
        <f>VLOOKUP(TRIM(Table1[[#This Row],[Provider Specialty]]) &amp; TRIM(Table1[[#This Row],[Provider Specialty Description]]), SPECIALTY_TYPE, 2, FALSE)</f>
        <v>2174</v>
      </c>
      <c r="P1308" s="3" t="str">
        <f>Table1[[#This Row],[Provider Type]] &amp; "+" &amp; Table1[[#This Row],[Provider Type Description]]</f>
        <v>32+Multi-Specialty</v>
      </c>
      <c r="Q1308" s="7" t="str">
        <f>Table1[[#This Row],[Provider Specialty]] &amp; "+" &amp; Table1[[#This Row],[Provider Specialty Description]]</f>
        <v>082+Medical Clinic</v>
      </c>
      <c r="R1308" s="7" t="str">
        <f>Table1[[#This Row],[PDMS Specialty Type ID]] &amp; "+" &amp; Table1[[#This Row],[PDMS Provider Type ID]] &amp; "+" &amp;Table1[[#This Row],[TAXONOMY]]</f>
        <v>2174+50+261QU0200X</v>
      </c>
      <c r="S130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(10229, 2174, 50, N'261QU0200X', N'Clinic/Center - Urgent Care')</v>
      </c>
    </row>
    <row r="1309" spans="1:19" ht="47.25" hidden="1" customHeight="1" x14ac:dyDescent="0.25">
      <c r="A1309" s="22" t="s">
        <v>11</v>
      </c>
      <c r="B1309" s="3" t="s">
        <v>84</v>
      </c>
      <c r="C1309" s="3" t="s">
        <v>85</v>
      </c>
      <c r="D1309" s="3" t="s">
        <v>315</v>
      </c>
      <c r="E1309" s="3" t="s">
        <v>316</v>
      </c>
      <c r="F1309" s="3">
        <f>VLOOKUP(Table1[[#This Row],[Column2]], TAXONOMY_TYPE, 2, FALSE)</f>
        <v>10230</v>
      </c>
      <c r="G1309" s="4">
        <v>32</v>
      </c>
      <c r="H1309" s="3" t="s">
        <v>1444</v>
      </c>
      <c r="I1309" s="41">
        <f>VLOOKUP(Table1[[#This Row],[Provider Type]] &amp; Table1[[#This Row],[Provider Type Description]], PROVIDER_TYPE, 2, FALSE)</f>
        <v>50</v>
      </c>
      <c r="J1309" s="4" t="s">
        <v>234</v>
      </c>
      <c r="K1309" s="3" t="s">
        <v>235</v>
      </c>
      <c r="L1309" s="3">
        <f>VLOOKUP(TRIM(Table1[[#This Row],[Provider Specialty]]) &amp; TRIM(Table1[[#This Row],[Provider Specialty Description]]), SPECIALTY_TYPE, 2, FALSE)</f>
        <v>2174</v>
      </c>
      <c r="M1309" s="3" t="s">
        <v>18</v>
      </c>
      <c r="N1309" s="27" t="s">
        <v>19</v>
      </c>
      <c r="O1309" s="41">
        <f>VLOOKUP(TRIM(Table1[[#This Row],[Provider Specialty]]) &amp; TRIM(Table1[[#This Row],[Provider Specialty Description]]), SPECIALTY_TYPE, 2, FALSE)</f>
        <v>2174</v>
      </c>
      <c r="P1309" s="3" t="str">
        <f>Table1[[#This Row],[Provider Type]] &amp; "+" &amp; Table1[[#This Row],[Provider Type Description]]</f>
        <v>32+Multi-Specialty</v>
      </c>
      <c r="Q1309" s="7" t="str">
        <f>Table1[[#This Row],[Provider Specialty]] &amp; "+" &amp; Table1[[#This Row],[Provider Specialty Description]]</f>
        <v>082+Medical Clinic</v>
      </c>
      <c r="R1309" s="7" t="str">
        <f>Table1[[#This Row],[PDMS Specialty Type ID]] &amp; "+" &amp; Table1[[#This Row],[PDMS Provider Type ID]] &amp; "+" &amp;Table1[[#This Row],[TAXONOMY]]</f>
        <v>2174+50+261QV0200X</v>
      </c>
      <c r="S130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(10230, 2174, 50, N'261QV0200X', N'Clinic/Center - VA')</v>
      </c>
    </row>
    <row r="1310" spans="1:19" ht="47.25" hidden="1" customHeight="1" x14ac:dyDescent="0.25">
      <c r="A1310" s="22" t="s">
        <v>11</v>
      </c>
      <c r="B1310" s="3" t="s">
        <v>84</v>
      </c>
      <c r="C1310" s="3" t="s">
        <v>85</v>
      </c>
      <c r="D1310" s="3" t="s">
        <v>317</v>
      </c>
      <c r="E1310" s="3" t="s">
        <v>318</v>
      </c>
      <c r="F1310" s="3">
        <f>VLOOKUP(Table1[[#This Row],[Column2]], TAXONOMY_TYPE, 2, FALSE)</f>
        <v>10231</v>
      </c>
      <c r="G1310" s="4">
        <v>32</v>
      </c>
      <c r="H1310" s="3" t="s">
        <v>1444</v>
      </c>
      <c r="I1310" s="41">
        <f>VLOOKUP(Table1[[#This Row],[Provider Type]] &amp; Table1[[#This Row],[Provider Type Description]], PROVIDER_TYPE, 2, FALSE)</f>
        <v>50</v>
      </c>
      <c r="J1310" s="4" t="s">
        <v>234</v>
      </c>
      <c r="K1310" s="3" t="s">
        <v>235</v>
      </c>
      <c r="L1310" s="3">
        <f>VLOOKUP(TRIM(Table1[[#This Row],[Provider Specialty]]) &amp; TRIM(Table1[[#This Row],[Provider Specialty Description]]), SPECIALTY_TYPE, 2, FALSE)</f>
        <v>2174</v>
      </c>
      <c r="M1310" s="3" t="s">
        <v>18</v>
      </c>
      <c r="N1310" s="27" t="s">
        <v>19</v>
      </c>
      <c r="O1310" s="41">
        <f>VLOOKUP(TRIM(Table1[[#This Row],[Provider Specialty]]) &amp; TRIM(Table1[[#This Row],[Provider Specialty Description]]), SPECIALTY_TYPE, 2, FALSE)</f>
        <v>2174</v>
      </c>
      <c r="P1310" s="3" t="str">
        <f>Table1[[#This Row],[Provider Type]] &amp; "+" &amp; Table1[[#This Row],[Provider Type Description]]</f>
        <v>32+Multi-Specialty</v>
      </c>
      <c r="Q1310" s="7" t="str">
        <f>Table1[[#This Row],[Provider Specialty]] &amp; "+" &amp; Table1[[#This Row],[Provider Specialty Description]]</f>
        <v>082+Medical Clinic</v>
      </c>
      <c r="R1310" s="7" t="str">
        <f>Table1[[#This Row],[PDMS Specialty Type ID]] &amp; "+" &amp; Table1[[#This Row],[PDMS Provider Type ID]] &amp; "+" &amp;Table1[[#This Row],[TAXONOMY]]</f>
        <v>2174+50+261QX0100X</v>
      </c>
      <c r="S131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(10231, 2174, 50, N'261QX0100X', N'Clinic/Center - Occupational Medicine')</v>
      </c>
    </row>
    <row r="1311" spans="1:19" ht="47.25" hidden="1" customHeight="1" x14ac:dyDescent="0.25">
      <c r="A1311" s="22" t="s">
        <v>11</v>
      </c>
      <c r="B1311" s="3" t="s">
        <v>84</v>
      </c>
      <c r="C1311" s="3" t="s">
        <v>85</v>
      </c>
      <c r="D1311" s="3" t="s">
        <v>319</v>
      </c>
      <c r="E1311" s="3" t="s">
        <v>320</v>
      </c>
      <c r="F1311" s="3">
        <f>VLOOKUP(Table1[[#This Row],[Column2]], TAXONOMY_TYPE, 2, FALSE)</f>
        <v>10232</v>
      </c>
      <c r="G1311" s="4">
        <v>32</v>
      </c>
      <c r="H1311" s="3" t="s">
        <v>1444</v>
      </c>
      <c r="I1311" s="41">
        <f>VLOOKUP(Table1[[#This Row],[Provider Type]] &amp; Table1[[#This Row],[Provider Type Description]], PROVIDER_TYPE, 2, FALSE)</f>
        <v>50</v>
      </c>
      <c r="J1311" s="4" t="s">
        <v>234</v>
      </c>
      <c r="K1311" s="3" t="s">
        <v>235</v>
      </c>
      <c r="L1311" s="3">
        <f>VLOOKUP(TRIM(Table1[[#This Row],[Provider Specialty]]) &amp; TRIM(Table1[[#This Row],[Provider Specialty Description]]), SPECIALTY_TYPE, 2, FALSE)</f>
        <v>2174</v>
      </c>
      <c r="M1311" s="3" t="s">
        <v>18</v>
      </c>
      <c r="N1311" s="27" t="s">
        <v>19</v>
      </c>
      <c r="O1311" s="41">
        <f>VLOOKUP(TRIM(Table1[[#This Row],[Provider Specialty]]) &amp; TRIM(Table1[[#This Row],[Provider Specialty Description]]), SPECIALTY_TYPE, 2, FALSE)</f>
        <v>2174</v>
      </c>
      <c r="P1311" s="3" t="str">
        <f>Table1[[#This Row],[Provider Type]] &amp; "+" &amp; Table1[[#This Row],[Provider Type Description]]</f>
        <v>32+Multi-Specialty</v>
      </c>
      <c r="Q1311" s="7" t="str">
        <f>Table1[[#This Row],[Provider Specialty]] &amp; "+" &amp; Table1[[#This Row],[Provider Specialty Description]]</f>
        <v>082+Medical Clinic</v>
      </c>
      <c r="R1311" s="7" t="str">
        <f>Table1[[#This Row],[PDMS Specialty Type ID]] &amp; "+" &amp; Table1[[#This Row],[PDMS Provider Type ID]] &amp; "+" &amp;Table1[[#This Row],[TAXONOMY]]</f>
        <v>2174+50+261QX0200X</v>
      </c>
      <c r="S131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(10232, 2174, 50, N'261QX0200X', N'Clinic/Center - Oncology')</v>
      </c>
    </row>
    <row r="1312" spans="1:19" ht="47.25" hidden="1" customHeight="1" x14ac:dyDescent="0.25">
      <c r="A1312" s="22" t="s">
        <v>11</v>
      </c>
      <c r="B1312" s="3" t="s">
        <v>84</v>
      </c>
      <c r="C1312" s="3" t="s">
        <v>85</v>
      </c>
      <c r="D1312" s="3" t="s">
        <v>321</v>
      </c>
      <c r="E1312" s="3" t="s">
        <v>322</v>
      </c>
      <c r="F1312" s="3">
        <f>VLOOKUP(Table1[[#This Row],[Column2]], TAXONOMY_TYPE, 2, FALSE)</f>
        <v>10233</v>
      </c>
      <c r="G1312" s="4">
        <v>32</v>
      </c>
      <c r="H1312" s="3" t="s">
        <v>1444</v>
      </c>
      <c r="I1312" s="41">
        <f>VLOOKUP(Table1[[#This Row],[Provider Type]] &amp; Table1[[#This Row],[Provider Type Description]], PROVIDER_TYPE, 2, FALSE)</f>
        <v>50</v>
      </c>
      <c r="J1312" s="4" t="s">
        <v>234</v>
      </c>
      <c r="K1312" s="3" t="s">
        <v>235</v>
      </c>
      <c r="L1312" s="3">
        <f>VLOOKUP(TRIM(Table1[[#This Row],[Provider Specialty]]) &amp; TRIM(Table1[[#This Row],[Provider Specialty Description]]), SPECIALTY_TYPE, 2, FALSE)</f>
        <v>2174</v>
      </c>
      <c r="M1312" s="3" t="s">
        <v>18</v>
      </c>
      <c r="N1312" s="27" t="s">
        <v>19</v>
      </c>
      <c r="O1312" s="41">
        <f>VLOOKUP(TRIM(Table1[[#This Row],[Provider Specialty]]) &amp; TRIM(Table1[[#This Row],[Provider Specialty Description]]), SPECIALTY_TYPE, 2, FALSE)</f>
        <v>2174</v>
      </c>
      <c r="P1312" s="3" t="str">
        <f>Table1[[#This Row],[Provider Type]] &amp; "+" &amp; Table1[[#This Row],[Provider Type Description]]</f>
        <v>32+Multi-Specialty</v>
      </c>
      <c r="Q1312" s="7" t="str">
        <f>Table1[[#This Row],[Provider Specialty]] &amp; "+" &amp; Table1[[#This Row],[Provider Specialty Description]]</f>
        <v>082+Medical Clinic</v>
      </c>
      <c r="R1312" s="7" t="str">
        <f>Table1[[#This Row],[PDMS Specialty Type ID]] &amp; "+" &amp; Table1[[#This Row],[PDMS Provider Type ID]] &amp; "+" &amp;Table1[[#This Row],[TAXONOMY]]</f>
        <v>2174+50+261QX0203X</v>
      </c>
      <c r="S131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(10233, 2174, 50, N'261QX0203X', N'Clinic/Center - Oncology, Radiation')</v>
      </c>
    </row>
    <row r="1313" spans="1:19" ht="47.25" hidden="1" customHeight="1" x14ac:dyDescent="0.25">
      <c r="A1313" s="22" t="s">
        <v>11</v>
      </c>
      <c r="B1313" s="3" t="s">
        <v>84</v>
      </c>
      <c r="C1313" s="3" t="s">
        <v>85</v>
      </c>
      <c r="D1313" s="3" t="s">
        <v>236</v>
      </c>
      <c r="E1313" s="3" t="s">
        <v>237</v>
      </c>
      <c r="F1313" s="3">
        <f>VLOOKUP(Table1[[#This Row],[Column2]], TAXONOMY_TYPE, 2, FALSE)</f>
        <v>10234</v>
      </c>
      <c r="G1313" s="4">
        <v>32</v>
      </c>
      <c r="H1313" s="3" t="s">
        <v>1444</v>
      </c>
      <c r="I1313" s="41">
        <f>VLOOKUP(Table1[[#This Row],[Provider Type]] &amp; Table1[[#This Row],[Provider Type Description]], PROVIDER_TYPE, 2, FALSE)</f>
        <v>50</v>
      </c>
      <c r="J1313" s="4" t="s">
        <v>238</v>
      </c>
      <c r="K1313" s="3" t="s">
        <v>239</v>
      </c>
      <c r="L1313" s="3">
        <f>VLOOKUP(TRIM(Table1[[#This Row],[Provider Specialty]]) &amp; TRIM(Table1[[#This Row],[Provider Specialty Description]]), SPECIALTY_TYPE, 2, FALSE)</f>
        <v>2173</v>
      </c>
      <c r="M1313" s="3" t="s">
        <v>18</v>
      </c>
      <c r="N1313" s="27" t="s">
        <v>19</v>
      </c>
      <c r="O1313" s="41">
        <f>VLOOKUP(TRIM(Table1[[#This Row],[Provider Specialty]]) &amp; TRIM(Table1[[#This Row],[Provider Specialty Description]]), SPECIALTY_TYPE, 2, FALSE)</f>
        <v>2173</v>
      </c>
      <c r="P1313" s="3" t="str">
        <f>Table1[[#This Row],[Provider Type]] &amp; "+" &amp; Table1[[#This Row],[Provider Type Description]]</f>
        <v>32+Multi-Specialty</v>
      </c>
      <c r="Q1313" s="7" t="str">
        <f>Table1[[#This Row],[Provider Specialty]] &amp; "+" &amp; Table1[[#This Row],[Provider Specialty Description]]</f>
        <v>083+Family Planning Clinic</v>
      </c>
      <c r="R1313" s="7" t="str">
        <f>Table1[[#This Row],[PDMS Specialty Type ID]] &amp; "+" &amp; Table1[[#This Row],[PDMS Provider Type ID]] &amp; "+" &amp;Table1[[#This Row],[TAXONOMY]]</f>
        <v>2173+50+261QA0005X</v>
      </c>
      <c r="S131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(10234, 2173, 50, N'261QA0005X', N'Clinic/Center - Ambulatory Family Planning Facility')</v>
      </c>
    </row>
    <row r="1314" spans="1:19" ht="47.25" hidden="1" customHeight="1" x14ac:dyDescent="0.25">
      <c r="A1314" s="22" t="s">
        <v>11</v>
      </c>
      <c r="B1314" s="3" t="s">
        <v>84</v>
      </c>
      <c r="C1314" s="3" t="s">
        <v>85</v>
      </c>
      <c r="D1314" s="3" t="s">
        <v>240</v>
      </c>
      <c r="E1314" s="3" t="s">
        <v>241</v>
      </c>
      <c r="F1314" s="3">
        <f>VLOOKUP(Table1[[#This Row],[Column2]], TAXONOMY_TYPE, 2, FALSE)</f>
        <v>10235</v>
      </c>
      <c r="G1314" s="4">
        <v>32</v>
      </c>
      <c r="H1314" s="3" t="s">
        <v>1444</v>
      </c>
      <c r="I1314" s="41">
        <f>VLOOKUP(Table1[[#This Row],[Provider Type]] &amp; Table1[[#This Row],[Provider Type Description]], PROVIDER_TYPE, 2, FALSE)</f>
        <v>50</v>
      </c>
      <c r="J1314" s="4" t="s">
        <v>238</v>
      </c>
      <c r="K1314" s="3" t="s">
        <v>239</v>
      </c>
      <c r="L1314" s="3">
        <f>VLOOKUP(TRIM(Table1[[#This Row],[Provider Specialty]]) &amp; TRIM(Table1[[#This Row],[Provider Specialty Description]]), SPECIALTY_TYPE, 2, FALSE)</f>
        <v>2173</v>
      </c>
      <c r="M1314" s="3" t="s">
        <v>18</v>
      </c>
      <c r="N1314" s="27" t="s">
        <v>19</v>
      </c>
      <c r="O1314" s="41">
        <f>VLOOKUP(TRIM(Table1[[#This Row],[Provider Specialty]]) &amp; TRIM(Table1[[#This Row],[Provider Specialty Description]]), SPECIALTY_TYPE, 2, FALSE)</f>
        <v>2173</v>
      </c>
      <c r="P1314" s="3" t="str">
        <f>Table1[[#This Row],[Provider Type]] &amp; "+" &amp; Table1[[#This Row],[Provider Type Description]]</f>
        <v>32+Multi-Specialty</v>
      </c>
      <c r="Q1314" s="7" t="str">
        <f>Table1[[#This Row],[Provider Specialty]] &amp; "+" &amp; Table1[[#This Row],[Provider Specialty Description]]</f>
        <v>083+Family Planning Clinic</v>
      </c>
      <c r="R1314" s="7" t="str">
        <f>Table1[[#This Row],[PDMS Specialty Type ID]] &amp; "+" &amp; Table1[[#This Row],[PDMS Provider Type ID]] &amp; "+" &amp;Table1[[#This Row],[TAXONOMY]]</f>
        <v>2173+50+261QA0006X</v>
      </c>
      <c r="S131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(10235, 2173, 50, N'261QA0006X', N'Clinic/Center - Ambulatory Fertility Facility')</v>
      </c>
    </row>
    <row r="1315" spans="1:19" ht="47.25" hidden="1" customHeight="1" x14ac:dyDescent="0.25">
      <c r="A1315" s="22" t="s">
        <v>11</v>
      </c>
      <c r="B1315" s="3" t="s">
        <v>84</v>
      </c>
      <c r="C1315" s="3" t="s">
        <v>85</v>
      </c>
      <c r="D1315" s="3" t="s">
        <v>263</v>
      </c>
      <c r="E1315" s="3" t="s">
        <v>264</v>
      </c>
      <c r="F1315" s="3">
        <f>VLOOKUP(Table1[[#This Row],[Column2]], TAXONOMY_TYPE, 2, FALSE)</f>
        <v>10236</v>
      </c>
      <c r="G1315" s="4">
        <v>32</v>
      </c>
      <c r="H1315" s="3" t="s">
        <v>1444</v>
      </c>
      <c r="I1315" s="41">
        <f>VLOOKUP(Table1[[#This Row],[Provider Type]] &amp; Table1[[#This Row],[Provider Type Description]], PROVIDER_TYPE, 2, FALSE)</f>
        <v>50</v>
      </c>
      <c r="J1315" s="4" t="s">
        <v>238</v>
      </c>
      <c r="K1315" s="3" t="s">
        <v>239</v>
      </c>
      <c r="L1315" s="3">
        <f>VLOOKUP(TRIM(Table1[[#This Row],[Provider Specialty]]) &amp; TRIM(Table1[[#This Row],[Provider Specialty Description]]), SPECIALTY_TYPE, 2, FALSE)</f>
        <v>2173</v>
      </c>
      <c r="M1315" s="3" t="s">
        <v>18</v>
      </c>
      <c r="N1315" s="27" t="s">
        <v>19</v>
      </c>
      <c r="O1315" s="41">
        <f>VLOOKUP(TRIM(Table1[[#This Row],[Provider Specialty]]) &amp; TRIM(Table1[[#This Row],[Provider Specialty Description]]), SPECIALTY_TYPE, 2, FALSE)</f>
        <v>2173</v>
      </c>
      <c r="P1315" s="3" t="str">
        <f>Table1[[#This Row],[Provider Type]] &amp; "+" &amp; Table1[[#This Row],[Provider Type Description]]</f>
        <v>32+Multi-Specialty</v>
      </c>
      <c r="Q1315" s="7" t="str">
        <f>Table1[[#This Row],[Provider Specialty]] &amp; "+" &amp; Table1[[#This Row],[Provider Specialty Description]]</f>
        <v>083+Family Planning Clinic</v>
      </c>
      <c r="R1315" s="7" t="str">
        <f>Table1[[#This Row],[PDMS Specialty Type ID]] &amp; "+" &amp; Table1[[#This Row],[PDMS Provider Type ID]] &amp; "+" &amp;Table1[[#This Row],[TAXONOMY]]</f>
        <v>2173+50+261QF0050X</v>
      </c>
      <c r="S131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(10236, 2173, 50, N'261QF0050X', N'Clinic/Center - Family Planning, Non-Surgical')</v>
      </c>
    </row>
    <row r="1316" spans="1:19" ht="47.25" hidden="1" customHeight="1" x14ac:dyDescent="0.25">
      <c r="A1316" s="22" t="s">
        <v>11</v>
      </c>
      <c r="B1316" s="3" t="s">
        <v>84</v>
      </c>
      <c r="C1316" s="3" t="s">
        <v>85</v>
      </c>
      <c r="D1316" s="3" t="s">
        <v>293</v>
      </c>
      <c r="E1316" s="3" t="s">
        <v>294</v>
      </c>
      <c r="F1316" s="3">
        <f>VLOOKUP(Table1[[#This Row],[Column2]], TAXONOMY_TYPE, 2, FALSE)</f>
        <v>10237</v>
      </c>
      <c r="G1316" s="4">
        <v>32</v>
      </c>
      <c r="H1316" s="3" t="s">
        <v>1444</v>
      </c>
      <c r="I1316" s="41">
        <f>VLOOKUP(Table1[[#This Row],[Provider Type]] &amp; Table1[[#This Row],[Provider Type Description]], PROVIDER_TYPE, 2, FALSE)</f>
        <v>50</v>
      </c>
      <c r="J1316" s="4" t="s">
        <v>238</v>
      </c>
      <c r="K1316" s="3" t="s">
        <v>239</v>
      </c>
      <c r="L1316" s="3">
        <f>VLOOKUP(TRIM(Table1[[#This Row],[Provider Specialty]]) &amp; TRIM(Table1[[#This Row],[Provider Specialty Description]]), SPECIALTY_TYPE, 2, FALSE)</f>
        <v>2173</v>
      </c>
      <c r="M1316" s="3" t="s">
        <v>18</v>
      </c>
      <c r="N1316" s="27" t="s">
        <v>19</v>
      </c>
      <c r="O1316" s="41">
        <f>VLOOKUP(TRIM(Table1[[#This Row],[Provider Specialty]]) &amp; TRIM(Table1[[#This Row],[Provider Specialty Description]]), SPECIALTY_TYPE, 2, FALSE)</f>
        <v>2173</v>
      </c>
      <c r="P1316" s="3" t="str">
        <f>Table1[[#This Row],[Provider Type]] &amp; "+" &amp; Table1[[#This Row],[Provider Type Description]]</f>
        <v>32+Multi-Specialty</v>
      </c>
      <c r="Q1316" s="7" t="str">
        <f>Table1[[#This Row],[Provider Specialty]] &amp; "+" &amp; Table1[[#This Row],[Provider Specialty Description]]</f>
        <v>083+Family Planning Clinic</v>
      </c>
      <c r="R1316" s="7" t="str">
        <f>Table1[[#This Row],[PDMS Specialty Type ID]] &amp; "+" &amp; Table1[[#This Row],[PDMS Provider Type ID]] &amp; "+" &amp;Table1[[#This Row],[TAXONOMY]]</f>
        <v>2173+50+261QP0905X</v>
      </c>
      <c r="S131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(10237, 2173, 50, N'261QP0905X', N'Clinic/Center - Public Health, State or Local')</v>
      </c>
    </row>
    <row r="1317" spans="1:19" ht="47.25" hidden="1" customHeight="1" x14ac:dyDescent="0.25">
      <c r="A1317" s="22" t="s">
        <v>227</v>
      </c>
      <c r="B1317" s="3" t="s">
        <v>228</v>
      </c>
      <c r="C1317" s="3" t="s">
        <v>229</v>
      </c>
      <c r="D1317" s="3" t="s">
        <v>229</v>
      </c>
      <c r="E1317" s="3" t="s">
        <v>230</v>
      </c>
      <c r="F1317" s="3">
        <f>VLOOKUP(Table1[[#This Row],[Column2]], TAXONOMY_TYPE, 2, FALSE)</f>
        <v>10238</v>
      </c>
      <c r="G1317" s="4">
        <v>32</v>
      </c>
      <c r="H1317" s="3" t="s">
        <v>1444</v>
      </c>
      <c r="I1317" s="41">
        <f>VLOOKUP(Table1[[#This Row],[Provider Type]] &amp; Table1[[#This Row],[Provider Type Description]], PROVIDER_TYPE, 2, FALSE)</f>
        <v>50</v>
      </c>
      <c r="J1317" s="4" t="s">
        <v>231</v>
      </c>
      <c r="K1317" s="3" t="s">
        <v>232</v>
      </c>
      <c r="L1317" s="3">
        <f>VLOOKUP(TRIM(Table1[[#This Row],[Provider Specialty]]) &amp; TRIM(Table1[[#This Row],[Provider Specialty Description]]), SPECIALTY_TYPE, 2, FALSE)</f>
        <v>2154</v>
      </c>
      <c r="M1317" s="3" t="s">
        <v>18</v>
      </c>
      <c r="N1317" s="27" t="s">
        <v>19</v>
      </c>
      <c r="O1317" s="41">
        <f>VLOOKUP(TRIM(Table1[[#This Row],[Provider Specialty]]) &amp; TRIM(Table1[[#This Row],[Provider Specialty Description]]), SPECIALTY_TYPE, 2, FALSE)</f>
        <v>2154</v>
      </c>
      <c r="P1317" s="3" t="str">
        <f>Table1[[#This Row],[Provider Type]] &amp; "+" &amp; Table1[[#This Row],[Provider Type Description]]</f>
        <v>32+Multi-Specialty</v>
      </c>
      <c r="Q1317" s="7" t="str">
        <f>Table1[[#This Row],[Provider Specialty]] &amp; "+" &amp; Table1[[#This Row],[Provider Specialty Description]]</f>
        <v>084+Nurse Practitioner Clinic</v>
      </c>
      <c r="R1317" s="7" t="str">
        <f>Table1[[#This Row],[PDMS Specialty Type ID]] &amp; "+" &amp; Table1[[#This Row],[PDMS Provider Type ID]] &amp; "+" &amp;Table1[[#This Row],[TAXONOMY]]</f>
        <v>2154+50+363L00000X</v>
      </c>
      <c r="S131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(10238, 2154, 50, N'363L00000X', N'Nurse Practitioner - Nurse Practitioner')</v>
      </c>
    </row>
    <row r="1318" spans="1:19" ht="47.25" hidden="1" customHeight="1" x14ac:dyDescent="0.25">
      <c r="A1318" s="22" t="s">
        <v>11</v>
      </c>
      <c r="B1318" s="3" t="s">
        <v>84</v>
      </c>
      <c r="C1318" s="3" t="s">
        <v>85</v>
      </c>
      <c r="D1318" s="3" t="s">
        <v>221</v>
      </c>
      <c r="E1318" s="3" t="s">
        <v>222</v>
      </c>
      <c r="F1318" s="3">
        <f>VLOOKUP(Table1[[#This Row],[Column2]], TAXONOMY_TYPE, 2, FALSE)</f>
        <v>10239</v>
      </c>
      <c r="G1318" s="4">
        <v>32</v>
      </c>
      <c r="H1318" s="3" t="s">
        <v>1444</v>
      </c>
      <c r="I1318" s="41">
        <f>VLOOKUP(Table1[[#This Row],[Provider Type]] &amp; Table1[[#This Row],[Provider Type Description]], PROVIDER_TYPE, 2, FALSE)</f>
        <v>50</v>
      </c>
      <c r="J1318" s="4" t="s">
        <v>223</v>
      </c>
      <c r="K1318" s="3" t="s">
        <v>224</v>
      </c>
      <c r="L1318" s="3">
        <f>VLOOKUP(TRIM(Table1[[#This Row],[Provider Specialty]]) &amp; TRIM(Table1[[#This Row],[Provider Specialty Description]]), SPECIALTY_TYPE, 2, FALSE)</f>
        <v>2177</v>
      </c>
      <c r="M1318" s="3" t="s">
        <v>18</v>
      </c>
      <c r="N1318" s="27" t="s">
        <v>19</v>
      </c>
      <c r="O1318" s="41">
        <f>VLOOKUP(TRIM(Table1[[#This Row],[Provider Specialty]]) &amp; TRIM(Table1[[#This Row],[Provider Specialty Description]]), SPECIALTY_TYPE, 2, FALSE)</f>
        <v>2177</v>
      </c>
      <c r="P1318" s="3" t="str">
        <f>Table1[[#This Row],[Provider Type]] &amp; "+" &amp; Table1[[#This Row],[Provider Type Description]]</f>
        <v>32+Multi-Specialty</v>
      </c>
      <c r="Q1318" s="7" t="str">
        <f>Table1[[#This Row],[Provider Specialty]] &amp; "+" &amp; Table1[[#This Row],[Provider Specialty Description]]</f>
        <v>085+EPSDT Clinic</v>
      </c>
      <c r="R1318" s="7" t="str">
        <f>Table1[[#This Row],[PDMS Specialty Type ID]] &amp; "+" &amp; Table1[[#This Row],[PDMS Provider Type ID]] &amp; "+" &amp;Table1[[#This Row],[TAXONOMY]]</f>
        <v>2177+50+261QP0904X</v>
      </c>
      <c r="S131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(10239, 2177, 50, N'261QP0904X', N'Clinic/Center - Public Health, Federal')</v>
      </c>
    </row>
    <row r="1319" spans="1:19" ht="47.25" hidden="1" customHeight="1" x14ac:dyDescent="0.25">
      <c r="A1319" s="22" t="s">
        <v>11</v>
      </c>
      <c r="B1319" s="3" t="s">
        <v>84</v>
      </c>
      <c r="C1319" s="3" t="s">
        <v>85</v>
      </c>
      <c r="D1319" s="3" t="s">
        <v>253</v>
      </c>
      <c r="E1319" s="3" t="s">
        <v>254</v>
      </c>
      <c r="F1319" s="3">
        <f>VLOOKUP(Table1[[#This Row],[Column2]], TAXONOMY_TYPE, 2, FALSE)</f>
        <v>10240</v>
      </c>
      <c r="G1319" s="4">
        <v>32</v>
      </c>
      <c r="H1319" s="3" t="s">
        <v>1444</v>
      </c>
      <c r="I1319" s="41">
        <f>VLOOKUP(Table1[[#This Row],[Provider Type]] &amp; Table1[[#This Row],[Provider Type Description]], PROVIDER_TYPE, 2, FALSE)</f>
        <v>50</v>
      </c>
      <c r="J1319" s="4" t="s">
        <v>255</v>
      </c>
      <c r="K1319" s="3" t="s">
        <v>256</v>
      </c>
      <c r="L1319" s="3">
        <f>VLOOKUP(TRIM(Table1[[#This Row],[Provider Specialty]]) &amp; TRIM(Table1[[#This Row],[Provider Specialty Description]]), SPECIALTY_TYPE, 2, FALSE)</f>
        <v>2136</v>
      </c>
      <c r="M1319" s="3" t="s">
        <v>18</v>
      </c>
      <c r="N1319" s="27" t="s">
        <v>19</v>
      </c>
      <c r="O1319" s="41">
        <f>VLOOKUP(TRIM(Table1[[#This Row],[Provider Specialty]]) &amp; TRIM(Table1[[#This Row],[Provider Specialty Description]]), SPECIALTY_TYPE, 2, FALSE)</f>
        <v>2136</v>
      </c>
      <c r="P1319" s="3" t="str">
        <f>Table1[[#This Row],[Provider Type]] &amp; "+" &amp; Table1[[#This Row],[Provider Type Description]]</f>
        <v>32+Multi-Specialty</v>
      </c>
      <c r="Q1319" s="7" t="str">
        <f>Table1[[#This Row],[Provider Specialty]] &amp; "+" &amp; Table1[[#This Row],[Provider Specialty Description]]</f>
        <v>086+Dental Clinic</v>
      </c>
      <c r="R1319" s="7" t="str">
        <f>Table1[[#This Row],[PDMS Specialty Type ID]] &amp; "+" &amp; Table1[[#This Row],[PDMS Provider Type ID]] &amp; "+" &amp;Table1[[#This Row],[TAXONOMY]]</f>
        <v>2136+50+261QD0000X</v>
      </c>
      <c r="S131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(10240, 2136, 50, N'261QD0000X', N'Clinic/Center - Dental')</v>
      </c>
    </row>
    <row r="1320" spans="1:19" ht="47.25" hidden="1" customHeight="1" x14ac:dyDescent="0.25">
      <c r="A1320" s="22" t="s">
        <v>11</v>
      </c>
      <c r="B1320" s="3" t="s">
        <v>84</v>
      </c>
      <c r="C1320" s="3" t="s">
        <v>85</v>
      </c>
      <c r="D1320" s="3" t="s">
        <v>271</v>
      </c>
      <c r="E1320" s="3" t="s">
        <v>272</v>
      </c>
      <c r="F1320" s="3">
        <f>VLOOKUP(Table1[[#This Row],[Column2]], TAXONOMY_TYPE, 2, FALSE)</f>
        <v>10241</v>
      </c>
      <c r="G1320" s="4">
        <v>32</v>
      </c>
      <c r="H1320" s="3" t="s">
        <v>1444</v>
      </c>
      <c r="I1320" s="41">
        <f>VLOOKUP(Table1[[#This Row],[Provider Type]] &amp; Table1[[#This Row],[Provider Type Description]], PROVIDER_TYPE, 2, FALSE)</f>
        <v>50</v>
      </c>
      <c r="J1320" s="4" t="s">
        <v>273</v>
      </c>
      <c r="K1320" s="3" t="s">
        <v>274</v>
      </c>
      <c r="L1320" s="3">
        <f>VLOOKUP(TRIM(Table1[[#This Row],[Provider Specialty]]) &amp; TRIM(Table1[[#This Row],[Provider Specialty Description]]), SPECIALTY_TYPE, 2, FALSE)</f>
        <v>2170</v>
      </c>
      <c r="M1320" s="3" t="s">
        <v>18</v>
      </c>
      <c r="N1320" s="27" t="s">
        <v>19</v>
      </c>
      <c r="O1320" s="41">
        <f>VLOOKUP(TRIM(Table1[[#This Row],[Provider Specialty]]) &amp; TRIM(Table1[[#This Row],[Provider Specialty Description]]), SPECIALTY_TYPE, 2, FALSE)</f>
        <v>2170</v>
      </c>
      <c r="P1320" s="3" t="str">
        <f>Table1[[#This Row],[Provider Type]] &amp; "+" &amp; Table1[[#This Row],[Provider Type Description]]</f>
        <v>32+Multi-Specialty</v>
      </c>
      <c r="Q1320" s="7" t="str">
        <f>Table1[[#This Row],[Provider Specialty]] &amp; "+" &amp; Table1[[#This Row],[Provider Specialty Description]]</f>
        <v>087+Therapy Clinic</v>
      </c>
      <c r="R1320" s="7" t="str">
        <f>Table1[[#This Row],[PDMS Specialty Type ID]] &amp; "+" &amp; Table1[[#This Row],[PDMS Provider Type ID]] &amp; "+" &amp;Table1[[#This Row],[TAXONOMY]]</f>
        <v>2170+50+261QI0500X</v>
      </c>
      <c r="S132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(10241, 2170, 50, N'261QI0500X', N'Clinic/Center - Infusion Therapy')</v>
      </c>
    </row>
    <row r="1321" spans="1:19" ht="47.25" hidden="1" customHeight="1" x14ac:dyDescent="0.25">
      <c r="A1321" s="22" t="s">
        <v>11</v>
      </c>
      <c r="B1321" s="3" t="s">
        <v>84</v>
      </c>
      <c r="C1321" s="3" t="s">
        <v>85</v>
      </c>
      <c r="D1321" s="3" t="s">
        <v>297</v>
      </c>
      <c r="E1321" s="3" t="s">
        <v>298</v>
      </c>
      <c r="F1321" s="3">
        <f>VLOOKUP(Table1[[#This Row],[Column2]], TAXONOMY_TYPE, 2, FALSE)</f>
        <v>10242</v>
      </c>
      <c r="G1321" s="4">
        <v>32</v>
      </c>
      <c r="H1321" s="3" t="s">
        <v>1444</v>
      </c>
      <c r="I1321" s="41">
        <f>VLOOKUP(Table1[[#This Row],[Provider Type]] &amp; Table1[[#This Row],[Provider Type Description]], PROVIDER_TYPE, 2, FALSE)</f>
        <v>50</v>
      </c>
      <c r="J1321" s="4" t="s">
        <v>273</v>
      </c>
      <c r="K1321" s="3" t="s">
        <v>274</v>
      </c>
      <c r="L1321" s="3">
        <f>VLOOKUP(TRIM(Table1[[#This Row],[Provider Specialty]]) &amp; TRIM(Table1[[#This Row],[Provider Specialty Description]]), SPECIALTY_TYPE, 2, FALSE)</f>
        <v>2170</v>
      </c>
      <c r="M1321" s="3" t="s">
        <v>18</v>
      </c>
      <c r="N1321" s="27" t="s">
        <v>19</v>
      </c>
      <c r="O1321" s="41">
        <f>VLOOKUP(TRIM(Table1[[#This Row],[Provider Specialty]]) &amp; TRIM(Table1[[#This Row],[Provider Specialty Description]]), SPECIALTY_TYPE, 2, FALSE)</f>
        <v>2170</v>
      </c>
      <c r="P1321" s="3" t="str">
        <f>Table1[[#This Row],[Provider Type]] &amp; "+" &amp; Table1[[#This Row],[Provider Type Description]]</f>
        <v>32+Multi-Specialty</v>
      </c>
      <c r="Q1321" s="7" t="str">
        <f>Table1[[#This Row],[Provider Specialty]] &amp; "+" &amp; Table1[[#This Row],[Provider Specialty Description]]</f>
        <v>087+Therapy Clinic</v>
      </c>
      <c r="R1321" s="7" t="str">
        <f>Table1[[#This Row],[PDMS Specialty Type ID]] &amp; "+" &amp; Table1[[#This Row],[PDMS Provider Type ID]] &amp; "+" &amp;Table1[[#This Row],[TAXONOMY]]</f>
        <v>2170+50+261QP2000X</v>
      </c>
      <c r="S132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(10242, 2170, 50, N'261QP2000X', N'Clinic/Center - Physical Therapy')</v>
      </c>
    </row>
    <row r="1322" spans="1:19" ht="47.25" hidden="1" customHeight="1" x14ac:dyDescent="0.25">
      <c r="A1322" s="22" t="s">
        <v>11</v>
      </c>
      <c r="B1322" s="3" t="s">
        <v>84</v>
      </c>
      <c r="C1322" s="3" t="s">
        <v>85</v>
      </c>
      <c r="D1322" s="3" t="s">
        <v>204</v>
      </c>
      <c r="E1322" s="3" t="s">
        <v>205</v>
      </c>
      <c r="F1322" s="3">
        <f>VLOOKUP(Table1[[#This Row],[Column2]], TAXONOMY_TYPE, 2, FALSE)</f>
        <v>10243</v>
      </c>
      <c r="G1322" s="4">
        <v>32</v>
      </c>
      <c r="H1322" s="3" t="s">
        <v>1444</v>
      </c>
      <c r="I1322" s="41">
        <f>VLOOKUP(Table1[[#This Row],[Provider Type]] &amp; Table1[[#This Row],[Provider Type Description]], PROVIDER_TYPE, 2, FALSE)</f>
        <v>50</v>
      </c>
      <c r="J1322" s="4" t="s">
        <v>211</v>
      </c>
      <c r="K1322" s="3" t="s">
        <v>212</v>
      </c>
      <c r="L1322" s="3">
        <f>VLOOKUP(TRIM(Table1[[#This Row],[Provider Specialty]]) &amp; TRIM(Table1[[#This Row],[Provider Specialty Description]]), SPECIALTY_TYPE, 2, FALSE)</f>
        <v>2156</v>
      </c>
      <c r="M1322" s="3" t="s">
        <v>18</v>
      </c>
      <c r="N1322" s="27" t="s">
        <v>19</v>
      </c>
      <c r="O1322" s="41">
        <f>VLOOKUP(TRIM(Table1[[#This Row],[Provider Specialty]]) &amp; TRIM(Table1[[#This Row],[Provider Specialty Description]]), SPECIALTY_TYPE, 2, FALSE)</f>
        <v>2156</v>
      </c>
      <c r="P1322" s="3" t="str">
        <f>Table1[[#This Row],[Provider Type]] &amp; "+" &amp; Table1[[#This Row],[Provider Type Description]]</f>
        <v>32+Multi-Specialty</v>
      </c>
      <c r="Q1322" s="7" t="str">
        <f>Table1[[#This Row],[Provider Specialty]] &amp; "+" &amp; Table1[[#This Row],[Provider Specialty Description]]</f>
        <v>088+Pediatric Clinic</v>
      </c>
      <c r="R1322" s="7" t="str">
        <f>Table1[[#This Row],[PDMS Specialty Type ID]] &amp; "+" &amp; Table1[[#This Row],[PDMS Provider Type ID]] &amp; "+" &amp;Table1[[#This Row],[TAXONOMY]]</f>
        <v>2156+50+261QH0100X</v>
      </c>
      <c r="S132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(10243, 2156, 50, N'261QH0100X', N'Clinic/Center - Health Service')</v>
      </c>
    </row>
    <row r="1323" spans="1:19" ht="47.25" hidden="1" customHeight="1" x14ac:dyDescent="0.25">
      <c r="A1323" s="22" t="s">
        <v>11</v>
      </c>
      <c r="B1323" s="3" t="s">
        <v>84</v>
      </c>
      <c r="C1323" s="3" t="s">
        <v>85</v>
      </c>
      <c r="D1323" s="3" t="s">
        <v>217</v>
      </c>
      <c r="E1323" s="3" t="s">
        <v>218</v>
      </c>
      <c r="F1323" s="3">
        <f>VLOOKUP(Table1[[#This Row],[Column2]], TAXONOMY_TYPE, 2, FALSE)</f>
        <v>10244</v>
      </c>
      <c r="G1323" s="4">
        <v>32</v>
      </c>
      <c r="H1323" s="3" t="s">
        <v>1444</v>
      </c>
      <c r="I1323" s="41">
        <f>VLOOKUP(Table1[[#This Row],[Provider Type]] &amp; Table1[[#This Row],[Provider Type Description]], PROVIDER_TYPE, 2, FALSE)</f>
        <v>50</v>
      </c>
      <c r="J1323" s="4" t="s">
        <v>211</v>
      </c>
      <c r="K1323" s="3" t="s">
        <v>212</v>
      </c>
      <c r="L1323" s="3">
        <f>VLOOKUP(TRIM(Table1[[#This Row],[Provider Specialty]]) &amp; TRIM(Table1[[#This Row],[Provider Specialty Description]]), SPECIALTY_TYPE, 2, FALSE)</f>
        <v>2156</v>
      </c>
      <c r="M1323" s="3" t="s">
        <v>18</v>
      </c>
      <c r="N1323" s="27" t="s">
        <v>19</v>
      </c>
      <c r="O1323" s="41">
        <f>VLOOKUP(TRIM(Table1[[#This Row],[Provider Specialty]]) &amp; TRIM(Table1[[#This Row],[Provider Specialty Description]]), SPECIALTY_TYPE, 2, FALSE)</f>
        <v>2156</v>
      </c>
      <c r="P1323" s="3" t="str">
        <f>Table1[[#This Row],[Provider Type]] &amp; "+" &amp; Table1[[#This Row],[Provider Type Description]]</f>
        <v>32+Multi-Specialty</v>
      </c>
      <c r="Q1323" s="7" t="str">
        <f>Table1[[#This Row],[Provider Specialty]] &amp; "+" &amp; Table1[[#This Row],[Provider Specialty Description]]</f>
        <v>088+Pediatric Clinic</v>
      </c>
      <c r="R1323" s="7" t="str">
        <f>Table1[[#This Row],[PDMS Specialty Type ID]] &amp; "+" &amp; Table1[[#This Row],[PDMS Provider Type ID]] &amp; "+" &amp;Table1[[#This Row],[TAXONOMY]]</f>
        <v>2156+50+261QM0855X</v>
      </c>
      <c r="S132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(10244, 2156, 50, N'261QM0855X', N'Clinic/Center - Adolescent and Children Mental Health')</v>
      </c>
    </row>
    <row r="1324" spans="1:19" ht="47.25" hidden="1" customHeight="1" x14ac:dyDescent="0.25">
      <c r="A1324" s="22" t="s">
        <v>11</v>
      </c>
      <c r="B1324" s="3" t="s">
        <v>84</v>
      </c>
      <c r="C1324" s="3" t="s">
        <v>85</v>
      </c>
      <c r="D1324" s="3" t="s">
        <v>219</v>
      </c>
      <c r="E1324" s="3" t="s">
        <v>220</v>
      </c>
      <c r="F1324" s="3">
        <f>VLOOKUP(Table1[[#This Row],[Column2]], TAXONOMY_TYPE, 2, FALSE)</f>
        <v>10245</v>
      </c>
      <c r="G1324" s="4">
        <v>32</v>
      </c>
      <c r="H1324" s="3" t="s">
        <v>1444</v>
      </c>
      <c r="I1324" s="41">
        <f>VLOOKUP(Table1[[#This Row],[Provider Type]] &amp; Table1[[#This Row],[Provider Type Description]], PROVIDER_TYPE, 2, FALSE)</f>
        <v>50</v>
      </c>
      <c r="J1324" s="4" t="s">
        <v>211</v>
      </c>
      <c r="K1324" s="3" t="s">
        <v>212</v>
      </c>
      <c r="L1324" s="3">
        <f>VLOOKUP(TRIM(Table1[[#This Row],[Provider Specialty]]) &amp; TRIM(Table1[[#This Row],[Provider Specialty Description]]), SPECIALTY_TYPE, 2, FALSE)</f>
        <v>2156</v>
      </c>
      <c r="M1324" s="3" t="s">
        <v>18</v>
      </c>
      <c r="N1324" s="27" t="s">
        <v>19</v>
      </c>
      <c r="O1324" s="41">
        <f>VLOOKUP(TRIM(Table1[[#This Row],[Provider Specialty]]) &amp; TRIM(Table1[[#This Row],[Provider Specialty Description]]), SPECIALTY_TYPE, 2, FALSE)</f>
        <v>2156</v>
      </c>
      <c r="P1324" s="3" t="str">
        <f>Table1[[#This Row],[Provider Type]] &amp; "+" &amp; Table1[[#This Row],[Provider Type Description]]</f>
        <v>32+Multi-Specialty</v>
      </c>
      <c r="Q1324" s="7" t="str">
        <f>Table1[[#This Row],[Provider Specialty]] &amp; "+" &amp; Table1[[#This Row],[Provider Specialty Description]]</f>
        <v>088+Pediatric Clinic</v>
      </c>
      <c r="R1324" s="7" t="str">
        <f>Table1[[#This Row],[PDMS Specialty Type ID]] &amp; "+" &amp; Table1[[#This Row],[PDMS Provider Type ID]] &amp; "+" &amp;Table1[[#This Row],[TAXONOMY]]</f>
        <v>2156+50+261QM3000X</v>
      </c>
      <c r="S132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(10245, 2156, 50, N'261QM3000X', N'Clinic/Center - Medically Fragile Infants and Children Day Care')</v>
      </c>
    </row>
    <row r="1325" spans="1:19" ht="47.25" hidden="1" customHeight="1" x14ac:dyDescent="0.25">
      <c r="A1325" s="22" t="s">
        <v>11</v>
      </c>
      <c r="B1325" s="3" t="s">
        <v>84</v>
      </c>
      <c r="C1325" s="3" t="s">
        <v>85</v>
      </c>
      <c r="D1325" s="3" t="s">
        <v>204</v>
      </c>
      <c r="E1325" s="3" t="s">
        <v>205</v>
      </c>
      <c r="F1325" s="3">
        <f>VLOOKUP(Table1[[#This Row],[Column2]], TAXONOMY_TYPE, 2, FALSE)</f>
        <v>10246</v>
      </c>
      <c r="G1325" s="4">
        <v>32</v>
      </c>
      <c r="H1325" s="3" t="s">
        <v>1444</v>
      </c>
      <c r="I1325" s="41">
        <f>VLOOKUP(Table1[[#This Row],[Provider Type]] &amp; Table1[[#This Row],[Provider Type Description]], PROVIDER_TYPE, 2, FALSE)</f>
        <v>50</v>
      </c>
      <c r="J1325" s="4" t="s">
        <v>213</v>
      </c>
      <c r="K1325" s="3" t="s">
        <v>214</v>
      </c>
      <c r="L1325" s="3">
        <f>VLOOKUP(TRIM(Table1[[#This Row],[Provider Specialty]]) &amp; TRIM(Table1[[#This Row],[Provider Specialty Description]]), SPECIALTY_TYPE, 2, FALSE)</f>
        <v>2176</v>
      </c>
      <c r="M1325" s="3" t="s">
        <v>18</v>
      </c>
      <c r="N1325" s="27" t="s">
        <v>19</v>
      </c>
      <c r="O1325" s="41">
        <f>VLOOKUP(TRIM(Table1[[#This Row],[Provider Specialty]]) &amp; TRIM(Table1[[#This Row],[Provider Specialty Description]]), SPECIALTY_TYPE, 2, FALSE)</f>
        <v>2176</v>
      </c>
      <c r="P1325" s="3" t="str">
        <f>Table1[[#This Row],[Provider Type]] &amp; "+" &amp; Table1[[#This Row],[Provider Type Description]]</f>
        <v>32+Multi-Specialty</v>
      </c>
      <c r="Q1325" s="7" t="str">
        <f>Table1[[#This Row],[Provider Specialty]] &amp; "+" &amp; Table1[[#This Row],[Provider Specialty Description]]</f>
        <v>089+Tuberculosis Clinic</v>
      </c>
      <c r="R1325" s="7" t="str">
        <f>Table1[[#This Row],[PDMS Specialty Type ID]] &amp; "+" &amp; Table1[[#This Row],[PDMS Provider Type ID]] &amp; "+" &amp;Table1[[#This Row],[TAXONOMY]]</f>
        <v>2176+50+261QH0100X</v>
      </c>
      <c r="S132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(10246, 2176, 50, N'261QH0100X', N'Clinic/Center - Health Service')</v>
      </c>
    </row>
    <row r="1326" spans="1:19" ht="47.25" hidden="1" customHeight="1" x14ac:dyDescent="0.25">
      <c r="A1326" s="22" t="s">
        <v>11</v>
      </c>
      <c r="B1326" s="3" t="s">
        <v>84</v>
      </c>
      <c r="C1326" s="3" t="s">
        <v>85</v>
      </c>
      <c r="D1326" s="3" t="s">
        <v>204</v>
      </c>
      <c r="E1326" s="3" t="s">
        <v>205</v>
      </c>
      <c r="F1326" s="3">
        <f>VLOOKUP(Table1[[#This Row],[Column2]], TAXONOMY_TYPE, 2, FALSE)</f>
        <v>10247</v>
      </c>
      <c r="G1326" s="4">
        <v>32</v>
      </c>
      <c r="H1326" s="3" t="s">
        <v>1444</v>
      </c>
      <c r="I1326" s="41">
        <f>VLOOKUP(Table1[[#This Row],[Provider Type]] &amp; Table1[[#This Row],[Provider Type Description]], PROVIDER_TYPE, 2, FALSE)</f>
        <v>50</v>
      </c>
      <c r="J1326" s="4">
        <v>181</v>
      </c>
      <c r="K1326" s="3" t="s">
        <v>208</v>
      </c>
      <c r="L1326" s="3">
        <f>VLOOKUP(TRIM(Table1[[#This Row],[Provider Specialty]]) &amp; TRIM(Table1[[#This Row],[Provider Specialty Description]]), SPECIALTY_TYPE, 2, FALSE)</f>
        <v>2150</v>
      </c>
      <c r="M1326" s="3" t="s">
        <v>18</v>
      </c>
      <c r="N1326" s="27" t="s">
        <v>19</v>
      </c>
      <c r="O1326" s="41">
        <f>VLOOKUP(TRIM(Table1[[#This Row],[Provider Specialty]]) &amp; TRIM(Table1[[#This Row],[Provider Specialty Description]]), SPECIALTY_TYPE, 2, FALSE)</f>
        <v>2150</v>
      </c>
      <c r="P1326" s="3" t="str">
        <f>Table1[[#This Row],[Provider Type]] &amp; "+" &amp; Table1[[#This Row],[Provider Type Description]]</f>
        <v>32+Multi-Specialty</v>
      </c>
      <c r="Q1326" s="7" t="str">
        <f>Table1[[#This Row],[Provider Specialty]] &amp; "+" &amp; Table1[[#This Row],[Provider Specialty Description]]</f>
        <v>181+Maternity</v>
      </c>
      <c r="R1326" s="7" t="str">
        <f>Table1[[#This Row],[PDMS Specialty Type ID]] &amp; "+" &amp; Table1[[#This Row],[PDMS Provider Type ID]] &amp; "+" &amp;Table1[[#This Row],[TAXONOMY]]</f>
        <v>2150+50+261QH0100X</v>
      </c>
      <c r="S132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(10247, 2150, 50, N'261QH0100X', N'Clinic/Center - Health Service')</v>
      </c>
    </row>
    <row r="1327" spans="1:19" ht="47.25" hidden="1" customHeight="1" x14ac:dyDescent="0.25">
      <c r="A1327" s="22" t="s">
        <v>11</v>
      </c>
      <c r="B1327" s="3" t="s">
        <v>84</v>
      </c>
      <c r="C1327" s="3" t="s">
        <v>85</v>
      </c>
      <c r="D1327" s="3" t="s">
        <v>204</v>
      </c>
      <c r="E1327" s="3" t="s">
        <v>205</v>
      </c>
      <c r="F1327" s="3">
        <f>VLOOKUP(Table1[[#This Row],[Column2]], TAXONOMY_TYPE, 2, FALSE)</f>
        <v>10248</v>
      </c>
      <c r="G1327" s="4">
        <v>32</v>
      </c>
      <c r="H1327" s="3" t="s">
        <v>1444</v>
      </c>
      <c r="I1327" s="41">
        <f>VLOOKUP(Table1[[#This Row],[Provider Type]] &amp; Table1[[#This Row],[Provider Type Description]], PROVIDER_TYPE, 2, FALSE)</f>
        <v>50</v>
      </c>
      <c r="J1327" s="4">
        <v>182</v>
      </c>
      <c r="K1327" s="3" t="s">
        <v>209</v>
      </c>
      <c r="L1327" s="3">
        <f>VLOOKUP(TRIM(Table1[[#This Row],[Provider Specialty]]) &amp; TRIM(Table1[[#This Row],[Provider Specialty Description]]), SPECIALTY_TYPE, 2, FALSE)</f>
        <v>2168</v>
      </c>
      <c r="M1327" s="3" t="s">
        <v>18</v>
      </c>
      <c r="N1327" s="27" t="s">
        <v>19</v>
      </c>
      <c r="O1327" s="41">
        <f>VLOOKUP(TRIM(Table1[[#This Row],[Provider Specialty]]) &amp; TRIM(Table1[[#This Row],[Provider Specialty Description]]), SPECIALTY_TYPE, 2, FALSE)</f>
        <v>2168</v>
      </c>
      <c r="P1327" s="3" t="str">
        <f>Table1[[#This Row],[Provider Type]] &amp; "+" &amp; Table1[[#This Row],[Provider Type Description]]</f>
        <v>32+Multi-Specialty</v>
      </c>
      <c r="Q1327" s="7" t="str">
        <f>Table1[[#This Row],[Provider Specialty]] &amp; "+" &amp; Table1[[#This Row],[Provider Specialty Description]]</f>
        <v>182+Speech/Hearing Clinic</v>
      </c>
      <c r="R1327" s="7" t="str">
        <f>Table1[[#This Row],[PDMS Specialty Type ID]] &amp; "+" &amp; Table1[[#This Row],[PDMS Provider Type ID]] &amp; "+" &amp;Table1[[#This Row],[TAXONOMY]]</f>
        <v>2168+50+261QH0100X</v>
      </c>
      <c r="S132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(10248, 2168, 50, N'261QH0100X', N'Clinic/Center - Health Service')</v>
      </c>
    </row>
    <row r="1328" spans="1:19" ht="47.25" hidden="1" customHeight="1" x14ac:dyDescent="0.25">
      <c r="A1328" s="22" t="s">
        <v>11</v>
      </c>
      <c r="B1328" s="3" t="s">
        <v>84</v>
      </c>
      <c r="C1328" s="3" t="s">
        <v>85</v>
      </c>
      <c r="D1328" s="3" t="s">
        <v>215</v>
      </c>
      <c r="E1328" s="3" t="s">
        <v>216</v>
      </c>
      <c r="F1328" s="3">
        <f>VLOOKUP(Table1[[#This Row],[Column2]], TAXONOMY_TYPE, 2, FALSE)</f>
        <v>10249</v>
      </c>
      <c r="G1328" s="4">
        <v>32</v>
      </c>
      <c r="H1328" s="3" t="s">
        <v>1444</v>
      </c>
      <c r="I1328" s="41">
        <f>VLOOKUP(Table1[[#This Row],[Provider Type]] &amp; Table1[[#This Row],[Provider Type Description]], PROVIDER_TYPE, 2, FALSE)</f>
        <v>50</v>
      </c>
      <c r="J1328" s="3">
        <v>182</v>
      </c>
      <c r="K1328" s="3" t="s">
        <v>209</v>
      </c>
      <c r="L1328" s="3">
        <f>VLOOKUP(TRIM(Table1[[#This Row],[Provider Specialty]]) &amp; TRIM(Table1[[#This Row],[Provider Specialty Description]]), SPECIALTY_TYPE, 2, FALSE)</f>
        <v>2168</v>
      </c>
      <c r="M1328" s="3" t="s">
        <v>18</v>
      </c>
      <c r="N1328" s="27" t="s">
        <v>19</v>
      </c>
      <c r="O1328" s="41">
        <f>VLOOKUP(TRIM(Table1[[#This Row],[Provider Specialty]]) &amp; TRIM(Table1[[#This Row],[Provider Specialty Description]]), SPECIALTY_TYPE, 2, FALSE)</f>
        <v>2168</v>
      </c>
      <c r="P1328" s="3" t="str">
        <f>Table1[[#This Row],[Provider Type]] &amp; "+" &amp; Table1[[#This Row],[Provider Type Description]]</f>
        <v>32+Multi-Specialty</v>
      </c>
      <c r="Q1328" s="7" t="str">
        <f>Table1[[#This Row],[Provider Specialty]] &amp; "+" &amp; Table1[[#This Row],[Provider Specialty Description]]</f>
        <v>182+Speech/Hearing Clinic</v>
      </c>
      <c r="R1328" s="7" t="str">
        <f>Table1[[#This Row],[PDMS Specialty Type ID]] &amp; "+" &amp; Table1[[#This Row],[PDMS Provider Type ID]] &amp; "+" &amp;Table1[[#This Row],[TAXONOMY]]</f>
        <v>2168+50+261QH0700X</v>
      </c>
      <c r="S132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(10249, 2168, 50, N'261QH0700X', N'Clinic/Center - Hearing and Speech')</v>
      </c>
    </row>
    <row r="1329" spans="1:19" ht="47.25" hidden="1" customHeight="1" x14ac:dyDescent="0.25">
      <c r="A1329" s="22" t="s">
        <v>11</v>
      </c>
      <c r="B1329" s="3" t="s">
        <v>84</v>
      </c>
      <c r="C1329" s="3" t="s">
        <v>85</v>
      </c>
      <c r="D1329" s="3" t="s">
        <v>204</v>
      </c>
      <c r="E1329" s="3" t="s">
        <v>205</v>
      </c>
      <c r="F1329" s="3">
        <f>VLOOKUP(Table1[[#This Row],[Column2]], TAXONOMY_TYPE, 2, FALSE)</f>
        <v>10250</v>
      </c>
      <c r="G1329" s="4">
        <v>32</v>
      </c>
      <c r="H1329" s="3" t="s">
        <v>1444</v>
      </c>
      <c r="I1329" s="41">
        <f>VLOOKUP(Table1[[#This Row],[Provider Type]] &amp; Table1[[#This Row],[Provider Type Description]], PROVIDER_TYPE, 2, FALSE)</f>
        <v>50</v>
      </c>
      <c r="J1329" s="4">
        <v>183</v>
      </c>
      <c r="K1329" s="3" t="s">
        <v>210</v>
      </c>
      <c r="L1329" s="3">
        <f>VLOOKUP(TRIM(Table1[[#This Row],[Provider Specialty]]) &amp; TRIM(Table1[[#This Row],[Provider Specialty Description]]), SPECIALTY_TYPE, 2, FALSE)</f>
        <v>2138</v>
      </c>
      <c r="M1329" s="3" t="s">
        <v>18</v>
      </c>
      <c r="N1329" s="27" t="s">
        <v>19</v>
      </c>
      <c r="O1329" s="41">
        <f>VLOOKUP(TRIM(Table1[[#This Row],[Provider Specialty]]) &amp; TRIM(Table1[[#This Row],[Provider Specialty Description]]), SPECIALTY_TYPE, 2, FALSE)</f>
        <v>2138</v>
      </c>
      <c r="P1329" s="3" t="str">
        <f>Table1[[#This Row],[Provider Type]] &amp; "+" &amp; Table1[[#This Row],[Provider Type Description]]</f>
        <v>32+Multi-Specialty</v>
      </c>
      <c r="Q1329" s="7" t="str">
        <f>Table1[[#This Row],[Provider Specialty]] &amp; "+" &amp; Table1[[#This Row],[Provider Specialty Description]]</f>
        <v>183+Early Intervention Services</v>
      </c>
      <c r="R1329" s="7" t="str">
        <f>Table1[[#This Row],[PDMS Specialty Type ID]] &amp; "+" &amp; Table1[[#This Row],[PDMS Provider Type ID]] &amp; "+" &amp;Table1[[#This Row],[TAXONOMY]]</f>
        <v>2138+50+261QH0100X</v>
      </c>
      <c r="S1329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(10250, 2138, 50, N'261QH0100X', N'Clinic/Center - Health Service')</v>
      </c>
    </row>
    <row r="1330" spans="1:19" ht="47.25" hidden="1" customHeight="1" x14ac:dyDescent="0.25">
      <c r="A1330" s="22" t="s">
        <v>11</v>
      </c>
      <c r="B1330" s="3" t="s">
        <v>84</v>
      </c>
      <c r="C1330" s="3" t="s">
        <v>85</v>
      </c>
      <c r="D1330" s="3" t="s">
        <v>248</v>
      </c>
      <c r="E1330" s="3" t="s">
        <v>249</v>
      </c>
      <c r="F1330" s="3">
        <f>VLOOKUP(Table1[[#This Row],[Column2]], TAXONOMY_TYPE, 2, FALSE)</f>
        <v>10251</v>
      </c>
      <c r="G1330" s="4">
        <v>32</v>
      </c>
      <c r="H1330" s="3" t="s">
        <v>1444</v>
      </c>
      <c r="I1330" s="41">
        <f>VLOOKUP(Table1[[#This Row],[Provider Type]] &amp; Table1[[#This Row],[Provider Type Description]], PROVIDER_TYPE, 2, FALSE)</f>
        <v>50</v>
      </c>
      <c r="J1330" s="3">
        <v>186</v>
      </c>
      <c r="K1330" s="3" t="s">
        <v>250</v>
      </c>
      <c r="L1330" s="3">
        <f>VLOOKUP(TRIM(Table1[[#This Row],[Provider Specialty]]) &amp; TRIM(Table1[[#This Row],[Provider Specialty Description]]), SPECIALTY_TYPE, 2, FALSE)</f>
        <v>2133</v>
      </c>
      <c r="M1330" s="3" t="s">
        <v>18</v>
      </c>
      <c r="N1330" s="27" t="s">
        <v>19</v>
      </c>
      <c r="O1330" s="41">
        <f>VLOOKUP(TRIM(Table1[[#This Row],[Provider Specialty]]) &amp; TRIM(Table1[[#This Row],[Provider Specialty Description]]), SPECIALTY_TYPE, 2, FALSE)</f>
        <v>2133</v>
      </c>
      <c r="P1330" s="3" t="str">
        <f>Table1[[#This Row],[Provider Type]] &amp; "+" &amp; Table1[[#This Row],[Provider Type Description]]</f>
        <v>32+Multi-Specialty</v>
      </c>
      <c r="Q1330" s="7" t="str">
        <f>Table1[[#This Row],[Provider Specialty]] &amp; "+" &amp; Table1[[#This Row],[Provider Specialty Description]]</f>
        <v>186+Community Health</v>
      </c>
      <c r="R1330" s="7" t="str">
        <f>Table1[[#This Row],[PDMS Specialty Type ID]] &amp; "+" &amp; Table1[[#This Row],[PDMS Provider Type ID]] &amp; "+" &amp;Table1[[#This Row],[TAXONOMY]]</f>
        <v>2133+50+261QC1500X</v>
      </c>
      <c r="S1330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(10251, 2133, 50, N'261QC1500X', N'Clinic/Center - Community Health')</v>
      </c>
    </row>
    <row r="1331" spans="1:19" ht="47.25" hidden="1" customHeight="1" x14ac:dyDescent="0.25">
      <c r="A1331" s="32" t="s">
        <v>11</v>
      </c>
      <c r="B1331" s="33" t="s">
        <v>84</v>
      </c>
      <c r="C1331" s="33" t="s">
        <v>85</v>
      </c>
      <c r="D1331" s="33" t="s">
        <v>251</v>
      </c>
      <c r="E1331" s="33" t="s">
        <v>252</v>
      </c>
      <c r="F1331" s="3">
        <f>VLOOKUP(Table1[[#This Row],[Column2]], TAXONOMY_TYPE, 2, FALSE)</f>
        <v>10252</v>
      </c>
      <c r="G1331" s="4">
        <v>32</v>
      </c>
      <c r="H1331" s="3" t="s">
        <v>1444</v>
      </c>
      <c r="I1331" s="42">
        <f>VLOOKUP(Table1[[#This Row],[Provider Type]] &amp; Table1[[#This Row],[Provider Type Description]], PROVIDER_TYPE, 2, FALSE)</f>
        <v>50</v>
      </c>
      <c r="J1331" s="33">
        <v>186</v>
      </c>
      <c r="K1331" s="33" t="s">
        <v>250</v>
      </c>
      <c r="L1331" s="33">
        <f>VLOOKUP(TRIM(Table1[[#This Row],[Provider Specialty]]) &amp; TRIM(Table1[[#This Row],[Provider Specialty Description]]), SPECIALTY_TYPE, 2, FALSE)</f>
        <v>2133</v>
      </c>
      <c r="M1331" s="33" t="s">
        <v>18</v>
      </c>
      <c r="N1331" s="34" t="s">
        <v>19</v>
      </c>
      <c r="O1331" s="42">
        <f>VLOOKUP(TRIM(Table1[[#This Row],[Provider Specialty]]) &amp; TRIM(Table1[[#This Row],[Provider Specialty Description]]), SPECIALTY_TYPE, 2, FALSE)</f>
        <v>2133</v>
      </c>
      <c r="P1331" s="33" t="str">
        <f>Table1[[#This Row],[Provider Type]] &amp; "+" &amp; Table1[[#This Row],[Provider Type Description]]</f>
        <v>32+Multi-Specialty</v>
      </c>
      <c r="Q1331" s="7" t="str">
        <f>Table1[[#This Row],[Provider Specialty]] &amp; "+" &amp; Table1[[#This Row],[Provider Specialty Description]]</f>
        <v>186+Community Health</v>
      </c>
      <c r="R1331" s="7" t="str">
        <f>Table1[[#This Row],[PDMS Specialty Type ID]] &amp; "+" &amp; Table1[[#This Row],[PDMS Provider Type ID]] &amp; "+" &amp;Table1[[#This Row],[TAXONOMY]]</f>
        <v>2133+50+261QC1800X</v>
      </c>
      <c r="S1331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(10252, 2133, 50, N'261QC1800X', N'Clinic/Center - Corporate Health')</v>
      </c>
    </row>
    <row r="1332" spans="1:19" ht="47.25" hidden="1" customHeight="1" x14ac:dyDescent="0.25">
      <c r="A1332" s="22" t="s">
        <v>11</v>
      </c>
      <c r="B1332" s="3" t="s">
        <v>84</v>
      </c>
      <c r="C1332" s="3" t="s">
        <v>85</v>
      </c>
      <c r="D1332" s="3" t="s">
        <v>1483</v>
      </c>
      <c r="E1332" s="3" t="s">
        <v>1484</v>
      </c>
      <c r="F1332" s="3">
        <f>VLOOKUP(Table1[[#This Row],[Column2]], TAXONOMY_TYPE, 2, FALSE)</f>
        <v>10056</v>
      </c>
      <c r="G1332" s="3">
        <v>41</v>
      </c>
      <c r="H1332" s="3" t="s">
        <v>1485</v>
      </c>
      <c r="I1332" s="42">
        <f>VLOOKUP(Table1[[#This Row],[Provider Type]] &amp; Table1[[#This Row],[Provider Type Description]], PROVIDER_TYPE, 2, FALSE)</f>
        <v>74</v>
      </c>
      <c r="J1332" s="3">
        <v>410</v>
      </c>
      <c r="K1332" s="3" t="s">
        <v>1485</v>
      </c>
      <c r="L1332" s="33">
        <f>VLOOKUP(TRIM(Table1[[#This Row],[Provider Specialty]]) &amp; TRIM(Table1[[#This Row],[Provider Specialty Description]]), SPECIALTY_TYPE, 2, FALSE)</f>
        <v>2270</v>
      </c>
      <c r="M1332" s="3" t="s">
        <v>18</v>
      </c>
      <c r="N1332" s="27" t="s">
        <v>18</v>
      </c>
      <c r="O1332" s="41">
        <f>VLOOKUP(TRIM(Table1[[#This Row],[Provider Specialty]]) &amp; TRIM(Table1[[#This Row],[Provider Specialty Description]]), SPECIALTY_TYPE, 2, FALSE)</f>
        <v>2270</v>
      </c>
      <c r="P1332" s="33" t="str">
        <f>Table1[[#This Row],[Provider Type]] &amp; "+" &amp; Table1[[#This Row],[Provider Type Description]]</f>
        <v>41+Adult Day Care</v>
      </c>
      <c r="Q1332" s="44" t="str">
        <f>Table1[[#This Row],[Provider Specialty]] &amp; "+" &amp; Table1[[#This Row],[Provider Specialty Description]]</f>
        <v>410+Adult Day Care</v>
      </c>
      <c r="R1332" s="44" t="str">
        <f>Table1[[#This Row],[PDMS Specialty Type ID]] &amp; "+" &amp; Table1[[#This Row],[PDMS Provider Type ID]] &amp; "+" &amp;Table1[[#This Row],[TAXONOMY]]</f>
        <v>2270+74+261QA0600X</v>
      </c>
      <c r="S1332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(10056, 2270, 74, N'261QA0600X', N'Clinic/Center - Adult Day Care')</v>
      </c>
    </row>
    <row r="1333" spans="1:19" ht="47.25" hidden="1" customHeight="1" x14ac:dyDescent="0.25">
      <c r="A1333" s="22" t="s">
        <v>11</v>
      </c>
      <c r="B1333" s="3" t="s">
        <v>337</v>
      </c>
      <c r="C1333" s="3" t="s">
        <v>1492</v>
      </c>
      <c r="D1333" s="3" t="s">
        <v>1495</v>
      </c>
      <c r="E1333" s="3" t="s">
        <v>1496</v>
      </c>
      <c r="F1333" s="3">
        <f>VLOOKUP(Table1[[#This Row],[Column2]], TAXONOMY_TYPE, 2, FALSE)</f>
        <v>10061</v>
      </c>
      <c r="G1333" s="3">
        <v>44</v>
      </c>
      <c r="H1333" s="3" t="s">
        <v>1494</v>
      </c>
      <c r="I1333" s="42">
        <f>VLOOKUP(Table1[[#This Row],[Provider Type]] &amp; Table1[[#This Row],[Provider Type Description]], PROVIDER_TYPE, 2, FALSE)</f>
        <v>77</v>
      </c>
      <c r="J1333" s="3">
        <v>440</v>
      </c>
      <c r="K1333" s="3" t="s">
        <v>1494</v>
      </c>
      <c r="L1333" s="33">
        <f>VLOOKUP(TRIM(Table1[[#This Row],[Provider Specialty]]) &amp; TRIM(Table1[[#This Row],[Provider Specialty Description]]), SPECIALTY_TYPE, 2, FALSE)</f>
        <v>2273</v>
      </c>
      <c r="M1333" s="3" t="s">
        <v>18</v>
      </c>
      <c r="N1333" s="27" t="s">
        <v>18</v>
      </c>
      <c r="O1333" s="41">
        <f>VLOOKUP(TRIM(Table1[[#This Row],[Provider Specialty]]) &amp; TRIM(Table1[[#This Row],[Provider Specialty Description]]), SPECIALTY_TYPE, 2, FALSE)</f>
        <v>2273</v>
      </c>
      <c r="P1333" s="33" t="str">
        <f>Table1[[#This Row],[Provider Type]] &amp; "+" &amp; Table1[[#This Row],[Provider Type Description]]</f>
        <v>44+Architectural Modification</v>
      </c>
      <c r="Q1333" s="44" t="str">
        <f>Table1[[#This Row],[Provider Specialty]] &amp; "+" &amp; Table1[[#This Row],[Provider Specialty Description]]</f>
        <v>440+Architectural Modification</v>
      </c>
      <c r="R1333" s="44" t="str">
        <f>Table1[[#This Row],[PDMS Specialty Type ID]] &amp; "+" &amp; Table1[[#This Row],[PDMS Provider Type ID]] &amp; "+" &amp;Table1[[#This Row],[TAXONOMY]]</f>
        <v>2273+77+171WH0202X</v>
      </c>
      <c r="S1333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(10061, 2273, 77, N'171WH0202X', N'Contractor - Home Modifications')</v>
      </c>
    </row>
    <row r="1334" spans="1:19" ht="47.25" hidden="1" customHeight="1" x14ac:dyDescent="0.25">
      <c r="A1334" s="22" t="s">
        <v>11</v>
      </c>
      <c r="B1334" s="3" t="s">
        <v>337</v>
      </c>
      <c r="C1334" s="3" t="s">
        <v>1492</v>
      </c>
      <c r="D1334" s="3" t="s">
        <v>1497</v>
      </c>
      <c r="E1334" s="3" t="s">
        <v>1498</v>
      </c>
      <c r="F1334" s="3">
        <f>VLOOKUP(Table1[[#This Row],[Column2]], TAXONOMY_TYPE, 2, FALSE)</f>
        <v>10062</v>
      </c>
      <c r="G1334" s="3">
        <v>44</v>
      </c>
      <c r="H1334" s="3" t="s">
        <v>1494</v>
      </c>
      <c r="I1334" s="42">
        <f>VLOOKUP(Table1[[#This Row],[Provider Type]] &amp; Table1[[#This Row],[Provider Type Description]], PROVIDER_TYPE, 2, FALSE)</f>
        <v>77</v>
      </c>
      <c r="J1334" s="3">
        <v>440</v>
      </c>
      <c r="K1334" s="3" t="s">
        <v>1494</v>
      </c>
      <c r="L1334" s="33">
        <f>VLOOKUP(TRIM(Table1[[#This Row],[Provider Specialty]]) &amp; TRIM(Table1[[#This Row],[Provider Specialty Description]]), SPECIALTY_TYPE, 2, FALSE)</f>
        <v>2273</v>
      </c>
      <c r="M1334" s="3" t="s">
        <v>18</v>
      </c>
      <c r="N1334" s="27" t="s">
        <v>18</v>
      </c>
      <c r="O1334" s="41">
        <f>VLOOKUP(TRIM(Table1[[#This Row],[Provider Specialty]]) &amp; TRIM(Table1[[#This Row],[Provider Specialty Description]]), SPECIALTY_TYPE, 2, FALSE)</f>
        <v>2273</v>
      </c>
      <c r="P1334" s="33" t="str">
        <f>Table1[[#This Row],[Provider Type]] &amp; "+" &amp; Table1[[#This Row],[Provider Type Description]]</f>
        <v>44+Architectural Modification</v>
      </c>
      <c r="Q1334" s="44" t="str">
        <f>Table1[[#This Row],[Provider Specialty]] &amp; "+" &amp; Table1[[#This Row],[Provider Specialty Description]]</f>
        <v>440+Architectural Modification</v>
      </c>
      <c r="R1334" s="44" t="str">
        <f>Table1[[#This Row],[PDMS Specialty Type ID]] &amp; "+" &amp; Table1[[#This Row],[PDMS Provider Type ID]] &amp; "+" &amp;Table1[[#This Row],[TAXONOMY]]</f>
        <v>2273+77+171WV0202X</v>
      </c>
      <c r="S1334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(10062, 2273, 77, N'171WV0202X', N'Contractor - Vehicle Modifications')</v>
      </c>
    </row>
    <row r="1335" spans="1:19" ht="47.25" hidden="1" customHeight="1" x14ac:dyDescent="0.25">
      <c r="A1335" s="22" t="s">
        <v>11</v>
      </c>
      <c r="B1335" s="3" t="s">
        <v>1525</v>
      </c>
      <c r="C1335" s="3" t="s">
        <v>1526</v>
      </c>
      <c r="D1335" s="3" t="s">
        <v>1525</v>
      </c>
      <c r="E1335" s="3" t="s">
        <v>1527</v>
      </c>
      <c r="F1335" s="3">
        <f>VLOOKUP(Table1[[#This Row],[Column2]], TAXONOMY_TYPE, 2, FALSE)</f>
        <v>10075</v>
      </c>
      <c r="G1335" s="3">
        <v>51</v>
      </c>
      <c r="H1335" s="3" t="s">
        <v>1951</v>
      </c>
      <c r="I1335" s="42">
        <f>VLOOKUP(Table1[[#This Row],[Provider Type]] &amp; Table1[[#This Row],[Provider Type Description]], PROVIDER_TYPE, 2, FALSE)</f>
        <v>84</v>
      </c>
      <c r="J1335" s="3">
        <v>510</v>
      </c>
      <c r="K1335" s="3" t="s">
        <v>2567</v>
      </c>
      <c r="L1335" s="33">
        <f>VLOOKUP(TRIM(Table1[[#This Row],[Provider Specialty]]) &amp; TRIM(Table1[[#This Row],[Provider Specialty Description]]), SPECIALTY_TYPE, 2, FALSE)</f>
        <v>2144</v>
      </c>
      <c r="M1335" s="3" t="s">
        <v>18</v>
      </c>
      <c r="N1335" s="27" t="s">
        <v>18</v>
      </c>
      <c r="O1335" s="41">
        <f>VLOOKUP(TRIM(Table1[[#This Row],[Provider Specialty]]) &amp; TRIM(Table1[[#This Row],[Provider Specialty Description]]), SPECIALTY_TYPE, 2, FALSE)</f>
        <v>2144</v>
      </c>
      <c r="P1335" s="33" t="str">
        <f>Table1[[#This Row],[Provider Type]] &amp; "+" &amp; Table1[[#This Row],[Provider Type Description]]</f>
        <v>51+HCBS Provider</v>
      </c>
      <c r="Q1335" s="44" t="str">
        <f>Table1[[#This Row],[Provider Specialty]] &amp; "+" &amp; Table1[[#This Row],[Provider Specialty Description]]</f>
        <v>510+HCBS - IID Waiver Facility</v>
      </c>
      <c r="R1335" s="44" t="str">
        <f>Table1[[#This Row],[PDMS Specialty Type ID]] &amp; "+" &amp; Table1[[#This Row],[PDMS Provider Type ID]] &amp; "+" &amp;Table1[[#This Row],[TAXONOMY]]</f>
        <v>2144+84+253Z00000X</v>
      </c>
      <c r="S1335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(10075, 2144, 84, N'253Z00000X', N'In Home Supportive Care - Agencies')</v>
      </c>
    </row>
    <row r="1336" spans="1:19" ht="47.25" hidden="1" customHeight="1" x14ac:dyDescent="0.25">
      <c r="A1336" s="22" t="s">
        <v>227</v>
      </c>
      <c r="B1336" s="3" t="s">
        <v>828</v>
      </c>
      <c r="C1336" s="3" t="s">
        <v>1830</v>
      </c>
      <c r="D1336" s="3" t="s">
        <v>1831</v>
      </c>
      <c r="E1336" s="3" t="s">
        <v>1832</v>
      </c>
      <c r="F1336" s="3">
        <f>VLOOKUP(Table1[[#This Row],[Column2]], TAXONOMY_TYPE, 2, FALSE)</f>
        <v>10200</v>
      </c>
      <c r="G1336" s="3">
        <v>75</v>
      </c>
      <c r="H1336" s="3" t="s">
        <v>2029</v>
      </c>
      <c r="I1336" s="42">
        <f>VLOOKUP(Table1[[#This Row],[Provider Type]] &amp; Table1[[#This Row],[Provider Type Description]], PROVIDER_TYPE, 2, FALSE)</f>
        <v>91</v>
      </c>
      <c r="J1336" s="3">
        <v>664</v>
      </c>
      <c r="K1336" s="3" t="s">
        <v>1830</v>
      </c>
      <c r="L1336" s="33">
        <f>VLOOKUP(TRIM(Table1[[#This Row],[Provider Specialty]]) &amp; TRIM(Table1[[#This Row],[Provider Specialty Description]]), SPECIALTY_TYPE, 2, FALSE)</f>
        <v>2341</v>
      </c>
      <c r="M1336" s="3" t="s">
        <v>18</v>
      </c>
      <c r="N1336" s="27" t="s">
        <v>18</v>
      </c>
      <c r="O1336" s="41">
        <f>VLOOKUP(TRIM(Table1[[#This Row],[Provider Specialty]]) &amp; TRIM(Table1[[#This Row],[Provider Specialty Description]]), SPECIALTY_TYPE, 2, FALSE)</f>
        <v>2341</v>
      </c>
      <c r="P1336" s="33" t="str">
        <f>Table1[[#This Row],[Provider Type]] &amp; "+" &amp; Table1[[#This Row],[Provider Type Description]]</f>
        <v>75+Emergency Response System Company</v>
      </c>
      <c r="Q1336" s="44" t="str">
        <f>Table1[[#This Row],[Provider Specialty]] &amp; "+" &amp; Table1[[#This Row],[Provider Specialty Description]]</f>
        <v>664+Emergency Response System Companies</v>
      </c>
      <c r="R1336" s="44" t="str">
        <f>Table1[[#This Row],[PDMS Specialty Type ID]] &amp; "+" &amp; Table1[[#This Row],[PDMS Provider Type ID]] &amp; "+" &amp;Table1[[#This Row],[TAXONOMY]]</f>
        <v>2341+91+333300000X</v>
      </c>
      <c r="S1336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(10200, 2341, 91, N'333300000X', N'Emergency Response System Companies - Emergency Response System Companies****')</v>
      </c>
    </row>
    <row r="1337" spans="1:19" ht="47.25" hidden="1" customHeight="1" x14ac:dyDescent="0.25">
      <c r="A1337" s="22" t="s">
        <v>227</v>
      </c>
      <c r="B1337" s="3" t="s">
        <v>659</v>
      </c>
      <c r="C1337" s="3" t="s">
        <v>1455</v>
      </c>
      <c r="D1337" s="3" t="s">
        <v>1456</v>
      </c>
      <c r="E1337" s="3" t="s">
        <v>1457</v>
      </c>
      <c r="F1337" s="3">
        <f>VLOOKUP(Table1[[#This Row],[Column2]], TAXONOMY_TYPE, 2, FALSE)</f>
        <v>10042</v>
      </c>
      <c r="G1337" s="3">
        <v>36</v>
      </c>
      <c r="H1337" s="3" t="s">
        <v>1448</v>
      </c>
      <c r="I1337" s="42">
        <f>VLOOKUP(Table1[[#This Row],[Provider Type]] &amp; Table1[[#This Row],[Provider Type Description]], PROVIDER_TYPE, 2, FALSE)</f>
        <v>69</v>
      </c>
      <c r="J1337" s="3">
        <v>360</v>
      </c>
      <c r="K1337" s="3" t="s">
        <v>1452</v>
      </c>
      <c r="L1337" s="33">
        <f>VLOOKUP(TRIM(Table1[[#This Row],[Provider Specialty]]) &amp; TRIM(Table1[[#This Row],[Provider Specialty Description]]), SPECIALTY_TYPE, 2, FALSE)</f>
        <v>2263</v>
      </c>
      <c r="M1337" s="3" t="s">
        <v>18</v>
      </c>
      <c r="N1337" s="27" t="s">
        <v>18</v>
      </c>
      <c r="O1337" s="41">
        <f>VLOOKUP(TRIM(Table1[[#This Row],[Provider Specialty]]) &amp; TRIM(Table1[[#This Row],[Provider Specialty Description]]), SPECIALTY_TYPE, 2, FALSE)</f>
        <v>2263</v>
      </c>
      <c r="P1337" s="33" t="str">
        <f>Table1[[#This Row],[Provider Type]] &amp; "+" &amp; Table1[[#This Row],[Provider Type Description]]</f>
        <v>36+Personal Care Services</v>
      </c>
      <c r="Q1337" s="44" t="str">
        <f>Table1[[#This Row],[Provider Specialty]] &amp; "+" &amp; Table1[[#This Row],[Provider Specialty Description]]</f>
        <v>360+Personal Care - Individual</v>
      </c>
      <c r="R1337" s="44" t="str">
        <f>Table1[[#This Row],[PDMS Specialty Type ID]] &amp; "+" &amp; Table1[[#This Row],[PDMS Provider Type ID]] &amp; "+" &amp;Table1[[#This Row],[TAXONOMY]]</f>
        <v>2263+69+3747P1801X</v>
      </c>
      <c r="S1337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(10042, 2263, 69, N'3747P1801X', N'Technician - Personal Care Attendant')</v>
      </c>
    </row>
    <row r="1338" spans="1:19" ht="47.25" hidden="1" customHeight="1" x14ac:dyDescent="0.25">
      <c r="A1338" s="32" t="s">
        <v>227</v>
      </c>
      <c r="B1338" s="33" t="s">
        <v>175</v>
      </c>
      <c r="C1338" s="33" t="s">
        <v>601</v>
      </c>
      <c r="D1338" s="33" t="s">
        <v>601</v>
      </c>
      <c r="E1338" s="33" t="s">
        <v>602</v>
      </c>
      <c r="F1338" s="3">
        <f>VLOOKUP(Table1[[#This Row],[Column2]], TAXONOMY_TYPE, 2, FALSE)</f>
        <v>10047</v>
      </c>
      <c r="G1338" s="33">
        <v>36</v>
      </c>
      <c r="H1338" s="33" t="s">
        <v>1448</v>
      </c>
      <c r="I1338" s="42">
        <f>VLOOKUP(Table1[[#This Row],[Provider Type]] &amp; Table1[[#This Row],[Provider Type Description]], PROVIDER_TYPE, 2, FALSE)</f>
        <v>69</v>
      </c>
      <c r="J1338" s="33">
        <v>361</v>
      </c>
      <c r="K1338" s="33" t="s">
        <v>1449</v>
      </c>
      <c r="L1338" s="33">
        <f>VLOOKUP(TRIM(Table1[[#This Row],[Provider Specialty]]) &amp; TRIM(Table1[[#This Row],[Provider Specialty Description]]), SPECIALTY_TYPE, 2, FALSE)</f>
        <v>2264</v>
      </c>
      <c r="M1338" s="33" t="s">
        <v>18</v>
      </c>
      <c r="N1338" s="34" t="s">
        <v>18</v>
      </c>
      <c r="O1338" s="42">
        <f>VLOOKUP(TRIM(Table1[[#This Row],[Provider Specialty]]) &amp; TRIM(Table1[[#This Row],[Provider Specialty Description]]), SPECIALTY_TYPE, 2, FALSE)</f>
        <v>2264</v>
      </c>
      <c r="P1338" s="33" t="str">
        <f>Table1[[#This Row],[Provider Type]] &amp; "+" &amp; Table1[[#This Row],[Provider Type Description]]</f>
        <v>36+Personal Care Services</v>
      </c>
      <c r="Q1338" s="44" t="str">
        <f>Table1[[#This Row],[Provider Specialty]] &amp; "+" &amp; Table1[[#This Row],[Provider Specialty Description]]</f>
        <v>361+Personal Care - Agency</v>
      </c>
      <c r="R1338" s="44" t="str">
        <f>Table1[[#This Row],[PDMS Specialty Type ID]] &amp; "+" &amp; Table1[[#This Row],[PDMS Provider Type ID]] &amp; "+" &amp;Table1[[#This Row],[TAXONOMY]]</f>
        <v>2264+69+251J00000X</v>
      </c>
      <c r="S1338" s="44" t="str">
        <f>"INSERT [dbo].[Import_20150213_Taxonomy] ([TAXONOMY_ID], [SPECIALTY_TYPE_ID], [PROVIDER_TYPE_ID], [CDE_TAXONOMY], [DSC_TAXONOMY]) VALUES (" &amp; IF(ISNA(Table1[[#This Row],[PDMS Taxonomy ID]]), "", Table1[[#This Row],[PDMS Taxonomy ID]]) &amp; ", " &amp; Table1[[#This Row],[PDMS Specialty Type ID]] &amp; ", " &amp; Table1[[#This Row],[PDMS Provider Type ID]] &amp; ", N'" &amp; TRIM(Table1[[#This Row],[TAXONOMY]]) &amp; "', N'" &amp; TRIM(Table1[[#This Row],[TAXONOMY Grouping 3]]) &amp; " - " &amp; TRIM(Table1[[#This Row],[DESCRIPTION]]) &amp;  "')"</f>
        <v>INSERT [dbo].[Import_20150213_Taxonomy] ([TAXONOMY_ID], [SPECIALTY_TYPE_ID], [PROVIDER_TYPE_ID], [CDE_TAXONOMY], [DSC_TAXONOMY]) VALUES (10047, 2264, 69, N'251J00000X', N'Nursing Care - Nursing Care')</v>
      </c>
    </row>
    <row r="1339" spans="1:19" ht="47.25" customHeight="1" x14ac:dyDescent="0.25">
      <c r="A1339" s="3" t="s">
        <v>227</v>
      </c>
      <c r="B1339" s="13"/>
      <c r="C1339" s="13"/>
      <c r="D1339" s="13"/>
      <c r="E1339" s="14"/>
      <c r="F1339" s="14"/>
      <c r="G1339" s="11"/>
      <c r="H1339" s="11"/>
      <c r="I1339" s="11"/>
      <c r="J1339" s="11"/>
      <c r="K1339" s="7"/>
    </row>
    <row r="1340" spans="1:19" ht="47.25" customHeight="1" x14ac:dyDescent="0.25">
      <c r="A1340" s="3" t="s">
        <v>227</v>
      </c>
      <c r="B1340" s="11"/>
      <c r="C1340" s="11"/>
      <c r="D1340" s="11"/>
      <c r="E1340" s="15"/>
      <c r="F1340" s="15"/>
      <c r="G1340" s="11"/>
      <c r="H1340" s="11"/>
      <c r="I1340" s="11"/>
      <c r="J1340" s="11"/>
      <c r="K1340" s="7"/>
    </row>
    <row r="1341" spans="1:19" ht="47.25" customHeight="1" x14ac:dyDescent="0.25">
      <c r="A1341" s="3" t="s">
        <v>227</v>
      </c>
    </row>
    <row r="1342" spans="1:19" ht="47.25" customHeight="1" x14ac:dyDescent="0.25">
      <c r="A1342" s="3" t="s">
        <v>227</v>
      </c>
      <c r="B1342" s="20" t="s">
        <v>1852</v>
      </c>
      <c r="C1342" s="20"/>
      <c r="D1342" s="20"/>
      <c r="E1342" s="20"/>
      <c r="F1342" s="20"/>
      <c r="G1342" s="20"/>
      <c r="H1342" s="20"/>
      <c r="I1342" s="20"/>
      <c r="J1342" s="11"/>
      <c r="K1342" s="11"/>
    </row>
    <row r="1343" spans="1:19" ht="47.25" customHeight="1" x14ac:dyDescent="0.25">
      <c r="A1343" s="3" t="s">
        <v>227</v>
      </c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</row>
    <row r="1344" spans="1:19" ht="47.25" customHeight="1" x14ac:dyDescent="0.25">
      <c r="A1344" s="3" t="s">
        <v>227</v>
      </c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</row>
    <row r="1345" spans="1:1" ht="47.25" customHeight="1" x14ac:dyDescent="0.3">
      <c r="A1345" s="12"/>
    </row>
    <row r="1346" spans="1:1" ht="47.25" customHeight="1" x14ac:dyDescent="0.3">
      <c r="A1346" s="12" t="s">
        <v>1846</v>
      </c>
    </row>
    <row r="1348" spans="1:1" ht="47.25" customHeight="1" x14ac:dyDescent="0.25">
      <c r="A1348" s="16" t="s">
        <v>1847</v>
      </c>
    </row>
    <row r="1349" spans="1:1" ht="47.25" customHeight="1" x14ac:dyDescent="0.25">
      <c r="A1349" s="7"/>
    </row>
    <row r="1350" spans="1:1" ht="47.25" customHeight="1" x14ac:dyDescent="0.25">
      <c r="A1350" s="7"/>
    </row>
  </sheetData>
  <sortState ref="A2:N972">
    <sortCondition ref="G2:G972"/>
    <sortCondition ref="J2:J972"/>
  </sortState>
  <pageMargins left="0.25" right="0.25" top="0.75" bottom="0.75" header="0.3" footer="0.3"/>
  <pageSetup scale="92" orientation="landscape" r:id="rId1"/>
  <headerFooter>
    <oddHeader>&amp;CTennCare Taxonomy Crosswalk&amp;R&amp;D</oddHeader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A2" sqref="A2:K8"/>
    </sheetView>
  </sheetViews>
  <sheetFormatPr defaultRowHeight="15" x14ac:dyDescent="0.25"/>
  <cols>
    <col min="1" max="1" width="15.5703125" customWidth="1"/>
    <col min="2" max="2" width="13.28515625" customWidth="1"/>
    <col min="3" max="3" width="15.5703125" customWidth="1"/>
    <col min="4" max="4" width="17.7109375" customWidth="1"/>
    <col min="5" max="5" width="17.5703125" customWidth="1"/>
    <col min="7" max="7" width="15.28515625" customWidth="1"/>
    <col min="9" max="9" width="13.5703125" customWidth="1"/>
    <col min="10" max="10" width="11.85546875" customWidth="1"/>
    <col min="11" max="11" width="11" customWidth="1"/>
  </cols>
  <sheetData>
    <row r="1" spans="1:14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s="2" customFormat="1" ht="38.25" x14ac:dyDescent="0.25">
      <c r="A2" s="3" t="s">
        <v>11</v>
      </c>
      <c r="B2" s="3" t="s">
        <v>84</v>
      </c>
      <c r="C2" s="3" t="s">
        <v>85</v>
      </c>
      <c r="D2" s="3" t="s">
        <v>1483</v>
      </c>
      <c r="E2" s="3" t="s">
        <v>1484</v>
      </c>
      <c r="F2" s="3">
        <v>41</v>
      </c>
      <c r="G2" s="3" t="s">
        <v>1485</v>
      </c>
      <c r="H2" s="3">
        <v>410</v>
      </c>
      <c r="I2" s="3" t="s">
        <v>1485</v>
      </c>
      <c r="J2" s="3" t="s">
        <v>18</v>
      </c>
      <c r="K2" s="3" t="s">
        <v>18</v>
      </c>
    </row>
    <row r="3" spans="1:14" s="2" customFormat="1" ht="25.5" x14ac:dyDescent="0.25">
      <c r="A3" s="3" t="s">
        <v>11</v>
      </c>
      <c r="B3" s="3" t="s">
        <v>337</v>
      </c>
      <c r="C3" s="3" t="s">
        <v>1492</v>
      </c>
      <c r="D3" s="3" t="s">
        <v>1495</v>
      </c>
      <c r="E3" s="3" t="s">
        <v>1496</v>
      </c>
      <c r="F3" s="3">
        <v>44</v>
      </c>
      <c r="G3" s="3" t="s">
        <v>1494</v>
      </c>
      <c r="H3" s="3">
        <v>440</v>
      </c>
      <c r="I3" s="3" t="s">
        <v>1494</v>
      </c>
      <c r="J3" s="3" t="s">
        <v>18</v>
      </c>
      <c r="K3" s="3" t="s">
        <v>18</v>
      </c>
    </row>
    <row r="4" spans="1:14" s="2" customFormat="1" ht="25.5" x14ac:dyDescent="0.25">
      <c r="A4" s="3" t="s">
        <v>11</v>
      </c>
      <c r="B4" s="3" t="s">
        <v>337</v>
      </c>
      <c r="C4" s="3" t="s">
        <v>1492</v>
      </c>
      <c r="D4" s="3" t="s">
        <v>1497</v>
      </c>
      <c r="E4" s="3" t="s">
        <v>1498</v>
      </c>
      <c r="F4" s="3">
        <v>44</v>
      </c>
      <c r="G4" s="3" t="s">
        <v>1494</v>
      </c>
      <c r="H4" s="3">
        <v>440</v>
      </c>
      <c r="I4" s="3" t="s">
        <v>1494</v>
      </c>
      <c r="J4" s="3" t="s">
        <v>18</v>
      </c>
      <c r="K4" s="3" t="s">
        <v>18</v>
      </c>
    </row>
    <row r="5" spans="1:14" s="2" customFormat="1" ht="25.5" x14ac:dyDescent="0.25">
      <c r="A5" s="3" t="s">
        <v>11</v>
      </c>
      <c r="B5" s="3" t="s">
        <v>1525</v>
      </c>
      <c r="C5" s="3" t="s">
        <v>1526</v>
      </c>
      <c r="D5" s="3" t="s">
        <v>1525</v>
      </c>
      <c r="E5" s="3" t="s">
        <v>1527</v>
      </c>
      <c r="F5" s="3">
        <v>51</v>
      </c>
      <c r="G5" s="3" t="s">
        <v>1951</v>
      </c>
      <c r="H5" s="3">
        <v>510</v>
      </c>
      <c r="I5" s="3" t="s">
        <v>1528</v>
      </c>
      <c r="J5" s="3" t="s">
        <v>18</v>
      </c>
      <c r="K5" s="3" t="s">
        <v>18</v>
      </c>
      <c r="L5" s="2" t="s">
        <v>820</v>
      </c>
      <c r="N5" s="2" t="s">
        <v>1856</v>
      </c>
    </row>
    <row r="6" spans="1:14" ht="51" x14ac:dyDescent="0.25">
      <c r="A6" s="3" t="s">
        <v>227</v>
      </c>
      <c r="B6" s="3" t="s">
        <v>828</v>
      </c>
      <c r="C6" s="3" t="s">
        <v>1830</v>
      </c>
      <c r="D6" s="3" t="s">
        <v>1831</v>
      </c>
      <c r="E6" s="3" t="s">
        <v>1832</v>
      </c>
      <c r="F6" s="3">
        <v>75</v>
      </c>
      <c r="G6" s="3" t="s">
        <v>1830</v>
      </c>
      <c r="H6" s="3">
        <v>664</v>
      </c>
      <c r="I6" s="3" t="s">
        <v>1830</v>
      </c>
      <c r="J6" s="3" t="s">
        <v>18</v>
      </c>
      <c r="K6" s="3" t="s">
        <v>18</v>
      </c>
    </row>
    <row r="7" spans="1:14" s="2" customFormat="1" ht="38.25" x14ac:dyDescent="0.25">
      <c r="A7" s="3" t="s">
        <v>227</v>
      </c>
      <c r="B7" s="3" t="s">
        <v>659</v>
      </c>
      <c r="C7" s="3" t="s">
        <v>1455</v>
      </c>
      <c r="D7" s="3" t="s">
        <v>1456</v>
      </c>
      <c r="E7" s="3" t="s">
        <v>1457</v>
      </c>
      <c r="F7" s="3">
        <v>36</v>
      </c>
      <c r="G7" s="3" t="s">
        <v>1448</v>
      </c>
      <c r="H7" s="3">
        <v>360</v>
      </c>
      <c r="I7" s="3" t="s">
        <v>1452</v>
      </c>
      <c r="J7" s="3" t="s">
        <v>18</v>
      </c>
      <c r="K7" s="3" t="s">
        <v>18</v>
      </c>
    </row>
    <row r="8" spans="1:14" s="2" customFormat="1" ht="38.25" x14ac:dyDescent="0.25">
      <c r="A8" s="3" t="s">
        <v>227</v>
      </c>
      <c r="B8" s="3" t="s">
        <v>175</v>
      </c>
      <c r="C8" s="3" t="s">
        <v>601</v>
      </c>
      <c r="D8" s="3" t="s">
        <v>601</v>
      </c>
      <c r="E8" s="3" t="s">
        <v>602</v>
      </c>
      <c r="F8" s="3">
        <v>36</v>
      </c>
      <c r="G8" s="3" t="s">
        <v>1448</v>
      </c>
      <c r="H8" s="3">
        <v>361</v>
      </c>
      <c r="I8" s="3" t="s">
        <v>1449</v>
      </c>
      <c r="J8" s="3" t="s">
        <v>18</v>
      </c>
      <c r="K8" s="3" t="s">
        <v>18</v>
      </c>
    </row>
  </sheetData>
  <autoFilter ref="A1:L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>
      <selection activeCell="C1" sqref="C1:C1048576"/>
    </sheetView>
  </sheetViews>
  <sheetFormatPr defaultRowHeight="15" x14ac:dyDescent="0.25"/>
  <cols>
    <col min="1" max="1" width="50.42578125" bestFit="1" customWidth="1"/>
    <col min="3" max="3" width="5" hidden="1" customWidth="1"/>
    <col min="4" max="4" width="39.7109375" customWidth="1"/>
    <col min="5" max="5" width="16.7109375" customWidth="1"/>
  </cols>
  <sheetData>
    <row r="1" spans="1:6" x14ac:dyDescent="0.25">
      <c r="A1" t="s">
        <v>1858</v>
      </c>
      <c r="E1" t="s">
        <v>1948</v>
      </c>
    </row>
    <row r="2" spans="1:6" x14ac:dyDescent="0.25">
      <c r="A2" t="s">
        <v>1859</v>
      </c>
      <c r="B2" t="s">
        <v>19</v>
      </c>
      <c r="C2" t="str">
        <f t="shared" ref="C2:C65" si="0">"INSERT [dbo].[Import_20150127_ProviderType] ([Provider Type ID], [Provider Type], [Provider Description], [Convert?], [Group/Entity], [NPI Required?]) VALUES (, N'" &amp; TRIM(LEFT(A2, 2)) &amp; "', N'" &amp; TRIM(RIGHT(A2, LEN(A2) - 3)) &amp;  "', N'Yes', N'E', N'Y')"</f>
        <v>INSERT [dbo].[Import_20150127_ProviderType] ([Provider Type ID], [Provider Type], [Provider Description], [Convert?], [Group/Entity], [NPI Required?]) VALUES (, N'01', N'Inpatient Facility', N'Yes', N'E', N'Y')</v>
      </c>
    </row>
    <row r="3" spans="1:6" x14ac:dyDescent="0.25">
      <c r="A3" t="s">
        <v>1860</v>
      </c>
      <c r="B3" t="s">
        <v>19</v>
      </c>
      <c r="C3" t="str">
        <f t="shared" si="0"/>
        <v>INSERT [dbo].[Import_20150127_ProviderType] ([Provider Type ID], [Provider Type], [Provider Description], [Convert?], [Group/Entity], [NPI Required?]) VALUES (, N'02', N'Ambulatory Surgical Center (ASC)', N'Yes', N'E', N'Y')</v>
      </c>
    </row>
    <row r="4" spans="1:6" x14ac:dyDescent="0.25">
      <c r="A4" t="s">
        <v>1861</v>
      </c>
      <c r="B4" t="s">
        <v>19</v>
      </c>
      <c r="C4" t="str">
        <f t="shared" si="0"/>
        <v>INSERT [dbo].[Import_20150127_ProviderType] ([Provider Type ID], [Provider Type], [Provider Description], [Convert?], [Group/Entity], [NPI Required?]) VALUES (, N'03', N'Extended Care Facility', N'Yes', N'E', N'Y')</v>
      </c>
    </row>
    <row r="5" spans="1:6" x14ac:dyDescent="0.25">
      <c r="A5" t="s">
        <v>1862</v>
      </c>
      <c r="B5" t="s">
        <v>19</v>
      </c>
      <c r="C5" t="str">
        <f t="shared" si="0"/>
        <v>INSERT [dbo].[Import_20150127_ProviderType] ([Provider Type ID], [Provider Type], [Provider Description], [Convert?], [Group/Entity], [NPI Required?]) VALUES (, N'04', N'Rehabilitation Facility', N'Yes', N'E', N'Y')</v>
      </c>
    </row>
    <row r="6" spans="1:6" x14ac:dyDescent="0.25">
      <c r="A6" t="s">
        <v>1863</v>
      </c>
      <c r="B6" t="s">
        <v>19</v>
      </c>
      <c r="C6" t="str">
        <f t="shared" si="0"/>
        <v>INSERT [dbo].[Import_20150127_ProviderType] ([Provider Type ID], [Provider Type], [Provider Description], [Convert?], [Group/Entity], [NPI Required?]) VALUES (, N'05', N'Home Health Agency', N'Yes', N'E', N'Y')</v>
      </c>
    </row>
    <row r="7" spans="1:6" x14ac:dyDescent="0.25">
      <c r="A7" t="s">
        <v>1864</v>
      </c>
      <c r="B7" t="s">
        <v>19</v>
      </c>
      <c r="C7" t="str">
        <f t="shared" si="0"/>
        <v>INSERT [dbo].[Import_20150127_ProviderType] ([Provider Type ID], [Provider Type], [Provider Description], [Convert?], [Group/Entity], [NPI Required?]) VALUES (, N'06', N'Hospice', N'Yes', N'E', N'Y')</v>
      </c>
    </row>
    <row r="8" spans="1:6" x14ac:dyDescent="0.25">
      <c r="A8" t="s">
        <v>1865</v>
      </c>
      <c r="B8" t="s">
        <v>19</v>
      </c>
      <c r="C8" t="str">
        <f t="shared" si="0"/>
        <v>INSERT [dbo].[Import_20150127_ProviderType] ([Provider Type ID], [Provider Type], [Provider Description], [Convert?], [Group/Entity], [NPI Required?]) VALUES (, N'07', N'Capitation Provider', N'Yes', N'E', N'Y')</v>
      </c>
    </row>
    <row r="9" spans="1:6" x14ac:dyDescent="0.25">
      <c r="A9" t="s">
        <v>1866</v>
      </c>
      <c r="B9" t="s">
        <v>19</v>
      </c>
      <c r="C9" t="str">
        <f t="shared" si="0"/>
        <v>INSERT [dbo].[Import_20150127_ProviderType] ([Provider Type ID], [Provider Type], [Provider Description], [Convert?], [Group/Entity], [NPI Required?]) VALUES (, N'08', N'Clinic', N'Yes', N'E', N'Y')</v>
      </c>
    </row>
    <row r="10" spans="1:6" x14ac:dyDescent="0.25">
      <c r="A10" t="s">
        <v>1869</v>
      </c>
      <c r="B10" t="s">
        <v>18</v>
      </c>
      <c r="C10" t="str">
        <f>"INSERT [dbo].[Import_20150127_ProviderType] ([Provider Type ID], [Provider Type], [Provider Description], [Convert?], [Group/Entity], [NPI Required?]) VALUES (, N'" &amp; TRIM(LEFT(A10, 2)) &amp; "', N'" &amp; TRIM(RIGHT(A10, LEN(A10) - 3)) &amp;  "', N'Yes', N'E', N'Y')"</f>
        <v>INSERT [dbo].[Import_20150127_ProviderType] ([Provider Type ID], [Provider Type], [Provider Description], [Convert?], [Group/Entity], [NPI Required?]) VALUES (, N'09', N'Advance Practice Nurse', N'Yes', N'E', N'Y')</v>
      </c>
      <c r="D10" t="str">
        <f>RIGHT(A10, LEN(A10) - 3)</f>
        <v>Advance Practice Nurse</v>
      </c>
      <c r="E10" t="s">
        <v>1949</v>
      </c>
      <c r="F10">
        <v>8</v>
      </c>
    </row>
    <row r="11" spans="1:6" x14ac:dyDescent="0.25">
      <c r="A11" t="s">
        <v>1870</v>
      </c>
      <c r="B11" t="s">
        <v>18</v>
      </c>
      <c r="C11" t="str">
        <f t="shared" si="0"/>
        <v>INSERT [dbo].[Import_20150127_ProviderType] ([Provider Type ID], [Provider Type], [Provider Description], [Convert?], [Group/Entity], [NPI Required?]) VALUES (, N'10', N'Mid-Level Practitioner', N'Yes', N'E', N'Y')</v>
      </c>
      <c r="E11" t="s">
        <v>1950</v>
      </c>
      <c r="F11">
        <v>8</v>
      </c>
    </row>
    <row r="12" spans="1:6" x14ac:dyDescent="0.25">
      <c r="A12" t="s">
        <v>1872</v>
      </c>
      <c r="B12" t="s">
        <v>18</v>
      </c>
      <c r="C12" t="str">
        <f t="shared" si="0"/>
        <v>INSERT [dbo].[Import_20150127_ProviderType] ([Provider Type ID], [Provider Type], [Provider Description], [Convert?], [Group/Entity], [NPI Required?]) VALUES (, N'11', N'Mental Health', N'Yes', N'E', N'Y')</v>
      </c>
    </row>
    <row r="13" spans="1:6" x14ac:dyDescent="0.25">
      <c r="A13" t="s">
        <v>1871</v>
      </c>
      <c r="B13" t="s">
        <v>18</v>
      </c>
      <c r="C13" t="str">
        <f t="shared" si="0"/>
        <v>INSERT [dbo].[Import_20150127_ProviderType] ([Provider Type ID], [Provider Type], [Provider Description], [Convert?], [Group/Entity], [NPI Required?]) VALUES (, N'11', N'Mental Health Provider', N'Yes', N'E', N'Y')</v>
      </c>
    </row>
    <row r="14" spans="1:6" x14ac:dyDescent="0.25">
      <c r="A14" t="s">
        <v>1873</v>
      </c>
      <c r="B14" t="s">
        <v>19</v>
      </c>
      <c r="C14" t="str">
        <f t="shared" si="0"/>
        <v>INSERT [dbo].[Import_20150127_ProviderType] ([Provider Type ID], [Provider Type], [Provider Description], [Convert?], [Group/Entity], [NPI Required?]) VALUES (, N'12', N'School Corporation', N'Yes', N'E', N'Y')</v>
      </c>
    </row>
    <row r="15" spans="1:6" x14ac:dyDescent="0.25">
      <c r="A15" t="s">
        <v>1874</v>
      </c>
      <c r="B15" t="s">
        <v>19</v>
      </c>
      <c r="C15" t="str">
        <f t="shared" si="0"/>
        <v>INSERT [dbo].[Import_20150127_ProviderType] ([Provider Type ID], [Provider Type], [Provider Description], [Convert?], [Group/Entity], [NPI Required?]) VALUES (, N'13', N'Public Health Agency', N'Yes', N'E', N'Y')</v>
      </c>
    </row>
    <row r="16" spans="1:6" x14ac:dyDescent="0.25">
      <c r="A16" t="s">
        <v>1875</v>
      </c>
      <c r="B16" t="s">
        <v>18</v>
      </c>
      <c r="C16" t="str">
        <f t="shared" si="0"/>
        <v>INSERT [dbo].[Import_20150127_ProviderType] ([Provider Type ID], [Provider Type], [Provider Description], [Convert?], [Group/Entity], [NPI Required?]) VALUES (, N'14', N'Podiatrist', N'Yes', N'E', N'Y')</v>
      </c>
    </row>
    <row r="17" spans="1:7" x14ac:dyDescent="0.25">
      <c r="A17" t="s">
        <v>1876</v>
      </c>
      <c r="B17" t="s">
        <v>18</v>
      </c>
      <c r="C17" t="str">
        <f t="shared" si="0"/>
        <v>INSERT [dbo].[Import_20150127_ProviderType] ([Provider Type ID], [Provider Type], [Provider Description], [Convert?], [Group/Entity], [NPI Required?]) VALUES (, N'15', N'Chiropractor', N'Yes', N'E', N'Y')</v>
      </c>
    </row>
    <row r="18" spans="1:7" x14ac:dyDescent="0.25">
      <c r="A18" t="s">
        <v>1879</v>
      </c>
      <c r="B18" t="s">
        <v>18</v>
      </c>
      <c r="C18" t="str">
        <f t="shared" si="0"/>
        <v>INSERT [dbo].[Import_20150127_ProviderType] ([Provider Type ID], [Provider Type], [Provider Description], [Convert?], [Group/Entity], [NPI Required?]) VALUES (, N'17', N'Assistant Therapist', N'Yes', N'E', N'Y')</v>
      </c>
    </row>
    <row r="19" spans="1:7" x14ac:dyDescent="0.25">
      <c r="A19" t="s">
        <v>1878</v>
      </c>
      <c r="B19" t="s">
        <v>18</v>
      </c>
      <c r="C19" t="str">
        <f t="shared" si="0"/>
        <v>INSERT [dbo].[Import_20150127_ProviderType] ([Provider Type ID], [Provider Type], [Provider Description], [Convert?], [Group/Entity], [NPI Required?]) VALUES (, N'17', N'Clinical Exercise Physiologist', N'Yes', N'E', N'Y')</v>
      </c>
      <c r="E19" t="s">
        <v>202</v>
      </c>
      <c r="F19">
        <v>7</v>
      </c>
      <c r="G19" t="s">
        <v>1952</v>
      </c>
    </row>
    <row r="20" spans="1:7" x14ac:dyDescent="0.25">
      <c r="A20" t="s">
        <v>1877</v>
      </c>
      <c r="B20" t="s">
        <v>18</v>
      </c>
      <c r="C20" t="str">
        <f t="shared" si="0"/>
        <v>INSERT [dbo].[Import_20150127_ProviderType] ([Provider Type ID], [Provider Type], [Provider Description], [Convert?], [Group/Entity], [NPI Required?]) VALUES (, N'17', N'Therapist', N'Yes', N'E', N'Y')</v>
      </c>
      <c r="E20" t="s">
        <v>848</v>
      </c>
      <c r="F20">
        <v>24</v>
      </c>
      <c r="G20" t="s">
        <v>1952</v>
      </c>
    </row>
    <row r="21" spans="1:7" x14ac:dyDescent="0.25">
      <c r="A21" t="s">
        <v>1880</v>
      </c>
      <c r="B21" t="s">
        <v>19</v>
      </c>
      <c r="C21" t="str">
        <f t="shared" si="0"/>
        <v>INSERT [dbo].[Import_20150127_ProviderType] ([Provider Type ID], [Provider Type], [Provider Description], [Convert?], [Group/Entity], [NPI Required?]) VALUES (, N'18', N'Optometrist', N'Yes', N'E', N'Y')</v>
      </c>
      <c r="E21" t="s">
        <v>1466</v>
      </c>
      <c r="F21">
        <v>37</v>
      </c>
      <c r="G21" t="s">
        <v>1952</v>
      </c>
    </row>
    <row r="22" spans="1:7" x14ac:dyDescent="0.25">
      <c r="A22" t="s">
        <v>1881</v>
      </c>
      <c r="B22" t="s">
        <v>19</v>
      </c>
      <c r="C22" t="str">
        <f t="shared" si="0"/>
        <v>INSERT [dbo].[Import_20150127_ProviderType] ([Provider Type ID], [Provider Type], [Provider Description], [Convert?], [Group/Entity], [NPI Required?]) VALUES (, N'19', N'Optician', N'Yes', N'E', N'Y')</v>
      </c>
      <c r="E22" t="s">
        <v>1482</v>
      </c>
      <c r="F22">
        <v>40</v>
      </c>
      <c r="G22" t="s">
        <v>1952</v>
      </c>
    </row>
    <row r="23" spans="1:7" x14ac:dyDescent="0.25">
      <c r="A23" t="s">
        <v>1882</v>
      </c>
      <c r="B23" t="s">
        <v>19</v>
      </c>
      <c r="C23" t="str">
        <f t="shared" si="0"/>
        <v>INSERT [dbo].[Import_20150127_ProviderType] ([Provider Type ID], [Provider Type], [Provider Description], [Convert?], [Group/Entity], [NPI Required?]) VALUES (, N'20', N'Audiologist', N'Yes', N'E', N'Y')</v>
      </c>
    </row>
    <row r="24" spans="1:7" x14ac:dyDescent="0.25">
      <c r="A24" t="s">
        <v>1883</v>
      </c>
      <c r="B24" t="s">
        <v>19</v>
      </c>
      <c r="C24" t="str">
        <f t="shared" si="0"/>
        <v>INSERT [dbo].[Import_20150127_ProviderType] ([Provider Type ID], [Provider Type], [Provider Description], [Convert?], [Group/Entity], [NPI Required?]) VALUES (, N'22', N'Hearing Aid Dealer', N'Yes', N'E', N'Y')</v>
      </c>
    </row>
    <row r="25" spans="1:7" x14ac:dyDescent="0.25">
      <c r="A25" t="s">
        <v>1884</v>
      </c>
      <c r="B25" t="s">
        <v>19</v>
      </c>
      <c r="C25" t="str">
        <f t="shared" si="0"/>
        <v>INSERT [dbo].[Import_20150127_ProviderType] ([Provider Type ID], [Provider Type], [Provider Description], [Convert?], [Group/Entity], [NPI Required?]) VALUES (, N'23', N'Nutritionist', N'Yes', N'E', N'Y')</v>
      </c>
      <c r="E25" t="s">
        <v>1826</v>
      </c>
      <c r="F25">
        <v>70</v>
      </c>
      <c r="G25" t="s">
        <v>1952</v>
      </c>
    </row>
    <row r="26" spans="1:7" x14ac:dyDescent="0.25">
      <c r="A26" t="s">
        <v>1885</v>
      </c>
      <c r="B26" t="s">
        <v>19</v>
      </c>
      <c r="C26" t="str">
        <f t="shared" si="0"/>
        <v>INSERT [dbo].[Import_20150127_ProviderType] ([Provider Type ID], [Provider Type], [Provider Description], [Convert?], [Group/Entity], [NPI Required?]) VALUES (, N'24', N'Pharmacy', N'Yes', N'E', N'Y')</v>
      </c>
      <c r="E26" t="s">
        <v>1826</v>
      </c>
      <c r="F26">
        <v>70</v>
      </c>
      <c r="G26" t="s">
        <v>1952</v>
      </c>
    </row>
    <row r="27" spans="1:7" x14ac:dyDescent="0.25">
      <c r="A27" t="s">
        <v>1886</v>
      </c>
      <c r="B27" t="s">
        <v>19</v>
      </c>
      <c r="C27" t="str">
        <f t="shared" si="0"/>
        <v>INSERT [dbo].[Import_20150127_ProviderType] ([Provider Type ID], [Provider Type], [Provider Description], [Convert?], [Group/Entity], [NPI Required?]) VALUES (, N'25', N'DME/Medical Supply Dealer', N'Yes', N'E', N'Y')</v>
      </c>
      <c r="E27" t="s">
        <v>1827</v>
      </c>
      <c r="F27">
        <v>71</v>
      </c>
      <c r="G27" t="s">
        <v>1952</v>
      </c>
    </row>
    <row r="28" spans="1:7" x14ac:dyDescent="0.25">
      <c r="A28" t="s">
        <v>1887</v>
      </c>
      <c r="B28" t="s">
        <v>18</v>
      </c>
      <c r="C28" t="str">
        <f t="shared" si="0"/>
        <v>INSERT [dbo].[Import_20150127_ProviderType] ([Provider Type ID], [Provider Type], [Provider Description], [Convert?], [Group/Entity], [NPI Required?]) VALUES (, N'25', N'Medical Foods Supplier/DME', N'Yes', N'E', N'Y')</v>
      </c>
      <c r="E28" t="s">
        <v>1828</v>
      </c>
      <c r="F28">
        <v>72</v>
      </c>
      <c r="G28" t="s">
        <v>1952</v>
      </c>
    </row>
    <row r="29" spans="1:7" x14ac:dyDescent="0.25">
      <c r="A29" t="s">
        <v>1888</v>
      </c>
      <c r="B29" t="s">
        <v>19</v>
      </c>
      <c r="C29" t="str">
        <f t="shared" si="0"/>
        <v>INSERT [dbo].[Import_20150127_ProviderType] ([Provider Type ID], [Provider Type], [Provider Description], [Convert?], [Group/Entity], [NPI Required?]) VALUES (, N'26', N'Transportation Provider', N'Yes', N'E', N'Y')</v>
      </c>
      <c r="E29" t="s">
        <v>1829</v>
      </c>
      <c r="F29">
        <v>73</v>
      </c>
      <c r="G29" t="s">
        <v>1952</v>
      </c>
    </row>
    <row r="30" spans="1:7" x14ac:dyDescent="0.25">
      <c r="A30" t="s">
        <v>1891</v>
      </c>
      <c r="B30" t="s">
        <v>18</v>
      </c>
      <c r="C30" t="str">
        <f t="shared" si="0"/>
        <v>INSERT [dbo].[Import_20150127_ProviderType] ([Provider Type ID], [Provider Type], [Provider Description], [Convert?], [Group/Entity], [NPI Required?]) VALUES (, N'27', N'Advanced Dental Therapist', N'Yes', N'E', N'Y')</v>
      </c>
    </row>
    <row r="31" spans="1:7" x14ac:dyDescent="0.25">
      <c r="A31" t="s">
        <v>1890</v>
      </c>
      <c r="B31" t="s">
        <v>18</v>
      </c>
      <c r="C31" t="str">
        <f t="shared" si="0"/>
        <v>INSERT [dbo].[Import_20150127_ProviderType] ([Provider Type ID], [Provider Type], [Provider Description], [Convert?], [Group/Entity], [NPI Required?]) VALUES (, N'27', N'Dental Therapist', N'Yes', N'E', N'Y')</v>
      </c>
    </row>
    <row r="32" spans="1:7" x14ac:dyDescent="0.25">
      <c r="A32" t="s">
        <v>1889</v>
      </c>
      <c r="B32" t="s">
        <v>18</v>
      </c>
      <c r="C32" t="str">
        <f t="shared" si="0"/>
        <v>INSERT [dbo].[Import_20150127_ProviderType] ([Provider Type ID], [Provider Type], [Provider Description], [Convert?], [Group/Entity], [NPI Required?]) VALUES (, N'27', N'Dentist', N'Yes', N'E', N'Y')</v>
      </c>
    </row>
    <row r="33" spans="1:3" x14ac:dyDescent="0.25">
      <c r="A33" t="s">
        <v>1892</v>
      </c>
      <c r="B33" t="s">
        <v>19</v>
      </c>
      <c r="C33" t="str">
        <f t="shared" si="0"/>
        <v>INSERT [dbo].[Import_20150127_ProviderType] ([Provider Type ID], [Provider Type], [Provider Description], [Convert?], [Group/Entity], [NPI Required?]) VALUES (, N'28', N'Laboratory', N'Yes', N'E', N'Y')</v>
      </c>
    </row>
    <row r="34" spans="1:3" x14ac:dyDescent="0.25">
      <c r="A34" t="s">
        <v>1893</v>
      </c>
      <c r="B34" t="s">
        <v>19</v>
      </c>
      <c r="C34" t="str">
        <f t="shared" si="0"/>
        <v>INSERT [dbo].[Import_20150127_ProviderType] ([Provider Type ID], [Provider Type], [Provider Description], [Convert?], [Group/Entity], [NPI Required?]) VALUES (, N'29', N'X-Ray Clinic', N'Yes', N'E', N'Y')</v>
      </c>
    </row>
    <row r="35" spans="1:3" x14ac:dyDescent="0.25">
      <c r="A35" t="s">
        <v>1894</v>
      </c>
      <c r="B35" t="s">
        <v>19</v>
      </c>
      <c r="C35" t="str">
        <f t="shared" si="0"/>
        <v>INSERT [dbo].[Import_20150127_ProviderType] ([Provider Type ID], [Provider Type], [Provider Description], [Convert?], [Group/Entity], [NPI Required?]) VALUES (, N'30', N'End-Stage Renal Disease (RSD) Clinic', N'Yes', N'E', N'Y')</v>
      </c>
    </row>
    <row r="36" spans="1:3" x14ac:dyDescent="0.25">
      <c r="A36" t="s">
        <v>1898</v>
      </c>
      <c r="B36" t="s">
        <v>18</v>
      </c>
      <c r="C36" t="str">
        <f t="shared" si="0"/>
        <v>INSERT [dbo].[Import_20150127_ProviderType] ([Provider Type ID], [Provider Type], [Provider Description], [Convert?], [Group/Entity], [NPI Required?]) VALUES (, N'31', N'Case Manager (Targeted)', N'Yes', N'E', N'Y')</v>
      </c>
    </row>
    <row r="37" spans="1:3" x14ac:dyDescent="0.25">
      <c r="A37" t="s">
        <v>1899</v>
      </c>
      <c r="B37" t="s">
        <v>18</v>
      </c>
      <c r="C37" t="str">
        <f t="shared" si="0"/>
        <v>INSERT [dbo].[Import_20150127_ProviderType] ([Provider Type ID], [Provider Type], [Provider Description], [Convert?], [Group/Entity], [NPI Required?]) VALUES (, N'31', N'Hpertension Specialist Physician', N'Yes', N'E', N'Y')</v>
      </c>
    </row>
    <row r="38" spans="1:3" x14ac:dyDescent="0.25">
      <c r="A38" t="s">
        <v>1895</v>
      </c>
      <c r="B38" t="s">
        <v>18</v>
      </c>
      <c r="C38" t="str">
        <f t="shared" si="0"/>
        <v>INSERT [dbo].[Import_20150127_ProviderType] ([Provider Type ID], [Provider Type], [Provider Description], [Convert?], [Group/Entity], [NPI Required?]) VALUES (, N'31', N'Physician', N'Yes', N'E', N'Y')</v>
      </c>
    </row>
    <row r="39" spans="1:3" x14ac:dyDescent="0.25">
      <c r="A39" t="s">
        <v>1867</v>
      </c>
      <c r="B39" t="s">
        <v>19</v>
      </c>
      <c r="C39" t="str">
        <f t="shared" si="0"/>
        <v>INSERT [dbo].[Import_20150127_ProviderType] ([Provider Type ID], [Provider Type], [Provider Description], [Convert?], [Group/Entity], [NPI Required?]) VALUES (, N'32', N'33+Single/Multi Specialty group', N'Yes', N'E', N'Y')</v>
      </c>
    </row>
    <row r="40" spans="1:3" x14ac:dyDescent="0.25">
      <c r="A40" t="s">
        <v>1900</v>
      </c>
      <c r="B40" t="s">
        <v>19</v>
      </c>
      <c r="C40" t="str">
        <f t="shared" si="0"/>
        <v>INSERT [dbo].[Import_20150127_ProviderType] ([Provider Type ID], [Provider Type], [Provider Description], [Convert?], [Group/Entity], [NPI Required?]) VALUES (, N'32', N'Group/Multi-Specialty', N'Yes', N'E', N'Y')</v>
      </c>
    </row>
    <row r="41" spans="1:3" x14ac:dyDescent="0.25">
      <c r="A41" t="s">
        <v>1896</v>
      </c>
      <c r="B41" t="s">
        <v>19</v>
      </c>
      <c r="C41" t="str">
        <f t="shared" si="0"/>
        <v>INSERT [dbo].[Import_20150127_ProviderType] ([Provider Type ID], [Provider Type], [Provider Description], [Convert?], [Group/Entity], [NPI Required?]) VALUES (, N'32', N'Multi-specialty group', N'Yes', N'E', N'Y')</v>
      </c>
    </row>
    <row r="42" spans="1:3" x14ac:dyDescent="0.25">
      <c r="A42" t="s">
        <v>1901</v>
      </c>
      <c r="B42" t="s">
        <v>19</v>
      </c>
      <c r="C42" t="str">
        <f t="shared" si="0"/>
        <v>INSERT [dbo].[Import_20150127_ProviderType] ([Provider Type ID], [Provider Type], [Provider Description], [Convert?], [Group/Entity], [NPI Required?]) VALUES (, N'33', N'Group/Single-Specialty', N'Yes', N'E', N'Y')</v>
      </c>
    </row>
    <row r="43" spans="1:3" x14ac:dyDescent="0.25">
      <c r="A43" t="s">
        <v>1897</v>
      </c>
      <c r="B43" t="s">
        <v>19</v>
      </c>
      <c r="C43" t="str">
        <f t="shared" si="0"/>
        <v>INSERT [dbo].[Import_20150127_ProviderType] ([Provider Type ID], [Provider Type], [Provider Description], [Convert?], [Group/Entity], [NPI Required?]) VALUES (, N'33', N'Single specialty group', N'Yes', N'E', N'Y')</v>
      </c>
    </row>
    <row r="44" spans="1:3" x14ac:dyDescent="0.25">
      <c r="A44" t="s">
        <v>1868</v>
      </c>
      <c r="B44" t="s">
        <v>19</v>
      </c>
      <c r="C44" t="str">
        <f t="shared" si="0"/>
        <v>INSERT [dbo].[Import_20150127_ProviderType] ([Provider Type ID], [Provider Type], [Provider Description], [Convert?], [Group/Entity], [NPI Required?]) VALUES (, N'33', N'Single/Multi Specialty group', N'Yes', N'E', N'Y')</v>
      </c>
    </row>
    <row r="45" spans="1:3" x14ac:dyDescent="0.25">
      <c r="A45" t="s">
        <v>1902</v>
      </c>
      <c r="B45" t="s">
        <v>19</v>
      </c>
      <c r="C45" t="str">
        <f t="shared" si="0"/>
        <v>INSERT [dbo].[Import_20150127_ProviderType] ([Provider Type ID], [Provider Type], [Provider Description], [Convert?], [Group/Entity], [NPI Required?]) VALUES (, N'36', N'Personal Care Services', N'Yes', N'E', N'Y')</v>
      </c>
    </row>
    <row r="46" spans="1:3" x14ac:dyDescent="0.25">
      <c r="A46" t="s">
        <v>1903</v>
      </c>
      <c r="B46" t="s">
        <v>19</v>
      </c>
      <c r="C46" t="str">
        <f t="shared" si="0"/>
        <v>INSERT [dbo].[Import_20150127_ProviderType] ([Provider Type ID], [Provider Type], [Provider Description], [Convert?], [Group/Entity], [NPI Required?]) VALUES (, N'37', N'Room and Board', N'Yes', N'E', N'Y')</v>
      </c>
    </row>
    <row r="47" spans="1:3" x14ac:dyDescent="0.25">
      <c r="A47" t="s">
        <v>1904</v>
      </c>
      <c r="B47" t="s">
        <v>19</v>
      </c>
      <c r="C47" t="str">
        <f t="shared" si="0"/>
        <v>INSERT [dbo].[Import_20150127_ProviderType] ([Provider Type ID], [Provider Type], [Provider Description], [Convert?], [Group/Entity], [NPI Required?]) VALUES (, N'38', N'Respite Care', N'Yes', N'E', N'Y')</v>
      </c>
    </row>
    <row r="48" spans="1:3" x14ac:dyDescent="0.25">
      <c r="A48" t="s">
        <v>1905</v>
      </c>
      <c r="B48" t="s">
        <v>19</v>
      </c>
      <c r="C48" t="str">
        <f t="shared" si="0"/>
        <v>INSERT [dbo].[Import_20150127_ProviderType] ([Provider Type ID], [Provider Type], [Provider Description], [Convert?], [Group/Entity], [NPI Required?]) VALUES (, N'39', N'Direct Support Services', N'Yes', N'E', N'Y')</v>
      </c>
    </row>
    <row r="49" spans="1:3" x14ac:dyDescent="0.25">
      <c r="A49" t="s">
        <v>1906</v>
      </c>
      <c r="B49" t="s">
        <v>19</v>
      </c>
      <c r="C49" t="str">
        <f t="shared" si="0"/>
        <v>INSERT [dbo].[Import_20150127_ProviderType] ([Provider Type ID], [Provider Type], [Provider Description], [Convert?], [Group/Entity], [NPI Required?]) VALUES (, N'40', N'Specialized Foster Care/MR', N'Yes', N'E', N'Y')</v>
      </c>
    </row>
    <row r="50" spans="1:3" x14ac:dyDescent="0.25">
      <c r="A50" t="s">
        <v>1907</v>
      </c>
      <c r="B50" t="s">
        <v>19</v>
      </c>
      <c r="C50" t="str">
        <f t="shared" si="0"/>
        <v>INSERT [dbo].[Import_20150127_ProviderType] ([Provider Type ID], [Provider Type], [Provider Description], [Convert?], [Group/Entity], [NPI Required?]) VALUES (, N'41', N'Adult Day Care', N'Yes', N'E', N'Y')</v>
      </c>
    </row>
    <row r="51" spans="1:3" x14ac:dyDescent="0.25">
      <c r="A51" t="s">
        <v>1908</v>
      </c>
      <c r="B51" t="s">
        <v>19</v>
      </c>
      <c r="C51" t="str">
        <f t="shared" si="0"/>
        <v>INSERT [dbo].[Import_20150127_ProviderType] ([Provider Type ID], [Provider Type], [Provider Description], [Convert?], [Group/Entity], [NPI Required?]) VALUES (, N'42', N'Employee Training Specialist', N'Yes', N'E', N'Y')</v>
      </c>
    </row>
    <row r="52" spans="1:3" x14ac:dyDescent="0.25">
      <c r="A52" t="s">
        <v>1909</v>
      </c>
      <c r="B52" t="s">
        <v>19</v>
      </c>
      <c r="C52" t="str">
        <f t="shared" si="0"/>
        <v>INSERT [dbo].[Import_20150127_ProviderType] ([Provider Type ID], [Provider Type], [Provider Description], [Convert?], [Group/Entity], [NPI Required?]) VALUES (, N'43', N'Homemaker Services', N'Yes', N'E', N'Y')</v>
      </c>
    </row>
    <row r="53" spans="1:3" x14ac:dyDescent="0.25">
      <c r="A53" t="s">
        <v>1910</v>
      </c>
      <c r="B53" t="s">
        <v>19</v>
      </c>
      <c r="C53" t="str">
        <f t="shared" si="0"/>
        <v>INSERT [dbo].[Import_20150127_ProviderType] ([Provider Type ID], [Provider Type], [Provider Description], [Convert?], [Group/Entity], [NPI Required?]) VALUES (, N'44', N'Architectural Modification', N'Yes', N'E', N'Y')</v>
      </c>
    </row>
    <row r="54" spans="1:3" x14ac:dyDescent="0.25">
      <c r="A54" t="s">
        <v>1911</v>
      </c>
      <c r="B54" t="s">
        <v>19</v>
      </c>
      <c r="C54" t="str">
        <f t="shared" si="0"/>
        <v>INSERT [dbo].[Import_20150127_ProviderType] ([Provider Type ID], [Provider Type], [Provider Description], [Convert?], [Group/Entity], [NPI Required?]) VALUES (, N'45', N'Residential Behavior Management Services (RBMS)', N'Yes', N'E', N'Y')</v>
      </c>
    </row>
    <row r="55" spans="1:3" x14ac:dyDescent="0.25">
      <c r="A55" t="s">
        <v>1912</v>
      </c>
      <c r="B55" t="s">
        <v>19</v>
      </c>
      <c r="C55" t="str">
        <f t="shared" si="0"/>
        <v>INSERT [dbo].[Import_20150127_ProviderType] ([Provider Type ID], [Provider Type], [Provider Description], [Convert?], [Group/Entity], [NPI Required?]) VALUES (, N'46', N'Advantage Home Delivered Meal', N'Yes', N'E', N'Y')</v>
      </c>
    </row>
    <row r="56" spans="1:3" x14ac:dyDescent="0.25">
      <c r="A56" t="s">
        <v>1913</v>
      </c>
      <c r="B56" t="s">
        <v>19</v>
      </c>
      <c r="C56" t="str">
        <f t="shared" si="0"/>
        <v>INSERT [dbo].[Import_20150127_ProviderType] ([Provider Type ID], [Provider Type], [Provider Description], [Convert?], [Group/Entity], [NPI Required?]) VALUES (, N'47', N'Free Standing Birthing Center', N'Yes', N'E', N'Y')</v>
      </c>
    </row>
    <row r="57" spans="1:3" x14ac:dyDescent="0.25">
      <c r="A57" t="s">
        <v>1914</v>
      </c>
      <c r="B57" t="s">
        <v>19</v>
      </c>
      <c r="C57" t="str">
        <f t="shared" si="0"/>
        <v>INSERT [dbo].[Import_20150127_ProviderType] ([Provider Type ID], [Provider Type], [Provider Description], [Convert?], [Group/Entity], [NPI Required?]) VALUES (, N'48', N'DDSD-NFM', N'Yes', N'E', N'Y')</v>
      </c>
    </row>
    <row r="58" spans="1:3" x14ac:dyDescent="0.25">
      <c r="A58" t="s">
        <v>1915</v>
      </c>
      <c r="B58" t="s">
        <v>19</v>
      </c>
      <c r="C58" t="str">
        <f t="shared" si="0"/>
        <v>INSERT [dbo].[Import_20150127_ProviderType] ([Provider Type ID], [Provider Type], [Provider Description], [Convert?], [Group/Entity], [NPI Required?]) VALUES (, N'49', N'DDSD-Supportive Living Arrangements', N'Yes', N'E', N'Y')</v>
      </c>
    </row>
    <row r="59" spans="1:3" x14ac:dyDescent="0.25">
      <c r="A59" t="s">
        <v>1916</v>
      </c>
      <c r="B59" t="s">
        <v>19</v>
      </c>
      <c r="C59" t="str">
        <f t="shared" si="0"/>
        <v>INSERT [dbo].[Import_20150127_ProviderType] ([Provider Type ID], [Provider Type], [Provider Description], [Convert?], [Group/Entity], [NPI Required?]) VALUES (, N'50', N'Submitter Only', N'Yes', N'E', N'Y')</v>
      </c>
    </row>
    <row r="60" spans="1:3" x14ac:dyDescent="0.25">
      <c r="A60" t="s">
        <v>1917</v>
      </c>
      <c r="B60" t="s">
        <v>19</v>
      </c>
      <c r="C60" t="str">
        <f t="shared" si="0"/>
        <v>INSERT [dbo].[Import_20150127_ProviderType] ([Provider Type ID], [Provider Type], [Provider Description], [Convert?], [Group/Entity], [NPI Required?]) VALUES (, N'51', N'HCBS Facility', N'Yes', N'E', N'Y')</v>
      </c>
    </row>
    <row r="61" spans="1:3" x14ac:dyDescent="0.25">
      <c r="A61" t="s">
        <v>1918</v>
      </c>
      <c r="B61" t="s">
        <v>19</v>
      </c>
      <c r="C61" t="str">
        <f t="shared" si="0"/>
        <v>INSERT [dbo].[Import_20150127_ProviderType] ([Provider Type ID], [Provider Type], [Provider Description], [Convert?], [Group/Entity], [NPI Required?]) VALUES (, N'52', N'Techinician', N'Yes', N'E', N'Y')</v>
      </c>
    </row>
    <row r="62" spans="1:3" x14ac:dyDescent="0.25">
      <c r="A62" t="s">
        <v>1919</v>
      </c>
      <c r="B62" t="s">
        <v>18</v>
      </c>
      <c r="C62" t="str">
        <f t="shared" si="0"/>
        <v>INSERT [dbo].[Import_20150127_ProviderType] ([Provider Type ID], [Provider Type], [Provider Description], [Convert?], [Group/Entity], [NPI Required?]) VALUES (, N'53', N'Technologist', N'Yes', N'E', N'Y')</v>
      </c>
    </row>
    <row r="63" spans="1:3" x14ac:dyDescent="0.25">
      <c r="A63" t="s">
        <v>1920</v>
      </c>
      <c r="B63" t="s">
        <v>18</v>
      </c>
      <c r="C63" t="str">
        <f t="shared" si="0"/>
        <v>INSERT [dbo].[Import_20150127_ProviderType] ([Provider Type ID], [Provider Type], [Provider Description], [Convert?], [Group/Entity], [NPI Required?]) VALUES (, N'54', N'Assistant', N'Yes', N'E', N'Y')</v>
      </c>
    </row>
    <row r="64" spans="1:3" x14ac:dyDescent="0.25">
      <c r="A64" t="s">
        <v>1921</v>
      </c>
      <c r="B64" t="s">
        <v>18</v>
      </c>
      <c r="C64" t="str">
        <f t="shared" si="0"/>
        <v>INSERT [dbo].[Import_20150127_ProviderType] ([Provider Type ID], [Provider Type], [Provider Description], [Convert?], [Group/Entity], [NPI Required?]) VALUES (, N'55', N'Dental Hygienist', N'Yes', N'E', N'Y')</v>
      </c>
    </row>
    <row r="65" spans="1:3" x14ac:dyDescent="0.25">
      <c r="A65" t="s">
        <v>1922</v>
      </c>
      <c r="B65" t="s">
        <v>18</v>
      </c>
      <c r="C65" t="str">
        <f t="shared" si="0"/>
        <v>INSERT [dbo].[Import_20150127_ProviderType] ([Provider Type ID], [Provider Type], [Provider Description], [Convert?], [Group/Entity], [NPI Required?]) VALUES (, N'56', N'Administrator', N'Yes', N'E', N'Y')</v>
      </c>
    </row>
    <row r="66" spans="1:3" x14ac:dyDescent="0.25">
      <c r="A66" t="s">
        <v>1923</v>
      </c>
      <c r="B66" t="s">
        <v>18</v>
      </c>
      <c r="C66" t="str">
        <f t="shared" ref="C66:C88" si="1">"INSERT [dbo].[Import_20150127_ProviderType] ([Provider Type ID], [Provider Type], [Provider Description], [Convert?], [Group/Entity], [NPI Required?]) VALUES (, N'" &amp; TRIM(LEFT(A66, 2)) &amp; "', N'" &amp; TRIM(RIGHT(A66, LEN(A66) - 3)) &amp;  "', N'Yes', N'E', N'Y')"</f>
        <v>INSERT [dbo].[Import_20150127_ProviderType] ([Provider Type ID], [Provider Type], [Provider Description], [Convert?], [Group/Entity], [NPI Required?]) VALUES (, N'57', N'Homeopath', N'Yes', N'E', N'Y')</v>
      </c>
    </row>
    <row r="67" spans="1:3" x14ac:dyDescent="0.25">
      <c r="A67" t="s">
        <v>1924</v>
      </c>
      <c r="B67" t="s">
        <v>18</v>
      </c>
      <c r="C67" t="str">
        <f t="shared" si="1"/>
        <v>INSERT [dbo].[Import_20150127_ProviderType] ([Provider Type ID], [Provider Type], [Provider Description], [Convert?], [Group/Entity], [NPI Required?]) VALUES (, N'58', N'Interpreter', N'Yes', N'E', N'Y')</v>
      </c>
    </row>
    <row r="68" spans="1:3" x14ac:dyDescent="0.25">
      <c r="A68" t="s">
        <v>1925</v>
      </c>
      <c r="B68" t="s">
        <v>18</v>
      </c>
      <c r="C68" t="str">
        <f t="shared" si="1"/>
        <v>INSERT [dbo].[Import_20150127_ProviderType] ([Provider Type ID], [Provider Type], [Provider Description], [Convert?], [Group/Entity], [NPI Required?]) VALUES (, N'59', N'Medical Genetics, Non-physician', N'Yes', N'E', N'Y')</v>
      </c>
    </row>
    <row r="69" spans="1:3" x14ac:dyDescent="0.25">
      <c r="A69" t="s">
        <v>1926</v>
      </c>
      <c r="B69" t="s">
        <v>19</v>
      </c>
      <c r="C69" t="str">
        <f t="shared" si="1"/>
        <v>INSERT [dbo].[Import_20150127_ProviderType] ([Provider Type ID], [Provider Type], [Provider Description], [Convert?], [Group/Entity], [NPI Required?]) VALUES (, N'60', N'Midwife, Lay', N'Yes', N'E', N'Y')</v>
      </c>
    </row>
    <row r="70" spans="1:3" x14ac:dyDescent="0.25">
      <c r="A70" t="s">
        <v>1928</v>
      </c>
      <c r="B70" t="s">
        <v>18</v>
      </c>
      <c r="C70" t="str">
        <f t="shared" si="1"/>
        <v>INSERT [dbo].[Import_20150127_ProviderType] ([Provider Type ID], [Provider Type], [Provider Description], [Convert?], [Group/Entity], [NPI Required?]) VALUES (, N'61', N'Electrodiagnostic Medicine Specialist', N'Yes', N'E', N'Y')</v>
      </c>
    </row>
    <row r="71" spans="1:3" x14ac:dyDescent="0.25">
      <c r="A71" t="s">
        <v>1927</v>
      </c>
      <c r="B71" t="s">
        <v>18</v>
      </c>
      <c r="C71" t="str">
        <f t="shared" si="1"/>
        <v>INSERT [dbo].[Import_20150127_ProviderType] ([Provider Type ID], [Provider Type], [Provider Description], [Convert?], [Group/Entity], [NPI Required?]) VALUES (, N'61', N'Military Health Care Provider', N'Yes', N'E', N'Y')</v>
      </c>
    </row>
    <row r="72" spans="1:3" x14ac:dyDescent="0.25">
      <c r="A72" t="s">
        <v>1929</v>
      </c>
      <c r="B72" t="s">
        <v>18</v>
      </c>
      <c r="C72" t="str">
        <f t="shared" si="1"/>
        <v>INSERT [dbo].[Import_20150127_ProviderType] ([Provider Type ID], [Provider Type], [Provider Description], [Convert?], [Group/Entity], [NPI Required?]) VALUES (, N'62', N'Naprapath', N'Yes', N'E', N'Y')</v>
      </c>
    </row>
    <row r="73" spans="1:3" x14ac:dyDescent="0.25">
      <c r="A73" t="s">
        <v>1930</v>
      </c>
      <c r="B73" t="s">
        <v>19</v>
      </c>
      <c r="C73" t="str">
        <f t="shared" si="1"/>
        <v>INSERT [dbo].[Import_20150127_ProviderType] ([Provider Type ID], [Provider Type], [Provider Description], [Convert?], [Group/Entity], [NPI Required?]) VALUES (, N'63', N'Naturopath', N'Yes', N'E', N'Y')</v>
      </c>
    </row>
    <row r="74" spans="1:3" x14ac:dyDescent="0.25">
      <c r="A74" t="s">
        <v>1931</v>
      </c>
      <c r="B74" t="s">
        <v>18</v>
      </c>
      <c r="C74" t="str">
        <f t="shared" si="1"/>
        <v>INSERT [dbo].[Import_20150127_ProviderType] ([Provider Type ID], [Provider Type], [Provider Description], [Convert?], [Group/Entity], [NPI Required?]) VALUES (, N'64', N'Specialist', N'Yes', N'E', N'Y')</v>
      </c>
    </row>
    <row r="75" spans="1:3" x14ac:dyDescent="0.25">
      <c r="A75" t="s">
        <v>1932</v>
      </c>
      <c r="B75" t="s">
        <v>19</v>
      </c>
      <c r="C75" t="str">
        <f t="shared" si="1"/>
        <v>INSERT [dbo].[Import_20150127_ProviderType] ([Provider Type ID], [Provider Type], [Provider Description], [Convert?], [Group/Entity], [NPI Required?]) VALUES (, N'65', N'Pharmacist', N'Yes', N'E', N'Y')</v>
      </c>
    </row>
    <row r="76" spans="1:3" x14ac:dyDescent="0.25">
      <c r="A76" t="s">
        <v>1933</v>
      </c>
      <c r="B76" t="s">
        <v>18</v>
      </c>
      <c r="C76" t="str">
        <f t="shared" si="1"/>
        <v>INSERT [dbo].[Import_20150127_ProviderType] ([Provider Type ID], [Provider Type], [Provider Description], [Convert?], [Group/Entity], [NPI Required?]) VALUES (, N'66', N'Anaplastologist', N'Yes', N'E', N'Y')</v>
      </c>
    </row>
    <row r="77" spans="1:3" x14ac:dyDescent="0.25">
      <c r="A77" t="s">
        <v>1934</v>
      </c>
      <c r="B77" t="s">
        <v>18</v>
      </c>
      <c r="C77" t="str">
        <f t="shared" si="1"/>
        <v>INSERT [dbo].[Import_20150127_ProviderType] ([Provider Type ID], [Provider Type], [Provider Description], [Convert?], [Group/Entity], [NPI Required?]) VALUES (, N'67', N'Therapist - Non-Certified', N'Yes', N'E', N'Y')</v>
      </c>
    </row>
    <row r="78" spans="1:3" x14ac:dyDescent="0.25">
      <c r="A78" t="s">
        <v>1937</v>
      </c>
      <c r="B78" t="s">
        <v>18</v>
      </c>
      <c r="C78" t="str">
        <f t="shared" si="1"/>
        <v>INSERT [dbo].[Import_20150127_ProviderType] ([Provider Type ID], [Provider Type], [Provider Description], [Convert?], [Group/Entity], [NPI Required?]) VALUES (, N'68', N'Clinical Ethicist Counselor', N'Yes', N'E', N'Y')</v>
      </c>
    </row>
    <row r="79" spans="1:3" x14ac:dyDescent="0.25">
      <c r="A79" t="s">
        <v>1935</v>
      </c>
      <c r="B79" t="s">
        <v>18</v>
      </c>
      <c r="C79" t="str">
        <f t="shared" si="1"/>
        <v>INSERT [dbo].[Import_20150127_ProviderType] ([Provider Type ID], [Provider Type], [Provider Description], [Convert?], [Group/Entity], [NPI Required?]) VALUES (, N'68', N'Counselor', N'Yes', N'E', N'Y')</v>
      </c>
    </row>
    <row r="80" spans="1:3" x14ac:dyDescent="0.25">
      <c r="A80" t="s">
        <v>1936</v>
      </c>
      <c r="B80" t="s">
        <v>18</v>
      </c>
      <c r="C80" t="str">
        <f t="shared" si="1"/>
        <v>INSERT [dbo].[Import_20150127_ProviderType] ([Provider Type ID], [Provider Type], [Provider Description], [Convert?], [Group/Entity], [NPI Required?]) VALUES (, N'68', N'Lactation Consultant, Non-RN Counselor', N'Yes', N'E', N'Y')</v>
      </c>
    </row>
    <row r="81" spans="1:3" x14ac:dyDescent="0.25">
      <c r="A81" t="s">
        <v>1938</v>
      </c>
      <c r="B81" t="s">
        <v>18</v>
      </c>
      <c r="C81" t="str">
        <f t="shared" si="1"/>
        <v>INSERT [dbo].[Import_20150127_ProviderType] ([Provider Type ID], [Provider Type], [Provider Description], [Convert?], [Group/Entity], [NPI Required?]) VALUES (, N'69', N'Student, Health Care', N'Yes', N'E', N'Y')</v>
      </c>
    </row>
    <row r="82" spans="1:3" x14ac:dyDescent="0.25">
      <c r="A82" t="s">
        <v>1939</v>
      </c>
      <c r="B82" t="s">
        <v>19</v>
      </c>
      <c r="C82" t="str">
        <f t="shared" si="1"/>
        <v>INSERT [dbo].[Import_20150127_ProviderType] ([Provider Type ID], [Provider Type], [Provider Description], [Convert?], [Group/Entity], [NPI Required?]) VALUES (, N'70', N'Non-capitation Provider', N'Yes', N'E', N'Y')</v>
      </c>
    </row>
    <row r="83" spans="1:3" x14ac:dyDescent="0.25">
      <c r="A83" t="s">
        <v>1940</v>
      </c>
      <c r="B83" t="s">
        <v>19</v>
      </c>
      <c r="C83" t="str">
        <f t="shared" si="1"/>
        <v>INSERT [dbo].[Import_20150127_ProviderType] ([Provider Type ID], [Provider Type], [Provider Description], [Convert?], [Group/Entity], [NPI Required?]) VALUES (, N'71', N'Blood Bank', N'Yes', N'E', N'Y')</v>
      </c>
    </row>
    <row r="84" spans="1:3" x14ac:dyDescent="0.25">
      <c r="A84" t="s">
        <v>1941</v>
      </c>
      <c r="B84" t="s">
        <v>19</v>
      </c>
      <c r="C84" t="str">
        <f t="shared" si="1"/>
        <v>INSERT [dbo].[Import_20150127_ProviderType] ([Provider Type ID], [Provider Type], [Provider Description], [Convert?], [Group/Entity], [NPI Required?]) VALUES (, N'72', N'Eye Bank', N'Yes', N'E', N'Y')</v>
      </c>
    </row>
    <row r="85" spans="1:3" x14ac:dyDescent="0.25">
      <c r="A85" t="s">
        <v>1942</v>
      </c>
      <c r="B85" t="s">
        <v>19</v>
      </c>
      <c r="C85" t="str">
        <f t="shared" si="1"/>
        <v>INSERT [dbo].[Import_20150127_ProviderType] ([Provider Type ID], [Provider Type], [Provider Description], [Convert?], [Group/Entity], [NPI Required?]) VALUES (, N'73', N'Non-Pharmacy Dispensing Site', N'Yes', N'E', N'Y')</v>
      </c>
    </row>
    <row r="86" spans="1:3" x14ac:dyDescent="0.25">
      <c r="A86" t="s">
        <v>1943</v>
      </c>
      <c r="B86" t="s">
        <v>19</v>
      </c>
      <c r="C86" t="str">
        <f t="shared" si="1"/>
        <v>INSERT [dbo].[Import_20150127_ProviderType] ([Provider Type ID], [Provider Type], [Provider Description], [Convert?], [Group/Entity], [NPI Required?]) VALUES (, N'74', N'Organ Procurement Organization', N'Yes', N'E', N'Y')</v>
      </c>
    </row>
    <row r="87" spans="1:3" x14ac:dyDescent="0.25">
      <c r="A87" t="s">
        <v>1944</v>
      </c>
      <c r="B87" t="s">
        <v>19</v>
      </c>
      <c r="C87" t="str">
        <f t="shared" si="1"/>
        <v>INSERT [dbo].[Import_20150127_ProviderType] ([Provider Type ID], [Provider Type], [Provider Description], [Convert?], [Group/Entity], [NPI Required?]) VALUES (, N'75', N'Emergency Response System Companies', N'Yes', N'E', N'Y')</v>
      </c>
    </row>
    <row r="88" spans="1:3" x14ac:dyDescent="0.25">
      <c r="A88" t="s">
        <v>1945</v>
      </c>
      <c r="B88" t="s">
        <v>18</v>
      </c>
      <c r="C88" t="str">
        <f t="shared" si="1"/>
        <v>INSERT [dbo].[Import_20150127_ProviderType] ([Provider Type ID], [Provider Type], [Provider Description], [Convert?], [Group/Entity], [NPI Required?]) VALUES (, N'99', N'Other', N'Yes', N'E', N'Y')</v>
      </c>
    </row>
    <row r="89" spans="1:3" x14ac:dyDescent="0.25">
      <c r="A89" t="s">
        <v>1946</v>
      </c>
      <c r="B89" t="s">
        <v>18</v>
      </c>
      <c r="C89" t="e">
        <f t="shared" ref="C89" si="2">"INSERT [dbo].[Import_20150127_ProviderType] ([Provider Type ID], [Provider Type], [Provider Description], [Convert?], [Group/Entity], [NPI Required?]) VALUES (, N'" &amp; LEFT(A89, 2) &amp; "', N'" &amp; RIGHT(A89, LEN(A89) - 3) &amp;  "', N'Yes', N'E', N'Y')"</f>
        <v>#VALUE!</v>
      </c>
    </row>
  </sheetData>
  <autoFilter ref="A1:F89"/>
  <sortState ref="A2:A92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opLeftCell="A213" workbookViewId="0">
      <selection activeCell="E227" sqref="E227"/>
    </sheetView>
  </sheetViews>
  <sheetFormatPr defaultRowHeight="15" x14ac:dyDescent="0.25"/>
  <cols>
    <col min="5" max="5" width="76" customWidth="1"/>
  </cols>
  <sheetData>
    <row r="1" spans="1:5" x14ac:dyDescent="0.25">
      <c r="A1">
        <v>100</v>
      </c>
      <c r="B1" t="s">
        <v>433</v>
      </c>
      <c r="C1" t="e">
        <v>#N/A</v>
      </c>
      <c r="E1" t="str">
        <f>"INSERT [dbo].[Import_20150213_Specialty] ([SPECIALTY_TYPE_ID], [CDE_PROV_SPEC_PRIM], [DSC_PROV_SPEC]) VALUES (" &amp; IF(ISNA(C1), "", C1) &amp; ", '" &amp; A1 &amp;  "', N'" &amp; TRIM(B1) &amp; "')"</f>
        <v>INSERT [dbo].[Import_20150213_Specialty] ([SPECIALTY_TYPE_ID], [CDE_PROV_SPEC_PRIM], [DSC_PROV_SPEC]) VALUES (, '100', N'Physician Assistant')</v>
      </c>
    </row>
    <row r="2" spans="1:5" x14ac:dyDescent="0.25">
      <c r="A2">
        <v>101</v>
      </c>
      <c r="B2" t="s">
        <v>440</v>
      </c>
      <c r="C2" t="e">
        <v>#N/A</v>
      </c>
      <c r="E2" t="str">
        <f t="shared" ref="E2:E65" si="0">"INSERT [dbo].[Import_20150213_Specialty] ([SPECIALTY_TYPE_ID], [CDE_PROV_SPEC_PRIM], [DSC_PROV_SPEC]) VALUES (" &amp; IF(ISNA(C2), "", C2) &amp; ", '" &amp; A2 &amp;  "', N'" &amp; TRIM(B2) &amp; "')"</f>
        <v>INSERT [dbo].[Import_20150213_Specialty] ([SPECIALTY_TYPE_ID], [CDE_PROV_SPEC_PRIM], [DSC_PROV_SPEC]) VALUES (, '101', N'Anesthesiology Assistant')</v>
      </c>
    </row>
    <row r="3" spans="1:5" x14ac:dyDescent="0.25">
      <c r="A3">
        <v>110</v>
      </c>
      <c r="B3" t="s">
        <v>526</v>
      </c>
      <c r="C3" t="e">
        <v>#N/A</v>
      </c>
      <c r="E3" t="str">
        <f t="shared" si="0"/>
        <v>INSERT [dbo].[Import_20150213_Specialty] ([SPECIALTY_TYPE_ID], [CDE_PROV_SPEC_PRIM], [DSC_PROV_SPEC]) VALUES (, '110', N'Outpatient Mental Health Clinic')</v>
      </c>
    </row>
    <row r="4" spans="1:5" x14ac:dyDescent="0.25">
      <c r="A4">
        <v>111</v>
      </c>
      <c r="B4" t="s">
        <v>527</v>
      </c>
      <c r="C4" t="e">
        <v>#N/A</v>
      </c>
      <c r="E4" t="str">
        <f t="shared" si="0"/>
        <v>INSERT [dbo].[Import_20150213_Specialty] ([SPECIALTY_TYPE_ID], [CDE_PROV_SPEC_PRIM], [DSC_PROV_SPEC]) VALUES (, '111', N'Community Mental Health Center (CMHC)')</v>
      </c>
    </row>
    <row r="5" spans="1:5" x14ac:dyDescent="0.25">
      <c r="A5">
        <v>112</v>
      </c>
      <c r="B5" t="s">
        <v>477</v>
      </c>
      <c r="C5" t="e">
        <v>#N/A</v>
      </c>
      <c r="E5" t="str">
        <f t="shared" si="0"/>
        <v>INSERT [dbo].[Import_20150213_Specialty] ([SPECIALTY_TYPE_ID], [CDE_PROV_SPEC_PRIM], [DSC_PROV_SPEC]) VALUES (, '112', N'Psychologist')</v>
      </c>
    </row>
    <row r="6" spans="1:5" x14ac:dyDescent="0.25">
      <c r="A6">
        <v>113</v>
      </c>
      <c r="B6" t="s">
        <v>480</v>
      </c>
      <c r="C6" t="e">
        <v>#N/A</v>
      </c>
      <c r="E6" t="str">
        <f t="shared" si="0"/>
        <v>INSERT [dbo].[Import_20150213_Specialty] ([SPECIALTY_TYPE_ID], [CDE_PROV_SPEC_PRIM], [DSC_PROV_SPEC]) VALUES (, '113', N'Clinical Psychologist')</v>
      </c>
    </row>
    <row r="7" spans="1:5" x14ac:dyDescent="0.25">
      <c r="A7">
        <v>114</v>
      </c>
      <c r="B7" t="s">
        <v>464</v>
      </c>
      <c r="C7" t="e">
        <v>#N/A</v>
      </c>
      <c r="E7" t="str">
        <f t="shared" si="0"/>
        <v>INSERT [dbo].[Import_20150213_Specialty] ([SPECIALTY_TYPE_ID], [CDE_PROV_SPEC_PRIM], [DSC_PROV_SPEC]) VALUES (, '114', N'Health Service Provider in Psychology (HSPP)')</v>
      </c>
    </row>
    <row r="8" spans="1:5" x14ac:dyDescent="0.25">
      <c r="A8">
        <v>115</v>
      </c>
      <c r="B8" t="s">
        <v>524</v>
      </c>
      <c r="C8" t="e">
        <v>#N/A</v>
      </c>
      <c r="E8" t="str">
        <f t="shared" si="0"/>
        <v>INSERT [dbo].[Import_20150213_Specialty] ([SPECIALTY_TYPE_ID], [CDE_PROV_SPEC_PRIM], [DSC_PROV_SPEC]) VALUES (, '115', N'Certified Clinical Social Worker')</v>
      </c>
    </row>
    <row r="9" spans="1:5" x14ac:dyDescent="0.25">
      <c r="A9">
        <v>116</v>
      </c>
      <c r="B9" t="s">
        <v>522</v>
      </c>
      <c r="C9" t="e">
        <v>#N/A</v>
      </c>
      <c r="E9" t="str">
        <f t="shared" si="0"/>
        <v>INSERT [dbo].[Import_20150213_Specialty] ([SPECIALTY_TYPE_ID], [CDE_PROV_SPEC_PRIM], [DSC_PROV_SPEC]) VALUES (, '116', N'Certified Social Worker')</v>
      </c>
    </row>
    <row r="10" spans="1:5" x14ac:dyDescent="0.25">
      <c r="A10">
        <v>117</v>
      </c>
      <c r="B10" t="s">
        <v>471</v>
      </c>
      <c r="C10" t="e">
        <v>#N/A</v>
      </c>
      <c r="E10" t="str">
        <f t="shared" si="0"/>
        <v>INSERT [dbo].[Import_20150213_Specialty] ([SPECIALTY_TYPE_ID], [CDE_PROV_SPEC_PRIM], [DSC_PROV_SPEC]) VALUES (, '117', N'Psychiatric Nurse')</v>
      </c>
    </row>
    <row r="11" spans="1:5" x14ac:dyDescent="0.25">
      <c r="A11">
        <v>118</v>
      </c>
      <c r="B11" t="s">
        <v>474</v>
      </c>
      <c r="C11" t="e">
        <v>#N/A</v>
      </c>
      <c r="E11" t="str">
        <f t="shared" si="0"/>
        <v>INSERT [dbo].[Import_20150213_Specialty] ([SPECIALTY_TYPE_ID], [CDE_PROV_SPEC_PRIM], [DSC_PROV_SPEC]) VALUES (, '118', N'Mental Health - DMHSAS')</v>
      </c>
    </row>
    <row r="12" spans="1:5" x14ac:dyDescent="0.25">
      <c r="A12">
        <v>119</v>
      </c>
      <c r="B12" t="s">
        <v>467</v>
      </c>
      <c r="C12" t="e">
        <v>#N/A</v>
      </c>
      <c r="E12" t="str">
        <f t="shared" si="0"/>
        <v>INSERT [dbo].[Import_20150213_Specialty] ([SPECIALTY_TYPE_ID], [CDE_PROV_SPEC_PRIM], [DSC_PROV_SPEC]) VALUES (, '119', N'Marriage and Family Counselor')</v>
      </c>
    </row>
    <row r="13" spans="1:5" x14ac:dyDescent="0.25">
      <c r="A13">
        <v>120</v>
      </c>
      <c r="B13" t="s">
        <v>547</v>
      </c>
      <c r="C13">
        <v>2163</v>
      </c>
      <c r="E13" t="str">
        <f t="shared" si="0"/>
        <v>INSERT [dbo].[Import_20150213_Specialty] ([SPECIALTY_TYPE_ID], [CDE_PROV_SPEC_PRIM], [DSC_PROV_SPEC]) VALUES (2163, '120', N'School Corporation')</v>
      </c>
    </row>
    <row r="14" spans="1:5" x14ac:dyDescent="0.25">
      <c r="A14">
        <v>120</v>
      </c>
      <c r="B14" t="s">
        <v>203</v>
      </c>
      <c r="C14" t="e">
        <v>#N/A</v>
      </c>
      <c r="E14" t="str">
        <f t="shared" si="0"/>
        <v>INSERT [dbo].[Import_20150213_Specialty] ([SPECIALTY_TYPE_ID], [CDE_PROV_SPEC_PRIM], [DSC_PROV_SPEC]) VALUES (, '120', N'Teaching Institute')</v>
      </c>
    </row>
    <row r="15" spans="1:5" x14ac:dyDescent="0.25">
      <c r="A15">
        <v>121</v>
      </c>
      <c r="B15" t="s">
        <v>447</v>
      </c>
      <c r="C15" t="e">
        <v>#N/A</v>
      </c>
      <c r="E15" t="str">
        <f t="shared" si="0"/>
        <v>INSERT [dbo].[Import_20150213_Specialty] ([SPECIALTY_TYPE_ID], [CDE_PROV_SPEC_PRIM], [DSC_PROV_SPEC]) VALUES (, '121', N'Licensed Practical Counselor')</v>
      </c>
    </row>
    <row r="16" spans="1:5" x14ac:dyDescent="0.25">
      <c r="A16">
        <v>122</v>
      </c>
      <c r="B16" t="s">
        <v>533</v>
      </c>
      <c r="C16" t="e">
        <v>#N/A</v>
      </c>
      <c r="E16" t="str">
        <f t="shared" si="0"/>
        <v>INSERT [dbo].[Import_20150213_Specialty] ([SPECIALTY_TYPE_ID], [CDE_PROV_SPEC_PRIM], [DSC_PROV_SPEC]) VALUES (, '122', N'Behavioral Analyst')</v>
      </c>
    </row>
    <row r="17" spans="1:5" x14ac:dyDescent="0.25">
      <c r="A17">
        <v>130</v>
      </c>
      <c r="B17" t="s">
        <v>551</v>
      </c>
      <c r="C17">
        <v>2134</v>
      </c>
      <c r="E17" t="str">
        <f t="shared" si="0"/>
        <v>INSERT [dbo].[Import_20150213_Specialty] ([SPECIALTY_TYPE_ID], [CDE_PROV_SPEC_PRIM], [DSC_PROV_SPEC]) VALUES (2134, '130', N'County Health Department')</v>
      </c>
    </row>
    <row r="18" spans="1:5" x14ac:dyDescent="0.25">
      <c r="A18">
        <v>140</v>
      </c>
      <c r="B18" t="s">
        <v>557</v>
      </c>
      <c r="C18" t="e">
        <v>#N/A</v>
      </c>
      <c r="E18" t="str">
        <f t="shared" si="0"/>
        <v>INSERT [dbo].[Import_20150213_Specialty] ([SPECIALTY_TYPE_ID], [CDE_PROV_SPEC_PRIM], [DSC_PROV_SPEC]) VALUES (, '140', N'Podiatrist')</v>
      </c>
    </row>
    <row r="19" spans="1:5" x14ac:dyDescent="0.25">
      <c r="A19">
        <v>150</v>
      </c>
      <c r="B19" t="s">
        <v>575</v>
      </c>
      <c r="C19">
        <v>1</v>
      </c>
      <c r="E19" t="str">
        <f t="shared" si="0"/>
        <v>INSERT [dbo].[Import_20150213_Specialty] ([SPECIALTY_TYPE_ID], [CDE_PROV_SPEC_PRIM], [DSC_PROV_SPEC]) VALUES (1, '150', N'Chiropractor')</v>
      </c>
    </row>
    <row r="20" spans="1:5" x14ac:dyDescent="0.25">
      <c r="A20">
        <v>170</v>
      </c>
      <c r="B20" t="s">
        <v>713</v>
      </c>
      <c r="C20" t="e">
        <v>#N/A</v>
      </c>
      <c r="E20" t="str">
        <f t="shared" si="0"/>
        <v>INSERT [dbo].[Import_20150213_Specialty] ([SPECIALTY_TYPE_ID], [CDE_PROV_SPEC_PRIM], [DSC_PROV_SPEC]) VALUES (, '170', N'Physical Therapist')</v>
      </c>
    </row>
    <row r="21" spans="1:5" x14ac:dyDescent="0.25">
      <c r="A21">
        <v>171</v>
      </c>
      <c r="B21" t="s">
        <v>739</v>
      </c>
      <c r="C21" t="e">
        <v>#N/A</v>
      </c>
      <c r="E21" t="str">
        <f t="shared" si="0"/>
        <v>INSERT [dbo].[Import_20150213_Specialty] ([SPECIALTY_TYPE_ID], [CDE_PROV_SPEC_PRIM], [DSC_PROV_SPEC]) VALUES (, '171', N'Occupational Therapist')</v>
      </c>
    </row>
    <row r="22" spans="1:5" x14ac:dyDescent="0.25">
      <c r="A22">
        <v>172</v>
      </c>
      <c r="B22" t="s">
        <v>671</v>
      </c>
      <c r="C22" t="e">
        <v>#N/A</v>
      </c>
      <c r="E22" t="str">
        <f t="shared" si="0"/>
        <v>INSERT [dbo].[Import_20150213_Specialty] ([SPECIALTY_TYPE_ID], [CDE_PROV_SPEC_PRIM], [DSC_PROV_SPEC]) VALUES (, '172', N'Respiratory Therapist')</v>
      </c>
    </row>
    <row r="23" spans="1:5" x14ac:dyDescent="0.25">
      <c r="A23">
        <v>173</v>
      </c>
      <c r="B23" t="s">
        <v>751</v>
      </c>
      <c r="C23" t="e">
        <v>#N/A</v>
      </c>
      <c r="E23" t="str">
        <f t="shared" si="0"/>
        <v>INSERT [dbo].[Import_20150213_Specialty] ([SPECIALTY_TYPE_ID], [CDE_PROV_SPEC_PRIM], [DSC_PROV_SPEC]) VALUES (, '173', N'Speech/Hearing Therapist')</v>
      </c>
    </row>
    <row r="24" spans="1:5" x14ac:dyDescent="0.25">
      <c r="A24">
        <v>174</v>
      </c>
      <c r="B24" t="s">
        <v>665</v>
      </c>
      <c r="C24" t="e">
        <v>#N/A</v>
      </c>
      <c r="E24" t="str">
        <f t="shared" si="0"/>
        <v>INSERT [dbo].[Import_20150213_Specialty] ([SPECIALTY_TYPE_ID], [CDE_PROV_SPEC_PRIM], [DSC_PROV_SPEC]) VALUES (, '174', N'Occupational Therapy Assistant')</v>
      </c>
    </row>
    <row r="25" spans="1:5" x14ac:dyDescent="0.25">
      <c r="A25">
        <v>175</v>
      </c>
      <c r="B25" t="s">
        <v>668</v>
      </c>
      <c r="C25" t="e">
        <v>#N/A</v>
      </c>
      <c r="E25" t="str">
        <f t="shared" si="0"/>
        <v>INSERT [dbo].[Import_20150213_Specialty] ([SPECIALTY_TYPE_ID], [CDE_PROV_SPEC_PRIM], [DSC_PROV_SPEC]) VALUES (, '175', N'Physical Therapy Assistant')</v>
      </c>
    </row>
    <row r="26" spans="1:5" x14ac:dyDescent="0.25">
      <c r="A26">
        <v>180</v>
      </c>
      <c r="B26" t="s">
        <v>783</v>
      </c>
      <c r="C26" t="e">
        <v>#N/A</v>
      </c>
      <c r="E26" t="str">
        <f t="shared" si="0"/>
        <v>INSERT [dbo].[Import_20150213_Specialty] ([SPECIALTY_TYPE_ID], [CDE_PROV_SPEC_PRIM], [DSC_PROV_SPEC]) VALUES (, '180', N'Optometrist')</v>
      </c>
    </row>
    <row r="27" spans="1:5" x14ac:dyDescent="0.25">
      <c r="A27">
        <v>181</v>
      </c>
      <c r="B27" t="s">
        <v>208</v>
      </c>
      <c r="C27">
        <v>2150</v>
      </c>
      <c r="E27" t="str">
        <f t="shared" si="0"/>
        <v>INSERT [dbo].[Import_20150213_Specialty] ([SPECIALTY_TYPE_ID], [CDE_PROV_SPEC_PRIM], [DSC_PROV_SPEC]) VALUES (2150, '181', N'Maternity')</v>
      </c>
    </row>
    <row r="28" spans="1:5" x14ac:dyDescent="0.25">
      <c r="A28">
        <v>182</v>
      </c>
      <c r="B28" t="s">
        <v>209</v>
      </c>
      <c r="C28">
        <v>2168</v>
      </c>
      <c r="E28" t="str">
        <f t="shared" si="0"/>
        <v>INSERT [dbo].[Import_20150213_Specialty] ([SPECIALTY_TYPE_ID], [CDE_PROV_SPEC_PRIM], [DSC_PROV_SPEC]) VALUES (2168, '182', N'Speech/Hearing Clinic')</v>
      </c>
    </row>
    <row r="29" spans="1:5" x14ac:dyDescent="0.25">
      <c r="A29">
        <v>183</v>
      </c>
      <c r="B29" t="s">
        <v>210</v>
      </c>
      <c r="C29">
        <v>2138</v>
      </c>
      <c r="E29" t="str">
        <f t="shared" si="0"/>
        <v>INSERT [dbo].[Import_20150213_Specialty] ([SPECIALTY_TYPE_ID], [CDE_PROV_SPEC_PRIM], [DSC_PROV_SPEC]) VALUES (2138, '183', N'Early Intervention Services')</v>
      </c>
    </row>
    <row r="30" spans="1:5" x14ac:dyDescent="0.25">
      <c r="A30">
        <v>186</v>
      </c>
      <c r="B30" t="s">
        <v>250</v>
      </c>
      <c r="C30">
        <v>2133</v>
      </c>
      <c r="E30" t="str">
        <f t="shared" si="0"/>
        <v>INSERT [dbo].[Import_20150213_Specialty] ([SPECIALTY_TYPE_ID], [CDE_PROV_SPEC_PRIM], [DSC_PROV_SPEC]) VALUES (2133, '186', N'Community Health')</v>
      </c>
    </row>
    <row r="31" spans="1:5" x14ac:dyDescent="0.25">
      <c r="A31">
        <v>187</v>
      </c>
      <c r="B31" t="s">
        <v>1837</v>
      </c>
      <c r="C31" t="e">
        <v>#N/A</v>
      </c>
      <c r="E31" t="str">
        <f t="shared" si="0"/>
        <v>INSERT [dbo].[Import_20150213_Specialty] ([SPECIALTY_TYPE_ID], [CDE_PROV_SPEC_PRIM], [DSC_PROV_SPEC]) VALUES (, '187', N'Community Health - Non-Professional')</v>
      </c>
    </row>
    <row r="32" spans="1:5" x14ac:dyDescent="0.25">
      <c r="A32">
        <v>190</v>
      </c>
      <c r="B32" t="s">
        <v>797</v>
      </c>
      <c r="C32">
        <v>1063</v>
      </c>
      <c r="E32" t="str">
        <f t="shared" si="0"/>
        <v>INSERT [dbo].[Import_20150213_Specialty] ([SPECIALTY_TYPE_ID], [CDE_PROV_SPEC_PRIM], [DSC_PROV_SPEC]) VALUES (1063, '190', N'Optician')</v>
      </c>
    </row>
    <row r="33" spans="1:5" x14ac:dyDescent="0.25">
      <c r="A33">
        <v>200</v>
      </c>
      <c r="B33" t="s">
        <v>817</v>
      </c>
      <c r="C33" t="e">
        <v>#N/A</v>
      </c>
      <c r="E33" t="str">
        <f t="shared" si="0"/>
        <v>INSERT [dbo].[Import_20150213_Specialty] ([SPECIALTY_TYPE_ID], [CDE_PROV_SPEC_PRIM], [DSC_PROV_SPEC]) VALUES (, '200', N'Audiologist')</v>
      </c>
    </row>
    <row r="34" spans="1:5" x14ac:dyDescent="0.25">
      <c r="A34">
        <v>210</v>
      </c>
      <c r="B34" t="s">
        <v>180</v>
      </c>
      <c r="C34">
        <v>2188</v>
      </c>
      <c r="E34" t="str">
        <f t="shared" si="0"/>
        <v>INSERT [dbo].[Import_20150213_Specialty] ([SPECIALTY_TYPE_ID], [CDE_PROV_SPEC_PRIM], [DSC_PROV_SPEC]) VALUES (2188, '210', N'Care Coordinator for Pregnant Women')</v>
      </c>
    </row>
    <row r="35" spans="1:5" x14ac:dyDescent="0.25">
      <c r="A35">
        <v>211</v>
      </c>
      <c r="B35" t="s">
        <v>181</v>
      </c>
      <c r="C35">
        <v>2189</v>
      </c>
      <c r="E35" t="str">
        <f t="shared" si="0"/>
        <v>INSERT [dbo].[Import_20150213_Specialty] ([SPECIALTY_TYPE_ID], [CDE_PROV_SPEC_PRIM], [DSC_PROV_SPEC]) VALUES (2189, '211', N'HIV Case Manager')</v>
      </c>
    </row>
    <row r="36" spans="1:5" x14ac:dyDescent="0.25">
      <c r="A36">
        <v>212</v>
      </c>
      <c r="B36" t="s">
        <v>450</v>
      </c>
      <c r="C36" t="e">
        <v>#N/A</v>
      </c>
      <c r="E36" t="str">
        <f t="shared" si="0"/>
        <v>INSERT [dbo].[Import_20150213_Specialty] ([SPECIALTY_TYPE_ID], [CDE_PROV_SPEC_PRIM], [DSC_PROV_SPEC]) VALUES (, '212', N'Addiction Counselor')</v>
      </c>
    </row>
    <row r="37" spans="1:5" x14ac:dyDescent="0.25">
      <c r="A37">
        <v>217</v>
      </c>
      <c r="B37" t="s">
        <v>827</v>
      </c>
      <c r="C37" t="e">
        <v>#N/A</v>
      </c>
      <c r="E37" t="str">
        <f t="shared" si="0"/>
        <v>INSERT [dbo].[Import_20150213_Specialty] ([SPECIALTY_TYPE_ID], [CDE_PROV_SPEC_PRIM], [DSC_PROV_SPEC]) VALUES (, '217', N'Child Welfare Targeted Case Management')</v>
      </c>
    </row>
    <row r="38" spans="1:5" x14ac:dyDescent="0.25">
      <c r="A38">
        <v>230</v>
      </c>
      <c r="B38" t="s">
        <v>833</v>
      </c>
      <c r="C38" t="e">
        <v>#N/A</v>
      </c>
      <c r="E38" t="str">
        <f t="shared" si="0"/>
        <v>INSERT [dbo].[Import_20150213_Specialty] ([SPECIALTY_TYPE_ID], [CDE_PROV_SPEC_PRIM], [DSC_PROV_SPEC]) VALUES (, '230', N'Nutritionist')</v>
      </c>
    </row>
    <row r="39" spans="1:5" x14ac:dyDescent="0.25">
      <c r="A39">
        <v>241</v>
      </c>
      <c r="B39" t="s">
        <v>1764</v>
      </c>
      <c r="C39" t="e">
        <v>#N/A</v>
      </c>
      <c r="E39" t="str">
        <f t="shared" si="0"/>
        <v>INSERT [dbo].[Import_20150213_Specialty] ([SPECIALTY_TYPE_ID], [CDE_PROV_SPEC_PRIM], [DSC_PROV_SPEC]) VALUES (, '241', N'Pharmacist')</v>
      </c>
    </row>
    <row r="40" spans="1:5" x14ac:dyDescent="0.25">
      <c r="A40">
        <v>242</v>
      </c>
      <c r="B40" t="s">
        <v>1769</v>
      </c>
      <c r="C40" t="e">
        <v>#N/A</v>
      </c>
      <c r="E40" t="str">
        <f t="shared" si="0"/>
        <v>INSERT [dbo].[Import_20150213_Specialty] ([SPECIALTY_TYPE_ID], [CDE_PROV_SPEC_PRIM], [DSC_PROV_SPEC]) VALUES (, '242', N'Geriatric Pharmacist')</v>
      </c>
    </row>
    <row r="41" spans="1:5" x14ac:dyDescent="0.25">
      <c r="A41">
        <v>243</v>
      </c>
      <c r="B41" t="s">
        <v>1772</v>
      </c>
      <c r="C41" t="e">
        <v>#N/A</v>
      </c>
      <c r="E41" t="str">
        <f t="shared" si="0"/>
        <v>INSERT [dbo].[Import_20150213_Specialty] ([SPECIALTY_TYPE_ID], [CDE_PROV_SPEC_PRIM], [DSC_PROV_SPEC]) VALUES (, '243', N'Nuclear Pharmacist')</v>
      </c>
    </row>
    <row r="42" spans="1:5" x14ac:dyDescent="0.25">
      <c r="A42">
        <v>244</v>
      </c>
      <c r="B42" t="s">
        <v>1774</v>
      </c>
      <c r="C42" t="e">
        <v>#N/A</v>
      </c>
      <c r="E42" t="str">
        <f t="shared" si="0"/>
        <v>INSERT [dbo].[Import_20150213_Specialty] ([SPECIALTY_TYPE_ID], [CDE_PROV_SPEC_PRIM], [DSC_PROV_SPEC]) VALUES (, '244', N'Nutrition Support Pharmacist')</v>
      </c>
    </row>
    <row r="43" spans="1:5" x14ac:dyDescent="0.25">
      <c r="A43">
        <v>245</v>
      </c>
      <c r="B43" t="s">
        <v>1784</v>
      </c>
      <c r="C43" t="e">
        <v>#N/A</v>
      </c>
      <c r="E43" t="str">
        <f t="shared" si="0"/>
        <v>INSERT [dbo].[Import_20150213_Specialty] ([SPECIALTY_TYPE_ID], [CDE_PROV_SPEC_PRIM], [DSC_PROV_SPEC]) VALUES (, '245', N'Oncology Pharmacist')</v>
      </c>
    </row>
    <row r="44" spans="1:5" x14ac:dyDescent="0.25">
      <c r="A44">
        <v>246</v>
      </c>
      <c r="B44" t="s">
        <v>1779</v>
      </c>
      <c r="C44" t="e">
        <v>#N/A</v>
      </c>
      <c r="E44" t="str">
        <f t="shared" si="0"/>
        <v>INSERT [dbo].[Import_20150213_Specialty] ([SPECIALTY_TYPE_ID], [CDE_PROV_SPEC_PRIM], [DSC_PROV_SPEC]) VALUES (, '246', N'Pharmacology Pharmacist')</v>
      </c>
    </row>
    <row r="45" spans="1:5" x14ac:dyDescent="0.25">
      <c r="A45">
        <v>247</v>
      </c>
      <c r="B45" t="s">
        <v>1782</v>
      </c>
      <c r="C45" t="e">
        <v>#N/A</v>
      </c>
      <c r="E45" t="str">
        <f t="shared" si="0"/>
        <v>INSERT [dbo].[Import_20150213_Specialty] ([SPECIALTY_TYPE_ID], [CDE_PROV_SPEC_PRIM], [DSC_PROV_SPEC]) VALUES (, '247', N'Psychiatric Pharmacist')</v>
      </c>
    </row>
    <row r="46" spans="1:5" x14ac:dyDescent="0.25">
      <c r="A46">
        <v>248</v>
      </c>
      <c r="B46" t="s">
        <v>1547</v>
      </c>
      <c r="C46" t="e">
        <v>#N/A</v>
      </c>
      <c r="E46" t="str">
        <f t="shared" si="0"/>
        <v>INSERT [dbo].[Import_20150213_Specialty] ([SPECIALTY_TYPE_ID], [CDE_PROV_SPEC_PRIM], [DSC_PROV_SPEC]) VALUES (, '248', N'Pharmacy Technician')</v>
      </c>
    </row>
    <row r="47" spans="1:5" x14ac:dyDescent="0.25">
      <c r="A47">
        <v>250</v>
      </c>
      <c r="B47" t="s">
        <v>849</v>
      </c>
      <c r="C47">
        <v>2137</v>
      </c>
      <c r="E47" t="str">
        <f t="shared" si="0"/>
        <v>INSERT [dbo].[Import_20150213_Specialty] ([SPECIALTY_TYPE_ID], [CDE_PROV_SPEC_PRIM], [DSC_PROV_SPEC]) VALUES (2137, '250', N'DME/Medical Supply Dealer')</v>
      </c>
    </row>
    <row r="48" spans="1:5" x14ac:dyDescent="0.25">
      <c r="A48">
        <v>251</v>
      </c>
      <c r="B48" t="s">
        <v>820</v>
      </c>
      <c r="C48">
        <v>2178</v>
      </c>
      <c r="E48" t="str">
        <f t="shared" si="0"/>
        <v>INSERT [dbo].[Import_20150213_Specialty] ([SPECIALTY_TYPE_ID], [CDE_PROV_SPEC_PRIM], [DSC_PROV_SPEC]) VALUES (2178, '251', N'Assistive Technology')</v>
      </c>
    </row>
    <row r="49" spans="1:5" x14ac:dyDescent="0.25">
      <c r="A49">
        <v>260</v>
      </c>
      <c r="B49" t="s">
        <v>902</v>
      </c>
      <c r="C49">
        <v>2128</v>
      </c>
      <c r="E49" t="str">
        <f t="shared" si="0"/>
        <v>INSERT [dbo].[Import_20150213_Specialty] ([SPECIALTY_TYPE_ID], [CDE_PROV_SPEC_PRIM], [DSC_PROV_SPEC]) VALUES (2128, '260', N'Ambulance')</v>
      </c>
    </row>
    <row r="50" spans="1:5" x14ac:dyDescent="0.25">
      <c r="A50">
        <v>261</v>
      </c>
      <c r="B50" t="s">
        <v>882</v>
      </c>
      <c r="C50">
        <v>2127</v>
      </c>
      <c r="E50" t="str">
        <f t="shared" si="0"/>
        <v>INSERT [dbo].[Import_20150213_Specialty] ([SPECIALTY_TYPE_ID], [CDE_PROV_SPEC_PRIM], [DSC_PROV_SPEC]) VALUES (2127, '261', N'Air Ambulance')</v>
      </c>
    </row>
    <row r="51" spans="1:5" x14ac:dyDescent="0.25">
      <c r="A51">
        <v>262</v>
      </c>
      <c r="B51" t="s">
        <v>893</v>
      </c>
      <c r="C51">
        <v>2197</v>
      </c>
      <c r="E51" t="str">
        <f t="shared" si="0"/>
        <v>INSERT [dbo].[Import_20150213_Specialty] ([SPECIALTY_TYPE_ID], [CDE_PROV_SPEC_PRIM], [DSC_PROV_SPEC]) VALUES (2197, '262', N'Bus')</v>
      </c>
    </row>
    <row r="52" spans="1:5" x14ac:dyDescent="0.25">
      <c r="A52">
        <v>263</v>
      </c>
      <c r="B52" t="s">
        <v>890</v>
      </c>
      <c r="C52">
        <v>2169</v>
      </c>
      <c r="E52" t="str">
        <f t="shared" si="0"/>
        <v>INSERT [dbo].[Import_20150213_Specialty] ([SPECIALTY_TYPE_ID], [CDE_PROV_SPEC_PRIM], [DSC_PROV_SPEC]) VALUES (2169, '263', N'Taxi')</v>
      </c>
    </row>
    <row r="53" spans="1:5" x14ac:dyDescent="0.25">
      <c r="A53">
        <v>264</v>
      </c>
      <c r="B53" t="s">
        <v>874</v>
      </c>
      <c r="C53">
        <v>2131</v>
      </c>
      <c r="E53" t="str">
        <f t="shared" si="0"/>
        <v>INSERT [dbo].[Import_20150213_Specialty] ([SPECIALTY_TYPE_ID], [CDE_PROV_SPEC_PRIM], [DSC_PROV_SPEC]) VALUES (2131, '264', N'Common Carrier (Ambulatory)')</v>
      </c>
    </row>
    <row r="54" spans="1:5" x14ac:dyDescent="0.25">
      <c r="A54">
        <v>265</v>
      </c>
      <c r="B54" t="s">
        <v>877</v>
      </c>
      <c r="C54">
        <v>2132</v>
      </c>
      <c r="E54" t="str">
        <f t="shared" si="0"/>
        <v>INSERT [dbo].[Import_20150213_Specialty] ([SPECIALTY_TYPE_ID], [CDE_PROV_SPEC_PRIM], [DSC_PROV_SPEC]) VALUES (2132, '265', N'Common Carrier (Non-ambulatory)')</v>
      </c>
    </row>
    <row r="55" spans="1:5" x14ac:dyDescent="0.25">
      <c r="A55">
        <v>266</v>
      </c>
      <c r="B55" t="s">
        <v>896</v>
      </c>
      <c r="C55">
        <v>2139</v>
      </c>
      <c r="E55" t="str">
        <f t="shared" si="0"/>
        <v>INSERT [dbo].[Import_20150213_Specialty] ([SPECIALTY_TYPE_ID], [CDE_PROV_SPEC_PRIM], [DSC_PROV_SPEC]) VALUES (2139, '266', N'Family Member')</v>
      </c>
    </row>
    <row r="56" spans="1:5" x14ac:dyDescent="0.25">
      <c r="A56">
        <v>267</v>
      </c>
      <c r="B56" t="s">
        <v>912</v>
      </c>
      <c r="C56">
        <v>2171</v>
      </c>
      <c r="E56" t="str">
        <f t="shared" si="0"/>
        <v>INSERT [dbo].[Import_20150213_Specialty] ([SPECIALTY_TYPE_ID], [CDE_PROV_SPEC_PRIM], [DSC_PROV_SPEC]) VALUES (2171, '267', N'Volunteer')</v>
      </c>
    </row>
    <row r="57" spans="1:5" x14ac:dyDescent="0.25">
      <c r="A57">
        <v>268</v>
      </c>
      <c r="B57" t="s">
        <v>915</v>
      </c>
      <c r="C57">
        <v>2164</v>
      </c>
      <c r="E57" t="str">
        <f t="shared" si="0"/>
        <v>INSERT [dbo].[Import_20150213_Specialty] ([SPECIALTY_TYPE_ID], [CDE_PROV_SPEC_PRIM], [DSC_PROV_SPEC]) VALUES (2164, '268', N'Secured Medical Transport (VAN)')</v>
      </c>
    </row>
    <row r="58" spans="1:5" x14ac:dyDescent="0.25">
      <c r="A58">
        <v>270</v>
      </c>
      <c r="B58" t="s">
        <v>940</v>
      </c>
      <c r="C58" t="e">
        <v>#N/A</v>
      </c>
      <c r="E58" t="str">
        <f t="shared" si="0"/>
        <v>INSERT [dbo].[Import_20150213_Specialty] ([SPECIALTY_TYPE_ID], [CDE_PROV_SPEC_PRIM], [DSC_PROV_SPEC]) VALUES (, '270', N'Endodontist')</v>
      </c>
    </row>
    <row r="59" spans="1:5" x14ac:dyDescent="0.25">
      <c r="A59">
        <v>271</v>
      </c>
      <c r="B59" t="s">
        <v>926</v>
      </c>
      <c r="C59" t="e">
        <v>#N/A</v>
      </c>
      <c r="E59" t="str">
        <f t="shared" si="0"/>
        <v>INSERT [dbo].[Import_20150213_Specialty] ([SPECIALTY_TYPE_ID], [CDE_PROV_SPEC_PRIM], [DSC_PROV_SPEC]) VALUES (, '271', N'General Dentistry Practitioner')</v>
      </c>
    </row>
    <row r="60" spans="1:5" x14ac:dyDescent="0.25">
      <c r="A60">
        <v>272</v>
      </c>
      <c r="B60" t="s">
        <v>952</v>
      </c>
      <c r="C60">
        <v>2070</v>
      </c>
      <c r="E60" t="str">
        <f t="shared" si="0"/>
        <v>INSERT [dbo].[Import_20150213_Specialty] ([SPECIALTY_TYPE_ID], [CDE_PROV_SPEC_PRIM], [DSC_PROV_SPEC]) VALUES (2070, '272', N'Oral Surgeon')</v>
      </c>
    </row>
    <row r="61" spans="1:5" x14ac:dyDescent="0.25">
      <c r="A61">
        <v>273</v>
      </c>
      <c r="B61" t="s">
        <v>955</v>
      </c>
      <c r="C61" t="e">
        <v>#N/A</v>
      </c>
      <c r="E61" t="str">
        <f t="shared" si="0"/>
        <v>INSERT [dbo].[Import_20150213_Specialty] ([SPECIALTY_TYPE_ID], [CDE_PROV_SPEC_PRIM], [DSC_PROV_SPEC]) VALUES (, '273', N'Orthodontist')</v>
      </c>
    </row>
    <row r="62" spans="1:5" x14ac:dyDescent="0.25">
      <c r="A62">
        <v>274</v>
      </c>
      <c r="B62" t="s">
        <v>944</v>
      </c>
      <c r="C62" t="e">
        <v>#N/A</v>
      </c>
      <c r="E62" t="str">
        <f t="shared" si="0"/>
        <v>INSERT [dbo].[Import_20150213_Specialty] ([SPECIALTY_TYPE_ID], [CDE_PROV_SPEC_PRIM], [DSC_PROV_SPEC]) VALUES (, '274', N'Pediatric Dentist')</v>
      </c>
    </row>
    <row r="63" spans="1:5" x14ac:dyDescent="0.25">
      <c r="A63">
        <v>275</v>
      </c>
      <c r="B63" t="s">
        <v>947</v>
      </c>
      <c r="C63" t="e">
        <v>#N/A</v>
      </c>
      <c r="E63" t="str">
        <f t="shared" si="0"/>
        <v>INSERT [dbo].[Import_20150213_Specialty] ([SPECIALTY_TYPE_ID], [CDE_PROV_SPEC_PRIM], [DSC_PROV_SPEC]) VALUES (, '275', N'Periodontist')</v>
      </c>
    </row>
    <row r="64" spans="1:5" x14ac:dyDescent="0.25">
      <c r="A64">
        <v>276</v>
      </c>
      <c r="B64" t="s">
        <v>924</v>
      </c>
      <c r="C64" t="e">
        <v>#N/A</v>
      </c>
      <c r="E64" t="str">
        <f t="shared" si="0"/>
        <v>INSERT [dbo].[Import_20150213_Specialty] ([SPECIALTY_TYPE_ID], [CDE_PROV_SPEC_PRIM], [DSC_PROV_SPEC]) VALUES (, '276', N'Oral Pathologist')</v>
      </c>
    </row>
    <row r="65" spans="1:5" x14ac:dyDescent="0.25">
      <c r="A65">
        <v>277</v>
      </c>
      <c r="B65" t="s">
        <v>866</v>
      </c>
      <c r="C65">
        <v>2157</v>
      </c>
      <c r="E65" t="str">
        <f t="shared" si="0"/>
        <v>INSERT [dbo].[Import_20150213_Specialty] ([SPECIALTY_TYPE_ID], [CDE_PROV_SPEC_PRIM], [DSC_PROV_SPEC]) VALUES (2157, '277', N'Prosthesis')</v>
      </c>
    </row>
    <row r="66" spans="1:5" x14ac:dyDescent="0.25">
      <c r="A66">
        <v>277</v>
      </c>
      <c r="B66" t="s">
        <v>1550</v>
      </c>
      <c r="C66" t="e">
        <v>#N/A</v>
      </c>
      <c r="E66" t="str">
        <f t="shared" ref="E66:E129" si="1">"INSERT [dbo].[Import_20150213_Specialty] ([SPECIALTY_TYPE_ID], [CDE_PROV_SPEC_PRIM], [DSC_PROV_SPEC]) VALUES (" &amp; IF(ISNA(C66), "", C66) &amp; ", '" &amp; A66 &amp;  "', N'" &amp; TRIM(B66) &amp; "')"</f>
        <v>INSERT [dbo].[Import_20150213_Specialty] ([SPECIALTY_TYPE_ID], [CDE_PROV_SPEC_PRIM], [DSC_PROV_SPEC]) VALUES (, '277', N'Prothesis / Orthotics')</v>
      </c>
    </row>
    <row r="67" spans="1:5" x14ac:dyDescent="0.25">
      <c r="A67">
        <v>277</v>
      </c>
      <c r="B67" t="s">
        <v>1788</v>
      </c>
      <c r="C67" t="e">
        <v>#N/A</v>
      </c>
      <c r="E67" t="str">
        <f t="shared" si="1"/>
        <v>INSERT [dbo].[Import_20150213_Specialty] ([SPECIALTY_TYPE_ID], [CDE_PROV_SPEC_PRIM], [DSC_PROV_SPEC]) VALUES (, '277', N'Prosthesis / Orthotics')</v>
      </c>
    </row>
    <row r="68" spans="1:5" x14ac:dyDescent="0.25">
      <c r="A68">
        <v>278</v>
      </c>
      <c r="B68" t="s">
        <v>950</v>
      </c>
      <c r="C68" t="e">
        <v>#N/A</v>
      </c>
      <c r="E68" t="str">
        <f t="shared" si="1"/>
        <v>INSERT [dbo].[Import_20150213_Specialty] ([SPECIALTY_TYPE_ID], [CDE_PROV_SPEC_PRIM], [DSC_PROV_SPEC]) VALUES (, '278', N'Prosthodontist')</v>
      </c>
    </row>
    <row r="69" spans="1:5" x14ac:dyDescent="0.25">
      <c r="A69">
        <v>280</v>
      </c>
      <c r="B69" t="s">
        <v>968</v>
      </c>
      <c r="C69">
        <v>2149</v>
      </c>
      <c r="E69" t="str">
        <f t="shared" si="1"/>
        <v>INSERT [dbo].[Import_20150213_Specialty] ([SPECIALTY_TYPE_ID], [CDE_PROV_SPEC_PRIM], [DSC_PROV_SPEC]) VALUES (2149, '280', N'Independent Lab')</v>
      </c>
    </row>
    <row r="70" spans="1:5" x14ac:dyDescent="0.25">
      <c r="A70">
        <v>281</v>
      </c>
      <c r="B70" t="s">
        <v>964</v>
      </c>
      <c r="C70">
        <v>2194</v>
      </c>
      <c r="E70" t="str">
        <f t="shared" si="1"/>
        <v>INSERT [dbo].[Import_20150213_Specialty] ([SPECIALTY_TYPE_ID], [CDE_PROV_SPEC_PRIM], [DSC_PROV_SPEC]) VALUES (2194, '281', N'Mobile Lab')</v>
      </c>
    </row>
    <row r="71" spans="1:5" x14ac:dyDescent="0.25">
      <c r="A71">
        <v>282</v>
      </c>
      <c r="B71" t="s">
        <v>1642</v>
      </c>
      <c r="C71" t="e">
        <v>#N/A</v>
      </c>
      <c r="E71" t="str">
        <f t="shared" si="1"/>
        <v>INSERT [dbo].[Import_20150213_Specialty] ([SPECIALTY_TYPE_ID], [CDE_PROV_SPEC_PRIM], [DSC_PROV_SPEC]) VALUES (, '282', N'Radiology Practitioner Assistants')</v>
      </c>
    </row>
    <row r="72" spans="1:5" x14ac:dyDescent="0.25">
      <c r="A72">
        <v>290</v>
      </c>
      <c r="B72" t="s">
        <v>980</v>
      </c>
      <c r="C72">
        <v>2143</v>
      </c>
      <c r="E72" t="str">
        <f t="shared" si="1"/>
        <v>INSERT [dbo].[Import_20150213_Specialty] ([SPECIALTY_TYPE_ID], [CDE_PROV_SPEC_PRIM], [DSC_PROV_SPEC]) VALUES (2143, '290', N'Freestanding X-Ray Clinic')</v>
      </c>
    </row>
    <row r="73" spans="1:5" x14ac:dyDescent="0.25">
      <c r="A73">
        <v>291</v>
      </c>
      <c r="B73" t="s">
        <v>983</v>
      </c>
      <c r="C73">
        <v>2153</v>
      </c>
      <c r="E73" t="str">
        <f t="shared" si="1"/>
        <v>INSERT [dbo].[Import_20150213_Specialty] ([SPECIALTY_TYPE_ID], [CDE_PROV_SPEC_PRIM], [DSC_PROV_SPEC]) VALUES (2153, '291', N'Mobile X-Ray Clinic')</v>
      </c>
    </row>
    <row r="74" spans="1:5" x14ac:dyDescent="0.25">
      <c r="A74">
        <v>292</v>
      </c>
      <c r="B74" t="s">
        <v>978</v>
      </c>
      <c r="C74">
        <v>2199</v>
      </c>
      <c r="E74" t="str">
        <f t="shared" si="1"/>
        <v>INSERT [dbo].[Import_20150213_Specialty] ([SPECIALTY_TYPE_ID], [CDE_PROV_SPEC_PRIM], [DSC_PROV_SPEC]) VALUES (2199, '292', N'Mammography')</v>
      </c>
    </row>
    <row r="75" spans="1:5" x14ac:dyDescent="0.25">
      <c r="A75">
        <v>300</v>
      </c>
      <c r="B75" t="s">
        <v>987</v>
      </c>
      <c r="C75">
        <v>2142</v>
      </c>
      <c r="E75" t="str">
        <f t="shared" si="1"/>
        <v>INSERT [dbo].[Import_20150213_Specialty] ([SPECIALTY_TYPE_ID], [CDE_PROV_SPEC_PRIM], [DSC_PROV_SPEC]) VALUES (2142, '300', N'Free-standing Renal Dialysis Clinic')</v>
      </c>
    </row>
    <row r="76" spans="1:5" x14ac:dyDescent="0.25">
      <c r="A76">
        <v>310</v>
      </c>
      <c r="B76" t="s">
        <v>1071</v>
      </c>
      <c r="C76">
        <v>2071</v>
      </c>
      <c r="E76" t="str">
        <f t="shared" si="1"/>
        <v>INSERT [dbo].[Import_20150213_Specialty] ([SPECIALTY_TYPE_ID], [CDE_PROV_SPEC_PRIM], [DSC_PROV_SPEC]) VALUES (2071, '310', N'Allergist')</v>
      </c>
    </row>
    <row r="77" spans="1:5" x14ac:dyDescent="0.25">
      <c r="A77">
        <v>311</v>
      </c>
      <c r="B77" t="s">
        <v>1077</v>
      </c>
      <c r="C77">
        <v>2072</v>
      </c>
      <c r="E77" t="str">
        <f t="shared" si="1"/>
        <v>INSERT [dbo].[Import_20150213_Specialty] ([SPECIALTY_TYPE_ID], [CDE_PROV_SPEC_PRIM], [DSC_PROV_SPEC]) VALUES (2072, '311', N'Anesthesiologist')</v>
      </c>
    </row>
    <row r="78" spans="1:5" x14ac:dyDescent="0.25">
      <c r="A78">
        <v>312</v>
      </c>
      <c r="B78" t="s">
        <v>1135</v>
      </c>
      <c r="C78">
        <v>2073</v>
      </c>
      <c r="E78" t="str">
        <f t="shared" si="1"/>
        <v>INSERT [dbo].[Import_20150213_Specialty] ([SPECIALTY_TYPE_ID], [CDE_PROV_SPEC_PRIM], [DSC_PROV_SPEC]) VALUES (2073, '312', N'Cardiologist')</v>
      </c>
    </row>
    <row r="79" spans="1:5" x14ac:dyDescent="0.25">
      <c r="A79">
        <v>313</v>
      </c>
      <c r="B79" t="s">
        <v>1400</v>
      </c>
      <c r="C79">
        <v>2074</v>
      </c>
      <c r="E79" t="str">
        <f t="shared" si="1"/>
        <v>INSERT [dbo].[Import_20150213_Specialty] ([SPECIALTY_TYPE_ID], [CDE_PROV_SPEC_PRIM], [DSC_PROV_SPEC]) VALUES (2074, '313', N'Cardiovascular Surgeon')</v>
      </c>
    </row>
    <row r="80" spans="1:5" x14ac:dyDescent="0.25">
      <c r="A80">
        <v>314</v>
      </c>
      <c r="B80" t="s">
        <v>1088</v>
      </c>
      <c r="C80">
        <v>2075</v>
      </c>
      <c r="E80" t="str">
        <f t="shared" si="1"/>
        <v>INSERT [dbo].[Import_20150213_Specialty] ([SPECIALTY_TYPE_ID], [CDE_PROV_SPEC_PRIM], [DSC_PROV_SPEC]) VALUES (2075, '314', N'Dermatologist')</v>
      </c>
    </row>
    <row r="81" spans="1:5" x14ac:dyDescent="0.25">
      <c r="A81">
        <v>315</v>
      </c>
      <c r="B81" t="s">
        <v>1101</v>
      </c>
      <c r="C81">
        <v>2076</v>
      </c>
      <c r="E81" t="str">
        <f t="shared" si="1"/>
        <v>INSERT [dbo].[Import_20150213_Specialty] ([SPECIALTY_TYPE_ID], [CDE_PROV_SPEC_PRIM], [DSC_PROV_SPEC]) VALUES (2076, '315', N'Emergency Medicine Practitioner')</v>
      </c>
    </row>
    <row r="82" spans="1:5" x14ac:dyDescent="0.25">
      <c r="A82">
        <v>316</v>
      </c>
      <c r="B82" t="s">
        <v>1115</v>
      </c>
      <c r="C82">
        <v>2077</v>
      </c>
      <c r="E82" t="str">
        <f t="shared" si="1"/>
        <v>INSERT [dbo].[Import_20150213_Specialty] ([SPECIALTY_TYPE_ID], [CDE_PROV_SPEC_PRIM], [DSC_PROV_SPEC]) VALUES (2077, '316', N'Family Practitioner')</v>
      </c>
    </row>
    <row r="83" spans="1:5" x14ac:dyDescent="0.25">
      <c r="A83">
        <v>317</v>
      </c>
      <c r="B83" t="s">
        <v>1141</v>
      </c>
      <c r="C83">
        <v>2078</v>
      </c>
      <c r="E83" t="str">
        <f t="shared" si="1"/>
        <v>INSERT [dbo].[Import_20150213_Specialty] ([SPECIALTY_TYPE_ID], [CDE_PROV_SPEC_PRIM], [DSC_PROV_SPEC]) VALUES (2078, '317', N'Gastroenterologist')</v>
      </c>
    </row>
    <row r="84" spans="1:5" x14ac:dyDescent="0.25">
      <c r="A84">
        <v>318</v>
      </c>
      <c r="B84" t="s">
        <v>1141</v>
      </c>
      <c r="C84" t="e">
        <v>#N/A</v>
      </c>
      <c r="E84" t="str">
        <f t="shared" si="1"/>
        <v>INSERT [dbo].[Import_20150213_Specialty] ([SPECIALTY_TYPE_ID], [CDE_PROV_SPEC_PRIM], [DSC_PROV_SPEC]) VALUES (, '318', N'Gastroenterologist')</v>
      </c>
    </row>
    <row r="85" spans="1:5" x14ac:dyDescent="0.25">
      <c r="A85">
        <v>318</v>
      </c>
      <c r="B85" t="s">
        <v>1322</v>
      </c>
      <c r="C85">
        <v>2079</v>
      </c>
      <c r="E85" t="str">
        <f t="shared" si="1"/>
        <v>INSERT [dbo].[Import_20150213_Specialty] ([SPECIALTY_TYPE_ID], [CDE_PROV_SPEC_PRIM], [DSC_PROV_SPEC]) VALUES (2079, '318', N'General Practitioner')</v>
      </c>
    </row>
    <row r="86" spans="1:5" x14ac:dyDescent="0.25">
      <c r="A86">
        <v>319</v>
      </c>
      <c r="B86" t="s">
        <v>1141</v>
      </c>
      <c r="C86" t="e">
        <v>#N/A</v>
      </c>
      <c r="E86" t="str">
        <f t="shared" si="1"/>
        <v>INSERT [dbo].[Import_20150213_Specialty] ([SPECIALTY_TYPE_ID], [CDE_PROV_SPEC_PRIM], [DSC_PROV_SPEC]) VALUES (, '319', N'Gastroenterologist')</v>
      </c>
    </row>
    <row r="87" spans="1:5" x14ac:dyDescent="0.25">
      <c r="A87">
        <v>319</v>
      </c>
      <c r="B87" t="s">
        <v>1322</v>
      </c>
      <c r="C87" t="e">
        <v>#N/A</v>
      </c>
      <c r="E87" t="str">
        <f t="shared" si="1"/>
        <v>INSERT [dbo].[Import_20150213_Specialty] ([SPECIALTY_TYPE_ID], [CDE_PROV_SPEC_PRIM], [DSC_PROV_SPEC]) VALUES (, '319', N'General Practitioner')</v>
      </c>
    </row>
    <row r="88" spans="1:5" x14ac:dyDescent="0.25">
      <c r="A88">
        <v>319</v>
      </c>
      <c r="B88" t="s">
        <v>1066</v>
      </c>
      <c r="C88">
        <v>2080</v>
      </c>
      <c r="E88" t="str">
        <f t="shared" si="1"/>
        <v>INSERT [dbo].[Import_20150213_Specialty] ([SPECIALTY_TYPE_ID], [CDE_PROV_SPEC_PRIM], [DSC_PROV_SPEC]) VALUES (2080, '319', N'General Surgeon')</v>
      </c>
    </row>
    <row r="89" spans="1:5" x14ac:dyDescent="0.25">
      <c r="A89">
        <v>320</v>
      </c>
      <c r="B89" t="s">
        <v>1322</v>
      </c>
      <c r="C89" t="e">
        <v>#N/A</v>
      </c>
      <c r="E89" t="str">
        <f t="shared" si="1"/>
        <v>INSERT [dbo].[Import_20150213_Specialty] ([SPECIALTY_TYPE_ID], [CDE_PROV_SPEC_PRIM], [DSC_PROV_SPEC]) VALUES (, '320', N'General Practitioner')</v>
      </c>
    </row>
    <row r="90" spans="1:5" x14ac:dyDescent="0.25">
      <c r="A90">
        <v>320</v>
      </c>
      <c r="B90" t="s">
        <v>998</v>
      </c>
      <c r="C90">
        <v>2081</v>
      </c>
      <c r="E90" t="str">
        <f t="shared" si="1"/>
        <v>INSERT [dbo].[Import_20150213_Specialty] ([SPECIALTY_TYPE_ID], [CDE_PROV_SPEC_PRIM], [DSC_PROV_SPEC]) VALUES (2081, '320', N'Geriatric Practitioner')</v>
      </c>
    </row>
    <row r="91" spans="1:5" x14ac:dyDescent="0.25">
      <c r="A91">
        <v>321</v>
      </c>
      <c r="B91" t="s">
        <v>1202</v>
      </c>
      <c r="C91">
        <v>2082</v>
      </c>
      <c r="E91" t="str">
        <f t="shared" si="1"/>
        <v>INSERT [dbo].[Import_20150213_Specialty] ([SPECIALTY_TYPE_ID], [CDE_PROV_SPEC_PRIM], [DSC_PROV_SPEC]) VALUES (2082, '321', N'Hand Surgeon')</v>
      </c>
    </row>
    <row r="92" spans="1:5" x14ac:dyDescent="0.25">
      <c r="A92">
        <v>322</v>
      </c>
      <c r="B92" t="s">
        <v>1126</v>
      </c>
      <c r="C92">
        <v>5</v>
      </c>
      <c r="E92" t="str">
        <f t="shared" si="1"/>
        <v>INSERT [dbo].[Import_20150213_Specialty] ([SPECIALTY_TYPE_ID], [CDE_PROV_SPEC_PRIM], [DSC_PROV_SPEC]) VALUES (5, '322', N'Internist')</v>
      </c>
    </row>
    <row r="93" spans="1:5" x14ac:dyDescent="0.25">
      <c r="A93">
        <v>322</v>
      </c>
      <c r="B93" t="s">
        <v>578</v>
      </c>
      <c r="C93">
        <v>5</v>
      </c>
      <c r="E93" t="str">
        <f t="shared" si="1"/>
        <v>INSERT [dbo].[Import_20150213_Specialty] ([SPECIALTY_TYPE_ID], [CDE_PROV_SPEC_PRIM], [DSC_PROV_SPEC]) VALUES (5, '322', N'Internist')</v>
      </c>
    </row>
    <row r="94" spans="1:5" x14ac:dyDescent="0.25">
      <c r="A94">
        <v>323</v>
      </c>
      <c r="B94" t="s">
        <v>1041</v>
      </c>
      <c r="C94">
        <v>2083</v>
      </c>
      <c r="E94" t="str">
        <f t="shared" si="1"/>
        <v>INSERT [dbo].[Import_20150213_Specialty] ([SPECIALTY_TYPE_ID], [CDE_PROV_SPEC_PRIM], [DSC_PROV_SPEC]) VALUES (2083, '323', N'Neonatologist')</v>
      </c>
    </row>
    <row r="95" spans="1:5" x14ac:dyDescent="0.25">
      <c r="A95">
        <v>324</v>
      </c>
      <c r="B95" t="s">
        <v>1155</v>
      </c>
      <c r="C95">
        <v>2084</v>
      </c>
      <c r="E95" t="str">
        <f t="shared" si="1"/>
        <v>INSERT [dbo].[Import_20150213_Specialty] ([SPECIALTY_TYPE_ID], [CDE_PROV_SPEC_PRIM], [DSC_PROV_SPEC]) VALUES (2084, '324', N'Nephrologist')</v>
      </c>
    </row>
    <row r="96" spans="1:5" x14ac:dyDescent="0.25">
      <c r="A96">
        <v>325</v>
      </c>
      <c r="B96" t="s">
        <v>1167</v>
      </c>
      <c r="C96">
        <v>2085</v>
      </c>
      <c r="E96" t="str">
        <f t="shared" si="1"/>
        <v>INSERT [dbo].[Import_20150213_Specialty] ([SPECIALTY_TYPE_ID], [CDE_PROV_SPEC_PRIM], [DSC_PROV_SPEC]) VALUES (2085, '325', N'Neurological Surgeon')</v>
      </c>
    </row>
    <row r="97" spans="1:5" x14ac:dyDescent="0.25">
      <c r="A97">
        <v>326</v>
      </c>
      <c r="B97" t="s">
        <v>1341</v>
      </c>
      <c r="C97">
        <v>2086</v>
      </c>
      <c r="E97" t="str">
        <f t="shared" si="1"/>
        <v>INSERT [dbo].[Import_20150213_Specialty] ([SPECIALTY_TYPE_ID], [CDE_PROV_SPEC_PRIM], [DSC_PROV_SPEC]) VALUES (2086, '326', N'Neurologist')</v>
      </c>
    </row>
    <row r="98" spans="1:5" x14ac:dyDescent="0.25">
      <c r="A98">
        <v>327</v>
      </c>
      <c r="B98" t="s">
        <v>1060</v>
      </c>
      <c r="C98">
        <v>2087</v>
      </c>
      <c r="E98" t="str">
        <f t="shared" si="1"/>
        <v>INSERT [dbo].[Import_20150213_Specialty] ([SPECIALTY_TYPE_ID], [CDE_PROV_SPEC_PRIM], [DSC_PROV_SPEC]) VALUES (2087, '327', N'Nuclear Medicine Practitioner')</v>
      </c>
    </row>
    <row r="99" spans="1:5" x14ac:dyDescent="0.25">
      <c r="A99">
        <v>328</v>
      </c>
      <c r="B99" t="s">
        <v>1177</v>
      </c>
      <c r="C99">
        <v>2088</v>
      </c>
      <c r="E99" t="str">
        <f t="shared" si="1"/>
        <v>INSERT [dbo].[Import_20150213_Specialty] ([SPECIALTY_TYPE_ID], [CDE_PROV_SPEC_PRIM], [DSC_PROV_SPEC]) VALUES (2088, '328', N'Obstetrician/Gynecologist')</v>
      </c>
    </row>
    <row r="100" spans="1:5" x14ac:dyDescent="0.25">
      <c r="A100">
        <v>329</v>
      </c>
      <c r="B100" t="s">
        <v>1009</v>
      </c>
      <c r="C100">
        <v>2089</v>
      </c>
      <c r="E100" t="str">
        <f t="shared" si="1"/>
        <v>INSERT [dbo].[Import_20150213_Specialty] ([SPECIALTY_TYPE_ID], [CDE_PROV_SPEC_PRIM], [DSC_PROV_SPEC]) VALUES (2089, '329', N'Oncologist (including Hematology)')</v>
      </c>
    </row>
    <row r="101" spans="1:5" x14ac:dyDescent="0.25">
      <c r="A101">
        <v>330</v>
      </c>
      <c r="B101" t="s">
        <v>1194</v>
      </c>
      <c r="C101">
        <v>2090</v>
      </c>
      <c r="E101" t="str">
        <f t="shared" si="1"/>
        <v>INSERT [dbo].[Import_20150213_Specialty] ([SPECIALTY_TYPE_ID], [CDE_PROV_SPEC_PRIM], [DSC_PROV_SPEC]) VALUES (2090, '330', N'Opthamologist')</v>
      </c>
    </row>
    <row r="102" spans="1:5" x14ac:dyDescent="0.25">
      <c r="A102">
        <v>331</v>
      </c>
      <c r="B102" t="s">
        <v>1197</v>
      </c>
      <c r="C102">
        <v>2091</v>
      </c>
      <c r="E102" t="str">
        <f t="shared" si="1"/>
        <v>INSERT [dbo].[Import_20150213_Specialty] ([SPECIALTY_TYPE_ID], [CDE_PROV_SPEC_PRIM], [DSC_PROV_SPEC]) VALUES (2091, '331', N'Orthopedic Surgeon')</v>
      </c>
    </row>
    <row r="103" spans="1:5" x14ac:dyDescent="0.25">
      <c r="A103">
        <v>332</v>
      </c>
      <c r="B103" t="s">
        <v>1214</v>
      </c>
      <c r="C103">
        <v>2092</v>
      </c>
      <c r="E103" t="str">
        <f t="shared" si="1"/>
        <v>INSERT [dbo].[Import_20150213_Specialty] ([SPECIALTY_TYPE_ID], [CDE_PROV_SPEC_PRIM], [DSC_PROV_SPEC]) VALUES (2092, '332', N'Otologist, Laryngologist, Rhinologist')</v>
      </c>
    </row>
    <row r="104" spans="1:5" x14ac:dyDescent="0.25">
      <c r="A104">
        <v>333</v>
      </c>
      <c r="B104" t="s">
        <v>1214</v>
      </c>
      <c r="C104" t="e">
        <v>#N/A</v>
      </c>
      <c r="E104" t="str">
        <f t="shared" si="1"/>
        <v>INSERT [dbo].[Import_20150213_Specialty] ([SPECIALTY_TYPE_ID], [CDE_PROV_SPEC_PRIM], [DSC_PROV_SPEC]) VALUES (, '333', N'Otologist, Laryngologist, Rhinologist')</v>
      </c>
    </row>
    <row r="105" spans="1:5" x14ac:dyDescent="0.25">
      <c r="A105">
        <v>333</v>
      </c>
      <c r="B105" t="s">
        <v>1057</v>
      </c>
      <c r="C105">
        <v>2093</v>
      </c>
      <c r="E105" t="str">
        <f t="shared" si="1"/>
        <v>INSERT [dbo].[Import_20150213_Specialty] ([SPECIALTY_TYPE_ID], [CDE_PROV_SPEC_PRIM], [DSC_PROV_SPEC]) VALUES (2093, '333', N'Pathologist')</v>
      </c>
    </row>
    <row r="106" spans="1:5" x14ac:dyDescent="0.25">
      <c r="A106">
        <v>334</v>
      </c>
      <c r="B106" t="s">
        <v>1214</v>
      </c>
      <c r="C106" t="e">
        <v>#N/A</v>
      </c>
      <c r="E106" t="str">
        <f t="shared" si="1"/>
        <v>INSERT [dbo].[Import_20150213_Specialty] ([SPECIALTY_TYPE_ID], [CDE_PROV_SPEC_PRIM], [DSC_PROV_SPEC]) VALUES (, '334', N'Otologist, Laryngologist, Rhinologist')</v>
      </c>
    </row>
    <row r="107" spans="1:5" x14ac:dyDescent="0.25">
      <c r="A107">
        <v>334</v>
      </c>
      <c r="B107" t="s">
        <v>1051</v>
      </c>
      <c r="C107">
        <v>2094</v>
      </c>
      <c r="E107" t="str">
        <f t="shared" si="1"/>
        <v>INSERT [dbo].[Import_20150213_Specialty] ([SPECIALTY_TYPE_ID], [CDE_PROV_SPEC_PRIM], [DSC_PROV_SPEC]) VALUES (2094, '334', N'Pediatric Surgeon')</v>
      </c>
    </row>
    <row r="108" spans="1:5" x14ac:dyDescent="0.25">
      <c r="A108">
        <v>335</v>
      </c>
      <c r="B108" t="s">
        <v>1035</v>
      </c>
      <c r="C108">
        <v>2095</v>
      </c>
      <c r="E108" t="str">
        <f t="shared" si="1"/>
        <v>INSERT [dbo].[Import_20150213_Specialty] ([SPECIALTY_TYPE_ID], [CDE_PROV_SPEC_PRIM], [DSC_PROV_SPEC]) VALUES (2095, '335', N'Maternal Fetal Medicine')</v>
      </c>
    </row>
    <row r="109" spans="1:5" x14ac:dyDescent="0.25">
      <c r="A109">
        <v>336</v>
      </c>
      <c r="B109" t="s">
        <v>1303</v>
      </c>
      <c r="C109">
        <v>2096</v>
      </c>
      <c r="E109" t="str">
        <f t="shared" si="1"/>
        <v>INSERT [dbo].[Import_20150213_Specialty] ([SPECIALTY_TYPE_ID], [CDE_PROV_SPEC_PRIM], [DSC_PROV_SPEC]) VALUES (2096, '336', N'Physical Medicine and Rehabilitation Practitioner')</v>
      </c>
    </row>
    <row r="110" spans="1:5" x14ac:dyDescent="0.25">
      <c r="A110">
        <v>337</v>
      </c>
      <c r="B110" t="s">
        <v>1221</v>
      </c>
      <c r="C110">
        <v>2097</v>
      </c>
      <c r="E110" t="str">
        <f t="shared" si="1"/>
        <v>INSERT [dbo].[Import_20150213_Specialty] ([SPECIALTY_TYPE_ID], [CDE_PROV_SPEC_PRIM], [DSC_PROV_SPEC]) VALUES (2097, '337', N'Plastic Surgeon')</v>
      </c>
    </row>
    <row r="111" spans="1:5" x14ac:dyDescent="0.25">
      <c r="A111">
        <v>338</v>
      </c>
      <c r="B111" t="s">
        <v>1407</v>
      </c>
      <c r="C111">
        <v>2098</v>
      </c>
      <c r="E111" t="str">
        <f t="shared" si="1"/>
        <v>INSERT [dbo].[Import_20150213_Specialty] ([SPECIALTY_TYPE_ID], [CDE_PROV_SPEC_PRIM], [DSC_PROV_SPEC]) VALUES (2098, '338', N'Proctologist')</v>
      </c>
    </row>
    <row r="112" spans="1:5" x14ac:dyDescent="0.25">
      <c r="A112">
        <v>339</v>
      </c>
      <c r="B112" t="s">
        <v>1338</v>
      </c>
      <c r="C112">
        <v>2099</v>
      </c>
      <c r="E112" t="str">
        <f t="shared" si="1"/>
        <v>INSERT [dbo].[Import_20150213_Specialty] ([SPECIALTY_TYPE_ID], [CDE_PROV_SPEC_PRIM], [DSC_PROV_SPEC]) VALUES (2099, '339', N'Psychiatrist')</v>
      </c>
    </row>
    <row r="113" spans="1:5" x14ac:dyDescent="0.25">
      <c r="A113">
        <v>340</v>
      </c>
      <c r="B113" t="s">
        <v>1158</v>
      </c>
      <c r="C113">
        <v>2100</v>
      </c>
      <c r="E113" t="str">
        <f t="shared" si="1"/>
        <v>INSERT [dbo].[Import_20150213_Specialty] ([SPECIALTY_TYPE_ID], [CDE_PROV_SPEC_PRIM], [DSC_PROV_SPEC]) VALUES (2100, '340', N'Pulmonary Disease Specialist')</v>
      </c>
    </row>
    <row r="114" spans="1:5" x14ac:dyDescent="0.25">
      <c r="A114">
        <v>341</v>
      </c>
      <c r="B114" t="s">
        <v>960</v>
      </c>
      <c r="C114">
        <v>2101</v>
      </c>
      <c r="E114" t="str">
        <f t="shared" si="1"/>
        <v>INSERT [dbo].[Import_20150213_Specialty] ([SPECIALTY_TYPE_ID], [CDE_PROV_SPEC_PRIM], [DSC_PROV_SPEC]) VALUES (2101, '341', N'Radiologist')</v>
      </c>
    </row>
    <row r="115" spans="1:5" x14ac:dyDescent="0.25">
      <c r="A115">
        <v>342</v>
      </c>
      <c r="B115" t="s">
        <v>1412</v>
      </c>
      <c r="C115">
        <v>2102</v>
      </c>
      <c r="E115" t="str">
        <f t="shared" si="1"/>
        <v>INSERT [dbo].[Import_20150213_Specialty] ([SPECIALTY_TYPE_ID], [CDE_PROV_SPEC_PRIM], [DSC_PROV_SPEC]) VALUES (2102, '342', N'Thoracic Surgeon')</v>
      </c>
    </row>
    <row r="116" spans="1:5" x14ac:dyDescent="0.25">
      <c r="A116">
        <v>343</v>
      </c>
      <c r="B116" t="s">
        <v>1402</v>
      </c>
      <c r="C116">
        <v>2103</v>
      </c>
      <c r="E116" t="str">
        <f t="shared" si="1"/>
        <v>INSERT [dbo].[Import_20150213_Specialty] ([SPECIALTY_TYPE_ID], [CDE_PROV_SPEC_PRIM], [DSC_PROV_SPEC]) VALUES (2103, '343', N'Urologist')</v>
      </c>
    </row>
    <row r="117" spans="1:5" x14ac:dyDescent="0.25">
      <c r="A117">
        <v>344</v>
      </c>
      <c r="B117" t="s">
        <v>1004</v>
      </c>
      <c r="C117">
        <v>2104</v>
      </c>
      <c r="E117" t="str">
        <f t="shared" si="1"/>
        <v>INSERT [dbo].[Import_20150213_Specialty] ([SPECIALTY_TYPE_ID], [CDE_PROV_SPEC_PRIM], [DSC_PROV_SPEC]) VALUES (2104, '344', N'General Internist')</v>
      </c>
    </row>
    <row r="118" spans="1:5" x14ac:dyDescent="0.25">
      <c r="A118">
        <v>345</v>
      </c>
      <c r="B118" t="s">
        <v>1260</v>
      </c>
      <c r="C118">
        <v>2105</v>
      </c>
      <c r="E118" t="str">
        <f t="shared" si="1"/>
        <v>INSERT [dbo].[Import_20150213_Specialty] ([SPECIALTY_TYPE_ID], [CDE_PROV_SPEC_PRIM], [DSC_PROV_SPEC]) VALUES (2105, '345', N'General Pediatrician')</v>
      </c>
    </row>
    <row r="119" spans="1:5" x14ac:dyDescent="0.25">
      <c r="A119">
        <v>347</v>
      </c>
      <c r="B119" t="s">
        <v>1382</v>
      </c>
      <c r="C119">
        <v>2106</v>
      </c>
      <c r="E119" t="str">
        <f t="shared" si="1"/>
        <v>INSERT [dbo].[Import_20150213_Specialty] ([SPECIALTY_TYPE_ID], [CDE_PROV_SPEC_PRIM], [DSC_PROV_SPEC]) VALUES (2106, '347', N'Radiation Therapist')</v>
      </c>
    </row>
    <row r="120" spans="1:5" x14ac:dyDescent="0.25">
      <c r="A120">
        <v>347</v>
      </c>
      <c r="B120" t="s">
        <v>1622</v>
      </c>
      <c r="C120">
        <v>2106</v>
      </c>
      <c r="E120" t="str">
        <f t="shared" si="1"/>
        <v>INSERT [dbo].[Import_20150213_Specialty] ([SPECIALTY_TYPE_ID], [CDE_PROV_SPEC_PRIM], [DSC_PROV_SPEC]) VALUES (2106, '347', N'Radiation Therapist')</v>
      </c>
    </row>
    <row r="121" spans="1:5" x14ac:dyDescent="0.25">
      <c r="A121">
        <v>348</v>
      </c>
      <c r="B121" t="s">
        <v>1063</v>
      </c>
      <c r="C121">
        <v>2107</v>
      </c>
      <c r="E121" t="str">
        <f t="shared" si="1"/>
        <v>INSERT [dbo].[Import_20150213_Specialty] ([SPECIALTY_TYPE_ID], [CDE_PROV_SPEC_PRIM], [DSC_PROV_SPEC]) VALUES (2107, '348', N'Osteopathic Manipulative Medicine')</v>
      </c>
    </row>
    <row r="122" spans="1:5" x14ac:dyDescent="0.25">
      <c r="A122">
        <v>349</v>
      </c>
      <c r="B122" t="s">
        <v>1063</v>
      </c>
      <c r="C122" t="e">
        <v>#N/A</v>
      </c>
      <c r="E122" t="str">
        <f t="shared" si="1"/>
        <v>INSERT [dbo].[Import_20150213_Specialty] ([SPECIALTY_TYPE_ID], [CDE_PROV_SPEC_PRIM], [DSC_PROV_SPEC]) VALUES (, '349', N'Osteopathic Manipulative Medicine')</v>
      </c>
    </row>
    <row r="123" spans="1:5" x14ac:dyDescent="0.25">
      <c r="A123">
        <v>349</v>
      </c>
      <c r="B123" t="s">
        <v>1044</v>
      </c>
      <c r="C123">
        <v>2108</v>
      </c>
      <c r="E123" t="str">
        <f t="shared" si="1"/>
        <v>INSERT [dbo].[Import_20150213_Specialty] ([SPECIALTY_TYPE_ID], [CDE_PROV_SPEC_PRIM], [DSC_PROV_SPEC]) VALUES (2108, '349', N'Pediatric Oncology')</v>
      </c>
    </row>
    <row r="124" spans="1:5" x14ac:dyDescent="0.25">
      <c r="A124">
        <v>350</v>
      </c>
      <c r="B124" t="s">
        <v>1063</v>
      </c>
      <c r="C124" t="e">
        <v>#N/A</v>
      </c>
      <c r="E124" t="str">
        <f t="shared" si="1"/>
        <v>INSERT [dbo].[Import_20150213_Specialty] ([SPECIALTY_TYPE_ID], [CDE_PROV_SPEC_PRIM], [DSC_PROV_SPEC]) VALUES (, '350', N'Osteopathic Manipulative Medicine')</v>
      </c>
    </row>
    <row r="125" spans="1:5" x14ac:dyDescent="0.25">
      <c r="A125">
        <v>350</v>
      </c>
      <c r="B125" t="s">
        <v>1015</v>
      </c>
      <c r="C125">
        <v>2109</v>
      </c>
      <c r="E125" t="str">
        <f t="shared" si="1"/>
        <v>INSERT [dbo].[Import_20150213_Specialty] ([SPECIALTY_TYPE_ID], [CDE_PROV_SPEC_PRIM], [DSC_PROV_SPEC]) VALUES (2109, '350', N'Rheumatologist')</v>
      </c>
    </row>
    <row r="126" spans="1:5" x14ac:dyDescent="0.25">
      <c r="A126">
        <v>351</v>
      </c>
      <c r="B126" t="s">
        <v>1377</v>
      </c>
      <c r="C126">
        <v>170</v>
      </c>
      <c r="E126" t="str">
        <f t="shared" si="1"/>
        <v>INSERT [dbo].[Import_20150213_Specialty] ([SPECIALTY_TYPE_ID], [CDE_PROV_SPEC_PRIM], [DSC_PROV_SPEC]) VALUES (170, '351', N'Radiation Oncology')</v>
      </c>
    </row>
    <row r="127" spans="1:5" x14ac:dyDescent="0.25">
      <c r="A127">
        <v>352</v>
      </c>
      <c r="B127" t="s">
        <v>1054</v>
      </c>
      <c r="C127">
        <v>2110</v>
      </c>
      <c r="E127" t="str">
        <f t="shared" si="1"/>
        <v>INSERT [dbo].[Import_20150213_Specialty] ([SPECIALTY_TYPE_ID], [CDE_PROV_SPEC_PRIM], [DSC_PROV_SPEC]) VALUES (2110, '352', N'Surgical Oncology')</v>
      </c>
    </row>
    <row r="128" spans="1:5" x14ac:dyDescent="0.25">
      <c r="A128">
        <v>353</v>
      </c>
      <c r="B128" t="s">
        <v>1185</v>
      </c>
      <c r="C128">
        <v>2111</v>
      </c>
      <c r="E128" t="str">
        <f t="shared" si="1"/>
        <v>INSERT [dbo].[Import_20150213_Specialty] ([SPECIALTY_TYPE_ID], [CDE_PROV_SPEC_PRIM], [DSC_PROV_SPEC]) VALUES (2111, '353', N'Gynecologist')</v>
      </c>
    </row>
    <row r="129" spans="1:5" x14ac:dyDescent="0.25">
      <c r="A129">
        <v>354</v>
      </c>
      <c r="B129" t="s">
        <v>1189</v>
      </c>
      <c r="C129">
        <v>2112</v>
      </c>
      <c r="E129" t="str">
        <f t="shared" si="1"/>
        <v>INSERT [dbo].[Import_20150213_Specialty] ([SPECIALTY_TYPE_ID], [CDE_PROV_SPEC_PRIM], [DSC_PROV_SPEC]) VALUES (2112, '354', N'Obstetrician')</v>
      </c>
    </row>
    <row r="130" spans="1:5" x14ac:dyDescent="0.25">
      <c r="A130">
        <v>355</v>
      </c>
      <c r="B130" t="s">
        <v>1234</v>
      </c>
      <c r="C130">
        <v>2113</v>
      </c>
      <c r="E130" t="str">
        <f t="shared" ref="E130:E193" si="2">"INSERT [dbo].[Import_20150213_Specialty] ([SPECIALTY_TYPE_ID], [CDE_PROV_SPEC_PRIM], [DSC_PROV_SPEC]) VALUES (" &amp; IF(ISNA(C130), "", C130) &amp; ", '" &amp; A130 &amp;  "', N'" &amp; TRIM(B130) &amp; "')"</f>
        <v>INSERT [dbo].[Import_20150213_Specialty] ([SPECIALTY_TYPE_ID], [CDE_PROV_SPEC_PRIM], [DSC_PROV_SPEC]) VALUES (2113, '355', N'Pathology - Clinical')</v>
      </c>
    </row>
    <row r="131" spans="1:5" x14ac:dyDescent="0.25">
      <c r="A131">
        <v>356</v>
      </c>
      <c r="B131" t="s">
        <v>992</v>
      </c>
      <c r="C131">
        <v>235</v>
      </c>
      <c r="E131" t="str">
        <f t="shared" si="2"/>
        <v>INSERT [dbo].[Import_20150213_Specialty] ([SPECIALTY_TYPE_ID], [CDE_PROV_SPEC_PRIM], [DSC_PROV_SPEC]) VALUES (235, '356', N'Addiction Medicine')</v>
      </c>
    </row>
    <row r="132" spans="1:5" x14ac:dyDescent="0.25">
      <c r="A132">
        <v>357</v>
      </c>
      <c r="B132" t="s">
        <v>536</v>
      </c>
      <c r="C132">
        <v>2114</v>
      </c>
      <c r="E132" t="str">
        <f t="shared" si="2"/>
        <v>INSERT [dbo].[Import_20150213_Specialty] ([SPECIALTY_TYPE_ID], [CDE_PROV_SPEC_PRIM], [DSC_PROV_SPEC]) VALUES (2114, '357', N'Genetics')</v>
      </c>
    </row>
    <row r="133" spans="1:5" x14ac:dyDescent="0.25">
      <c r="A133">
        <v>358</v>
      </c>
      <c r="B133" t="s">
        <v>1005</v>
      </c>
      <c r="C133">
        <v>77</v>
      </c>
      <c r="E133" t="str">
        <f t="shared" si="2"/>
        <v>INSERT [dbo].[Import_20150213_Specialty] ([SPECIALTY_TYPE_ID], [CDE_PROV_SPEC_PRIM], [DSC_PROV_SPEC]) VALUES (77, '358', N'Hematology')</v>
      </c>
    </row>
    <row r="134" spans="1:5" x14ac:dyDescent="0.25">
      <c r="A134">
        <v>359</v>
      </c>
      <c r="B134" t="s">
        <v>1012</v>
      </c>
      <c r="C134">
        <v>299</v>
      </c>
      <c r="E134" t="str">
        <f t="shared" si="2"/>
        <v>INSERT [dbo].[Import_20150213_Specialty] ([SPECIALTY_TYPE_ID], [CDE_PROV_SPEC_PRIM], [DSC_PROV_SPEC]) VALUES (299, '359', N'Infectious Diseases')</v>
      </c>
    </row>
    <row r="135" spans="1:5" x14ac:dyDescent="0.25">
      <c r="A135">
        <v>360</v>
      </c>
      <c r="B135" t="s">
        <v>1452</v>
      </c>
      <c r="C135" t="e">
        <v>#N/A</v>
      </c>
      <c r="E135" t="str">
        <f t="shared" si="2"/>
        <v>INSERT [dbo].[Import_20150213_Specialty] ([SPECIALTY_TYPE_ID], [CDE_PROV_SPEC_PRIM], [DSC_PROV_SPEC]) VALUES (, '360', N'Personal Care - Individual')</v>
      </c>
    </row>
    <row r="136" spans="1:5" x14ac:dyDescent="0.25">
      <c r="A136">
        <v>361</v>
      </c>
      <c r="B136" t="s">
        <v>1449</v>
      </c>
      <c r="C136" t="e">
        <v>#N/A</v>
      </c>
      <c r="E136" t="str">
        <f t="shared" si="2"/>
        <v>INSERT [dbo].[Import_20150213_Specialty] ([SPECIALTY_TYPE_ID], [CDE_PROV_SPEC_PRIM], [DSC_PROV_SPEC]) VALUES (, '361', N'Personal Care - Agency')</v>
      </c>
    </row>
    <row r="137" spans="1:5" x14ac:dyDescent="0.25">
      <c r="A137">
        <v>365</v>
      </c>
      <c r="B137" t="s">
        <v>1018</v>
      </c>
      <c r="C137">
        <v>2115</v>
      </c>
      <c r="E137" t="str">
        <f t="shared" si="2"/>
        <v>INSERT [dbo].[Import_20150213_Specialty] ([SPECIALTY_TYPE_ID], [CDE_PROV_SPEC_PRIM], [DSC_PROV_SPEC]) VALUES (2115, '365', N'Oncologist')</v>
      </c>
    </row>
    <row r="138" spans="1:5" x14ac:dyDescent="0.25">
      <c r="A138">
        <v>366</v>
      </c>
      <c r="B138" t="s">
        <v>1074</v>
      </c>
      <c r="C138">
        <v>2116</v>
      </c>
      <c r="E138" t="str">
        <f t="shared" si="2"/>
        <v>INSERT [dbo].[Import_20150213_Specialty] ([SPECIALTY_TYPE_ID], [CDE_PROV_SPEC_PRIM], [DSC_PROV_SPEC]) VALUES (2116, '366', N'Allergist - Pediatric')</v>
      </c>
    </row>
    <row r="139" spans="1:5" x14ac:dyDescent="0.25">
      <c r="A139">
        <v>380</v>
      </c>
      <c r="B139" t="s">
        <v>1468</v>
      </c>
      <c r="C139" t="e">
        <v>#N/A</v>
      </c>
      <c r="E139" t="str">
        <f t="shared" si="2"/>
        <v>INSERT [dbo].[Import_20150213_Specialty] ([SPECIALTY_TYPE_ID], [CDE_PROV_SPEC_PRIM], [DSC_PROV_SPEC]) VALUES (, '380', N'Respite Care - Community Based')</v>
      </c>
    </row>
    <row r="140" spans="1:5" x14ac:dyDescent="0.25">
      <c r="A140">
        <v>381</v>
      </c>
      <c r="B140" t="s">
        <v>1469</v>
      </c>
      <c r="C140" t="e">
        <v>#N/A</v>
      </c>
      <c r="E140" t="str">
        <f t="shared" si="2"/>
        <v>INSERT [dbo].[Import_20150213_Specialty] ([SPECIALTY_TYPE_ID], [CDE_PROV_SPEC_PRIM], [DSC_PROV_SPEC]) VALUES (, '381', N'Respite Care - Home Based')</v>
      </c>
    </row>
    <row r="141" spans="1:5" x14ac:dyDescent="0.25">
      <c r="A141">
        <v>390</v>
      </c>
      <c r="B141" t="s">
        <v>1475</v>
      </c>
      <c r="C141" t="e">
        <v>#N/A</v>
      </c>
      <c r="E141" t="str">
        <f t="shared" si="2"/>
        <v>INSERT [dbo].[Import_20150213_Specialty] ([SPECIALTY_TYPE_ID], [CDE_PROV_SPEC_PRIM], [DSC_PROV_SPEC]) VALUES (, '390', N'Habilitation Training Specialist')</v>
      </c>
    </row>
    <row r="142" spans="1:5" x14ac:dyDescent="0.25">
      <c r="A142">
        <v>391</v>
      </c>
      <c r="B142" t="s">
        <v>1476</v>
      </c>
      <c r="C142" t="e">
        <v>#N/A</v>
      </c>
      <c r="E142" t="str">
        <f t="shared" si="2"/>
        <v>INSERT [dbo].[Import_20150213_Specialty] ([SPECIALTY_TYPE_ID], [CDE_PROV_SPEC_PRIM], [DSC_PROV_SPEC]) VALUES (, '391', N'Agency Companion')</v>
      </c>
    </row>
    <row r="143" spans="1:5" x14ac:dyDescent="0.25">
      <c r="A143">
        <v>392</v>
      </c>
      <c r="B143" t="s">
        <v>1474</v>
      </c>
      <c r="C143" t="e">
        <v>#N/A</v>
      </c>
      <c r="E143" t="str">
        <f t="shared" si="2"/>
        <v>INSERT [dbo].[Import_20150213_Specialty] ([SPECIALTY_TYPE_ID], [CDE_PROV_SPEC_PRIM], [DSC_PROV_SPEC]) VALUES (, '392', N'Daily Living Supports')</v>
      </c>
    </row>
    <row r="144" spans="1:5" x14ac:dyDescent="0.25">
      <c r="A144">
        <v>410</v>
      </c>
      <c r="B144" t="s">
        <v>1485</v>
      </c>
      <c r="C144" t="e">
        <v>#N/A</v>
      </c>
      <c r="E144" t="str">
        <f t="shared" si="2"/>
        <v>INSERT [dbo].[Import_20150213_Specialty] ([SPECIALTY_TYPE_ID], [CDE_PROV_SPEC_PRIM], [DSC_PROV_SPEC]) VALUES (, '410', N'Adult Day Care')</v>
      </c>
    </row>
    <row r="145" spans="1:5" x14ac:dyDescent="0.25">
      <c r="A145">
        <v>420</v>
      </c>
      <c r="B145" t="s">
        <v>1488</v>
      </c>
      <c r="C145" t="e">
        <v>#N/A</v>
      </c>
      <c r="E145" t="str">
        <f t="shared" si="2"/>
        <v>INSERT [dbo].[Import_20150213_Specialty] ([SPECIALTY_TYPE_ID], [CDE_PROV_SPEC_PRIM], [DSC_PROV_SPEC]) VALUES (, '420', N'Employee Training Specialist')</v>
      </c>
    </row>
    <row r="146" spans="1:5" x14ac:dyDescent="0.25">
      <c r="A146">
        <v>430</v>
      </c>
      <c r="B146" t="s">
        <v>1491</v>
      </c>
      <c r="C146" t="e">
        <v>#N/A</v>
      </c>
      <c r="E146" t="str">
        <f t="shared" si="2"/>
        <v>INSERT [dbo].[Import_20150213_Specialty] ([SPECIALTY_TYPE_ID], [CDE_PROV_SPEC_PRIM], [DSC_PROV_SPEC]) VALUES (, '430', N'Homemaker Services')</v>
      </c>
    </row>
    <row r="147" spans="1:5" x14ac:dyDescent="0.25">
      <c r="A147">
        <v>440</v>
      </c>
      <c r="B147" t="s">
        <v>1494</v>
      </c>
      <c r="C147" t="e">
        <v>#N/A</v>
      </c>
      <c r="E147" t="str">
        <f t="shared" si="2"/>
        <v>INSERT [dbo].[Import_20150213_Specialty] ([SPECIALTY_TYPE_ID], [CDE_PROV_SPEC_PRIM], [DSC_PROV_SPEC]) VALUES (, '440', N'Architectural Modification')</v>
      </c>
    </row>
    <row r="148" spans="1:5" x14ac:dyDescent="0.25">
      <c r="A148">
        <v>450</v>
      </c>
      <c r="B148" t="s">
        <v>1503</v>
      </c>
      <c r="C148" t="e">
        <v>#N/A</v>
      </c>
      <c r="E148" t="str">
        <f t="shared" si="2"/>
        <v>INSERT [dbo].[Import_20150213_Specialty] ([SPECIALTY_TYPE_ID], [CDE_PROV_SPEC_PRIM], [DSC_PROV_SPEC]) VALUES (, '450', N'RBMS Room and Board')</v>
      </c>
    </row>
    <row r="149" spans="1:5" x14ac:dyDescent="0.25">
      <c r="A149">
        <v>451</v>
      </c>
      <c r="B149" t="s">
        <v>1502</v>
      </c>
      <c r="C149" t="e">
        <v>#N/A</v>
      </c>
      <c r="E149" t="str">
        <f t="shared" si="2"/>
        <v>INSERT [dbo].[Import_20150213_Specialty] ([SPECIALTY_TYPE_ID], [CDE_PROV_SPEC_PRIM], [DSC_PROV_SPEC]) VALUES (, '451', N'RBMS Therapeutic Foster Care')</v>
      </c>
    </row>
    <row r="150" spans="1:5" x14ac:dyDescent="0.25">
      <c r="A150">
        <v>460</v>
      </c>
      <c r="B150" t="s">
        <v>1507</v>
      </c>
      <c r="C150" t="e">
        <v>#N/A</v>
      </c>
      <c r="E150" t="str">
        <f t="shared" si="2"/>
        <v>INSERT [dbo].[Import_20150213_Specialty] ([SPECIALTY_TYPE_ID], [CDE_PROV_SPEC_PRIM], [DSC_PROV_SPEC]) VALUES (, '460', N'Advantage Home Delivered Meal')</v>
      </c>
    </row>
    <row r="151" spans="1:5" x14ac:dyDescent="0.25">
      <c r="A151">
        <v>470</v>
      </c>
      <c r="B151" t="s">
        <v>1512</v>
      </c>
      <c r="C151" t="e">
        <v>#N/A</v>
      </c>
      <c r="E151" t="str">
        <f t="shared" si="2"/>
        <v>INSERT [dbo].[Import_20150213_Specialty] ([SPECIALTY_TYPE_ID], [CDE_PROV_SPEC_PRIM], [DSC_PROV_SPEC]) VALUES (, '470', N'Free Standing Birthing Center')</v>
      </c>
    </row>
    <row r="152" spans="1:5" x14ac:dyDescent="0.25">
      <c r="A152">
        <v>480</v>
      </c>
      <c r="B152" t="s">
        <v>1513</v>
      </c>
      <c r="C152" t="e">
        <v>#N/A</v>
      </c>
      <c r="E152" t="str">
        <f t="shared" si="2"/>
        <v>INSERT [dbo].[Import_20150213_Specialty] ([SPECIALTY_TYPE_ID], [CDE_PROV_SPEC_PRIM], [DSC_PROV_SPEC]) VALUES (, '480', N'DDSD-NFM')</v>
      </c>
    </row>
    <row r="153" spans="1:5" x14ac:dyDescent="0.25">
      <c r="A153">
        <v>493</v>
      </c>
      <c r="B153" t="s">
        <v>542</v>
      </c>
      <c r="C153" t="e">
        <v>#N/A</v>
      </c>
      <c r="E153" t="str">
        <f t="shared" si="2"/>
        <v>INSERT [dbo].[Import_20150213_Specialty] ([SPECIALTY_TYPE_ID], [CDE_PROV_SPEC_PRIM], [DSC_PROV_SPEC]) VALUES (, '493', N'DDSD-Supportive Living Arrangements')</v>
      </c>
    </row>
    <row r="154" spans="1:5" x14ac:dyDescent="0.25">
      <c r="A154">
        <v>495</v>
      </c>
      <c r="B154" t="s">
        <v>931</v>
      </c>
      <c r="C154">
        <v>2117</v>
      </c>
      <c r="E154" t="str">
        <f t="shared" si="2"/>
        <v>INSERT [dbo].[Import_20150213_Specialty] ([SPECIALTY_TYPE_ID], [CDE_PROV_SPEC_PRIM], [DSC_PROV_SPEC]) VALUES (2117, '495', N'Anesthesiologist - Other')</v>
      </c>
    </row>
    <row r="155" spans="1:5" x14ac:dyDescent="0.25">
      <c r="A155">
        <v>500</v>
      </c>
      <c r="B155" t="s">
        <v>1517</v>
      </c>
      <c r="C155" t="e">
        <v>#N/A</v>
      </c>
      <c r="E155" t="str">
        <f t="shared" si="2"/>
        <v>INSERT [dbo].[Import_20150213_Specialty] ([SPECIALTY_TYPE_ID], [CDE_PROV_SPEC_PRIM], [DSC_PROV_SPEC]) VALUES (, '500', N'State Agency')</v>
      </c>
    </row>
    <row r="156" spans="1:5" x14ac:dyDescent="0.25">
      <c r="A156">
        <v>501</v>
      </c>
      <c r="B156" t="s">
        <v>1518</v>
      </c>
      <c r="C156" t="e">
        <v>#N/A</v>
      </c>
      <c r="E156" t="str">
        <f t="shared" si="2"/>
        <v>INSERT [dbo].[Import_20150213_Specialty] ([SPECIALTY_TYPE_ID], [CDE_PROV_SPEC_PRIM], [DSC_PROV_SPEC]) VALUES (, '501', N'TPL Carrier')</v>
      </c>
    </row>
    <row r="157" spans="1:5" x14ac:dyDescent="0.25">
      <c r="A157">
        <v>502</v>
      </c>
      <c r="B157" t="s">
        <v>1519</v>
      </c>
      <c r="C157" t="e">
        <v>#N/A</v>
      </c>
      <c r="E157" t="str">
        <f t="shared" si="2"/>
        <v>INSERT [dbo].[Import_20150213_Specialty] ([SPECIALTY_TYPE_ID], [CDE_PROV_SPEC_PRIM], [DSC_PROV_SPEC]) VALUES (, '502', N'Insurance Carrier')</v>
      </c>
    </row>
    <row r="158" spans="1:5" x14ac:dyDescent="0.25">
      <c r="A158">
        <v>510</v>
      </c>
      <c r="B158" t="s">
        <v>2567</v>
      </c>
      <c r="C158">
        <v>2144</v>
      </c>
      <c r="E158" t="str">
        <f t="shared" si="2"/>
        <v>INSERT [dbo].[Import_20150213_Specialty] ([SPECIALTY_TYPE_ID], [CDE_PROV_SPEC_PRIM], [DSC_PROV_SPEC]) VALUES (2144, '510', N'HCBS - IID Waiver Facility')</v>
      </c>
    </row>
    <row r="159" spans="1:5" x14ac:dyDescent="0.25">
      <c r="A159">
        <v>511</v>
      </c>
      <c r="B159" t="s">
        <v>1845</v>
      </c>
      <c r="C159" t="e">
        <v>#N/A</v>
      </c>
      <c r="E159" t="str">
        <f t="shared" si="2"/>
        <v>INSERT [dbo].[Import_20150213_Specialty] ([SPECIALTY_TYPE_ID], [CDE_PROV_SPEC_PRIM], [DSC_PROV_SPEC]) VALUES (, '511', N'Health Educator')</v>
      </c>
    </row>
    <row r="160" spans="1:5" x14ac:dyDescent="0.25">
      <c r="A160">
        <v>520</v>
      </c>
      <c r="B160" t="s">
        <v>1435</v>
      </c>
      <c r="C160">
        <v>518</v>
      </c>
      <c r="E160" t="str">
        <f t="shared" si="2"/>
        <v>INSERT [dbo].[Import_20150213_Specialty] ([SPECIALTY_TYPE_ID], [CDE_PROV_SPEC_PRIM], [DSC_PROV_SPEC]) VALUES (518, '520', N'Clinical Pharmacology')</v>
      </c>
    </row>
    <row r="161" spans="1:5" x14ac:dyDescent="0.25">
      <c r="A161">
        <v>530</v>
      </c>
      <c r="B161" t="s">
        <v>1421</v>
      </c>
      <c r="C161">
        <v>622</v>
      </c>
      <c r="E161" t="str">
        <f t="shared" si="2"/>
        <v>INSERT [dbo].[Import_20150213_Specialty] ([SPECIALTY_TYPE_ID], [CDE_PROV_SPEC_PRIM], [DSC_PROV_SPEC]) VALUES (622, '530', N'Legal Medicine')</v>
      </c>
    </row>
    <row r="162" spans="1:5" x14ac:dyDescent="0.25">
      <c r="A162">
        <v>540</v>
      </c>
      <c r="B162" t="s">
        <v>1424</v>
      </c>
      <c r="C162">
        <v>1980</v>
      </c>
      <c r="E162" t="str">
        <f t="shared" si="2"/>
        <v>INSERT [dbo].[Import_20150213_Specialty] ([SPECIALTY_TYPE_ID], [CDE_PROV_SPEC_PRIM], [DSC_PROV_SPEC]) VALUES (1980, '540', N'Phlebology')</v>
      </c>
    </row>
    <row r="163" spans="1:5" x14ac:dyDescent="0.25">
      <c r="A163">
        <v>550</v>
      </c>
      <c r="B163" t="s">
        <v>1633</v>
      </c>
      <c r="C163" t="e">
        <v>#N/A</v>
      </c>
      <c r="E163" t="str">
        <f t="shared" si="2"/>
        <v>INSERT [dbo].[Import_20150213_Specialty] ([SPECIALTY_TYPE_ID], [CDE_PROV_SPEC_PRIM], [DSC_PROV_SPEC]) VALUES (, '550', N'Dental Assistant')</v>
      </c>
    </row>
    <row r="164" spans="1:5" x14ac:dyDescent="0.25">
      <c r="A164">
        <v>551</v>
      </c>
      <c r="B164" t="s">
        <v>1645</v>
      </c>
      <c r="C164" t="e">
        <v>#N/A</v>
      </c>
      <c r="E164" t="str">
        <f t="shared" si="2"/>
        <v>INSERT [dbo].[Import_20150213_Specialty] ([SPECIALTY_TYPE_ID], [CDE_PROV_SPEC_PRIM], [DSC_PROV_SPEC]) VALUES (, '551', N'Dental Hygienist')</v>
      </c>
    </row>
    <row r="165" spans="1:5" x14ac:dyDescent="0.25">
      <c r="A165">
        <v>552</v>
      </c>
      <c r="B165" t="s">
        <v>1531</v>
      </c>
      <c r="C165" t="e">
        <v>#N/A</v>
      </c>
      <c r="E165" t="str">
        <f t="shared" si="2"/>
        <v>INSERT [dbo].[Import_20150213_Specialty] ([SPECIALTY_TYPE_ID], [CDE_PROV_SPEC_PRIM], [DSC_PROV_SPEC]) VALUES (, '552', N'Dental Laboratory Techinician')</v>
      </c>
    </row>
    <row r="166" spans="1:5" x14ac:dyDescent="0.25">
      <c r="A166">
        <v>560</v>
      </c>
      <c r="B166" t="s">
        <v>1540</v>
      </c>
      <c r="C166" t="e">
        <v>#N/A</v>
      </c>
      <c r="E166" t="str">
        <f t="shared" si="2"/>
        <v>INSERT [dbo].[Import_20150213_Specialty] ([SPECIALTY_TYPE_ID], [CDE_PROV_SPEC_PRIM], [DSC_PROV_SPEC]) VALUES (, '560', N'Emergency Medical Technician, Basic')</v>
      </c>
    </row>
    <row r="167" spans="1:5" x14ac:dyDescent="0.25">
      <c r="A167">
        <v>561</v>
      </c>
      <c r="B167" t="s">
        <v>1537</v>
      </c>
      <c r="C167" t="e">
        <v>#N/A</v>
      </c>
      <c r="E167" t="str">
        <f t="shared" si="2"/>
        <v>INSERT [dbo].[Import_20150213_Specialty] ([SPECIALTY_TYPE_ID], [CDE_PROV_SPEC_PRIM], [DSC_PROV_SPEC]) VALUES (, '561', N'Emergency Medical Technician, Intermediate')</v>
      </c>
    </row>
    <row r="168" spans="1:5" x14ac:dyDescent="0.25">
      <c r="A168">
        <v>562</v>
      </c>
      <c r="B168" t="s">
        <v>1534</v>
      </c>
      <c r="C168" t="e">
        <v>#N/A</v>
      </c>
      <c r="E168" t="str">
        <f t="shared" si="2"/>
        <v>INSERT [dbo].[Import_20150213_Specialty] ([SPECIALTY_TYPE_ID], [CDE_PROV_SPEC_PRIM], [DSC_PROV_SPEC]) VALUES (, '562', N'Emergency Medical Technician, Paramedic')</v>
      </c>
    </row>
    <row r="169" spans="1:5" x14ac:dyDescent="0.25">
      <c r="A169">
        <v>570</v>
      </c>
      <c r="B169" t="s">
        <v>1543</v>
      </c>
      <c r="C169" t="e">
        <v>#N/A</v>
      </c>
      <c r="E169" t="str">
        <f t="shared" si="2"/>
        <v>INSERT [dbo].[Import_20150213_Specialty] ([SPECIALTY_TYPE_ID], [CDE_PROV_SPEC_PRIM], [DSC_PROV_SPEC]) VALUES (, '570', N'Licensed Psychiatric Techinician')</v>
      </c>
    </row>
    <row r="170" spans="1:5" x14ac:dyDescent="0.25">
      <c r="A170">
        <v>580</v>
      </c>
      <c r="B170" t="s">
        <v>1590</v>
      </c>
      <c r="C170" t="e">
        <v>#N/A</v>
      </c>
      <c r="E170" t="str">
        <f t="shared" si="2"/>
        <v>INSERT [dbo].[Import_20150213_Specialty] ([SPECIALTY_TYPE_ID], [CDE_PROV_SPEC_PRIM], [DSC_PROV_SPEC]) VALUES (, '580', N'Nurse Technician')</v>
      </c>
    </row>
    <row r="171" spans="1:5" x14ac:dyDescent="0.25">
      <c r="A171">
        <v>581</v>
      </c>
      <c r="B171" t="s">
        <v>1649</v>
      </c>
      <c r="C171" t="e">
        <v>#N/A</v>
      </c>
      <c r="E171" t="str">
        <f t="shared" si="2"/>
        <v>INSERT [dbo].[Import_20150213_Specialty] ([SPECIALTY_TYPE_ID], [CDE_PROV_SPEC_PRIM], [DSC_PROV_SPEC]) VALUES (, '581', N'Nursing Home Administrator')</v>
      </c>
    </row>
    <row r="172" spans="1:5" x14ac:dyDescent="0.25">
      <c r="A172">
        <v>590</v>
      </c>
      <c r="B172" t="s">
        <v>1652</v>
      </c>
      <c r="C172" t="e">
        <v>#N/A</v>
      </c>
      <c r="E172" t="str">
        <f t="shared" si="2"/>
        <v>INSERT [dbo].[Import_20150213_Specialty] ([SPECIALTY_TYPE_ID], [CDE_PROV_SPEC_PRIM], [DSC_PROV_SPEC]) VALUES (, '590', N'Homeopath')</v>
      </c>
    </row>
    <row r="173" spans="1:5" x14ac:dyDescent="0.25">
      <c r="A173">
        <v>591</v>
      </c>
      <c r="B173" t="s">
        <v>1655</v>
      </c>
      <c r="C173" t="e">
        <v>#N/A</v>
      </c>
      <c r="E173" t="str">
        <f t="shared" si="2"/>
        <v>INSERT [dbo].[Import_20150213_Specialty] ([SPECIALTY_TYPE_ID], [CDE_PROV_SPEC_PRIM], [DSC_PROV_SPEC]) VALUES (, '591', N'Interpreter')</v>
      </c>
    </row>
    <row r="174" spans="1:5" x14ac:dyDescent="0.25">
      <c r="A174">
        <v>592</v>
      </c>
      <c r="B174" t="s">
        <v>1662</v>
      </c>
      <c r="C174" t="e">
        <v>#N/A</v>
      </c>
      <c r="E174" t="str">
        <f t="shared" si="2"/>
        <v>INSERT [dbo].[Import_20150213_Specialty] ([SPECIALTY_TYPE_ID], [CDE_PROV_SPEC_PRIM], [DSC_PROV_SPEC]) VALUES (, '592', N'Non-certified Midwife')</v>
      </c>
    </row>
    <row r="175" spans="1:5" x14ac:dyDescent="0.25">
      <c r="A175">
        <v>593</v>
      </c>
      <c r="B175" t="s">
        <v>1665</v>
      </c>
      <c r="C175" t="e">
        <v>#N/A</v>
      </c>
      <c r="E175" t="str">
        <f t="shared" si="2"/>
        <v>INSERT [dbo].[Import_20150213_Specialty] ([SPECIALTY_TYPE_ID], [CDE_PROV_SPEC_PRIM], [DSC_PROV_SPEC]) VALUES (, '593', N'Military Health Care Provider')</v>
      </c>
    </row>
    <row r="176" spans="1:5" x14ac:dyDescent="0.25">
      <c r="A176">
        <v>594</v>
      </c>
      <c r="B176" t="s">
        <v>1666</v>
      </c>
      <c r="C176" t="e">
        <v>#N/A</v>
      </c>
      <c r="E176" t="str">
        <f t="shared" si="2"/>
        <v>INSERT [dbo].[Import_20150213_Specialty] ([SPECIALTY_TYPE_ID], [CDE_PROV_SPEC_PRIM], [DSC_PROV_SPEC]) VALUES (, '594', N'Independent Duty Corpsman')</v>
      </c>
    </row>
    <row r="177" spans="1:5" x14ac:dyDescent="0.25">
      <c r="A177">
        <v>595</v>
      </c>
      <c r="B177" t="s">
        <v>1668</v>
      </c>
      <c r="C177" t="e">
        <v>#N/A</v>
      </c>
      <c r="E177" t="str">
        <f t="shared" si="2"/>
        <v>INSERT [dbo].[Import_20150213_Specialty] ([SPECIALTY_TYPE_ID], [CDE_PROV_SPEC_PRIM], [DSC_PROV_SPEC]) VALUES (, '595', N'Independent Duty Medical Technicians')</v>
      </c>
    </row>
    <row r="178" spans="1:5" x14ac:dyDescent="0.25">
      <c r="A178">
        <v>596</v>
      </c>
      <c r="B178" t="s">
        <v>1676</v>
      </c>
      <c r="C178" t="e">
        <v>#N/A</v>
      </c>
      <c r="E178" t="str">
        <f t="shared" si="2"/>
        <v>INSERT [dbo].[Import_20150213_Specialty] ([SPECIALTY_TYPE_ID], [CDE_PROV_SPEC_PRIM], [DSC_PROV_SPEC]) VALUES (, '596', N'Naprapath')</v>
      </c>
    </row>
    <row r="179" spans="1:5" x14ac:dyDescent="0.25">
      <c r="A179">
        <v>597</v>
      </c>
      <c r="B179" t="s">
        <v>1679</v>
      </c>
      <c r="C179" t="e">
        <v>#N/A</v>
      </c>
      <c r="E179" t="str">
        <f t="shared" si="2"/>
        <v>INSERT [dbo].[Import_20150213_Specialty] ([SPECIALTY_TYPE_ID], [CDE_PROV_SPEC_PRIM], [DSC_PROV_SPEC]) VALUES (, '597', N'Naturopath')</v>
      </c>
    </row>
    <row r="180" spans="1:5" x14ac:dyDescent="0.25">
      <c r="A180">
        <v>598</v>
      </c>
      <c r="B180" t="s">
        <v>1685</v>
      </c>
      <c r="C180" t="e">
        <v>#N/A</v>
      </c>
      <c r="E180" t="str">
        <f t="shared" si="2"/>
        <v>INSERT [dbo].[Import_20150213_Specialty] ([SPECIALTY_TYPE_ID], [CDE_PROV_SPEC_PRIM], [DSC_PROV_SPEC]) VALUES (, '598', N'Graphic Designer')</v>
      </c>
    </row>
    <row r="181" spans="1:5" x14ac:dyDescent="0.25">
      <c r="A181">
        <v>599</v>
      </c>
      <c r="B181" t="s">
        <v>1688</v>
      </c>
      <c r="C181" t="e">
        <v>#N/A</v>
      </c>
      <c r="E181" t="str">
        <f t="shared" si="2"/>
        <v>INSERT [dbo].[Import_20150213_Specialty] ([SPECIALTY_TYPE_ID], [CDE_PROV_SPEC_PRIM], [DSC_PROV_SPEC]) VALUES (, '599', N'Prosthetics Case Manager')</v>
      </c>
    </row>
    <row r="182" spans="1:5" x14ac:dyDescent="0.25">
      <c r="A182">
        <v>600</v>
      </c>
      <c r="B182" t="s">
        <v>1694</v>
      </c>
      <c r="C182" t="e">
        <v>#N/A</v>
      </c>
      <c r="E182" t="str">
        <f t="shared" si="2"/>
        <v>INSERT [dbo].[Import_20150213_Specialty] ([SPECIALTY_TYPE_ID], [CDE_PROV_SPEC_PRIM], [DSC_PROV_SPEC]) VALUES (, '600', N'Research Data Abstractor/Coder')</v>
      </c>
    </row>
    <row r="183" spans="1:5" x14ac:dyDescent="0.25">
      <c r="A183">
        <v>601</v>
      </c>
      <c r="B183" t="s">
        <v>1691</v>
      </c>
      <c r="C183" t="e">
        <v>#N/A</v>
      </c>
      <c r="E183" t="str">
        <f t="shared" si="2"/>
        <v>INSERT [dbo].[Import_20150213_Specialty] ([SPECIALTY_TYPE_ID], [CDE_PROV_SPEC_PRIM], [DSC_PROV_SPEC]) VALUES (, '601', N'Research Study')</v>
      </c>
    </row>
    <row r="184" spans="1:5" x14ac:dyDescent="0.25">
      <c r="A184">
        <v>610</v>
      </c>
      <c r="B184" t="s">
        <v>1792</v>
      </c>
      <c r="C184" t="e">
        <v>#N/A</v>
      </c>
      <c r="E184" t="str">
        <f t="shared" si="2"/>
        <v>INSERT [dbo].[Import_20150213_Specialty] ([SPECIALTY_TYPE_ID], [CDE_PROV_SPEC_PRIM], [DSC_PROV_SPEC]) VALUES (, '610', N'Art Therapist')</v>
      </c>
    </row>
    <row r="185" spans="1:5" x14ac:dyDescent="0.25">
      <c r="A185">
        <v>611</v>
      </c>
      <c r="B185" t="s">
        <v>1798</v>
      </c>
      <c r="C185" t="e">
        <v>#N/A</v>
      </c>
      <c r="E185" t="str">
        <f t="shared" si="2"/>
        <v>INSERT [dbo].[Import_20150213_Specialty] ([SPECIALTY_TYPE_ID], [CDE_PROV_SPEC_PRIM], [DSC_PROV_SPEC]) VALUES (, '611', N'Dance Therapist')</v>
      </c>
    </row>
    <row r="186" spans="1:5" x14ac:dyDescent="0.25">
      <c r="A186">
        <v>612</v>
      </c>
      <c r="B186" t="s">
        <v>1795</v>
      </c>
      <c r="C186" t="e">
        <v>#N/A</v>
      </c>
      <c r="E186" t="str">
        <f t="shared" si="2"/>
        <v>INSERT [dbo].[Import_20150213_Specialty] ([SPECIALTY_TYPE_ID], [CDE_PROV_SPEC_PRIM], [DSC_PROV_SPEC]) VALUES (, '612', N'Developmental Therapist')</v>
      </c>
    </row>
    <row r="187" spans="1:5" x14ac:dyDescent="0.25">
      <c r="A187">
        <v>613</v>
      </c>
      <c r="B187" t="s">
        <v>1806</v>
      </c>
      <c r="C187" t="e">
        <v>#N/A</v>
      </c>
      <c r="E187" t="str">
        <f t="shared" si="2"/>
        <v>INSERT [dbo].[Import_20150213_Specialty] ([SPECIALTY_TYPE_ID], [CDE_PROV_SPEC_PRIM], [DSC_PROV_SPEC]) VALUES (, '613', N'Kinesiotherapist')</v>
      </c>
    </row>
    <row r="188" spans="1:5" x14ac:dyDescent="0.25">
      <c r="A188">
        <v>614</v>
      </c>
      <c r="B188" t="s">
        <v>1799</v>
      </c>
      <c r="C188" t="e">
        <v>#N/A</v>
      </c>
      <c r="E188" t="str">
        <f t="shared" si="2"/>
        <v>INSERT [dbo].[Import_20150213_Specialty] ([SPECIALTY_TYPE_ID], [CDE_PROV_SPEC_PRIM], [DSC_PROV_SPEC]) VALUES (, '614', N'Massage Therapist')</v>
      </c>
    </row>
    <row r="189" spans="1:5" x14ac:dyDescent="0.25">
      <c r="A189">
        <v>615</v>
      </c>
      <c r="B189" t="s">
        <v>1804</v>
      </c>
      <c r="C189" t="e">
        <v>#N/A</v>
      </c>
      <c r="E189" t="str">
        <f t="shared" si="2"/>
        <v>INSERT [dbo].[Import_20150213_Specialty] ([SPECIALTY_TYPE_ID], [CDE_PROV_SPEC_PRIM], [DSC_PROV_SPEC]) VALUES (, '615', N'Music Therapist')</v>
      </c>
    </row>
    <row r="190" spans="1:5" x14ac:dyDescent="0.25">
      <c r="A190">
        <v>616</v>
      </c>
      <c r="B190" t="s">
        <v>1803</v>
      </c>
      <c r="C190" t="e">
        <v>#N/A</v>
      </c>
      <c r="E190" t="str">
        <f t="shared" si="2"/>
        <v>INSERT [dbo].[Import_20150213_Specialty] ([SPECIALTY_TYPE_ID], [CDE_PROV_SPEC_PRIM], [DSC_PROV_SPEC]) VALUES (, '616', N'Recreation Therapist')</v>
      </c>
    </row>
    <row r="191" spans="1:5" x14ac:dyDescent="0.25">
      <c r="A191">
        <v>617</v>
      </c>
      <c r="B191" t="s">
        <v>458</v>
      </c>
      <c r="C191" t="e">
        <v>#N/A</v>
      </c>
      <c r="E191" t="str">
        <f t="shared" si="2"/>
        <v>INSERT [dbo].[Import_20150213_Specialty] ([SPECIALTY_TYPE_ID], [CDE_PROV_SPEC_PRIM], [DSC_PROV_SPEC]) VALUES (, '617', N'Poetry Therapist')</v>
      </c>
    </row>
    <row r="192" spans="1:5" x14ac:dyDescent="0.25">
      <c r="A192">
        <v>620</v>
      </c>
      <c r="B192" t="s">
        <v>1816</v>
      </c>
      <c r="C192" t="e">
        <v>#N/A</v>
      </c>
      <c r="E192" t="str">
        <f t="shared" si="2"/>
        <v>INSERT [dbo].[Import_20150213_Specialty] ([SPECIALTY_TYPE_ID], [CDE_PROV_SPEC_PRIM], [DSC_PROV_SPEC]) VALUES (, '620', N'Rehabilitation Counselor')</v>
      </c>
    </row>
    <row r="193" spans="1:5" x14ac:dyDescent="0.25">
      <c r="A193">
        <v>621</v>
      </c>
      <c r="B193" t="s">
        <v>823</v>
      </c>
      <c r="C193" t="e">
        <v>#N/A</v>
      </c>
      <c r="E193" t="str">
        <f t="shared" si="2"/>
        <v>INSERT [dbo].[Import_20150213_Specialty] ([SPECIALTY_TYPE_ID], [CDE_PROV_SPEC_PRIM], [DSC_PROV_SPEC]) VALUES (, '621', N'Assistive Technology Supplier')</v>
      </c>
    </row>
    <row r="194" spans="1:5" x14ac:dyDescent="0.25">
      <c r="A194">
        <v>622</v>
      </c>
      <c r="B194" t="s">
        <v>1821</v>
      </c>
      <c r="C194" t="e">
        <v>#N/A</v>
      </c>
      <c r="E194" t="str">
        <f t="shared" ref="E194:E257" si="3">"INSERT [dbo].[Import_20150213_Specialty] ([SPECIALTY_TYPE_ID], [CDE_PROV_SPEC_PRIM], [DSC_PROV_SPEC]) VALUES (" &amp; IF(ISNA(C194), "", C194) &amp; ", '" &amp; A194 &amp;  "', N'" &amp; TRIM(B194) &amp; "')"</f>
        <v>INSERT [dbo].[Import_20150213_Specialty] ([SPECIALTY_TYPE_ID], [CDE_PROV_SPEC_PRIM], [DSC_PROV_SPEC]) VALUES (, '622', N'Orientation and Mobility Training Provider')</v>
      </c>
    </row>
    <row r="195" spans="1:5" x14ac:dyDescent="0.25">
      <c r="A195">
        <v>623</v>
      </c>
      <c r="B195" t="s">
        <v>1698</v>
      </c>
      <c r="C195" t="e">
        <v>#N/A</v>
      </c>
      <c r="E195" t="str">
        <f t="shared" si="3"/>
        <v>INSERT [dbo].[Import_20150213_Specialty] ([SPECIALTY_TYPE_ID], [CDE_PROV_SPEC_PRIM], [DSC_PROV_SPEC]) VALUES (, '623', N'Athletic Trainer')</v>
      </c>
    </row>
    <row r="196" spans="1:5" x14ac:dyDescent="0.25">
      <c r="A196">
        <v>624</v>
      </c>
      <c r="B196" t="s">
        <v>1701</v>
      </c>
      <c r="C196" t="e">
        <v>#N/A</v>
      </c>
      <c r="E196" t="str">
        <f t="shared" si="3"/>
        <v>INSERT [dbo].[Import_20150213_Specialty] ([SPECIALTY_TYPE_ID], [CDE_PROV_SPEC_PRIM], [DSC_PROV_SPEC]) VALUES (, '624', N'Rehabilitation, Blind')</v>
      </c>
    </row>
    <row r="197" spans="1:5" x14ac:dyDescent="0.25">
      <c r="A197">
        <v>625</v>
      </c>
      <c r="B197" t="s">
        <v>824</v>
      </c>
      <c r="C197" t="e">
        <v>#N/A</v>
      </c>
      <c r="E197" t="str">
        <f t="shared" si="3"/>
        <v>INSERT [dbo].[Import_20150213_Specialty] ([SPECIALTY_TYPE_ID], [CDE_PROV_SPEC_PRIM], [DSC_PROV_SPEC]) VALUES (, '625', N'Audiologist-Hearing Aid Fitter')</v>
      </c>
    </row>
    <row r="198" spans="1:5" x14ac:dyDescent="0.25">
      <c r="A198">
        <v>626</v>
      </c>
      <c r="B198" t="s">
        <v>1703</v>
      </c>
      <c r="C198" t="e">
        <v>#N/A</v>
      </c>
      <c r="E198" t="str">
        <f t="shared" si="3"/>
        <v>INSERT [dbo].[Import_20150213_Specialty] ([SPECIALTY_TYPE_ID], [CDE_PROV_SPEC_PRIM], [DSC_PROV_SPEC]) VALUES (, '626', N'Hearing Instrument Specialist')</v>
      </c>
    </row>
    <row r="199" spans="1:5" x14ac:dyDescent="0.25">
      <c r="A199">
        <v>627</v>
      </c>
      <c r="B199" t="s">
        <v>1637</v>
      </c>
      <c r="C199" t="e">
        <v>#N/A</v>
      </c>
      <c r="E199" t="str">
        <f t="shared" si="3"/>
        <v>INSERT [dbo].[Import_20150213_Specialty] ([SPECIALTY_TYPE_ID], [CDE_PROV_SPEC_PRIM], [DSC_PROV_SPEC]) VALUES (, '627', N'Audiology Assistant')</v>
      </c>
    </row>
    <row r="200" spans="1:5" x14ac:dyDescent="0.25">
      <c r="A200">
        <v>628</v>
      </c>
      <c r="B200" t="s">
        <v>1638</v>
      </c>
      <c r="C200" t="e">
        <v>#N/A</v>
      </c>
      <c r="E200" t="str">
        <f t="shared" si="3"/>
        <v>INSERT [dbo].[Import_20150213_Specialty] ([SPECIALTY_TYPE_ID], [CDE_PROV_SPEC_PRIM], [DSC_PROV_SPEC]) VALUES (, '628', N'Speech-Language Assistant')</v>
      </c>
    </row>
    <row r="201" spans="1:5" x14ac:dyDescent="0.25">
      <c r="A201">
        <v>629</v>
      </c>
      <c r="B201" t="s">
        <v>1824</v>
      </c>
      <c r="C201" t="e">
        <v>#N/A</v>
      </c>
      <c r="E201" t="str">
        <f t="shared" si="3"/>
        <v>INSERT [dbo].[Import_20150213_Specialty] ([SPECIALTY_TYPE_ID], [CDE_PROV_SPEC_PRIM], [DSC_PROV_SPEC]) VALUES (, '629', N'Student in an Organized Health Care Education/Training Program')</v>
      </c>
    </row>
    <row r="202" spans="1:5" x14ac:dyDescent="0.25">
      <c r="A202">
        <v>630</v>
      </c>
      <c r="B202" t="s">
        <v>1598</v>
      </c>
      <c r="C202" t="e">
        <v>#N/A</v>
      </c>
      <c r="E202" t="str">
        <f t="shared" si="3"/>
        <v>INSERT [dbo].[Import_20150213_Specialty] ([SPECIALTY_TYPE_ID], [CDE_PROV_SPEC_PRIM], [DSC_PROV_SPEC]) VALUES (, '630', N'Perfusionist')</v>
      </c>
    </row>
    <row r="203" spans="1:5" x14ac:dyDescent="0.25">
      <c r="A203">
        <v>631</v>
      </c>
      <c r="B203" t="s">
        <v>1599</v>
      </c>
      <c r="C203" t="e">
        <v>#N/A</v>
      </c>
      <c r="E203" t="str">
        <f t="shared" si="3"/>
        <v>INSERT [dbo].[Import_20150213_Specialty] ([SPECIALTY_TYPE_ID], [CDE_PROV_SPEC_PRIM], [DSC_PROV_SPEC]) VALUES (, '631', N'Radiologic Technologist')</v>
      </c>
    </row>
    <row r="204" spans="1:5" x14ac:dyDescent="0.25">
      <c r="A204">
        <v>632</v>
      </c>
      <c r="B204" t="s">
        <v>1601</v>
      </c>
      <c r="C204" t="e">
        <v>#N/A</v>
      </c>
      <c r="E204" t="str">
        <f t="shared" si="3"/>
        <v>INSERT [dbo].[Import_20150213_Specialty] ([SPECIALTY_TYPE_ID], [CDE_PROV_SPEC_PRIM], [DSC_PROV_SPEC]) VALUES (, '632', N'Bone Densitometry')</v>
      </c>
    </row>
    <row r="205" spans="1:5" x14ac:dyDescent="0.25">
      <c r="A205">
        <v>633</v>
      </c>
      <c r="B205" t="s">
        <v>1605</v>
      </c>
      <c r="C205" t="e">
        <v>#N/A</v>
      </c>
      <c r="E205" t="str">
        <f t="shared" si="3"/>
        <v>INSERT [dbo].[Import_20150213_Specialty] ([SPECIALTY_TYPE_ID], [CDE_PROV_SPEC_PRIM], [DSC_PROV_SPEC]) VALUES (, '633', N'Cardiac/Cardiovascular-Interventional Technology')</v>
      </c>
    </row>
    <row r="206" spans="1:5" x14ac:dyDescent="0.25">
      <c r="A206">
        <v>634</v>
      </c>
      <c r="B206" t="s">
        <v>1608</v>
      </c>
      <c r="C206" t="e">
        <v>#N/A</v>
      </c>
      <c r="E206" t="str">
        <f t="shared" si="3"/>
        <v>INSERT [dbo].[Import_20150213_Specialty] ([SPECIALTY_TYPE_ID], [CDE_PROV_SPEC_PRIM], [DSC_PROV_SPEC]) VALUES (, '634', N'Computed Tomography')</v>
      </c>
    </row>
    <row r="207" spans="1:5" x14ac:dyDescent="0.25">
      <c r="A207">
        <v>635</v>
      </c>
      <c r="B207" t="s">
        <v>1612</v>
      </c>
      <c r="C207" t="e">
        <v>#N/A</v>
      </c>
      <c r="E207" t="str">
        <f t="shared" si="3"/>
        <v>INSERT [dbo].[Import_20150213_Specialty] ([SPECIALTY_TYPE_ID], [CDE_PROV_SPEC_PRIM], [DSC_PROV_SPEC]) VALUES (, '635', N'Magnetic Resonance Imaging')</v>
      </c>
    </row>
    <row r="208" spans="1:5" x14ac:dyDescent="0.25">
      <c r="A208">
        <v>636</v>
      </c>
      <c r="B208" t="s">
        <v>1616</v>
      </c>
      <c r="C208" t="e">
        <v>#N/A</v>
      </c>
      <c r="E208" t="str">
        <f t="shared" si="3"/>
        <v>INSERT [dbo].[Import_20150213_Specialty] ([SPECIALTY_TYPE_ID], [CDE_PROV_SPEC_PRIM], [DSC_PROV_SPEC]) VALUES (, '636', N'Nuclear Medicine Technology')</v>
      </c>
    </row>
    <row r="209" spans="1:5" x14ac:dyDescent="0.25">
      <c r="A209">
        <v>637</v>
      </c>
      <c r="B209" t="s">
        <v>1618</v>
      </c>
      <c r="C209" t="e">
        <v>#N/A</v>
      </c>
      <c r="E209" t="str">
        <f t="shared" si="3"/>
        <v>INSERT [dbo].[Import_20150213_Specialty] ([SPECIALTY_TYPE_ID], [CDE_PROV_SPEC_PRIM], [DSC_PROV_SPEC]) VALUES (, '637', N'Quality Management')</v>
      </c>
    </row>
    <row r="210" spans="1:5" x14ac:dyDescent="0.25">
      <c r="A210">
        <v>638</v>
      </c>
      <c r="B210" t="s">
        <v>1610</v>
      </c>
      <c r="C210" t="e">
        <v>#N/A</v>
      </c>
      <c r="E210" t="str">
        <f t="shared" si="3"/>
        <v>INSERT [dbo].[Import_20150213_Specialty] ([SPECIALTY_TYPE_ID], [CDE_PROV_SPEC_PRIM], [DSC_PROV_SPEC]) VALUES (, '638', N'Radiography')</v>
      </c>
    </row>
    <row r="211" spans="1:5" x14ac:dyDescent="0.25">
      <c r="A211">
        <v>639</v>
      </c>
      <c r="B211" t="s">
        <v>1625</v>
      </c>
      <c r="C211" t="e">
        <v>#N/A</v>
      </c>
      <c r="E211" t="str">
        <f t="shared" si="3"/>
        <v>INSERT [dbo].[Import_20150213_Specialty] ([SPECIALTY_TYPE_ID], [CDE_PROV_SPEC_PRIM], [DSC_PROV_SPEC]) VALUES (, '639', N'Sonography / Vascular')</v>
      </c>
    </row>
    <row r="212" spans="1:5" x14ac:dyDescent="0.25">
      <c r="A212">
        <v>640</v>
      </c>
      <c r="B212" t="s">
        <v>1628</v>
      </c>
      <c r="C212" t="e">
        <v>#N/A</v>
      </c>
      <c r="E212" t="str">
        <f t="shared" si="3"/>
        <v>INSERT [dbo].[Import_20150213_Specialty] ([SPECIALTY_TYPE_ID], [CDE_PROV_SPEC_PRIM], [DSC_PROV_SPEC]) VALUES (, '640', N'Vascular-Interventional Technology')</v>
      </c>
    </row>
    <row r="213" spans="1:5" x14ac:dyDescent="0.25">
      <c r="A213">
        <v>641</v>
      </c>
      <c r="B213" t="s">
        <v>1570</v>
      </c>
      <c r="C213" t="e">
        <v>#N/A</v>
      </c>
      <c r="E213" t="str">
        <f t="shared" si="3"/>
        <v>INSERT [dbo].[Import_20150213_Specialty] ([SPECIALTY_TYPE_ID], [CDE_PROV_SPEC_PRIM], [DSC_PROV_SPEC]) VALUES (, '641', N'Specialist/Technologist, Health Information / Coding Specialist')</v>
      </c>
    </row>
    <row r="214" spans="1:5" x14ac:dyDescent="0.25">
      <c r="A214">
        <v>642</v>
      </c>
      <c r="B214" t="s">
        <v>1740</v>
      </c>
      <c r="C214" t="e">
        <v>#N/A</v>
      </c>
      <c r="E214" t="str">
        <f t="shared" si="3"/>
        <v>INSERT [dbo].[Import_20150213_Specialty] ([SPECIALTY_TYPE_ID], [CDE_PROV_SPEC_PRIM], [DSC_PROV_SPEC]) VALUES (, '642', N'Registered Record Administrator')</v>
      </c>
    </row>
    <row r="215" spans="1:5" x14ac:dyDescent="0.25">
      <c r="A215">
        <v>643</v>
      </c>
      <c r="B215" t="s">
        <v>1558</v>
      </c>
      <c r="C215" t="e">
        <v>#N/A</v>
      </c>
      <c r="E215" t="str">
        <f t="shared" si="3"/>
        <v>INSERT [dbo].[Import_20150213_Specialty] ([SPECIALTY_TYPE_ID], [CDE_PROV_SPEC_PRIM], [DSC_PROV_SPEC]) VALUES (, '643', N'Pathology')</v>
      </c>
    </row>
    <row r="216" spans="1:5" x14ac:dyDescent="0.25">
      <c r="A216">
        <v>644</v>
      </c>
      <c r="B216" t="s">
        <v>1567</v>
      </c>
      <c r="C216" t="e">
        <v>#N/A</v>
      </c>
      <c r="E216" t="str">
        <f t="shared" si="3"/>
        <v>INSERT [dbo].[Import_20150213_Specialty] ([SPECIALTY_TYPE_ID], [CDE_PROV_SPEC_PRIM], [DSC_PROV_SPEC]) VALUES (, '644', N'Cardiology')</v>
      </c>
    </row>
    <row r="217" spans="1:5" x14ac:dyDescent="0.25">
      <c r="A217">
        <v>645</v>
      </c>
      <c r="B217" t="s">
        <v>1576</v>
      </c>
      <c r="C217" t="e">
        <v>#N/A</v>
      </c>
      <c r="E217" t="str">
        <f t="shared" si="3"/>
        <v>INSERT [dbo].[Import_20150213_Specialty] ([SPECIALTY_TYPE_ID], [CDE_PROV_SPEC_PRIM], [DSC_PROV_SPEC]) VALUES (, '645', N'Biomedical Engineering')</v>
      </c>
    </row>
    <row r="218" spans="1:5" x14ac:dyDescent="0.25">
      <c r="A218">
        <v>646</v>
      </c>
      <c r="B218" t="s">
        <v>1588</v>
      </c>
      <c r="C218" t="e">
        <v>#N/A</v>
      </c>
      <c r="E218" t="str">
        <f t="shared" si="3"/>
        <v>INSERT [dbo].[Import_20150213_Specialty] ([SPECIALTY_TYPE_ID], [CDE_PROV_SPEC_PRIM], [DSC_PROV_SPEC]) VALUES (, '646', N'Clinical Laboratory Director, Non physician')</v>
      </c>
    </row>
    <row r="219" spans="1:5" x14ac:dyDescent="0.25">
      <c r="A219">
        <v>647</v>
      </c>
      <c r="B219" t="s">
        <v>1594</v>
      </c>
      <c r="C219" t="e">
        <v>#N/A</v>
      </c>
      <c r="E219" t="str">
        <f t="shared" si="3"/>
        <v>INSERT [dbo].[Import_20150213_Specialty] ([SPECIALTY_TYPE_ID], [CDE_PROV_SPEC_PRIM], [DSC_PROV_SPEC]) VALUES (, '647', N'Certified First Assistant')</v>
      </c>
    </row>
    <row r="220" spans="1:5" x14ac:dyDescent="0.25">
      <c r="A220">
        <v>664</v>
      </c>
      <c r="B220" t="s">
        <v>1830</v>
      </c>
      <c r="C220" t="e">
        <v>#N/A</v>
      </c>
      <c r="E220" t="str">
        <f t="shared" si="3"/>
        <v>INSERT [dbo].[Import_20150213_Specialty] ([SPECIALTY_TYPE_ID], [CDE_PROV_SPEC_PRIM], [DSC_PROV_SPEC]) VALUES (, '664', N'Emergency Response System Companies')</v>
      </c>
    </row>
    <row r="221" spans="1:5" x14ac:dyDescent="0.25">
      <c r="A221">
        <v>665</v>
      </c>
      <c r="B221" t="s">
        <v>1811</v>
      </c>
      <c r="C221" t="e">
        <v>#N/A</v>
      </c>
      <c r="E221" t="str">
        <f t="shared" si="3"/>
        <v>INSERT [dbo].[Import_20150213_Specialty] ([SPECIALTY_TYPE_ID], [CDE_PROV_SPEC_PRIM], [DSC_PROV_SPEC]) VALUES (, '665', N'Lactation Non-RN Counselor')</v>
      </c>
    </row>
    <row r="222" spans="1:5" x14ac:dyDescent="0.25">
      <c r="A222">
        <v>666</v>
      </c>
      <c r="B222" t="s">
        <v>1815</v>
      </c>
      <c r="C222" t="e">
        <v>#N/A</v>
      </c>
      <c r="E222" t="str">
        <f t="shared" si="3"/>
        <v>INSERT [dbo].[Import_20150213_Specialty] ([SPECIALTY_TYPE_ID], [CDE_PROV_SPEC_PRIM], [DSC_PROV_SPEC]) VALUES (, '666', N'Ethics Case consultant')</v>
      </c>
    </row>
    <row r="223" spans="1:5" x14ac:dyDescent="0.25">
      <c r="A223">
        <v>667</v>
      </c>
      <c r="B223" t="s">
        <v>1673</v>
      </c>
      <c r="C223" t="e">
        <v>#N/A</v>
      </c>
      <c r="E223" t="str">
        <f t="shared" si="3"/>
        <v>INSERT [dbo].[Import_20150213_Specialty] ([SPECIALTY_TYPE_ID], [CDE_PROV_SPEC_PRIM], [DSC_PROV_SPEC]) VALUES (, '667', N'Neurophysiologic Tech Specialist')</v>
      </c>
    </row>
    <row r="224" spans="1:5" x14ac:dyDescent="0.25">
      <c r="A224">
        <v>669</v>
      </c>
      <c r="B224" t="s">
        <v>931</v>
      </c>
      <c r="C224" t="e">
        <v>#N/A</v>
      </c>
      <c r="E224" t="str">
        <f t="shared" si="3"/>
        <v>INSERT [dbo].[Import_20150213_Specialty] ([SPECIALTY_TYPE_ID], [CDE_PROV_SPEC_PRIM], [DSC_PROV_SPEC]) VALUES (, '669', N'Anesthesiologist - Other')</v>
      </c>
    </row>
    <row r="225" spans="1:5" x14ac:dyDescent="0.25">
      <c r="A225">
        <v>998</v>
      </c>
      <c r="B225" t="s">
        <v>191</v>
      </c>
      <c r="C225">
        <v>2190</v>
      </c>
      <c r="E225" t="str">
        <f t="shared" si="3"/>
        <v>INSERT [dbo].[Import_20150213_Specialty] ([SPECIALTY_TYPE_ID], [CDE_PROV_SPEC_PRIM], [DSC_PROV_SPEC]) VALUES (2190, '998', N'Specialty not yet defined')</v>
      </c>
    </row>
    <row r="226" spans="1:5" x14ac:dyDescent="0.25">
      <c r="A226">
        <v>999</v>
      </c>
      <c r="B226" t="s">
        <v>935</v>
      </c>
      <c r="C226" t="e">
        <v>#N/A</v>
      </c>
      <c r="E226" t="str">
        <f t="shared" si="3"/>
        <v>INSERT [dbo].[Import_20150213_Specialty] ([SPECIALTY_TYPE_ID], [CDE_PROV_SPEC_PRIM], [DSC_PROV_SPEC]) VALUES (, '999', N'Miscellaneous')</v>
      </c>
    </row>
    <row r="227" spans="1:5" x14ac:dyDescent="0.25">
      <c r="A227">
        <v>999</v>
      </c>
      <c r="B227" t="s">
        <v>1575</v>
      </c>
      <c r="C227" t="e">
        <v>#N/A</v>
      </c>
      <c r="E227" t="str">
        <f t="shared" si="3"/>
        <v>INSERT [dbo].[Import_20150213_Specialty] ([SPECIALTY_TYPE_ID], [CDE_PROV_SPEC_PRIM], [DSC_PROV_SPEC]) VALUES (, '999', N'Miscelleneous')</v>
      </c>
    </row>
    <row r="228" spans="1:5" x14ac:dyDescent="0.25">
      <c r="A228" t="s">
        <v>37</v>
      </c>
      <c r="B228" t="s">
        <v>38</v>
      </c>
      <c r="C228">
        <v>2125</v>
      </c>
      <c r="E228" t="str">
        <f t="shared" si="3"/>
        <v>INSERT [dbo].[Import_20150213_Specialty] ([SPECIALTY_TYPE_ID], [CDE_PROV_SPEC_PRIM], [DSC_PROV_SPEC]) VALUES (2125, '010', N'Acute Care')</v>
      </c>
    </row>
    <row r="229" spans="1:5" x14ac:dyDescent="0.25">
      <c r="A229" t="s">
        <v>37</v>
      </c>
      <c r="B229" t="s">
        <v>49</v>
      </c>
      <c r="C229">
        <v>2125</v>
      </c>
      <c r="E229" t="str">
        <f t="shared" si="3"/>
        <v>INSERT [dbo].[Import_20150213_Specialty] ([SPECIALTY_TYPE_ID], [CDE_PROV_SPEC_PRIM], [DSC_PROV_SPEC]) VALUES (2125, '010', N'Acute Care')</v>
      </c>
    </row>
    <row r="230" spans="1:5" x14ac:dyDescent="0.25">
      <c r="A230" t="s">
        <v>41</v>
      </c>
      <c r="B230" t="s">
        <v>42</v>
      </c>
      <c r="C230">
        <v>2158</v>
      </c>
      <c r="E230" t="str">
        <f t="shared" si="3"/>
        <v>INSERT [dbo].[Import_20150213_Specialty] ([SPECIALTY_TYPE_ID], [CDE_PROV_SPEC_PRIM], [DSC_PROV_SPEC]) VALUES (2158, '011', N'Psychiatric')</v>
      </c>
    </row>
    <row r="231" spans="1:5" x14ac:dyDescent="0.25">
      <c r="A231" t="s">
        <v>45</v>
      </c>
      <c r="B231" t="s">
        <v>46</v>
      </c>
      <c r="C231">
        <v>2159</v>
      </c>
      <c r="E231" t="str">
        <f t="shared" si="3"/>
        <v>INSERT [dbo].[Import_20150213_Specialty] ([SPECIALTY_TYPE_ID], [CDE_PROV_SPEC_PRIM], [DSC_PROV_SPEC]) VALUES (2159, '012', N'Rehabilitation')</v>
      </c>
    </row>
    <row r="232" spans="1:5" x14ac:dyDescent="0.25">
      <c r="A232" t="s">
        <v>31</v>
      </c>
      <c r="B232" t="s">
        <v>32</v>
      </c>
      <c r="C232">
        <v>2161</v>
      </c>
      <c r="E232" t="str">
        <f t="shared" si="3"/>
        <v>INSERT [dbo].[Import_20150213_Specialty] ([SPECIALTY_TYPE_ID], [CDE_PROV_SPEC_PRIM], [DSC_PROV_SPEC]) VALUES (2161, '013', N'Residential Treatment Center')</v>
      </c>
    </row>
    <row r="233" spans="1:5" x14ac:dyDescent="0.25">
      <c r="A233" t="s">
        <v>57</v>
      </c>
      <c r="B233" t="s">
        <v>58</v>
      </c>
      <c r="C233">
        <v>2135</v>
      </c>
      <c r="E233" t="str">
        <f t="shared" si="3"/>
        <v>INSERT [dbo].[Import_20150213_Specialty] ([SPECIALTY_TYPE_ID], [CDE_PROV_SPEC_PRIM], [DSC_PROV_SPEC]) VALUES (2135, '014', N'Critical Access')</v>
      </c>
    </row>
    <row r="234" spans="1:5" x14ac:dyDescent="0.25">
      <c r="A234" t="s">
        <v>22</v>
      </c>
      <c r="B234" t="s">
        <v>23</v>
      </c>
      <c r="C234">
        <v>2130</v>
      </c>
      <c r="E234" t="str">
        <f t="shared" si="3"/>
        <v>INSERT [dbo].[Import_20150213_Specialty] ([SPECIALTY_TYPE_ID], [CDE_PROV_SPEC_PRIM], [DSC_PROV_SPEC]) VALUES (2130, '015', N'Children's Specialty')</v>
      </c>
    </row>
    <row r="235" spans="1:5" x14ac:dyDescent="0.25">
      <c r="A235" t="s">
        <v>16</v>
      </c>
      <c r="B235" t="s">
        <v>17</v>
      </c>
      <c r="C235">
        <v>2193</v>
      </c>
      <c r="E235" t="str">
        <f t="shared" si="3"/>
        <v>INSERT [dbo].[Import_20150213_Specialty] ([SPECIALTY_TYPE_ID], [CDE_PROV_SPEC_PRIM], [DSC_PROV_SPEC]) VALUES (2193, '016', N'Emergency')</v>
      </c>
    </row>
    <row r="236" spans="1:5" x14ac:dyDescent="0.25">
      <c r="A236" t="s">
        <v>63</v>
      </c>
      <c r="B236" t="s">
        <v>64</v>
      </c>
      <c r="C236">
        <v>2126</v>
      </c>
      <c r="E236" t="str">
        <f t="shared" si="3"/>
        <v>INSERT [dbo].[Import_20150213_Specialty] ([SPECIALTY_TYPE_ID], [CDE_PROV_SPEC_PRIM], [DSC_PROV_SPEC]) VALUES (2126, '017', N'Acute Care - Rural')</v>
      </c>
    </row>
    <row r="237" spans="1:5" x14ac:dyDescent="0.25">
      <c r="A237" t="s">
        <v>26</v>
      </c>
      <c r="B237" t="s">
        <v>27</v>
      </c>
      <c r="C237">
        <v>2152</v>
      </c>
      <c r="E237" t="str">
        <f t="shared" si="3"/>
        <v>INSERT [dbo].[Import_20150213_Specialty] ([SPECIALTY_TYPE_ID], [CDE_PROV_SPEC_PRIM], [DSC_PROV_SPEC]) VALUES (2152, '018', N'Mental Health Inpatient Hospitals Under 21')</v>
      </c>
    </row>
    <row r="238" spans="1:5" x14ac:dyDescent="0.25">
      <c r="A238" t="s">
        <v>67</v>
      </c>
      <c r="B238" t="s">
        <v>68</v>
      </c>
      <c r="C238">
        <v>2151</v>
      </c>
      <c r="E238" t="str">
        <f t="shared" si="3"/>
        <v>INSERT [dbo].[Import_20150213_Specialty] ([SPECIALTY_TYPE_ID], [CDE_PROV_SPEC_PRIM], [DSC_PROV_SPEC]) VALUES (2151, '019', N'Mental Health Inpatient Hospitals Over 65')</v>
      </c>
    </row>
    <row r="239" spans="1:5" x14ac:dyDescent="0.25">
      <c r="A239" t="s">
        <v>90</v>
      </c>
      <c r="B239" t="s">
        <v>89</v>
      </c>
      <c r="C239">
        <v>2172</v>
      </c>
      <c r="E239" t="str">
        <f t="shared" si="3"/>
        <v>INSERT [dbo].[Import_20150213_Specialty] ([SPECIALTY_TYPE_ID], [CDE_PROV_SPEC_PRIM], [DSC_PROV_SPEC]) VALUES (2172, '020', N'Ambulatory Surgical Center (ASC)')</v>
      </c>
    </row>
    <row r="240" spans="1:5" x14ac:dyDescent="0.25">
      <c r="A240" t="s">
        <v>141</v>
      </c>
      <c r="B240" t="s">
        <v>142</v>
      </c>
      <c r="C240">
        <v>2180</v>
      </c>
      <c r="E240" t="str">
        <f t="shared" si="3"/>
        <v>INSERT [dbo].[Import_20150213_Specialty] ([SPECIALTY_TYPE_ID], [CDE_PROV_SPEC_PRIM], [DSC_PROV_SPEC]) VALUES (2180, '030', N'Nursing Facility - ICF')</v>
      </c>
    </row>
    <row r="241" spans="1:5" x14ac:dyDescent="0.25">
      <c r="A241" t="s">
        <v>126</v>
      </c>
      <c r="B241" t="s">
        <v>2477</v>
      </c>
      <c r="C241">
        <v>2148</v>
      </c>
      <c r="E241" t="str">
        <f t="shared" si="3"/>
        <v>INSERT [dbo].[Import_20150213_Specialty] ([SPECIALTY_TYPE_ID], [CDE_PROV_SPEC_PRIM], [DSC_PROV_SPEC]) VALUES (2148, '031', N'ICF/IID')</v>
      </c>
    </row>
    <row r="242" spans="1:5" x14ac:dyDescent="0.25">
      <c r="A242" t="s">
        <v>112</v>
      </c>
      <c r="B242" t="s">
        <v>113</v>
      </c>
      <c r="C242">
        <v>2182</v>
      </c>
      <c r="E242" t="str">
        <f t="shared" si="3"/>
        <v>INSERT [dbo].[Import_20150213_Specialty] ([SPECIALTY_TYPE_ID], [CDE_PROV_SPEC_PRIM], [DSC_PROV_SPEC]) VALUES (2182, '032', N'Pediatric Nursing Facility')</v>
      </c>
    </row>
    <row r="243" spans="1:5" x14ac:dyDescent="0.25">
      <c r="A243" t="s">
        <v>118</v>
      </c>
      <c r="B243" t="s">
        <v>119</v>
      </c>
      <c r="C243">
        <v>2184</v>
      </c>
      <c r="E243" t="str">
        <f t="shared" si="3"/>
        <v>INSERT [dbo].[Import_20150213_Specialty] ([SPECIALTY_TYPE_ID], [CDE_PROV_SPEC_PRIM], [DSC_PROV_SPEC]) VALUES (2184, '033', N'Residential Care Facility')</v>
      </c>
    </row>
    <row r="244" spans="1:5" x14ac:dyDescent="0.25">
      <c r="A244" t="s">
        <v>120</v>
      </c>
      <c r="B244" t="s">
        <v>121</v>
      </c>
      <c r="C244">
        <v>2185</v>
      </c>
      <c r="E244" t="str">
        <f t="shared" si="3"/>
        <v>INSERT [dbo].[Import_20150213_Specialty] ([SPECIALTY_TYPE_ID], [CDE_PROV_SPEC_PRIM], [DSC_PROV_SPEC]) VALUES (2185, '034', N'Skilled Nursing Facility (SNF) - Other')</v>
      </c>
    </row>
    <row r="245" spans="1:5" x14ac:dyDescent="0.25">
      <c r="A245" t="s">
        <v>145</v>
      </c>
      <c r="B245" t="s">
        <v>146</v>
      </c>
      <c r="C245">
        <v>2181</v>
      </c>
      <c r="E245" t="str">
        <f t="shared" si="3"/>
        <v>INSERT [dbo].[Import_20150213_Specialty] ([SPECIALTY_TYPE_ID], [CDE_PROV_SPEC_PRIM], [DSC_PROV_SPEC]) VALUES (2181, '035', N'Skilled Nursing Facility (SNF)')</v>
      </c>
    </row>
    <row r="246" spans="1:5" x14ac:dyDescent="0.25">
      <c r="A246" t="s">
        <v>145</v>
      </c>
      <c r="B246" t="s">
        <v>147</v>
      </c>
      <c r="C246">
        <v>2181</v>
      </c>
      <c r="E246" t="str">
        <f t="shared" si="3"/>
        <v>INSERT [dbo].[Import_20150213_Specialty] ([SPECIALTY_TYPE_ID], [CDE_PROV_SPEC_PRIM], [DSC_PROV_SPEC]) VALUES (2181, '035', N'Skilled Nursing Facility (SNF)')</v>
      </c>
    </row>
    <row r="247" spans="1:5" x14ac:dyDescent="0.25">
      <c r="A247" t="s">
        <v>122</v>
      </c>
      <c r="B247" t="s">
        <v>123</v>
      </c>
      <c r="C247">
        <v>2186</v>
      </c>
      <c r="E247" t="str">
        <f t="shared" si="3"/>
        <v>INSERT [dbo].[Import_20150213_Specialty] ([SPECIALTY_TYPE_ID], [CDE_PROV_SPEC_PRIM], [DSC_PROV_SPEC]) VALUES (2186, '036', N'Respite Care - Facility Based')</v>
      </c>
    </row>
    <row r="248" spans="1:5" x14ac:dyDescent="0.25">
      <c r="A248" t="s">
        <v>100</v>
      </c>
      <c r="B248" t="s">
        <v>101</v>
      </c>
      <c r="C248">
        <v>2179</v>
      </c>
      <c r="E248" t="str">
        <f t="shared" si="3"/>
        <v>INSERT [dbo].[Import_20150213_Specialty] ([SPECIALTY_TYPE_ID], [CDE_PROV_SPEC_PRIM], [DSC_PROV_SPEC]) VALUES (2179, '037', N'Assisted Living')</v>
      </c>
    </row>
    <row r="249" spans="1:5" x14ac:dyDescent="0.25">
      <c r="A249" t="s">
        <v>127</v>
      </c>
      <c r="B249" t="s">
        <v>2480</v>
      </c>
      <c r="C249">
        <v>2187</v>
      </c>
      <c r="E249" t="str">
        <f t="shared" si="3"/>
        <v>INSERT [dbo].[Import_20150213_Specialty] ([SPECIALTY_TYPE_ID], [CDE_PROV_SPEC_PRIM], [DSC_PROV_SPEC]) VALUES (2187, '038', N'ICF/IID - Other')</v>
      </c>
    </row>
    <row r="250" spans="1:5" x14ac:dyDescent="0.25">
      <c r="A250" t="s">
        <v>114</v>
      </c>
      <c r="B250" t="s">
        <v>115</v>
      </c>
      <c r="C250">
        <v>2183</v>
      </c>
      <c r="E250" t="str">
        <f t="shared" si="3"/>
        <v>INSERT [dbo].[Import_20150213_Specialty] ([SPECIALTY_TYPE_ID], [CDE_PROV_SPEC_PRIM], [DSC_PROV_SPEC]) VALUES (2183, '039', N'Nursing Facility - ICF - Other')</v>
      </c>
    </row>
    <row r="251" spans="1:5" x14ac:dyDescent="0.25">
      <c r="A251" t="s">
        <v>156</v>
      </c>
      <c r="B251" t="s">
        <v>155</v>
      </c>
      <c r="C251">
        <v>2160</v>
      </c>
      <c r="E251" t="str">
        <f t="shared" si="3"/>
        <v>INSERT [dbo].[Import_20150213_Specialty] ([SPECIALTY_TYPE_ID], [CDE_PROV_SPEC_PRIM], [DSC_PROV_SPEC]) VALUES (2160, '040', N'Rehabilitation Facility')</v>
      </c>
    </row>
    <row r="252" spans="1:5" x14ac:dyDescent="0.25">
      <c r="A252" t="s">
        <v>188</v>
      </c>
      <c r="B252" t="s">
        <v>179</v>
      </c>
      <c r="C252">
        <v>2145</v>
      </c>
      <c r="E252" t="str">
        <f t="shared" si="3"/>
        <v>INSERT [dbo].[Import_20150213_Specialty] ([SPECIALTY_TYPE_ID], [CDE_PROV_SPEC_PRIM], [DSC_PROV_SPEC]) VALUES (2145, '050', N'Home Health Agency')</v>
      </c>
    </row>
    <row r="253" spans="1:5" x14ac:dyDescent="0.25">
      <c r="A253" t="s">
        <v>182</v>
      </c>
      <c r="B253" t="s">
        <v>183</v>
      </c>
      <c r="C253">
        <v>2167</v>
      </c>
      <c r="E253" t="str">
        <f t="shared" si="3"/>
        <v>INSERT [dbo].[Import_20150213_Specialty] ([SPECIALTY_TYPE_ID], [CDE_PROV_SPEC_PRIM], [DSC_PROV_SPEC]) VALUES (2167, '051', N'Specialized Home Nursing Services')</v>
      </c>
    </row>
    <row r="254" spans="1:5" x14ac:dyDescent="0.25">
      <c r="A254" t="s">
        <v>186</v>
      </c>
      <c r="B254" t="s">
        <v>187</v>
      </c>
      <c r="C254">
        <v>2191</v>
      </c>
      <c r="E254" t="str">
        <f t="shared" si="3"/>
        <v>INSERT [dbo].[Import_20150213_Specialty] ([SPECIALTY_TYPE_ID], [CDE_PROV_SPEC_PRIM], [DSC_PROV_SPEC]) VALUES (2191, '052', N'Voluntary or Charitable')</v>
      </c>
    </row>
    <row r="255" spans="1:5" x14ac:dyDescent="0.25">
      <c r="A255" t="s">
        <v>196</v>
      </c>
      <c r="B255" t="s">
        <v>195</v>
      </c>
      <c r="C255">
        <v>2146</v>
      </c>
      <c r="E255" t="str">
        <f t="shared" si="3"/>
        <v>INSERT [dbo].[Import_20150213_Specialty] ([SPECIALTY_TYPE_ID], [CDE_PROV_SPEC_PRIM], [DSC_PROV_SPEC]) VALUES (2146, '060', N'Hospice')</v>
      </c>
    </row>
    <row r="256" spans="1:5" x14ac:dyDescent="0.25">
      <c r="A256" t="s">
        <v>267</v>
      </c>
      <c r="B256" t="s">
        <v>268</v>
      </c>
      <c r="C256">
        <v>2121</v>
      </c>
      <c r="E256" t="str">
        <f t="shared" si="3"/>
        <v>INSERT [dbo].[Import_20150213_Specialty] ([SPECIALTY_TYPE_ID], [CDE_PROV_SPEC_PRIM], [DSC_PROV_SPEC]) VALUES (2121, '080', N'Federally Qualified Health Clinic (FQHC)')</v>
      </c>
    </row>
    <row r="257" spans="1:5" x14ac:dyDescent="0.25">
      <c r="A257" t="s">
        <v>309</v>
      </c>
      <c r="B257" t="s">
        <v>310</v>
      </c>
      <c r="C257">
        <v>2122</v>
      </c>
      <c r="E257" t="str">
        <f t="shared" si="3"/>
        <v>INSERT [dbo].[Import_20150213_Specialty] ([SPECIALTY_TYPE_ID], [CDE_PROV_SPEC_PRIM], [DSC_PROV_SPEC]) VALUES (2122, '081', N'Rural Health Clinic (RHC)')</v>
      </c>
    </row>
    <row r="258" spans="1:5" x14ac:dyDescent="0.25">
      <c r="A258" t="s">
        <v>234</v>
      </c>
      <c r="B258" t="s">
        <v>235</v>
      </c>
      <c r="C258">
        <v>2174</v>
      </c>
      <c r="E258" t="str">
        <f t="shared" ref="E258:E271" si="4">"INSERT [dbo].[Import_20150213_Specialty] ([SPECIALTY_TYPE_ID], [CDE_PROV_SPEC_PRIM], [DSC_PROV_SPEC]) VALUES (" &amp; IF(ISNA(C258), "", C258) &amp; ", '" &amp; A258 &amp;  "', N'" &amp; TRIM(B258) &amp; "')"</f>
        <v>INSERT [dbo].[Import_20150213_Specialty] ([SPECIALTY_TYPE_ID], [CDE_PROV_SPEC_PRIM], [DSC_PROV_SPEC]) VALUES (2174, '082', N'Medical Clinic')</v>
      </c>
    </row>
    <row r="259" spans="1:5" x14ac:dyDescent="0.25">
      <c r="A259" t="s">
        <v>238</v>
      </c>
      <c r="B259" t="s">
        <v>239</v>
      </c>
      <c r="C259">
        <v>2173</v>
      </c>
      <c r="E259" t="str">
        <f t="shared" si="4"/>
        <v>INSERT [dbo].[Import_20150213_Specialty] ([SPECIALTY_TYPE_ID], [CDE_PROV_SPEC_PRIM], [DSC_PROV_SPEC]) VALUES (2173, '083', N'Family Planning Clinic')</v>
      </c>
    </row>
    <row r="260" spans="1:5" x14ac:dyDescent="0.25">
      <c r="A260" t="s">
        <v>231</v>
      </c>
      <c r="B260" t="s">
        <v>232</v>
      </c>
      <c r="C260">
        <v>2154</v>
      </c>
      <c r="E260" t="str">
        <f t="shared" si="4"/>
        <v>INSERT [dbo].[Import_20150213_Specialty] ([SPECIALTY_TYPE_ID], [CDE_PROV_SPEC_PRIM], [DSC_PROV_SPEC]) VALUES (2154, '084', N'Nurse Practitioner Clinic')</v>
      </c>
    </row>
    <row r="261" spans="1:5" x14ac:dyDescent="0.25">
      <c r="A261" t="s">
        <v>223</v>
      </c>
      <c r="B261" t="s">
        <v>224</v>
      </c>
      <c r="C261">
        <v>2177</v>
      </c>
      <c r="E261" t="str">
        <f t="shared" si="4"/>
        <v>INSERT [dbo].[Import_20150213_Specialty] ([SPECIALTY_TYPE_ID], [CDE_PROV_SPEC_PRIM], [DSC_PROV_SPEC]) VALUES (2177, '085', N'EPSDT Clinic')</v>
      </c>
    </row>
    <row r="262" spans="1:5" x14ac:dyDescent="0.25">
      <c r="A262" t="s">
        <v>255</v>
      </c>
      <c r="B262" t="s">
        <v>256</v>
      </c>
      <c r="C262">
        <v>2136</v>
      </c>
      <c r="E262" t="str">
        <f t="shared" si="4"/>
        <v>INSERT [dbo].[Import_20150213_Specialty] ([SPECIALTY_TYPE_ID], [CDE_PROV_SPEC_PRIM], [DSC_PROV_SPEC]) VALUES (2136, '086', N'Dental Clinic')</v>
      </c>
    </row>
    <row r="263" spans="1:5" x14ac:dyDescent="0.25">
      <c r="A263" t="s">
        <v>273</v>
      </c>
      <c r="B263" t="s">
        <v>274</v>
      </c>
      <c r="C263">
        <v>2170</v>
      </c>
      <c r="E263" t="str">
        <f t="shared" si="4"/>
        <v>INSERT [dbo].[Import_20150213_Specialty] ([SPECIALTY_TYPE_ID], [CDE_PROV_SPEC_PRIM], [DSC_PROV_SPEC]) VALUES (2170, '087', N'Therapy Clinic')</v>
      </c>
    </row>
    <row r="264" spans="1:5" x14ac:dyDescent="0.25">
      <c r="A264" t="s">
        <v>211</v>
      </c>
      <c r="B264" t="s">
        <v>212</v>
      </c>
      <c r="C264">
        <v>2156</v>
      </c>
      <c r="E264" t="str">
        <f t="shared" si="4"/>
        <v>INSERT [dbo].[Import_20150213_Specialty] ([SPECIALTY_TYPE_ID], [CDE_PROV_SPEC_PRIM], [DSC_PROV_SPEC]) VALUES (2156, '088', N'Pediatric Clinic')</v>
      </c>
    </row>
    <row r="265" spans="1:5" x14ac:dyDescent="0.25">
      <c r="A265" t="s">
        <v>213</v>
      </c>
      <c r="B265" t="s">
        <v>214</v>
      </c>
      <c r="C265">
        <v>2176</v>
      </c>
      <c r="E265" t="str">
        <f t="shared" si="4"/>
        <v>INSERT [dbo].[Import_20150213_Specialty] ([SPECIALTY_TYPE_ID], [CDE_PROV_SPEC_PRIM], [DSC_PROV_SPEC]) VALUES (2176, '089', N'Tuberculosis Clinic')</v>
      </c>
    </row>
    <row r="266" spans="1:5" x14ac:dyDescent="0.25">
      <c r="A266" t="s">
        <v>327</v>
      </c>
      <c r="B266" t="s">
        <v>328</v>
      </c>
      <c r="C266" t="e">
        <v>#N/A</v>
      </c>
      <c r="E266" t="str">
        <f t="shared" si="4"/>
        <v>INSERT [dbo].[Import_20150213_Specialty] ([SPECIALTY_TYPE_ID], [CDE_PROV_SPEC_PRIM], [DSC_PROV_SPEC]) VALUES (, '090', N'Pediatric Nurse Practitioner')</v>
      </c>
    </row>
    <row r="267" spans="1:5" x14ac:dyDescent="0.25">
      <c r="A267" t="s">
        <v>333</v>
      </c>
      <c r="B267" t="s">
        <v>334</v>
      </c>
      <c r="C267" t="e">
        <v>#N/A</v>
      </c>
      <c r="E267" t="str">
        <f t="shared" si="4"/>
        <v>INSERT [dbo].[Import_20150213_Specialty] ([SPECIALTY_TYPE_ID], [CDE_PROV_SPEC_PRIM], [DSC_PROV_SPEC]) VALUES (, '091', N'Obstetric Nurse Practitioner')</v>
      </c>
    </row>
    <row r="268" spans="1:5" x14ac:dyDescent="0.25">
      <c r="A268" t="s">
        <v>352</v>
      </c>
      <c r="B268" t="s">
        <v>353</v>
      </c>
      <c r="C268" t="e">
        <v>#N/A</v>
      </c>
      <c r="E268" t="str">
        <f t="shared" si="4"/>
        <v>INSERT [dbo].[Import_20150213_Specialty] ([SPECIALTY_TYPE_ID], [CDE_PROV_SPEC_PRIM], [DSC_PROV_SPEC]) VALUES (, '092', N'Family Nurse Practitioner')</v>
      </c>
    </row>
    <row r="269" spans="1:5" x14ac:dyDescent="0.25">
      <c r="A269" t="s">
        <v>342</v>
      </c>
      <c r="B269" t="s">
        <v>343</v>
      </c>
      <c r="C269" t="e">
        <v>#N/A</v>
      </c>
      <c r="E269" t="str">
        <f t="shared" si="4"/>
        <v>INSERT [dbo].[Import_20150213_Specialty] ([SPECIALTY_TYPE_ID], [CDE_PROV_SPEC_PRIM], [DSC_PROV_SPEC]) VALUES (, '093', N'Nurse Practitioner (Other)')</v>
      </c>
    </row>
    <row r="270" spans="1:5" x14ac:dyDescent="0.25">
      <c r="A270" t="s">
        <v>425</v>
      </c>
      <c r="B270" t="s">
        <v>426</v>
      </c>
      <c r="C270" t="e">
        <v>#N/A</v>
      </c>
      <c r="E270" t="str">
        <f t="shared" si="4"/>
        <v>INSERT [dbo].[Import_20150213_Specialty] ([SPECIALTY_TYPE_ID], [CDE_PROV_SPEC_PRIM], [DSC_PROV_SPEC]) VALUES (, '094', N'Certified Registered Nurse Anesthetist (CRNA)')</v>
      </c>
    </row>
    <row r="271" spans="1:5" x14ac:dyDescent="0.25">
      <c r="A271" t="s">
        <v>340</v>
      </c>
      <c r="B271" t="s">
        <v>341</v>
      </c>
      <c r="C271" t="e">
        <v>#N/A</v>
      </c>
      <c r="E271" t="str">
        <f t="shared" si="4"/>
        <v>INSERT [dbo].[Import_20150213_Specialty] ([SPECIALTY_TYPE_ID], [CDE_PROV_SPEC_PRIM], [DSC_PROV_SPEC]) VALUES (, '095', N'Certified Nurse Midwife')</v>
      </c>
    </row>
  </sheetData>
  <sortState ref="A1:C1331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4"/>
  <sheetViews>
    <sheetView workbookViewId="0">
      <selection sqref="A1:A444"/>
    </sheetView>
  </sheetViews>
  <sheetFormatPr defaultRowHeight="15" x14ac:dyDescent="0.25"/>
  <cols>
    <col min="1" max="1" width="68.28515625" bestFit="1" customWidth="1"/>
    <col min="8" max="8" width="17" bestFit="1" customWidth="1"/>
  </cols>
  <sheetData>
    <row r="1" spans="1:8" x14ac:dyDescent="0.25">
      <c r="A1" t="s">
        <v>2031</v>
      </c>
      <c r="E1" t="s">
        <v>2574</v>
      </c>
      <c r="G1" t="s">
        <v>2573</v>
      </c>
    </row>
    <row r="2" spans="1:8" x14ac:dyDescent="0.25">
      <c r="A2" t="s">
        <v>2077</v>
      </c>
      <c r="G2">
        <v>120</v>
      </c>
      <c r="H2" t="s">
        <v>203</v>
      </c>
    </row>
    <row r="3" spans="1:8" x14ac:dyDescent="0.25">
      <c r="A3" t="s">
        <v>2078</v>
      </c>
      <c r="G3">
        <v>318</v>
      </c>
      <c r="H3" t="s">
        <v>1141</v>
      </c>
    </row>
    <row r="4" spans="1:8" x14ac:dyDescent="0.25">
      <c r="A4" t="s">
        <v>2079</v>
      </c>
      <c r="G4">
        <v>319</v>
      </c>
      <c r="H4" t="s">
        <v>1141</v>
      </c>
    </row>
    <row r="5" spans="1:8" x14ac:dyDescent="0.25">
      <c r="A5" t="s">
        <v>2080</v>
      </c>
      <c r="G5">
        <v>320</v>
      </c>
      <c r="H5" t="s">
        <v>1322</v>
      </c>
    </row>
    <row r="6" spans="1:8" x14ac:dyDescent="0.25">
      <c r="A6" t="s">
        <v>2081</v>
      </c>
      <c r="G6">
        <v>333</v>
      </c>
      <c r="H6" t="s">
        <v>1214</v>
      </c>
    </row>
    <row r="7" spans="1:8" x14ac:dyDescent="0.25">
      <c r="A7" t="s">
        <v>2082</v>
      </c>
      <c r="G7">
        <v>334</v>
      </c>
      <c r="H7" t="s">
        <v>1214</v>
      </c>
    </row>
    <row r="8" spans="1:8" x14ac:dyDescent="0.25">
      <c r="A8" t="s">
        <v>2083</v>
      </c>
      <c r="G8">
        <v>349</v>
      </c>
      <c r="H8" t="s">
        <v>1063</v>
      </c>
    </row>
    <row r="9" spans="1:8" x14ac:dyDescent="0.25">
      <c r="A9" t="s">
        <v>2084</v>
      </c>
      <c r="G9">
        <v>350</v>
      </c>
      <c r="H9" t="s">
        <v>1063</v>
      </c>
    </row>
    <row r="10" spans="1:8" x14ac:dyDescent="0.25">
      <c r="A10" t="s">
        <v>2085</v>
      </c>
      <c r="G10">
        <v>277</v>
      </c>
      <c r="H10" t="s">
        <v>1550</v>
      </c>
    </row>
    <row r="11" spans="1:8" x14ac:dyDescent="0.25">
      <c r="A11" t="s">
        <v>2086</v>
      </c>
    </row>
    <row r="12" spans="1:8" x14ac:dyDescent="0.25">
      <c r="A12" t="s">
        <v>2104</v>
      </c>
    </row>
    <row r="13" spans="1:8" x14ac:dyDescent="0.25">
      <c r="A13" t="s">
        <v>2087</v>
      </c>
    </row>
    <row r="14" spans="1:8" x14ac:dyDescent="0.25">
      <c r="A14" t="s">
        <v>2088</v>
      </c>
    </row>
    <row r="15" spans="1:8" x14ac:dyDescent="0.25">
      <c r="A15" t="s">
        <v>2089</v>
      </c>
    </row>
    <row r="16" spans="1:8" x14ac:dyDescent="0.25">
      <c r="A16" t="s">
        <v>2090</v>
      </c>
    </row>
    <row r="17" spans="1:1" x14ac:dyDescent="0.25">
      <c r="A17" t="s">
        <v>2091</v>
      </c>
    </row>
    <row r="18" spans="1:1" x14ac:dyDescent="0.25">
      <c r="A18" t="s">
        <v>2092</v>
      </c>
    </row>
    <row r="19" spans="1:1" x14ac:dyDescent="0.25">
      <c r="A19" t="s">
        <v>2093</v>
      </c>
    </row>
    <row r="20" spans="1:1" x14ac:dyDescent="0.25">
      <c r="A20" t="s">
        <v>2094</v>
      </c>
    </row>
    <row r="21" spans="1:1" x14ac:dyDescent="0.25">
      <c r="A21" t="s">
        <v>2095</v>
      </c>
    </row>
    <row r="22" spans="1:1" x14ac:dyDescent="0.25">
      <c r="A22" t="s">
        <v>2096</v>
      </c>
    </row>
    <row r="23" spans="1:1" x14ac:dyDescent="0.25">
      <c r="A23" t="s">
        <v>2097</v>
      </c>
    </row>
    <row r="24" spans="1:1" x14ac:dyDescent="0.25">
      <c r="A24" t="s">
        <v>2098</v>
      </c>
    </row>
    <row r="25" spans="1:1" x14ac:dyDescent="0.25">
      <c r="A25" t="s">
        <v>2099</v>
      </c>
    </row>
    <row r="26" spans="1:1" x14ac:dyDescent="0.25">
      <c r="A26" t="s">
        <v>2100</v>
      </c>
    </row>
    <row r="27" spans="1:1" x14ac:dyDescent="0.25">
      <c r="A27" t="s">
        <v>2101</v>
      </c>
    </row>
    <row r="28" spans="1:1" x14ac:dyDescent="0.25">
      <c r="A28" t="s">
        <v>2102</v>
      </c>
    </row>
    <row r="29" spans="1:1" x14ac:dyDescent="0.25">
      <c r="A29" t="s">
        <v>2103</v>
      </c>
    </row>
    <row r="30" spans="1:1" x14ac:dyDescent="0.25">
      <c r="A30" t="s">
        <v>2109</v>
      </c>
    </row>
    <row r="31" spans="1:1" x14ac:dyDescent="0.25">
      <c r="A31" t="s">
        <v>2110</v>
      </c>
    </row>
    <row r="32" spans="1:1" x14ac:dyDescent="0.25">
      <c r="A32" t="s">
        <v>2117</v>
      </c>
    </row>
    <row r="33" spans="1:1" x14ac:dyDescent="0.25">
      <c r="A33" t="s">
        <v>2114</v>
      </c>
    </row>
    <row r="34" spans="1:1" x14ac:dyDescent="0.25">
      <c r="A34" t="s">
        <v>2111</v>
      </c>
    </row>
    <row r="35" spans="1:1" x14ac:dyDescent="0.25">
      <c r="A35" t="s">
        <v>2112</v>
      </c>
    </row>
    <row r="36" spans="1:1" x14ac:dyDescent="0.25">
      <c r="A36" t="s">
        <v>2113</v>
      </c>
    </row>
    <row r="37" spans="1:1" x14ac:dyDescent="0.25">
      <c r="A37" t="s">
        <v>2115</v>
      </c>
    </row>
    <row r="38" spans="1:1" x14ac:dyDescent="0.25">
      <c r="A38" t="s">
        <v>2116</v>
      </c>
    </row>
    <row r="39" spans="1:1" x14ac:dyDescent="0.25">
      <c r="A39" t="s">
        <v>2118</v>
      </c>
    </row>
    <row r="40" spans="1:1" x14ac:dyDescent="0.25">
      <c r="A40" t="s">
        <v>2152</v>
      </c>
    </row>
    <row r="41" spans="1:1" x14ac:dyDescent="0.25">
      <c r="A41" t="s">
        <v>2151</v>
      </c>
    </row>
    <row r="42" spans="1:1" x14ac:dyDescent="0.25">
      <c r="A42" t="s">
        <v>2141</v>
      </c>
    </row>
    <row r="43" spans="1:1" x14ac:dyDescent="0.25">
      <c r="A43" t="s">
        <v>2142</v>
      </c>
    </row>
    <row r="44" spans="1:1" x14ac:dyDescent="0.25">
      <c r="A44" t="s">
        <v>2143</v>
      </c>
    </row>
    <row r="45" spans="1:1" x14ac:dyDescent="0.25">
      <c r="A45" t="s">
        <v>2144</v>
      </c>
    </row>
    <row r="46" spans="1:1" x14ac:dyDescent="0.25">
      <c r="A46" t="s">
        <v>2145</v>
      </c>
    </row>
    <row r="47" spans="1:1" x14ac:dyDescent="0.25">
      <c r="A47" t="s">
        <v>2146</v>
      </c>
    </row>
    <row r="48" spans="1:1" x14ac:dyDescent="0.25">
      <c r="A48" t="s">
        <v>2147</v>
      </c>
    </row>
    <row r="49" spans="1:1" x14ac:dyDescent="0.25">
      <c r="A49" t="s">
        <v>2148</v>
      </c>
    </row>
    <row r="50" spans="1:1" x14ac:dyDescent="0.25">
      <c r="A50" t="s">
        <v>2149</v>
      </c>
    </row>
    <row r="51" spans="1:1" x14ac:dyDescent="0.25">
      <c r="A51" t="s">
        <v>2150</v>
      </c>
    </row>
    <row r="52" spans="1:1" x14ac:dyDescent="0.25">
      <c r="A52" t="s">
        <v>2165</v>
      </c>
    </row>
    <row r="53" spans="1:1" x14ac:dyDescent="0.25">
      <c r="A53" t="s">
        <v>2214</v>
      </c>
    </row>
    <row r="54" spans="1:1" x14ac:dyDescent="0.25">
      <c r="A54" t="s">
        <v>2159</v>
      </c>
    </row>
    <row r="55" spans="1:1" x14ac:dyDescent="0.25">
      <c r="A55" t="s">
        <v>2162</v>
      </c>
    </row>
    <row r="56" spans="1:1" x14ac:dyDescent="0.25">
      <c r="A56" t="s">
        <v>2168</v>
      </c>
    </row>
    <row r="57" spans="1:1" x14ac:dyDescent="0.25">
      <c r="A57" t="s">
        <v>2171</v>
      </c>
    </row>
    <row r="58" spans="1:1" x14ac:dyDescent="0.25">
      <c r="A58" t="s">
        <v>2174</v>
      </c>
    </row>
    <row r="59" spans="1:1" x14ac:dyDescent="0.25">
      <c r="A59" t="s">
        <v>2177</v>
      </c>
    </row>
    <row r="60" spans="1:1" x14ac:dyDescent="0.25">
      <c r="A60" t="s">
        <v>2180</v>
      </c>
    </row>
    <row r="61" spans="1:1" x14ac:dyDescent="0.25">
      <c r="A61" t="s">
        <v>2183</v>
      </c>
    </row>
    <row r="62" spans="1:1" x14ac:dyDescent="0.25">
      <c r="A62" t="s">
        <v>2186</v>
      </c>
    </row>
    <row r="63" spans="1:1" x14ac:dyDescent="0.25">
      <c r="A63" t="s">
        <v>2189</v>
      </c>
    </row>
    <row r="64" spans="1:1" x14ac:dyDescent="0.25">
      <c r="A64" t="s">
        <v>2192</v>
      </c>
    </row>
    <row r="65" spans="1:1" x14ac:dyDescent="0.25">
      <c r="A65" t="s">
        <v>2197</v>
      </c>
    </row>
    <row r="66" spans="1:1" x14ac:dyDescent="0.25">
      <c r="A66" t="s">
        <v>2202</v>
      </c>
    </row>
    <row r="67" spans="1:1" x14ac:dyDescent="0.25">
      <c r="A67" t="s">
        <v>2205</v>
      </c>
    </row>
    <row r="68" spans="1:1" x14ac:dyDescent="0.25">
      <c r="A68" t="s">
        <v>2208</v>
      </c>
    </row>
    <row r="69" spans="1:1" x14ac:dyDescent="0.25">
      <c r="A69" t="s">
        <v>2211</v>
      </c>
    </row>
    <row r="70" spans="1:1" x14ac:dyDescent="0.25">
      <c r="A70" t="s">
        <v>2217</v>
      </c>
    </row>
    <row r="71" spans="1:1" x14ac:dyDescent="0.25">
      <c r="A71" t="s">
        <v>2220</v>
      </c>
    </row>
    <row r="72" spans="1:1" x14ac:dyDescent="0.25">
      <c r="A72" t="s">
        <v>2223</v>
      </c>
    </row>
    <row r="73" spans="1:1" x14ac:dyDescent="0.25">
      <c r="A73" t="s">
        <v>2226</v>
      </c>
    </row>
    <row r="74" spans="1:1" x14ac:dyDescent="0.25">
      <c r="A74" t="s">
        <v>2229</v>
      </c>
    </row>
    <row r="75" spans="1:1" x14ac:dyDescent="0.25">
      <c r="A75" t="s">
        <v>2232</v>
      </c>
    </row>
    <row r="76" spans="1:1" x14ac:dyDescent="0.25">
      <c r="A76" t="s">
        <v>2235</v>
      </c>
    </row>
    <row r="77" spans="1:1" x14ac:dyDescent="0.25">
      <c r="A77" t="s">
        <v>2238</v>
      </c>
    </row>
    <row r="78" spans="1:1" x14ac:dyDescent="0.25">
      <c r="A78" t="s">
        <v>2241</v>
      </c>
    </row>
    <row r="79" spans="1:1" x14ac:dyDescent="0.25">
      <c r="A79" t="s">
        <v>2244</v>
      </c>
    </row>
    <row r="80" spans="1:1" x14ac:dyDescent="0.25">
      <c r="A80" t="s">
        <v>2247</v>
      </c>
    </row>
    <row r="81" spans="1:1" x14ac:dyDescent="0.25">
      <c r="A81" t="s">
        <v>2252</v>
      </c>
    </row>
    <row r="82" spans="1:1" x14ac:dyDescent="0.25">
      <c r="A82" t="s">
        <v>2255</v>
      </c>
    </row>
    <row r="83" spans="1:1" x14ac:dyDescent="0.25">
      <c r="A83" t="s">
        <v>2258</v>
      </c>
    </row>
    <row r="84" spans="1:1" x14ac:dyDescent="0.25">
      <c r="A84" t="s">
        <v>2261</v>
      </c>
    </row>
    <row r="85" spans="1:1" x14ac:dyDescent="0.25">
      <c r="A85" t="s">
        <v>2264</v>
      </c>
    </row>
    <row r="86" spans="1:1" x14ac:dyDescent="0.25">
      <c r="A86" t="s">
        <v>2267</v>
      </c>
    </row>
    <row r="87" spans="1:1" x14ac:dyDescent="0.25">
      <c r="A87" t="s">
        <v>2273</v>
      </c>
    </row>
    <row r="88" spans="1:1" x14ac:dyDescent="0.25">
      <c r="A88" t="s">
        <v>2270</v>
      </c>
    </row>
    <row r="89" spans="1:1" x14ac:dyDescent="0.25">
      <c r="A89" t="s">
        <v>2276</v>
      </c>
    </row>
    <row r="90" spans="1:1" x14ac:dyDescent="0.25">
      <c r="A90" t="s">
        <v>2279</v>
      </c>
    </row>
    <row r="91" spans="1:1" x14ac:dyDescent="0.25">
      <c r="A91" t="s">
        <v>2282</v>
      </c>
    </row>
    <row r="92" spans="1:1" x14ac:dyDescent="0.25">
      <c r="A92" t="s">
        <v>2285</v>
      </c>
    </row>
    <row r="93" spans="1:1" x14ac:dyDescent="0.25">
      <c r="A93" t="s">
        <v>2288</v>
      </c>
    </row>
    <row r="94" spans="1:1" x14ac:dyDescent="0.25">
      <c r="A94" t="s">
        <v>2291</v>
      </c>
    </row>
    <row r="95" spans="1:1" x14ac:dyDescent="0.25">
      <c r="A95" t="s">
        <v>2294</v>
      </c>
    </row>
    <row r="96" spans="1:1" x14ac:dyDescent="0.25">
      <c r="A96" t="s">
        <v>2297</v>
      </c>
    </row>
    <row r="97" spans="1:1" x14ac:dyDescent="0.25">
      <c r="A97" t="s">
        <v>2300</v>
      </c>
    </row>
    <row r="98" spans="1:1" x14ac:dyDescent="0.25">
      <c r="A98" t="s">
        <v>2303</v>
      </c>
    </row>
    <row r="99" spans="1:1" x14ac:dyDescent="0.25">
      <c r="A99" t="s">
        <v>2306</v>
      </c>
    </row>
    <row r="100" spans="1:1" x14ac:dyDescent="0.25">
      <c r="A100" t="s">
        <v>2309</v>
      </c>
    </row>
    <row r="101" spans="1:1" x14ac:dyDescent="0.25">
      <c r="A101" t="s">
        <v>2312</v>
      </c>
    </row>
    <row r="102" spans="1:1" x14ac:dyDescent="0.25">
      <c r="A102" t="s">
        <v>2315</v>
      </c>
    </row>
    <row r="103" spans="1:1" x14ac:dyDescent="0.25">
      <c r="A103" t="s">
        <v>2318</v>
      </c>
    </row>
    <row r="104" spans="1:1" x14ac:dyDescent="0.25">
      <c r="A104" t="s">
        <v>2321</v>
      </c>
    </row>
    <row r="105" spans="1:1" x14ac:dyDescent="0.25">
      <c r="A105" t="s">
        <v>2324</v>
      </c>
    </row>
    <row r="106" spans="1:1" x14ac:dyDescent="0.25">
      <c r="A106" t="s">
        <v>2327</v>
      </c>
    </row>
    <row r="107" spans="1:1" x14ac:dyDescent="0.25">
      <c r="A107" t="s">
        <v>2330</v>
      </c>
    </row>
    <row r="108" spans="1:1" x14ac:dyDescent="0.25">
      <c r="A108" t="s">
        <v>2333</v>
      </c>
    </row>
    <row r="109" spans="1:1" x14ac:dyDescent="0.25">
      <c r="A109" t="s">
        <v>2336</v>
      </c>
    </row>
    <row r="110" spans="1:1" x14ac:dyDescent="0.25">
      <c r="A110" t="s">
        <v>2339</v>
      </c>
    </row>
    <row r="111" spans="1:1" x14ac:dyDescent="0.25">
      <c r="A111" t="s">
        <v>2342</v>
      </c>
    </row>
    <row r="112" spans="1:1" x14ac:dyDescent="0.25">
      <c r="A112" t="s">
        <v>2345</v>
      </c>
    </row>
    <row r="113" spans="1:1" x14ac:dyDescent="0.25">
      <c r="A113" t="s">
        <v>2348</v>
      </c>
    </row>
    <row r="114" spans="1:1" x14ac:dyDescent="0.25">
      <c r="A114" t="s">
        <v>2391</v>
      </c>
    </row>
    <row r="115" spans="1:1" x14ac:dyDescent="0.25">
      <c r="A115" t="s">
        <v>2392</v>
      </c>
    </row>
    <row r="116" spans="1:1" x14ac:dyDescent="0.25">
      <c r="A116" t="s">
        <v>2393</v>
      </c>
    </row>
    <row r="117" spans="1:1" x14ac:dyDescent="0.25">
      <c r="A117" t="s">
        <v>2394</v>
      </c>
    </row>
    <row r="118" spans="1:1" x14ac:dyDescent="0.25">
      <c r="A118" t="s">
        <v>2395</v>
      </c>
    </row>
    <row r="119" spans="1:1" x14ac:dyDescent="0.25">
      <c r="A119" t="s">
        <v>2396</v>
      </c>
    </row>
    <row r="120" spans="1:1" x14ac:dyDescent="0.25">
      <c r="A120" t="s">
        <v>2397</v>
      </c>
    </row>
    <row r="121" spans="1:1" x14ac:dyDescent="0.25">
      <c r="A121" t="s">
        <v>2398</v>
      </c>
    </row>
    <row r="122" spans="1:1" x14ac:dyDescent="0.25">
      <c r="A122" t="s">
        <v>2399</v>
      </c>
    </row>
    <row r="123" spans="1:1" x14ac:dyDescent="0.25">
      <c r="A123" t="s">
        <v>2400</v>
      </c>
    </row>
    <row r="124" spans="1:1" x14ac:dyDescent="0.25">
      <c r="A124" t="s">
        <v>2401</v>
      </c>
    </row>
    <row r="125" spans="1:1" x14ac:dyDescent="0.25">
      <c r="A125" t="s">
        <v>2402</v>
      </c>
    </row>
    <row r="126" spans="1:1" x14ac:dyDescent="0.25">
      <c r="A126" t="s">
        <v>2403</v>
      </c>
    </row>
    <row r="127" spans="1:1" x14ac:dyDescent="0.25">
      <c r="A127" t="s">
        <v>2404</v>
      </c>
    </row>
    <row r="128" spans="1:1" x14ac:dyDescent="0.25">
      <c r="A128" t="s">
        <v>2405</v>
      </c>
    </row>
    <row r="129" spans="1:1" x14ac:dyDescent="0.25">
      <c r="A129" t="s">
        <v>2406</v>
      </c>
    </row>
    <row r="130" spans="1:1" x14ac:dyDescent="0.25">
      <c r="A130" t="s">
        <v>2407</v>
      </c>
    </row>
    <row r="131" spans="1:1" x14ac:dyDescent="0.25">
      <c r="A131" t="s">
        <v>2408</v>
      </c>
    </row>
    <row r="132" spans="1:1" x14ac:dyDescent="0.25">
      <c r="A132" t="s">
        <v>2409</v>
      </c>
    </row>
    <row r="133" spans="1:1" x14ac:dyDescent="0.25">
      <c r="A133" t="s">
        <v>2410</v>
      </c>
    </row>
    <row r="134" spans="1:1" x14ac:dyDescent="0.25">
      <c r="A134" t="s">
        <v>2411</v>
      </c>
    </row>
    <row r="135" spans="1:1" x14ac:dyDescent="0.25">
      <c r="A135" t="s">
        <v>2412</v>
      </c>
    </row>
    <row r="136" spans="1:1" x14ac:dyDescent="0.25">
      <c r="A136" t="s">
        <v>2413</v>
      </c>
    </row>
    <row r="137" spans="1:1" x14ac:dyDescent="0.25">
      <c r="A137" t="s">
        <v>2414</v>
      </c>
    </row>
    <row r="138" spans="1:1" x14ac:dyDescent="0.25">
      <c r="A138" t="s">
        <v>2419</v>
      </c>
    </row>
    <row r="139" spans="1:1" x14ac:dyDescent="0.25">
      <c r="A139" t="s">
        <v>2416</v>
      </c>
    </row>
    <row r="140" spans="1:1" x14ac:dyDescent="0.25">
      <c r="A140" t="s">
        <v>2417</v>
      </c>
    </row>
    <row r="141" spans="1:1" x14ac:dyDescent="0.25">
      <c r="A141" t="s">
        <v>2418</v>
      </c>
    </row>
    <row r="142" spans="1:1" x14ac:dyDescent="0.25">
      <c r="A142" t="s">
        <v>2420</v>
      </c>
    </row>
    <row r="143" spans="1:1" x14ac:dyDescent="0.25">
      <c r="A143" t="s">
        <v>2422</v>
      </c>
    </row>
    <row r="144" spans="1:1" x14ac:dyDescent="0.25">
      <c r="A144" t="s">
        <v>2423</v>
      </c>
    </row>
    <row r="145" spans="1:1" x14ac:dyDescent="0.25">
      <c r="A145" t="s">
        <v>2424</v>
      </c>
    </row>
    <row r="146" spans="1:1" x14ac:dyDescent="0.25">
      <c r="A146" t="s">
        <v>2425</v>
      </c>
    </row>
    <row r="147" spans="1:1" x14ac:dyDescent="0.25">
      <c r="A147" t="s">
        <v>2426</v>
      </c>
    </row>
    <row r="148" spans="1:1" x14ac:dyDescent="0.25">
      <c r="A148" t="s">
        <v>2427</v>
      </c>
    </row>
    <row r="149" spans="1:1" x14ac:dyDescent="0.25">
      <c r="A149" t="s">
        <v>2428</v>
      </c>
    </row>
    <row r="150" spans="1:1" x14ac:dyDescent="0.25">
      <c r="A150" t="s">
        <v>2429</v>
      </c>
    </row>
    <row r="151" spans="1:1" x14ac:dyDescent="0.25">
      <c r="A151" t="s">
        <v>2430</v>
      </c>
    </row>
    <row r="152" spans="1:1" x14ac:dyDescent="0.25">
      <c r="A152" t="s">
        <v>2431</v>
      </c>
    </row>
    <row r="153" spans="1:1" x14ac:dyDescent="0.25">
      <c r="A153" t="s">
        <v>2432</v>
      </c>
    </row>
    <row r="154" spans="1:1" x14ac:dyDescent="0.25">
      <c r="A154" t="s">
        <v>2433</v>
      </c>
    </row>
    <row r="155" spans="1:1" x14ac:dyDescent="0.25">
      <c r="A155" t="s">
        <v>2434</v>
      </c>
    </row>
    <row r="156" spans="1:1" x14ac:dyDescent="0.25">
      <c r="A156" t="s">
        <v>2435</v>
      </c>
    </row>
    <row r="157" spans="1:1" x14ac:dyDescent="0.25">
      <c r="A157" t="s">
        <v>2444</v>
      </c>
    </row>
    <row r="158" spans="1:1" x14ac:dyDescent="0.25">
      <c r="A158" t="s">
        <v>2445</v>
      </c>
    </row>
    <row r="159" spans="1:1" x14ac:dyDescent="0.25">
      <c r="A159" t="s">
        <v>2446</v>
      </c>
    </row>
    <row r="160" spans="1:1" x14ac:dyDescent="0.25">
      <c r="A160" t="s">
        <v>2447</v>
      </c>
    </row>
    <row r="161" spans="1:1" x14ac:dyDescent="0.25">
      <c r="A161" t="s">
        <v>2448</v>
      </c>
    </row>
    <row r="162" spans="1:1" x14ac:dyDescent="0.25">
      <c r="A162" t="s">
        <v>2449</v>
      </c>
    </row>
    <row r="163" spans="1:1" x14ac:dyDescent="0.25">
      <c r="A163" t="s">
        <v>2450</v>
      </c>
    </row>
    <row r="164" spans="1:1" x14ac:dyDescent="0.25">
      <c r="A164" t="s">
        <v>2451</v>
      </c>
    </row>
    <row r="165" spans="1:1" x14ac:dyDescent="0.25">
      <c r="A165" t="s">
        <v>2457</v>
      </c>
    </row>
    <row r="166" spans="1:1" x14ac:dyDescent="0.25">
      <c r="A166" t="s">
        <v>2452</v>
      </c>
    </row>
    <row r="167" spans="1:1" x14ac:dyDescent="0.25">
      <c r="A167" t="s">
        <v>2453</v>
      </c>
    </row>
    <row r="168" spans="1:1" x14ac:dyDescent="0.25">
      <c r="A168" t="s">
        <v>2454</v>
      </c>
    </row>
    <row r="169" spans="1:1" x14ac:dyDescent="0.25">
      <c r="A169" t="s">
        <v>2455</v>
      </c>
    </row>
    <row r="170" spans="1:1" x14ac:dyDescent="0.25">
      <c r="A170" t="s">
        <v>2456</v>
      </c>
    </row>
    <row r="171" spans="1:1" x14ac:dyDescent="0.25">
      <c r="A171" t="s">
        <v>2458</v>
      </c>
    </row>
    <row r="172" spans="1:1" x14ac:dyDescent="0.25">
      <c r="A172" t="s">
        <v>2460</v>
      </c>
    </row>
    <row r="173" spans="1:1" x14ac:dyDescent="0.25">
      <c r="A173" t="s">
        <v>2461</v>
      </c>
    </row>
    <row r="174" spans="1:1" x14ac:dyDescent="0.25">
      <c r="A174" t="s">
        <v>2462</v>
      </c>
    </row>
    <row r="175" spans="1:1" x14ac:dyDescent="0.25">
      <c r="A175" t="s">
        <v>2121</v>
      </c>
    </row>
    <row r="176" spans="1:1" x14ac:dyDescent="0.25">
      <c r="A176" t="s">
        <v>2122</v>
      </c>
    </row>
    <row r="177" spans="1:1" x14ac:dyDescent="0.25">
      <c r="A177" t="s">
        <v>2123</v>
      </c>
    </row>
    <row r="178" spans="1:1" x14ac:dyDescent="0.25">
      <c r="A178" t="s">
        <v>2124</v>
      </c>
    </row>
    <row r="179" spans="1:1" x14ac:dyDescent="0.25">
      <c r="A179" t="s">
        <v>2421</v>
      </c>
    </row>
    <row r="180" spans="1:1" x14ac:dyDescent="0.25">
      <c r="A180" t="s">
        <v>2415</v>
      </c>
    </row>
    <row r="181" spans="1:1" x14ac:dyDescent="0.25">
      <c r="A181" t="s">
        <v>2125</v>
      </c>
    </row>
    <row r="182" spans="1:1" x14ac:dyDescent="0.25">
      <c r="A182" t="s">
        <v>2126</v>
      </c>
    </row>
    <row r="183" spans="1:1" x14ac:dyDescent="0.25">
      <c r="A183" t="s">
        <v>2127</v>
      </c>
    </row>
    <row r="184" spans="1:1" x14ac:dyDescent="0.25">
      <c r="A184" t="s">
        <v>2120</v>
      </c>
    </row>
    <row r="185" spans="1:1" x14ac:dyDescent="0.25">
      <c r="A185" t="s">
        <v>2119</v>
      </c>
    </row>
    <row r="186" spans="1:1" x14ac:dyDescent="0.25">
      <c r="A186" t="s">
        <v>2436</v>
      </c>
    </row>
    <row r="187" spans="1:1" x14ac:dyDescent="0.25">
      <c r="A187" t="s">
        <v>2437</v>
      </c>
    </row>
    <row r="188" spans="1:1" x14ac:dyDescent="0.25">
      <c r="A188" t="s">
        <v>2438</v>
      </c>
    </row>
    <row r="189" spans="1:1" x14ac:dyDescent="0.25">
      <c r="A189" t="s">
        <v>2439</v>
      </c>
    </row>
    <row r="190" spans="1:1" x14ac:dyDescent="0.25">
      <c r="A190" t="s">
        <v>2440</v>
      </c>
    </row>
    <row r="191" spans="1:1" x14ac:dyDescent="0.25">
      <c r="A191" t="s">
        <v>2441</v>
      </c>
    </row>
    <row r="192" spans="1:1" x14ac:dyDescent="0.25">
      <c r="A192" t="s">
        <v>2442</v>
      </c>
    </row>
    <row r="193" spans="1:1" x14ac:dyDescent="0.25">
      <c r="A193" t="s">
        <v>2443</v>
      </c>
    </row>
    <row r="194" spans="1:1" x14ac:dyDescent="0.25">
      <c r="A194" t="s">
        <v>2351</v>
      </c>
    </row>
    <row r="195" spans="1:1" x14ac:dyDescent="0.25">
      <c r="A195" t="s">
        <v>2463</v>
      </c>
    </row>
    <row r="196" spans="1:1" x14ac:dyDescent="0.25">
      <c r="A196" t="s">
        <v>2464</v>
      </c>
    </row>
    <row r="197" spans="1:1" x14ac:dyDescent="0.25">
      <c r="A197" t="s">
        <v>2465</v>
      </c>
    </row>
    <row r="198" spans="1:1" x14ac:dyDescent="0.25">
      <c r="A198" t="s">
        <v>2466</v>
      </c>
    </row>
    <row r="199" spans="1:1" x14ac:dyDescent="0.25">
      <c r="A199" t="s">
        <v>2467</v>
      </c>
    </row>
    <row r="200" spans="1:1" x14ac:dyDescent="0.25">
      <c r="A200" t="s">
        <v>2468</v>
      </c>
    </row>
    <row r="201" spans="1:1" x14ac:dyDescent="0.25">
      <c r="A201" t="s">
        <v>2469</v>
      </c>
    </row>
    <row r="202" spans="1:1" x14ac:dyDescent="0.25">
      <c r="A202" t="s">
        <v>2160</v>
      </c>
    </row>
    <row r="203" spans="1:1" x14ac:dyDescent="0.25">
      <c r="A203" t="s">
        <v>2470</v>
      </c>
    </row>
    <row r="204" spans="1:1" x14ac:dyDescent="0.25">
      <c r="A204" t="s">
        <v>2471</v>
      </c>
    </row>
    <row r="205" spans="1:1" x14ac:dyDescent="0.25">
      <c r="A205" t="s">
        <v>2472</v>
      </c>
    </row>
    <row r="206" spans="1:1" x14ac:dyDescent="0.25">
      <c r="A206" t="s">
        <v>2473</v>
      </c>
    </row>
    <row r="207" spans="1:1" x14ac:dyDescent="0.25">
      <c r="A207" t="s">
        <v>2163</v>
      </c>
    </row>
    <row r="208" spans="1:1" x14ac:dyDescent="0.25">
      <c r="A208" t="s">
        <v>2166</v>
      </c>
    </row>
    <row r="209" spans="1:1" x14ac:dyDescent="0.25">
      <c r="A209" t="s">
        <v>2169</v>
      </c>
    </row>
    <row r="210" spans="1:1" x14ac:dyDescent="0.25">
      <c r="A210" t="s">
        <v>2172</v>
      </c>
    </row>
    <row r="211" spans="1:1" x14ac:dyDescent="0.25">
      <c r="A211" t="s">
        <v>2175</v>
      </c>
    </row>
    <row r="212" spans="1:1" x14ac:dyDescent="0.25">
      <c r="A212" t="s">
        <v>2178</v>
      </c>
    </row>
    <row r="213" spans="1:1" x14ac:dyDescent="0.25">
      <c r="A213" t="s">
        <v>2181</v>
      </c>
    </row>
    <row r="214" spans="1:1" x14ac:dyDescent="0.25">
      <c r="A214" t="s">
        <v>2184</v>
      </c>
    </row>
    <row r="215" spans="1:1" x14ac:dyDescent="0.25">
      <c r="A215" t="s">
        <v>2187</v>
      </c>
    </row>
    <row r="216" spans="1:1" x14ac:dyDescent="0.25">
      <c r="A216" t="s">
        <v>2190</v>
      </c>
    </row>
    <row r="217" spans="1:1" x14ac:dyDescent="0.25">
      <c r="A217" t="s">
        <v>2193</v>
      </c>
    </row>
    <row r="218" spans="1:1" x14ac:dyDescent="0.25">
      <c r="A218" t="s">
        <v>2195</v>
      </c>
    </row>
    <row r="219" spans="1:1" x14ac:dyDescent="0.25">
      <c r="A219" t="s">
        <v>2200</v>
      </c>
    </row>
    <row r="220" spans="1:1" x14ac:dyDescent="0.25">
      <c r="A220" t="s">
        <v>2198</v>
      </c>
    </row>
    <row r="221" spans="1:1" x14ac:dyDescent="0.25">
      <c r="A221" t="s">
        <v>2203</v>
      </c>
    </row>
    <row r="222" spans="1:1" x14ac:dyDescent="0.25">
      <c r="A222" t="s">
        <v>2206</v>
      </c>
    </row>
    <row r="223" spans="1:1" x14ac:dyDescent="0.25">
      <c r="A223" t="s">
        <v>2209</v>
      </c>
    </row>
    <row r="224" spans="1:1" x14ac:dyDescent="0.25">
      <c r="A224" t="s">
        <v>2212</v>
      </c>
    </row>
    <row r="225" spans="1:1" x14ac:dyDescent="0.25">
      <c r="A225" t="s">
        <v>2215</v>
      </c>
    </row>
    <row r="226" spans="1:1" x14ac:dyDescent="0.25">
      <c r="A226" t="s">
        <v>2218</v>
      </c>
    </row>
    <row r="227" spans="1:1" x14ac:dyDescent="0.25">
      <c r="A227" t="s">
        <v>2221</v>
      </c>
    </row>
    <row r="228" spans="1:1" x14ac:dyDescent="0.25">
      <c r="A228" t="s">
        <v>2224</v>
      </c>
    </row>
    <row r="229" spans="1:1" x14ac:dyDescent="0.25">
      <c r="A229" t="s">
        <v>2227</v>
      </c>
    </row>
    <row r="230" spans="1:1" x14ac:dyDescent="0.25">
      <c r="A230" t="s">
        <v>2230</v>
      </c>
    </row>
    <row r="231" spans="1:1" x14ac:dyDescent="0.25">
      <c r="A231" t="s">
        <v>2233</v>
      </c>
    </row>
    <row r="232" spans="1:1" x14ac:dyDescent="0.25">
      <c r="A232" t="s">
        <v>2236</v>
      </c>
    </row>
    <row r="233" spans="1:1" x14ac:dyDescent="0.25">
      <c r="A233" t="s">
        <v>2239</v>
      </c>
    </row>
    <row r="234" spans="1:1" x14ac:dyDescent="0.25">
      <c r="A234" t="s">
        <v>2242</v>
      </c>
    </row>
    <row r="235" spans="1:1" x14ac:dyDescent="0.25">
      <c r="A235" t="s">
        <v>2245</v>
      </c>
    </row>
    <row r="236" spans="1:1" x14ac:dyDescent="0.25">
      <c r="A236" t="s">
        <v>2248</v>
      </c>
    </row>
    <row r="237" spans="1:1" x14ac:dyDescent="0.25">
      <c r="A237" t="s">
        <v>2250</v>
      </c>
    </row>
    <row r="238" spans="1:1" x14ac:dyDescent="0.25">
      <c r="A238" t="s">
        <v>2253</v>
      </c>
    </row>
    <row r="239" spans="1:1" x14ac:dyDescent="0.25">
      <c r="A239" t="s">
        <v>2256</v>
      </c>
    </row>
    <row r="240" spans="1:1" x14ac:dyDescent="0.25">
      <c r="A240" t="s">
        <v>2259</v>
      </c>
    </row>
    <row r="241" spans="1:1" x14ac:dyDescent="0.25">
      <c r="A241" t="s">
        <v>2262</v>
      </c>
    </row>
    <row r="242" spans="1:1" x14ac:dyDescent="0.25">
      <c r="A242" t="s">
        <v>2265</v>
      </c>
    </row>
    <row r="243" spans="1:1" x14ac:dyDescent="0.25">
      <c r="A243" t="s">
        <v>2268</v>
      </c>
    </row>
    <row r="244" spans="1:1" x14ac:dyDescent="0.25">
      <c r="A244" t="s">
        <v>2274</v>
      </c>
    </row>
    <row r="245" spans="1:1" x14ac:dyDescent="0.25">
      <c r="A245" t="s">
        <v>2271</v>
      </c>
    </row>
    <row r="246" spans="1:1" x14ac:dyDescent="0.25">
      <c r="A246" t="s">
        <v>2277</v>
      </c>
    </row>
    <row r="247" spans="1:1" x14ac:dyDescent="0.25">
      <c r="A247" t="s">
        <v>2280</v>
      </c>
    </row>
    <row r="248" spans="1:1" x14ac:dyDescent="0.25">
      <c r="A248" t="s">
        <v>2283</v>
      </c>
    </row>
    <row r="249" spans="1:1" x14ac:dyDescent="0.25">
      <c r="A249" t="s">
        <v>2286</v>
      </c>
    </row>
    <row r="250" spans="1:1" x14ac:dyDescent="0.25">
      <c r="A250" t="s">
        <v>2289</v>
      </c>
    </row>
    <row r="251" spans="1:1" x14ac:dyDescent="0.25">
      <c r="A251" t="s">
        <v>2292</v>
      </c>
    </row>
    <row r="252" spans="1:1" x14ac:dyDescent="0.25">
      <c r="A252" t="s">
        <v>2295</v>
      </c>
    </row>
    <row r="253" spans="1:1" x14ac:dyDescent="0.25">
      <c r="A253" t="s">
        <v>2298</v>
      </c>
    </row>
    <row r="254" spans="1:1" x14ac:dyDescent="0.25">
      <c r="A254" t="s">
        <v>2301</v>
      </c>
    </row>
    <row r="255" spans="1:1" x14ac:dyDescent="0.25">
      <c r="A255" t="s">
        <v>2304</v>
      </c>
    </row>
    <row r="256" spans="1:1" x14ac:dyDescent="0.25">
      <c r="A256" t="s">
        <v>2307</v>
      </c>
    </row>
    <row r="257" spans="1:1" x14ac:dyDescent="0.25">
      <c r="A257" t="s">
        <v>2310</v>
      </c>
    </row>
    <row r="258" spans="1:1" x14ac:dyDescent="0.25">
      <c r="A258" t="s">
        <v>2313</v>
      </c>
    </row>
    <row r="259" spans="1:1" x14ac:dyDescent="0.25">
      <c r="A259" t="s">
        <v>2316</v>
      </c>
    </row>
    <row r="260" spans="1:1" x14ac:dyDescent="0.25">
      <c r="A260" t="s">
        <v>2319</v>
      </c>
    </row>
    <row r="261" spans="1:1" x14ac:dyDescent="0.25">
      <c r="A261" t="s">
        <v>2322</v>
      </c>
    </row>
    <row r="262" spans="1:1" x14ac:dyDescent="0.25">
      <c r="A262" t="s">
        <v>2325</v>
      </c>
    </row>
    <row r="263" spans="1:1" x14ac:dyDescent="0.25">
      <c r="A263" t="s">
        <v>2328</v>
      </c>
    </row>
    <row r="264" spans="1:1" x14ac:dyDescent="0.25">
      <c r="A264" t="s">
        <v>2331</v>
      </c>
    </row>
    <row r="265" spans="1:1" x14ac:dyDescent="0.25">
      <c r="A265" t="s">
        <v>2334</v>
      </c>
    </row>
    <row r="266" spans="1:1" x14ac:dyDescent="0.25">
      <c r="A266" t="s">
        <v>2337</v>
      </c>
    </row>
    <row r="267" spans="1:1" x14ac:dyDescent="0.25">
      <c r="A267" t="s">
        <v>2340</v>
      </c>
    </row>
    <row r="268" spans="1:1" x14ac:dyDescent="0.25">
      <c r="A268" t="s">
        <v>2343</v>
      </c>
    </row>
    <row r="269" spans="1:1" x14ac:dyDescent="0.25">
      <c r="A269" t="s">
        <v>2346</v>
      </c>
    </row>
    <row r="270" spans="1:1" x14ac:dyDescent="0.25">
      <c r="A270" t="s">
        <v>2349</v>
      </c>
    </row>
    <row r="271" spans="1:1" x14ac:dyDescent="0.25">
      <c r="A271" t="s">
        <v>2065</v>
      </c>
    </row>
    <row r="272" spans="1:1" x14ac:dyDescent="0.25">
      <c r="A272" t="s">
        <v>2066</v>
      </c>
    </row>
    <row r="273" spans="1:1" x14ac:dyDescent="0.25">
      <c r="A273" t="s">
        <v>2067</v>
      </c>
    </row>
    <row r="274" spans="1:1" x14ac:dyDescent="0.25">
      <c r="A274" t="s">
        <v>2068</v>
      </c>
    </row>
    <row r="275" spans="1:1" x14ac:dyDescent="0.25">
      <c r="A275" t="s">
        <v>2069</v>
      </c>
    </row>
    <row r="276" spans="1:1" x14ac:dyDescent="0.25">
      <c r="A276" t="s">
        <v>2070</v>
      </c>
    </row>
    <row r="277" spans="1:1" x14ac:dyDescent="0.25">
      <c r="A277" t="s">
        <v>2071</v>
      </c>
    </row>
    <row r="278" spans="1:1" x14ac:dyDescent="0.25">
      <c r="A278" t="s">
        <v>2072</v>
      </c>
    </row>
    <row r="279" spans="1:1" x14ac:dyDescent="0.25">
      <c r="A279" t="s">
        <v>2161</v>
      </c>
    </row>
    <row r="280" spans="1:1" x14ac:dyDescent="0.25">
      <c r="A280" t="s">
        <v>2073</v>
      </c>
    </row>
    <row r="281" spans="1:1" x14ac:dyDescent="0.25">
      <c r="A281" t="s">
        <v>2074</v>
      </c>
    </row>
    <row r="282" spans="1:1" x14ac:dyDescent="0.25">
      <c r="A282" t="s">
        <v>2075</v>
      </c>
    </row>
    <row r="283" spans="1:1" x14ac:dyDescent="0.25">
      <c r="A283" t="s">
        <v>2076</v>
      </c>
    </row>
    <row r="284" spans="1:1" x14ac:dyDescent="0.25">
      <c r="A284" t="s">
        <v>2164</v>
      </c>
    </row>
    <row r="285" spans="1:1" x14ac:dyDescent="0.25">
      <c r="A285" t="s">
        <v>2167</v>
      </c>
    </row>
    <row r="286" spans="1:1" x14ac:dyDescent="0.25">
      <c r="A286" t="s">
        <v>2170</v>
      </c>
    </row>
    <row r="287" spans="1:1" x14ac:dyDescent="0.25">
      <c r="A287" t="s">
        <v>2173</v>
      </c>
    </row>
    <row r="288" spans="1:1" x14ac:dyDescent="0.25">
      <c r="A288" t="s">
        <v>2176</v>
      </c>
    </row>
    <row r="289" spans="1:1" x14ac:dyDescent="0.25">
      <c r="A289" t="s">
        <v>2179</v>
      </c>
    </row>
    <row r="290" spans="1:1" x14ac:dyDescent="0.25">
      <c r="A290" t="s">
        <v>2182</v>
      </c>
    </row>
    <row r="291" spans="1:1" x14ac:dyDescent="0.25">
      <c r="A291" t="s">
        <v>2185</v>
      </c>
    </row>
    <row r="292" spans="1:1" x14ac:dyDescent="0.25">
      <c r="A292" t="s">
        <v>2188</v>
      </c>
    </row>
    <row r="293" spans="1:1" x14ac:dyDescent="0.25">
      <c r="A293" t="s">
        <v>2191</v>
      </c>
    </row>
    <row r="294" spans="1:1" x14ac:dyDescent="0.25">
      <c r="A294" t="s">
        <v>2194</v>
      </c>
    </row>
    <row r="295" spans="1:1" x14ac:dyDescent="0.25">
      <c r="A295" t="s">
        <v>2201</v>
      </c>
    </row>
    <row r="296" spans="1:1" x14ac:dyDescent="0.25">
      <c r="A296" t="s">
        <v>2196</v>
      </c>
    </row>
    <row r="297" spans="1:1" x14ac:dyDescent="0.25">
      <c r="A297" t="s">
        <v>2204</v>
      </c>
    </row>
    <row r="298" spans="1:1" x14ac:dyDescent="0.25">
      <c r="A298" t="s">
        <v>2199</v>
      </c>
    </row>
    <row r="299" spans="1:1" x14ac:dyDescent="0.25">
      <c r="A299" t="s">
        <v>2207</v>
      </c>
    </row>
    <row r="300" spans="1:1" x14ac:dyDescent="0.25">
      <c r="A300" t="s">
        <v>2210</v>
      </c>
    </row>
    <row r="301" spans="1:1" x14ac:dyDescent="0.25">
      <c r="A301" t="s">
        <v>2213</v>
      </c>
    </row>
    <row r="302" spans="1:1" x14ac:dyDescent="0.25">
      <c r="A302" t="s">
        <v>2216</v>
      </c>
    </row>
    <row r="303" spans="1:1" x14ac:dyDescent="0.25">
      <c r="A303" t="s">
        <v>2219</v>
      </c>
    </row>
    <row r="304" spans="1:1" x14ac:dyDescent="0.25">
      <c r="A304" t="s">
        <v>2222</v>
      </c>
    </row>
    <row r="305" spans="1:1" x14ac:dyDescent="0.25">
      <c r="A305" t="s">
        <v>2225</v>
      </c>
    </row>
    <row r="306" spans="1:1" x14ac:dyDescent="0.25">
      <c r="A306" t="s">
        <v>2228</v>
      </c>
    </row>
    <row r="307" spans="1:1" x14ac:dyDescent="0.25">
      <c r="A307" t="s">
        <v>2231</v>
      </c>
    </row>
    <row r="308" spans="1:1" x14ac:dyDescent="0.25">
      <c r="A308" t="s">
        <v>2234</v>
      </c>
    </row>
    <row r="309" spans="1:1" x14ac:dyDescent="0.25">
      <c r="A309" t="s">
        <v>2237</v>
      </c>
    </row>
    <row r="310" spans="1:1" x14ac:dyDescent="0.25">
      <c r="A310" t="s">
        <v>2240</v>
      </c>
    </row>
    <row r="311" spans="1:1" x14ac:dyDescent="0.25">
      <c r="A311" t="s">
        <v>2243</v>
      </c>
    </row>
    <row r="312" spans="1:1" x14ac:dyDescent="0.25">
      <c r="A312" t="s">
        <v>2246</v>
      </c>
    </row>
    <row r="313" spans="1:1" x14ac:dyDescent="0.25">
      <c r="A313" t="s">
        <v>2249</v>
      </c>
    </row>
    <row r="314" spans="1:1" x14ac:dyDescent="0.25">
      <c r="A314" t="s">
        <v>2254</v>
      </c>
    </row>
    <row r="315" spans="1:1" x14ac:dyDescent="0.25">
      <c r="A315" t="s">
        <v>2251</v>
      </c>
    </row>
    <row r="316" spans="1:1" x14ac:dyDescent="0.25">
      <c r="A316" t="s">
        <v>2257</v>
      </c>
    </row>
    <row r="317" spans="1:1" x14ac:dyDescent="0.25">
      <c r="A317" t="s">
        <v>2260</v>
      </c>
    </row>
    <row r="318" spans="1:1" x14ac:dyDescent="0.25">
      <c r="A318" t="s">
        <v>2263</v>
      </c>
    </row>
    <row r="319" spans="1:1" x14ac:dyDescent="0.25">
      <c r="A319" t="s">
        <v>2266</v>
      </c>
    </row>
    <row r="320" spans="1:1" x14ac:dyDescent="0.25">
      <c r="A320" t="s">
        <v>2269</v>
      </c>
    </row>
    <row r="321" spans="1:1" x14ac:dyDescent="0.25">
      <c r="A321" t="s">
        <v>2275</v>
      </c>
    </row>
    <row r="322" spans="1:1" x14ac:dyDescent="0.25">
      <c r="A322" t="s">
        <v>2272</v>
      </c>
    </row>
    <row r="323" spans="1:1" x14ac:dyDescent="0.25">
      <c r="A323" t="s">
        <v>2278</v>
      </c>
    </row>
    <row r="324" spans="1:1" x14ac:dyDescent="0.25">
      <c r="A324" t="s">
        <v>2281</v>
      </c>
    </row>
    <row r="325" spans="1:1" x14ac:dyDescent="0.25">
      <c r="A325" t="s">
        <v>2284</v>
      </c>
    </row>
    <row r="326" spans="1:1" x14ac:dyDescent="0.25">
      <c r="A326" t="s">
        <v>2287</v>
      </c>
    </row>
    <row r="327" spans="1:1" x14ac:dyDescent="0.25">
      <c r="A327" t="s">
        <v>2290</v>
      </c>
    </row>
    <row r="328" spans="1:1" x14ac:dyDescent="0.25">
      <c r="A328" t="s">
        <v>2293</v>
      </c>
    </row>
    <row r="329" spans="1:1" x14ac:dyDescent="0.25">
      <c r="A329" t="s">
        <v>2296</v>
      </c>
    </row>
    <row r="330" spans="1:1" x14ac:dyDescent="0.25">
      <c r="A330" t="s">
        <v>2352</v>
      </c>
    </row>
    <row r="331" spans="1:1" x14ac:dyDescent="0.25">
      <c r="A331" t="s">
        <v>2302</v>
      </c>
    </row>
    <row r="332" spans="1:1" x14ac:dyDescent="0.25">
      <c r="A332" t="s">
        <v>2299</v>
      </c>
    </row>
    <row r="333" spans="1:1" x14ac:dyDescent="0.25">
      <c r="A333" t="s">
        <v>2305</v>
      </c>
    </row>
    <row r="334" spans="1:1" x14ac:dyDescent="0.25">
      <c r="A334" t="s">
        <v>2308</v>
      </c>
    </row>
    <row r="335" spans="1:1" x14ac:dyDescent="0.25">
      <c r="A335" t="s">
        <v>2311</v>
      </c>
    </row>
    <row r="336" spans="1:1" x14ac:dyDescent="0.25">
      <c r="A336" t="s">
        <v>2314</v>
      </c>
    </row>
    <row r="337" spans="1:1" x14ac:dyDescent="0.25">
      <c r="A337" t="s">
        <v>2317</v>
      </c>
    </row>
    <row r="338" spans="1:1" x14ac:dyDescent="0.25">
      <c r="A338" t="s">
        <v>2320</v>
      </c>
    </row>
    <row r="339" spans="1:1" x14ac:dyDescent="0.25">
      <c r="A339" t="s">
        <v>2323</v>
      </c>
    </row>
    <row r="340" spans="1:1" x14ac:dyDescent="0.25">
      <c r="A340" t="s">
        <v>2326</v>
      </c>
    </row>
    <row r="341" spans="1:1" x14ac:dyDescent="0.25">
      <c r="A341" t="s">
        <v>2329</v>
      </c>
    </row>
    <row r="342" spans="1:1" x14ac:dyDescent="0.25">
      <c r="A342" t="s">
        <v>2332</v>
      </c>
    </row>
    <row r="343" spans="1:1" x14ac:dyDescent="0.25">
      <c r="A343" t="s">
        <v>2335</v>
      </c>
    </row>
    <row r="344" spans="1:1" x14ac:dyDescent="0.25">
      <c r="A344" t="s">
        <v>2338</v>
      </c>
    </row>
    <row r="345" spans="1:1" x14ac:dyDescent="0.25">
      <c r="A345" t="s">
        <v>2341</v>
      </c>
    </row>
    <row r="346" spans="1:1" x14ac:dyDescent="0.25">
      <c r="A346" t="s">
        <v>2344</v>
      </c>
    </row>
    <row r="347" spans="1:1" x14ac:dyDescent="0.25">
      <c r="A347" t="s">
        <v>2347</v>
      </c>
    </row>
    <row r="348" spans="1:1" x14ac:dyDescent="0.25">
      <c r="A348" t="s">
        <v>2350</v>
      </c>
    </row>
    <row r="349" spans="1:1" x14ac:dyDescent="0.25">
      <c r="A349" t="s">
        <v>2033</v>
      </c>
    </row>
    <row r="350" spans="1:1" x14ac:dyDescent="0.25">
      <c r="A350" t="s">
        <v>2032</v>
      </c>
    </row>
    <row r="351" spans="1:1" x14ac:dyDescent="0.25">
      <c r="A351" t="s">
        <v>2034</v>
      </c>
    </row>
    <row r="352" spans="1:1" x14ac:dyDescent="0.25">
      <c r="A352" t="s">
        <v>2035</v>
      </c>
    </row>
    <row r="353" spans="1:1" x14ac:dyDescent="0.25">
      <c r="A353" t="s">
        <v>2036</v>
      </c>
    </row>
    <row r="354" spans="1:1" x14ac:dyDescent="0.25">
      <c r="A354" t="s">
        <v>2037</v>
      </c>
    </row>
    <row r="355" spans="1:1" x14ac:dyDescent="0.25">
      <c r="A355" t="s">
        <v>2038</v>
      </c>
    </row>
    <row r="356" spans="1:1" x14ac:dyDescent="0.25">
      <c r="A356" t="s">
        <v>2039</v>
      </c>
    </row>
    <row r="357" spans="1:1" x14ac:dyDescent="0.25">
      <c r="A357" t="s">
        <v>2040</v>
      </c>
    </row>
    <row r="358" spans="1:1" x14ac:dyDescent="0.25">
      <c r="A358" t="s">
        <v>2041</v>
      </c>
    </row>
    <row r="359" spans="1:1" x14ac:dyDescent="0.25">
      <c r="A359" t="s">
        <v>2042</v>
      </c>
    </row>
    <row r="360" spans="1:1" x14ac:dyDescent="0.25">
      <c r="A360" t="s">
        <v>2043</v>
      </c>
    </row>
    <row r="361" spans="1:1" x14ac:dyDescent="0.25">
      <c r="A361" t="s">
        <v>2044</v>
      </c>
    </row>
    <row r="362" spans="1:1" x14ac:dyDescent="0.25">
      <c r="A362" t="s">
        <v>2045</v>
      </c>
    </row>
    <row r="363" spans="1:1" x14ac:dyDescent="0.25">
      <c r="A363" t="s">
        <v>2046</v>
      </c>
    </row>
    <row r="364" spans="1:1" x14ac:dyDescent="0.25">
      <c r="A364" t="s">
        <v>2047</v>
      </c>
    </row>
    <row r="365" spans="1:1" x14ac:dyDescent="0.25">
      <c r="A365" t="s">
        <v>2048</v>
      </c>
    </row>
    <row r="366" spans="1:1" x14ac:dyDescent="0.25">
      <c r="A366" t="s">
        <v>2049</v>
      </c>
    </row>
    <row r="367" spans="1:1" x14ac:dyDescent="0.25">
      <c r="A367" t="s">
        <v>2050</v>
      </c>
    </row>
    <row r="368" spans="1:1" x14ac:dyDescent="0.25">
      <c r="A368" t="s">
        <v>2051</v>
      </c>
    </row>
    <row r="369" spans="1:1" x14ac:dyDescent="0.25">
      <c r="A369" t="s">
        <v>2052</v>
      </c>
    </row>
    <row r="370" spans="1:1" x14ac:dyDescent="0.25">
      <c r="A370" t="s">
        <v>2053</v>
      </c>
    </row>
    <row r="371" spans="1:1" x14ac:dyDescent="0.25">
      <c r="A371" t="s">
        <v>2054</v>
      </c>
    </row>
    <row r="372" spans="1:1" x14ac:dyDescent="0.25">
      <c r="A372" t="s">
        <v>2055</v>
      </c>
    </row>
    <row r="373" spans="1:1" x14ac:dyDescent="0.25">
      <c r="A373" t="s">
        <v>2056</v>
      </c>
    </row>
    <row r="374" spans="1:1" x14ac:dyDescent="0.25">
      <c r="A374" t="s">
        <v>2057</v>
      </c>
    </row>
    <row r="375" spans="1:1" x14ac:dyDescent="0.25">
      <c r="A375" t="s">
        <v>2058</v>
      </c>
    </row>
    <row r="376" spans="1:1" x14ac:dyDescent="0.25">
      <c r="A376" t="s">
        <v>2059</v>
      </c>
    </row>
    <row r="377" spans="1:1" x14ac:dyDescent="0.25">
      <c r="A377" t="s">
        <v>2060</v>
      </c>
    </row>
    <row r="378" spans="1:1" x14ac:dyDescent="0.25">
      <c r="A378" t="s">
        <v>2061</v>
      </c>
    </row>
    <row r="379" spans="1:1" x14ac:dyDescent="0.25">
      <c r="A379" t="s">
        <v>2062</v>
      </c>
    </row>
    <row r="380" spans="1:1" x14ac:dyDescent="0.25">
      <c r="A380" t="s">
        <v>2063</v>
      </c>
    </row>
    <row r="381" spans="1:1" x14ac:dyDescent="0.25">
      <c r="A381" t="s">
        <v>2064</v>
      </c>
    </row>
    <row r="382" spans="1:1" x14ac:dyDescent="0.25">
      <c r="A382" t="s">
        <v>2105</v>
      </c>
    </row>
    <row r="383" spans="1:1" x14ac:dyDescent="0.25">
      <c r="A383" t="s">
        <v>2106</v>
      </c>
    </row>
    <row r="384" spans="1:1" x14ac:dyDescent="0.25">
      <c r="A384" t="s">
        <v>2107</v>
      </c>
    </row>
    <row r="385" spans="1:1" x14ac:dyDescent="0.25">
      <c r="A385" t="s">
        <v>2108</v>
      </c>
    </row>
    <row r="386" spans="1:1" x14ac:dyDescent="0.25">
      <c r="A386" t="s">
        <v>2129</v>
      </c>
    </row>
    <row r="387" spans="1:1" x14ac:dyDescent="0.25">
      <c r="A387" t="s">
        <v>2128</v>
      </c>
    </row>
    <row r="388" spans="1:1" x14ac:dyDescent="0.25">
      <c r="A388" t="s">
        <v>2130</v>
      </c>
    </row>
    <row r="389" spans="1:1" x14ac:dyDescent="0.25">
      <c r="A389" t="s">
        <v>2131</v>
      </c>
    </row>
    <row r="390" spans="1:1" x14ac:dyDescent="0.25">
      <c r="A390" t="s">
        <v>2132</v>
      </c>
    </row>
    <row r="391" spans="1:1" x14ac:dyDescent="0.25">
      <c r="A391" t="s">
        <v>2133</v>
      </c>
    </row>
    <row r="392" spans="1:1" x14ac:dyDescent="0.25">
      <c r="A392" t="s">
        <v>2134</v>
      </c>
    </row>
    <row r="393" spans="1:1" x14ac:dyDescent="0.25">
      <c r="A393" t="s">
        <v>2135</v>
      </c>
    </row>
    <row r="394" spans="1:1" x14ac:dyDescent="0.25">
      <c r="A394" t="s">
        <v>2136</v>
      </c>
    </row>
    <row r="395" spans="1:1" x14ac:dyDescent="0.25">
      <c r="A395" t="s">
        <v>2137</v>
      </c>
    </row>
    <row r="396" spans="1:1" x14ac:dyDescent="0.25">
      <c r="A396" t="s">
        <v>2138</v>
      </c>
    </row>
    <row r="397" spans="1:1" x14ac:dyDescent="0.25">
      <c r="A397" t="s">
        <v>2139</v>
      </c>
    </row>
    <row r="398" spans="1:1" x14ac:dyDescent="0.25">
      <c r="A398" t="s">
        <v>2140</v>
      </c>
    </row>
    <row r="399" spans="1:1" x14ac:dyDescent="0.25">
      <c r="A399" t="s">
        <v>2153</v>
      </c>
    </row>
    <row r="400" spans="1:1" x14ac:dyDescent="0.25">
      <c r="A400" t="s">
        <v>2154</v>
      </c>
    </row>
    <row r="401" spans="1:1" x14ac:dyDescent="0.25">
      <c r="A401" t="s">
        <v>2155</v>
      </c>
    </row>
    <row r="402" spans="1:1" x14ac:dyDescent="0.25">
      <c r="A402" t="s">
        <v>2156</v>
      </c>
    </row>
    <row r="403" spans="1:1" x14ac:dyDescent="0.25">
      <c r="A403" t="s">
        <v>2157</v>
      </c>
    </row>
    <row r="404" spans="1:1" x14ac:dyDescent="0.25">
      <c r="A404" t="s">
        <v>2158</v>
      </c>
    </row>
    <row r="405" spans="1:1" x14ac:dyDescent="0.25">
      <c r="A405" t="s">
        <v>2353</v>
      </c>
    </row>
    <row r="406" spans="1:1" x14ac:dyDescent="0.25">
      <c r="A406" t="s">
        <v>2354</v>
      </c>
    </row>
    <row r="407" spans="1:1" x14ac:dyDescent="0.25">
      <c r="A407" t="s">
        <v>2355</v>
      </c>
    </row>
    <row r="408" spans="1:1" x14ac:dyDescent="0.25">
      <c r="A408" t="s">
        <v>2356</v>
      </c>
    </row>
    <row r="409" spans="1:1" x14ac:dyDescent="0.25">
      <c r="A409" t="s">
        <v>2357</v>
      </c>
    </row>
    <row r="410" spans="1:1" x14ac:dyDescent="0.25">
      <c r="A410" t="s">
        <v>2358</v>
      </c>
    </row>
    <row r="411" spans="1:1" x14ac:dyDescent="0.25">
      <c r="A411" t="s">
        <v>2359</v>
      </c>
    </row>
    <row r="412" spans="1:1" x14ac:dyDescent="0.25">
      <c r="A412" t="s">
        <v>2360</v>
      </c>
    </row>
    <row r="413" spans="1:1" x14ac:dyDescent="0.25">
      <c r="A413" t="s">
        <v>2361</v>
      </c>
    </row>
    <row r="414" spans="1:1" x14ac:dyDescent="0.25">
      <c r="A414" t="s">
        <v>2362</v>
      </c>
    </row>
    <row r="415" spans="1:1" x14ac:dyDescent="0.25">
      <c r="A415" t="s">
        <v>2363</v>
      </c>
    </row>
    <row r="416" spans="1:1" x14ac:dyDescent="0.25">
      <c r="A416" t="s">
        <v>2364</v>
      </c>
    </row>
    <row r="417" spans="1:1" x14ac:dyDescent="0.25">
      <c r="A417" t="s">
        <v>2365</v>
      </c>
    </row>
    <row r="418" spans="1:1" x14ac:dyDescent="0.25">
      <c r="A418" t="s">
        <v>2366</v>
      </c>
    </row>
    <row r="419" spans="1:1" x14ac:dyDescent="0.25">
      <c r="A419" t="s">
        <v>2367</v>
      </c>
    </row>
    <row r="420" spans="1:1" x14ac:dyDescent="0.25">
      <c r="A420" t="s">
        <v>2368</v>
      </c>
    </row>
    <row r="421" spans="1:1" x14ac:dyDescent="0.25">
      <c r="A421" t="s">
        <v>2369</v>
      </c>
    </row>
    <row r="422" spans="1:1" x14ac:dyDescent="0.25">
      <c r="A422" t="s">
        <v>2370</v>
      </c>
    </row>
    <row r="423" spans="1:1" x14ac:dyDescent="0.25">
      <c r="A423" t="s">
        <v>2371</v>
      </c>
    </row>
    <row r="424" spans="1:1" x14ac:dyDescent="0.25">
      <c r="A424" t="s">
        <v>2372</v>
      </c>
    </row>
    <row r="425" spans="1:1" x14ac:dyDescent="0.25">
      <c r="A425" t="s">
        <v>2373</v>
      </c>
    </row>
    <row r="426" spans="1:1" x14ac:dyDescent="0.25">
      <c r="A426" t="s">
        <v>2374</v>
      </c>
    </row>
    <row r="427" spans="1:1" x14ac:dyDescent="0.25">
      <c r="A427" t="s">
        <v>2375</v>
      </c>
    </row>
    <row r="428" spans="1:1" x14ac:dyDescent="0.25">
      <c r="A428" t="s">
        <v>2376</v>
      </c>
    </row>
    <row r="429" spans="1:1" x14ac:dyDescent="0.25">
      <c r="A429" t="s">
        <v>2377</v>
      </c>
    </row>
    <row r="430" spans="1:1" x14ac:dyDescent="0.25">
      <c r="A430" t="s">
        <v>2378</v>
      </c>
    </row>
    <row r="431" spans="1:1" x14ac:dyDescent="0.25">
      <c r="A431" t="s">
        <v>2379</v>
      </c>
    </row>
    <row r="432" spans="1:1" x14ac:dyDescent="0.25">
      <c r="A432" t="s">
        <v>2380</v>
      </c>
    </row>
    <row r="433" spans="1:1" x14ac:dyDescent="0.25">
      <c r="A433" t="s">
        <v>2381</v>
      </c>
    </row>
    <row r="434" spans="1:1" x14ac:dyDescent="0.25">
      <c r="A434" t="s">
        <v>2382</v>
      </c>
    </row>
    <row r="435" spans="1:1" x14ac:dyDescent="0.25">
      <c r="A435" t="s">
        <v>2383</v>
      </c>
    </row>
    <row r="436" spans="1:1" x14ac:dyDescent="0.25">
      <c r="A436" t="s">
        <v>2384</v>
      </c>
    </row>
    <row r="437" spans="1:1" x14ac:dyDescent="0.25">
      <c r="A437" t="s">
        <v>2385</v>
      </c>
    </row>
    <row r="438" spans="1:1" x14ac:dyDescent="0.25">
      <c r="A438" t="s">
        <v>2386</v>
      </c>
    </row>
    <row r="439" spans="1:1" x14ac:dyDescent="0.25">
      <c r="A439" t="s">
        <v>2387</v>
      </c>
    </row>
    <row r="440" spans="1:1" x14ac:dyDescent="0.25">
      <c r="A440" t="s">
        <v>2388</v>
      </c>
    </row>
    <row r="441" spans="1:1" x14ac:dyDescent="0.25">
      <c r="A441" t="s">
        <v>2389</v>
      </c>
    </row>
    <row r="442" spans="1:1" x14ac:dyDescent="0.25">
      <c r="A442" t="s">
        <v>2390</v>
      </c>
    </row>
    <row r="443" spans="1:1" x14ac:dyDescent="0.25">
      <c r="A443" t="s">
        <v>2459</v>
      </c>
    </row>
    <row r="444" spans="1:1" x14ac:dyDescent="0.25">
      <c r="A444" t="e">
        <v>#N/A</v>
      </c>
    </row>
  </sheetData>
  <sortState ref="A3:C1332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D9" sqref="D9"/>
    </sheetView>
  </sheetViews>
  <sheetFormatPr defaultRowHeight="15" x14ac:dyDescent="0.25"/>
  <cols>
    <col min="1" max="1" width="10.28515625" bestFit="1" customWidth="1"/>
    <col min="2" max="2" width="18.28515625" bestFit="1" customWidth="1"/>
    <col min="3" max="3" width="24.42578125" style="40" bestFit="1" customWidth="1"/>
    <col min="4" max="4" width="47.28515625" bestFit="1" customWidth="1"/>
    <col min="5" max="5" width="28.85546875" bestFit="1" customWidth="1"/>
  </cols>
  <sheetData>
    <row r="1" spans="1:5" x14ac:dyDescent="0.25">
      <c r="A1" t="s">
        <v>2026</v>
      </c>
      <c r="B1" t="s">
        <v>1954</v>
      </c>
      <c r="C1" s="40" t="s">
        <v>1955</v>
      </c>
      <c r="D1" t="s">
        <v>1956</v>
      </c>
      <c r="E1" t="s">
        <v>1957</v>
      </c>
    </row>
    <row r="2" spans="1:5" x14ac:dyDescent="0.25">
      <c r="A2" t="str">
        <f>C2 &amp; D2</f>
        <v>01Hospital</v>
      </c>
      <c r="B2">
        <v>52</v>
      </c>
      <c r="C2" s="40" t="s">
        <v>15</v>
      </c>
      <c r="D2" t="s">
        <v>1947</v>
      </c>
      <c r="E2">
        <v>3</v>
      </c>
    </row>
    <row r="3" spans="1:5" x14ac:dyDescent="0.25">
      <c r="A3" t="str">
        <f t="shared" ref="A3:A66" si="0">C3 &amp; D3</f>
        <v>02Ambulatory Surgical Center (ASC)</v>
      </c>
      <c r="B3">
        <v>53</v>
      </c>
      <c r="C3" s="40" t="s">
        <v>88</v>
      </c>
      <c r="D3" t="s">
        <v>89</v>
      </c>
      <c r="E3">
        <v>3</v>
      </c>
    </row>
    <row r="4" spans="1:5" x14ac:dyDescent="0.25">
      <c r="A4" t="str">
        <f t="shared" si="0"/>
        <v>03Extended Care Facility</v>
      </c>
      <c r="B4">
        <v>54</v>
      </c>
      <c r="C4" s="40" t="s">
        <v>98</v>
      </c>
      <c r="D4" t="s">
        <v>99</v>
      </c>
      <c r="E4">
        <v>3</v>
      </c>
    </row>
    <row r="5" spans="1:5" x14ac:dyDescent="0.25">
      <c r="A5" t="str">
        <f t="shared" si="0"/>
        <v>04Rehabilitation Facility</v>
      </c>
      <c r="B5">
        <v>55</v>
      </c>
      <c r="C5" s="40" t="s">
        <v>154</v>
      </c>
      <c r="D5" t="s">
        <v>155</v>
      </c>
      <c r="E5">
        <v>3</v>
      </c>
    </row>
    <row r="6" spans="1:5" x14ac:dyDescent="0.25">
      <c r="A6" t="str">
        <f t="shared" si="0"/>
        <v>05Home Health Agency</v>
      </c>
      <c r="B6">
        <v>56</v>
      </c>
      <c r="C6" s="40" t="s">
        <v>178</v>
      </c>
      <c r="D6" t="s">
        <v>179</v>
      </c>
      <c r="E6">
        <v>3</v>
      </c>
    </row>
    <row r="7" spans="1:5" x14ac:dyDescent="0.25">
      <c r="A7" t="str">
        <f t="shared" si="0"/>
        <v>06Hospice</v>
      </c>
      <c r="B7">
        <v>57</v>
      </c>
      <c r="C7" s="40" t="s">
        <v>194</v>
      </c>
      <c r="D7" t="s">
        <v>195</v>
      </c>
      <c r="E7">
        <v>3</v>
      </c>
    </row>
    <row r="8" spans="1:5" x14ac:dyDescent="0.25">
      <c r="A8" t="str">
        <f t="shared" si="0"/>
        <v>07Capitation Provider</v>
      </c>
      <c r="B8">
        <v>58</v>
      </c>
      <c r="C8" s="40" t="s">
        <v>201</v>
      </c>
      <c r="D8" t="s">
        <v>202</v>
      </c>
      <c r="E8">
        <v>3</v>
      </c>
    </row>
    <row r="9" spans="1:5" x14ac:dyDescent="0.25">
      <c r="A9" t="str">
        <f t="shared" si="0"/>
        <v>08Clinic</v>
      </c>
      <c r="B9">
        <v>59</v>
      </c>
      <c r="C9" s="40" t="s">
        <v>206</v>
      </c>
      <c r="D9" t="s">
        <v>207</v>
      </c>
      <c r="E9">
        <v>3</v>
      </c>
    </row>
    <row r="10" spans="1:5" x14ac:dyDescent="0.25">
      <c r="A10" t="str">
        <f t="shared" si="0"/>
        <v>08Rural Health Clinic</v>
      </c>
      <c r="B10">
        <v>92</v>
      </c>
      <c r="C10" s="40" t="s">
        <v>206</v>
      </c>
      <c r="D10" t="s">
        <v>1949</v>
      </c>
      <c r="E10">
        <v>3</v>
      </c>
    </row>
    <row r="11" spans="1:5" x14ac:dyDescent="0.25">
      <c r="A11" t="str">
        <f t="shared" si="0"/>
        <v>08Federally Qualified Health Clinic</v>
      </c>
      <c r="B11">
        <v>93</v>
      </c>
      <c r="C11" s="40" t="s">
        <v>206</v>
      </c>
      <c r="D11" t="s">
        <v>1950</v>
      </c>
      <c r="E11">
        <v>3</v>
      </c>
    </row>
    <row r="12" spans="1:5" x14ac:dyDescent="0.25">
      <c r="A12" t="str">
        <f t="shared" si="0"/>
        <v>09Advance Practice Nurse</v>
      </c>
      <c r="B12">
        <v>100</v>
      </c>
      <c r="C12" s="40" t="s">
        <v>323</v>
      </c>
      <c r="D12" t="s">
        <v>324</v>
      </c>
      <c r="E12">
        <v>3</v>
      </c>
    </row>
    <row r="13" spans="1:5" x14ac:dyDescent="0.25">
      <c r="A13" t="str">
        <f t="shared" si="0"/>
        <v>10Mid-Level Practitioner</v>
      </c>
      <c r="B13">
        <v>101</v>
      </c>
      <c r="C13" s="40" t="s">
        <v>1963</v>
      </c>
      <c r="D13" t="s">
        <v>432</v>
      </c>
      <c r="E13">
        <v>3</v>
      </c>
    </row>
    <row r="14" spans="1:5" x14ac:dyDescent="0.25">
      <c r="A14" t="str">
        <f t="shared" si="0"/>
        <v>11Mental Health</v>
      </c>
      <c r="B14">
        <v>102</v>
      </c>
      <c r="C14" s="40" t="s">
        <v>1964</v>
      </c>
      <c r="D14" t="s">
        <v>461</v>
      </c>
      <c r="E14">
        <v>3</v>
      </c>
    </row>
    <row r="15" spans="1:5" x14ac:dyDescent="0.25">
      <c r="A15" t="str">
        <f t="shared" si="0"/>
        <v>11Mental Health Provider</v>
      </c>
      <c r="B15">
        <v>103</v>
      </c>
      <c r="C15" s="40" t="s">
        <v>1964</v>
      </c>
      <c r="D15" t="s">
        <v>446</v>
      </c>
      <c r="E15">
        <v>3</v>
      </c>
    </row>
    <row r="16" spans="1:5" x14ac:dyDescent="0.25">
      <c r="A16" t="str">
        <f t="shared" si="0"/>
        <v>12School Corporation</v>
      </c>
      <c r="B16">
        <v>60</v>
      </c>
      <c r="C16" s="40" t="s">
        <v>1965</v>
      </c>
      <c r="D16" t="s">
        <v>547</v>
      </c>
      <c r="E16">
        <v>4</v>
      </c>
    </row>
    <row r="17" spans="1:5" x14ac:dyDescent="0.25">
      <c r="A17" t="str">
        <f t="shared" si="0"/>
        <v>13Public Health Agency</v>
      </c>
      <c r="B17">
        <v>61</v>
      </c>
      <c r="C17" s="40" t="s">
        <v>1966</v>
      </c>
      <c r="D17" t="s">
        <v>550</v>
      </c>
      <c r="E17">
        <v>4</v>
      </c>
    </row>
    <row r="18" spans="1:5" x14ac:dyDescent="0.25">
      <c r="A18" t="str">
        <f t="shared" si="0"/>
        <v>14Podiatrist</v>
      </c>
      <c r="B18">
        <v>104</v>
      </c>
      <c r="C18" s="40" t="s">
        <v>1967</v>
      </c>
      <c r="D18" t="s">
        <v>557</v>
      </c>
      <c r="E18">
        <v>3</v>
      </c>
    </row>
    <row r="19" spans="1:5" x14ac:dyDescent="0.25">
      <c r="A19" t="str">
        <f t="shared" si="0"/>
        <v>15Chiropractor</v>
      </c>
      <c r="B19">
        <v>105</v>
      </c>
      <c r="C19" s="40" t="s">
        <v>1968</v>
      </c>
      <c r="D19" t="s">
        <v>575</v>
      </c>
      <c r="E19">
        <v>3</v>
      </c>
    </row>
    <row r="20" spans="1:5" x14ac:dyDescent="0.25">
      <c r="A20" t="str">
        <f t="shared" si="0"/>
        <v>17Assistant Therapist</v>
      </c>
      <c r="B20">
        <v>106</v>
      </c>
      <c r="C20" s="40" t="s">
        <v>1969</v>
      </c>
      <c r="D20" t="s">
        <v>761</v>
      </c>
      <c r="E20">
        <v>3</v>
      </c>
    </row>
    <row r="21" spans="1:5" x14ac:dyDescent="0.25">
      <c r="A21" t="str">
        <f t="shared" si="0"/>
        <v>17Clinical Exercise Physiologist</v>
      </c>
      <c r="B21">
        <v>107</v>
      </c>
      <c r="C21" s="40" t="s">
        <v>1969</v>
      </c>
      <c r="D21" t="s">
        <v>758</v>
      </c>
      <c r="E21">
        <v>3</v>
      </c>
    </row>
    <row r="22" spans="1:5" x14ac:dyDescent="0.25">
      <c r="A22" t="str">
        <f t="shared" si="0"/>
        <v>17Therapist</v>
      </c>
      <c r="B22">
        <v>108</v>
      </c>
      <c r="C22" s="40" t="s">
        <v>1969</v>
      </c>
      <c r="D22" t="s">
        <v>664</v>
      </c>
      <c r="E22">
        <v>3</v>
      </c>
    </row>
    <row r="23" spans="1:5" x14ac:dyDescent="0.25">
      <c r="A23" t="str">
        <f t="shared" si="0"/>
        <v>18Optometrist</v>
      </c>
      <c r="B23">
        <v>41</v>
      </c>
      <c r="C23" s="40" t="s">
        <v>1970</v>
      </c>
      <c r="D23" t="s">
        <v>783</v>
      </c>
      <c r="E23">
        <v>3</v>
      </c>
    </row>
    <row r="24" spans="1:5" x14ac:dyDescent="0.25">
      <c r="A24" t="str">
        <f t="shared" si="0"/>
        <v>19Optician</v>
      </c>
      <c r="B24">
        <v>40</v>
      </c>
      <c r="C24" s="40" t="s">
        <v>1971</v>
      </c>
      <c r="D24" t="s">
        <v>797</v>
      </c>
      <c r="E24">
        <v>3</v>
      </c>
    </row>
    <row r="25" spans="1:5" x14ac:dyDescent="0.25">
      <c r="A25" t="str">
        <f t="shared" si="0"/>
        <v>20Audiologist</v>
      </c>
      <c r="B25">
        <v>22</v>
      </c>
      <c r="C25" s="40" t="s">
        <v>1972</v>
      </c>
      <c r="D25" t="s">
        <v>817</v>
      </c>
      <c r="E25">
        <v>3</v>
      </c>
    </row>
    <row r="26" spans="1:5" x14ac:dyDescent="0.25">
      <c r="A26" t="str">
        <f t="shared" si="0"/>
        <v>22Hearing Aid Dealer</v>
      </c>
      <c r="B26">
        <v>62</v>
      </c>
      <c r="C26" s="40" t="s">
        <v>1973</v>
      </c>
      <c r="D26" t="s">
        <v>829</v>
      </c>
      <c r="E26">
        <v>3</v>
      </c>
    </row>
    <row r="27" spans="1:5" x14ac:dyDescent="0.25">
      <c r="A27" t="str">
        <f t="shared" si="0"/>
        <v>23Nutritionist</v>
      </c>
      <c r="B27">
        <v>38</v>
      </c>
      <c r="C27" s="40" t="s">
        <v>1974</v>
      </c>
      <c r="D27" t="s">
        <v>833</v>
      </c>
      <c r="E27">
        <v>3</v>
      </c>
    </row>
    <row r="28" spans="1:5" x14ac:dyDescent="0.25">
      <c r="A28" t="str">
        <f t="shared" si="0"/>
        <v>24Pharmacy</v>
      </c>
      <c r="B28">
        <v>63</v>
      </c>
      <c r="C28" s="40" t="s">
        <v>1975</v>
      </c>
      <c r="D28" t="s">
        <v>848</v>
      </c>
      <c r="E28">
        <v>3</v>
      </c>
    </row>
    <row r="29" spans="1:5" x14ac:dyDescent="0.25">
      <c r="A29" t="str">
        <f t="shared" si="0"/>
        <v>25DME/Medical Supply Dealer</v>
      </c>
      <c r="B29">
        <v>64</v>
      </c>
      <c r="C29" s="40" t="s">
        <v>1976</v>
      </c>
      <c r="D29" t="s">
        <v>849</v>
      </c>
      <c r="E29">
        <v>3</v>
      </c>
    </row>
    <row r="30" spans="1:5" x14ac:dyDescent="0.25">
      <c r="A30" t="str">
        <f t="shared" si="0"/>
        <v>26Transportation Provider</v>
      </c>
      <c r="B30">
        <v>65</v>
      </c>
      <c r="C30" s="40" t="s">
        <v>1977</v>
      </c>
      <c r="D30" t="s">
        <v>873</v>
      </c>
      <c r="E30">
        <v>3</v>
      </c>
    </row>
    <row r="31" spans="1:5" x14ac:dyDescent="0.25">
      <c r="A31" t="str">
        <f t="shared" si="0"/>
        <v>26Transportation Provider (non-medical)</v>
      </c>
      <c r="B31">
        <v>95</v>
      </c>
      <c r="C31" s="40" t="s">
        <v>1977</v>
      </c>
      <c r="D31" t="s">
        <v>1958</v>
      </c>
      <c r="E31">
        <v>4</v>
      </c>
    </row>
    <row r="32" spans="1:5" x14ac:dyDescent="0.25">
      <c r="A32" t="str">
        <f t="shared" si="0"/>
        <v>27Advanced Dental Therapist</v>
      </c>
      <c r="B32">
        <v>109</v>
      </c>
      <c r="C32" s="40" t="s">
        <v>1978</v>
      </c>
      <c r="D32" t="s">
        <v>937</v>
      </c>
      <c r="E32">
        <v>3</v>
      </c>
    </row>
    <row r="33" spans="1:5" x14ac:dyDescent="0.25">
      <c r="A33" t="str">
        <f t="shared" si="0"/>
        <v>27Dental Therapist</v>
      </c>
      <c r="B33">
        <v>110</v>
      </c>
      <c r="C33" s="40" t="s">
        <v>1978</v>
      </c>
      <c r="D33" t="s">
        <v>934</v>
      </c>
      <c r="E33">
        <v>3</v>
      </c>
    </row>
    <row r="34" spans="1:5" x14ac:dyDescent="0.25">
      <c r="A34" t="str">
        <f t="shared" si="0"/>
        <v>27Dentist</v>
      </c>
      <c r="B34">
        <v>111</v>
      </c>
      <c r="C34" s="40" t="s">
        <v>1978</v>
      </c>
      <c r="D34" t="s">
        <v>923</v>
      </c>
      <c r="E34">
        <v>3</v>
      </c>
    </row>
    <row r="35" spans="1:5" x14ac:dyDescent="0.25">
      <c r="A35" t="str">
        <f t="shared" si="0"/>
        <v>28Laboratory</v>
      </c>
      <c r="B35">
        <v>66</v>
      </c>
      <c r="C35" s="40" t="s">
        <v>1979</v>
      </c>
      <c r="D35" t="s">
        <v>963</v>
      </c>
      <c r="E35">
        <v>3</v>
      </c>
    </row>
    <row r="36" spans="1:5" x14ac:dyDescent="0.25">
      <c r="A36" t="str">
        <f t="shared" si="0"/>
        <v>29X-Ray Clinic</v>
      </c>
      <c r="B36">
        <v>67</v>
      </c>
      <c r="C36" s="40" t="s">
        <v>1980</v>
      </c>
      <c r="D36" t="s">
        <v>977</v>
      </c>
      <c r="E36">
        <v>3</v>
      </c>
    </row>
    <row r="37" spans="1:5" x14ac:dyDescent="0.25">
      <c r="A37" t="str">
        <f t="shared" si="0"/>
        <v>30End-Stage Renal Disease (RSD) Clinic</v>
      </c>
      <c r="B37">
        <v>68</v>
      </c>
      <c r="C37" s="40" t="s">
        <v>1981</v>
      </c>
      <c r="D37" t="s">
        <v>986</v>
      </c>
      <c r="E37">
        <v>3</v>
      </c>
    </row>
    <row r="38" spans="1:5" x14ac:dyDescent="0.25">
      <c r="A38" t="str">
        <f t="shared" si="0"/>
        <v>31Case Manager (Targeted)</v>
      </c>
      <c r="B38">
        <v>112</v>
      </c>
      <c r="C38" s="40" t="s">
        <v>1982</v>
      </c>
      <c r="D38" t="s">
        <v>826</v>
      </c>
      <c r="E38">
        <v>3</v>
      </c>
    </row>
    <row r="39" spans="1:5" x14ac:dyDescent="0.25">
      <c r="A39" t="str">
        <f t="shared" si="0"/>
        <v>31Hpertension Specialist Physician</v>
      </c>
      <c r="B39">
        <v>113</v>
      </c>
      <c r="C39" s="40" t="s">
        <v>1982</v>
      </c>
      <c r="D39" t="s">
        <v>1432</v>
      </c>
      <c r="E39">
        <v>3</v>
      </c>
    </row>
    <row r="40" spans="1:5" x14ac:dyDescent="0.25">
      <c r="A40" t="str">
        <f t="shared" si="0"/>
        <v>31Physician</v>
      </c>
      <c r="B40">
        <v>114</v>
      </c>
      <c r="C40" s="40" t="s">
        <v>1982</v>
      </c>
      <c r="D40" t="s">
        <v>991</v>
      </c>
      <c r="E40">
        <v>3</v>
      </c>
    </row>
    <row r="41" spans="1:5" x14ac:dyDescent="0.25">
      <c r="A41" t="str">
        <f t="shared" si="0"/>
        <v>32Multi-Specialty</v>
      </c>
      <c r="B41">
        <v>50</v>
      </c>
      <c r="C41" s="40" t="s">
        <v>1983</v>
      </c>
      <c r="D41" t="s">
        <v>1444</v>
      </c>
      <c r="E41">
        <v>2</v>
      </c>
    </row>
    <row r="42" spans="1:5" x14ac:dyDescent="0.25">
      <c r="A42" t="str">
        <f t="shared" si="0"/>
        <v>33Single-Specialty</v>
      </c>
      <c r="B42">
        <v>51</v>
      </c>
      <c r="C42" s="40" t="s">
        <v>1984</v>
      </c>
      <c r="D42" t="s">
        <v>1953</v>
      </c>
      <c r="E42">
        <v>2</v>
      </c>
    </row>
    <row r="43" spans="1:5" x14ac:dyDescent="0.25">
      <c r="A43" t="str">
        <f t="shared" si="0"/>
        <v>36Personal Care Services</v>
      </c>
      <c r="B43">
        <v>69</v>
      </c>
      <c r="C43" s="40" t="s">
        <v>1985</v>
      </c>
      <c r="D43" t="s">
        <v>1448</v>
      </c>
      <c r="E43">
        <v>3</v>
      </c>
    </row>
    <row r="44" spans="1:5" x14ac:dyDescent="0.25">
      <c r="A44" t="str">
        <f t="shared" si="0"/>
        <v>37Room and Board</v>
      </c>
      <c r="B44">
        <v>70</v>
      </c>
      <c r="C44" s="40" t="s">
        <v>1986</v>
      </c>
      <c r="D44" t="s">
        <v>1466</v>
      </c>
      <c r="E44">
        <v>3</v>
      </c>
    </row>
    <row r="45" spans="1:5" x14ac:dyDescent="0.25">
      <c r="A45" t="str">
        <f t="shared" si="0"/>
        <v>38Respite Care</v>
      </c>
      <c r="B45">
        <v>71</v>
      </c>
      <c r="C45" s="40" t="s">
        <v>1987</v>
      </c>
      <c r="D45" t="s">
        <v>1467</v>
      </c>
      <c r="E45">
        <v>3</v>
      </c>
    </row>
    <row r="46" spans="1:5" x14ac:dyDescent="0.25">
      <c r="A46" t="str">
        <f t="shared" si="0"/>
        <v>39Direct Support Services</v>
      </c>
      <c r="B46">
        <v>72</v>
      </c>
      <c r="C46" s="40" t="s">
        <v>1988</v>
      </c>
      <c r="D46" t="s">
        <v>1473</v>
      </c>
      <c r="E46">
        <v>3</v>
      </c>
    </row>
    <row r="47" spans="1:5" x14ac:dyDescent="0.25">
      <c r="A47" t="str">
        <f t="shared" si="0"/>
        <v>40Specialized Foster Care/MR</v>
      </c>
      <c r="B47">
        <v>73</v>
      </c>
      <c r="C47" s="40" t="s">
        <v>1989</v>
      </c>
      <c r="D47" t="s">
        <v>1482</v>
      </c>
      <c r="E47">
        <v>3</v>
      </c>
    </row>
    <row r="48" spans="1:5" x14ac:dyDescent="0.25">
      <c r="A48" t="str">
        <f t="shared" si="0"/>
        <v>41Adult Day Care</v>
      </c>
      <c r="B48">
        <v>74</v>
      </c>
      <c r="C48" s="40" t="s">
        <v>1990</v>
      </c>
      <c r="D48" t="s">
        <v>1485</v>
      </c>
      <c r="E48">
        <v>3</v>
      </c>
    </row>
    <row r="49" spans="1:5" x14ac:dyDescent="0.25">
      <c r="A49" t="str">
        <f t="shared" si="0"/>
        <v>42Employee Training Specialist</v>
      </c>
      <c r="B49">
        <v>75</v>
      </c>
      <c r="C49" s="40" t="s">
        <v>1991</v>
      </c>
      <c r="D49" t="s">
        <v>1488</v>
      </c>
      <c r="E49">
        <v>3</v>
      </c>
    </row>
    <row r="50" spans="1:5" x14ac:dyDescent="0.25">
      <c r="A50" t="str">
        <f t="shared" si="0"/>
        <v>43Homemaker Services</v>
      </c>
      <c r="B50">
        <v>76</v>
      </c>
      <c r="C50" s="40" t="s">
        <v>1992</v>
      </c>
      <c r="D50" t="s">
        <v>1491</v>
      </c>
      <c r="E50">
        <v>3</v>
      </c>
    </row>
    <row r="51" spans="1:5" x14ac:dyDescent="0.25">
      <c r="A51" t="str">
        <f t="shared" si="0"/>
        <v>44Architectural Modification</v>
      </c>
      <c r="B51">
        <v>77</v>
      </c>
      <c r="C51" s="40" t="s">
        <v>1993</v>
      </c>
      <c r="D51" t="s">
        <v>1494</v>
      </c>
      <c r="E51">
        <v>3</v>
      </c>
    </row>
    <row r="52" spans="1:5" x14ac:dyDescent="0.25">
      <c r="A52" t="str">
        <f t="shared" si="0"/>
        <v>45Residential Behavior Management Services (RBMS)</v>
      </c>
      <c r="B52">
        <v>78</v>
      </c>
      <c r="C52" s="40" t="s">
        <v>1994</v>
      </c>
      <c r="D52" t="s">
        <v>1501</v>
      </c>
      <c r="E52">
        <v>3</v>
      </c>
    </row>
    <row r="53" spans="1:5" x14ac:dyDescent="0.25">
      <c r="A53" t="str">
        <f t="shared" si="0"/>
        <v>46Advantage Home Delivered Meal</v>
      </c>
      <c r="B53">
        <v>79</v>
      </c>
      <c r="C53" s="40" t="s">
        <v>1995</v>
      </c>
      <c r="D53" t="s">
        <v>1507</v>
      </c>
      <c r="E53">
        <v>3</v>
      </c>
    </row>
    <row r="54" spans="1:5" x14ac:dyDescent="0.25">
      <c r="A54" t="str">
        <f t="shared" si="0"/>
        <v>47Free Standing Birthing Center</v>
      </c>
      <c r="B54">
        <v>80</v>
      </c>
      <c r="C54" s="40" t="s">
        <v>1996</v>
      </c>
      <c r="D54" t="s">
        <v>1512</v>
      </c>
      <c r="E54">
        <v>3</v>
      </c>
    </row>
    <row r="55" spans="1:5" x14ac:dyDescent="0.25">
      <c r="A55" t="str">
        <f t="shared" si="0"/>
        <v>48DDSD-NFM</v>
      </c>
      <c r="B55">
        <v>81</v>
      </c>
      <c r="C55" s="40" t="s">
        <v>1997</v>
      </c>
      <c r="D55" t="s">
        <v>1513</v>
      </c>
      <c r="E55">
        <v>3</v>
      </c>
    </row>
    <row r="56" spans="1:5" x14ac:dyDescent="0.25">
      <c r="A56" t="str">
        <f t="shared" si="0"/>
        <v>49DDSD-Supportive Living Arrangements</v>
      </c>
      <c r="B56">
        <v>82</v>
      </c>
      <c r="C56" s="40" t="s">
        <v>1998</v>
      </c>
      <c r="D56" t="s">
        <v>542</v>
      </c>
      <c r="E56">
        <v>3</v>
      </c>
    </row>
    <row r="57" spans="1:5" x14ac:dyDescent="0.25">
      <c r="A57" t="str">
        <f t="shared" si="0"/>
        <v>50Submitter Only</v>
      </c>
      <c r="B57">
        <v>83</v>
      </c>
      <c r="C57" s="40" t="s">
        <v>1999</v>
      </c>
      <c r="D57" t="s">
        <v>1516</v>
      </c>
      <c r="E57">
        <v>3</v>
      </c>
    </row>
    <row r="58" spans="1:5" x14ac:dyDescent="0.25">
      <c r="A58" t="str">
        <f t="shared" si="0"/>
        <v>51HCBS Provider</v>
      </c>
      <c r="B58">
        <v>84</v>
      </c>
      <c r="C58" s="40" t="s">
        <v>2000</v>
      </c>
      <c r="D58" t="s">
        <v>1951</v>
      </c>
      <c r="E58">
        <v>4</v>
      </c>
    </row>
    <row r="59" spans="1:5" x14ac:dyDescent="0.25">
      <c r="A59" t="str">
        <f t="shared" si="0"/>
        <v>52Technician</v>
      </c>
      <c r="B59">
        <v>85</v>
      </c>
      <c r="C59" s="40" t="s">
        <v>2001</v>
      </c>
      <c r="D59" t="s">
        <v>1959</v>
      </c>
      <c r="E59">
        <v>3</v>
      </c>
    </row>
    <row r="60" spans="1:5" x14ac:dyDescent="0.25">
      <c r="A60" t="str">
        <f t="shared" si="0"/>
        <v>53Technologist</v>
      </c>
      <c r="B60">
        <v>115</v>
      </c>
      <c r="C60" s="40" t="s">
        <v>2002</v>
      </c>
      <c r="D60" t="s">
        <v>1593</v>
      </c>
      <c r="E60">
        <v>3</v>
      </c>
    </row>
    <row r="61" spans="1:5" x14ac:dyDescent="0.25">
      <c r="A61" t="str">
        <f t="shared" si="0"/>
        <v>54Assistant</v>
      </c>
      <c r="B61">
        <v>116</v>
      </c>
      <c r="C61" s="40" t="s">
        <v>2003</v>
      </c>
      <c r="D61" t="s">
        <v>1632</v>
      </c>
      <c r="E61">
        <v>3</v>
      </c>
    </row>
    <row r="62" spans="1:5" x14ac:dyDescent="0.25">
      <c r="A62" t="str">
        <f t="shared" si="0"/>
        <v>55Dental Hygienist</v>
      </c>
      <c r="B62">
        <v>117</v>
      </c>
      <c r="C62" s="40" t="s">
        <v>2004</v>
      </c>
      <c r="D62" t="s">
        <v>1645</v>
      </c>
      <c r="E62">
        <v>3</v>
      </c>
    </row>
    <row r="63" spans="1:5" x14ac:dyDescent="0.25">
      <c r="A63" t="str">
        <f t="shared" si="0"/>
        <v>56Administrator</v>
      </c>
      <c r="B63">
        <v>118</v>
      </c>
      <c r="C63" s="40" t="s">
        <v>2005</v>
      </c>
      <c r="D63" t="s">
        <v>1648</v>
      </c>
      <c r="E63">
        <v>3</v>
      </c>
    </row>
    <row r="64" spans="1:5" x14ac:dyDescent="0.25">
      <c r="A64" t="str">
        <f t="shared" si="0"/>
        <v>57Homeopath</v>
      </c>
      <c r="B64">
        <v>119</v>
      </c>
      <c r="C64" s="40" t="s">
        <v>2006</v>
      </c>
      <c r="D64" t="s">
        <v>1652</v>
      </c>
      <c r="E64">
        <v>3</v>
      </c>
    </row>
    <row r="65" spans="1:5" x14ac:dyDescent="0.25">
      <c r="A65" t="str">
        <f t="shared" si="0"/>
        <v>58Interpreter</v>
      </c>
      <c r="B65">
        <v>120</v>
      </c>
      <c r="C65" s="40" t="s">
        <v>2007</v>
      </c>
      <c r="D65" t="s">
        <v>1655</v>
      </c>
      <c r="E65">
        <v>3</v>
      </c>
    </row>
    <row r="66" spans="1:5" x14ac:dyDescent="0.25">
      <c r="A66" t="str">
        <f t="shared" si="0"/>
        <v>59Medical Genetics, Non-physician</v>
      </c>
      <c r="B66">
        <v>121</v>
      </c>
      <c r="C66" s="40" t="s">
        <v>2008</v>
      </c>
      <c r="D66" t="s">
        <v>1658</v>
      </c>
      <c r="E66">
        <v>3</v>
      </c>
    </row>
    <row r="67" spans="1:5" x14ac:dyDescent="0.25">
      <c r="A67" t="str">
        <f t="shared" ref="A67:A86" si="1">C67 &amp; D67</f>
        <v>60Midwife, Lay</v>
      </c>
      <c r="B67">
        <v>35</v>
      </c>
      <c r="C67" s="40" t="s">
        <v>2009</v>
      </c>
      <c r="D67" t="s">
        <v>1661</v>
      </c>
      <c r="E67">
        <v>3</v>
      </c>
    </row>
    <row r="68" spans="1:5" x14ac:dyDescent="0.25">
      <c r="A68" t="str">
        <f t="shared" si="1"/>
        <v>61Electrodiagnostic Medicine Specialist</v>
      </c>
      <c r="B68">
        <v>122</v>
      </c>
      <c r="C68" s="40" t="s">
        <v>2010</v>
      </c>
      <c r="D68" t="s">
        <v>1672</v>
      </c>
      <c r="E68">
        <v>3</v>
      </c>
    </row>
    <row r="69" spans="1:5" x14ac:dyDescent="0.25">
      <c r="A69" t="str">
        <f t="shared" si="1"/>
        <v>61Military Health Care Provider</v>
      </c>
      <c r="B69">
        <v>123</v>
      </c>
      <c r="C69" s="40" t="s">
        <v>2010</v>
      </c>
      <c r="D69" t="s">
        <v>1665</v>
      </c>
      <c r="E69">
        <v>3</v>
      </c>
    </row>
    <row r="70" spans="1:5" x14ac:dyDescent="0.25">
      <c r="A70" t="str">
        <f t="shared" si="1"/>
        <v>62Naprapath</v>
      </c>
      <c r="B70">
        <v>124</v>
      </c>
      <c r="C70" s="40" t="s">
        <v>2011</v>
      </c>
      <c r="D70" t="s">
        <v>1676</v>
      </c>
      <c r="E70">
        <v>3</v>
      </c>
    </row>
    <row r="71" spans="1:5" x14ac:dyDescent="0.25">
      <c r="A71" t="str">
        <f t="shared" si="1"/>
        <v>63Naturopath</v>
      </c>
      <c r="B71">
        <v>33</v>
      </c>
      <c r="C71" s="40" t="s">
        <v>2012</v>
      </c>
      <c r="D71" t="s">
        <v>1679</v>
      </c>
      <c r="E71">
        <v>3</v>
      </c>
    </row>
    <row r="72" spans="1:5" x14ac:dyDescent="0.25">
      <c r="A72" t="str">
        <f t="shared" si="1"/>
        <v>64Specialist</v>
      </c>
      <c r="B72">
        <v>125</v>
      </c>
      <c r="C72" s="40" t="s">
        <v>2013</v>
      </c>
      <c r="D72" t="s">
        <v>1682</v>
      </c>
      <c r="E72">
        <v>3</v>
      </c>
    </row>
    <row r="73" spans="1:5" x14ac:dyDescent="0.25">
      <c r="A73" t="str">
        <f t="shared" si="1"/>
        <v>65Pharmacist</v>
      </c>
      <c r="B73">
        <v>42</v>
      </c>
      <c r="C73" s="40" t="s">
        <v>2014</v>
      </c>
      <c r="D73" t="s">
        <v>1764</v>
      </c>
      <c r="E73">
        <v>3</v>
      </c>
    </row>
    <row r="74" spans="1:5" x14ac:dyDescent="0.25">
      <c r="A74" t="str">
        <f t="shared" si="1"/>
        <v>66Anaplastologist</v>
      </c>
      <c r="B74">
        <v>126</v>
      </c>
      <c r="C74" s="40" t="s">
        <v>2015</v>
      </c>
      <c r="D74" t="s">
        <v>1787</v>
      </c>
      <c r="E74">
        <v>3</v>
      </c>
    </row>
    <row r="75" spans="1:5" x14ac:dyDescent="0.25">
      <c r="A75" t="str">
        <f t="shared" si="1"/>
        <v>67Therapist - Non-Certified</v>
      </c>
      <c r="B75">
        <v>127</v>
      </c>
      <c r="C75" s="40" t="s">
        <v>2016</v>
      </c>
      <c r="D75" t="s">
        <v>1791</v>
      </c>
      <c r="E75">
        <v>3</v>
      </c>
    </row>
    <row r="76" spans="1:5" x14ac:dyDescent="0.25">
      <c r="A76" t="str">
        <f t="shared" si="1"/>
        <v>68Clinical Ethicist Counselor</v>
      </c>
      <c r="B76">
        <v>128</v>
      </c>
      <c r="C76" s="40" t="s">
        <v>2017</v>
      </c>
      <c r="D76" t="s">
        <v>1814</v>
      </c>
      <c r="E76">
        <v>3</v>
      </c>
    </row>
    <row r="77" spans="1:5" x14ac:dyDescent="0.25">
      <c r="A77" t="str">
        <f t="shared" si="1"/>
        <v>68Counselor</v>
      </c>
      <c r="B77">
        <v>129</v>
      </c>
      <c r="C77" s="40" t="s">
        <v>2017</v>
      </c>
      <c r="D77" t="s">
        <v>1818</v>
      </c>
      <c r="E77">
        <v>3</v>
      </c>
    </row>
    <row r="78" spans="1:5" x14ac:dyDescent="0.25">
      <c r="A78" t="str">
        <f t="shared" si="1"/>
        <v>68Lactation Consultant, Non-RN Counselor</v>
      </c>
      <c r="B78">
        <v>130</v>
      </c>
      <c r="C78" s="40" t="s">
        <v>2017</v>
      </c>
      <c r="D78" t="s">
        <v>1810</v>
      </c>
      <c r="E78">
        <v>3</v>
      </c>
    </row>
    <row r="79" spans="1:5" x14ac:dyDescent="0.25">
      <c r="A79" t="str">
        <f t="shared" si="1"/>
        <v>69Student, Health Care</v>
      </c>
      <c r="B79">
        <v>131</v>
      </c>
      <c r="C79" s="40" t="s">
        <v>2018</v>
      </c>
      <c r="D79" t="s">
        <v>1823</v>
      </c>
      <c r="E79">
        <v>3</v>
      </c>
    </row>
    <row r="80" spans="1:5" x14ac:dyDescent="0.25">
      <c r="A80" t="str">
        <f t="shared" si="1"/>
        <v>70Non-Capitation Provider</v>
      </c>
      <c r="B80">
        <v>86</v>
      </c>
      <c r="C80" s="40" t="s">
        <v>2019</v>
      </c>
      <c r="D80" t="s">
        <v>1960</v>
      </c>
      <c r="E80">
        <v>3</v>
      </c>
    </row>
    <row r="81" spans="1:5" x14ac:dyDescent="0.25">
      <c r="A81" t="str">
        <f t="shared" si="1"/>
        <v>71Blood Bank</v>
      </c>
      <c r="B81">
        <v>87</v>
      </c>
      <c r="C81" s="40" t="s">
        <v>2020</v>
      </c>
      <c r="D81" t="s">
        <v>1827</v>
      </c>
      <c r="E81">
        <v>3</v>
      </c>
    </row>
    <row r="82" spans="1:5" x14ac:dyDescent="0.25">
      <c r="A82" t="str">
        <f t="shared" si="1"/>
        <v>72Eye Bank</v>
      </c>
      <c r="B82">
        <v>88</v>
      </c>
      <c r="C82" s="40" t="s">
        <v>2021</v>
      </c>
      <c r="D82" t="s">
        <v>1828</v>
      </c>
      <c r="E82">
        <v>3</v>
      </c>
    </row>
    <row r="83" spans="1:5" x14ac:dyDescent="0.25">
      <c r="A83" t="str">
        <f t="shared" si="1"/>
        <v>73Non-Pharmacy Dispensing Site</v>
      </c>
      <c r="B83">
        <v>89</v>
      </c>
      <c r="C83" s="40" t="s">
        <v>2022</v>
      </c>
      <c r="D83" t="s">
        <v>1961</v>
      </c>
      <c r="E83">
        <v>3</v>
      </c>
    </row>
    <row r="84" spans="1:5" x14ac:dyDescent="0.25">
      <c r="A84" t="str">
        <f t="shared" si="1"/>
        <v>74Organ Procurement Organization</v>
      </c>
      <c r="B84">
        <v>90</v>
      </c>
      <c r="C84" s="40" t="s">
        <v>2023</v>
      </c>
      <c r="D84" t="s">
        <v>1962</v>
      </c>
      <c r="E84">
        <v>3</v>
      </c>
    </row>
    <row r="85" spans="1:5" x14ac:dyDescent="0.25">
      <c r="A85" t="str">
        <f t="shared" si="1"/>
        <v>75Emergency Response System Company</v>
      </c>
      <c r="B85">
        <v>91</v>
      </c>
      <c r="C85" s="40" t="s">
        <v>2024</v>
      </c>
      <c r="D85" t="s">
        <v>2029</v>
      </c>
      <c r="E85">
        <v>3</v>
      </c>
    </row>
    <row r="86" spans="1:5" x14ac:dyDescent="0.25">
      <c r="A86" t="str">
        <f t="shared" si="1"/>
        <v>99Other</v>
      </c>
      <c r="B86">
        <v>132</v>
      </c>
      <c r="C86" s="40" t="s">
        <v>2025</v>
      </c>
      <c r="D86" t="s">
        <v>1836</v>
      </c>
      <c r="E86">
        <v>3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9"/>
  <sheetViews>
    <sheetView topLeftCell="A257" workbookViewId="0">
      <selection activeCell="D280" sqref="D280"/>
    </sheetView>
  </sheetViews>
  <sheetFormatPr defaultRowHeight="15" x14ac:dyDescent="0.25"/>
  <cols>
    <col min="1" max="1" width="48.7109375" bestFit="1" customWidth="1"/>
    <col min="2" max="2" width="18.28515625" bestFit="1" customWidth="1"/>
    <col min="3" max="3" width="24.42578125" style="40" bestFit="1" customWidth="1"/>
    <col min="4" max="4" width="45.5703125" bestFit="1" customWidth="1"/>
  </cols>
  <sheetData>
    <row r="1" spans="1:4" x14ac:dyDescent="0.25">
      <c r="A1" t="s">
        <v>2026</v>
      </c>
      <c r="B1" t="s">
        <v>2474</v>
      </c>
      <c r="C1" s="40" t="s">
        <v>2475</v>
      </c>
      <c r="D1" t="s">
        <v>2476</v>
      </c>
    </row>
    <row r="2" spans="1:4" x14ac:dyDescent="0.25">
      <c r="A2" t="str">
        <f>C2&amp;D2</f>
        <v>010Acute Care</v>
      </c>
      <c r="B2">
        <v>2125</v>
      </c>
      <c r="C2" s="40" t="s">
        <v>37</v>
      </c>
      <c r="D2" t="s">
        <v>49</v>
      </c>
    </row>
    <row r="3" spans="1:4" x14ac:dyDescent="0.25">
      <c r="A3" t="str">
        <f t="shared" ref="A3:A66" si="0">C3&amp;D3</f>
        <v>011Psychiatric</v>
      </c>
      <c r="B3">
        <v>2158</v>
      </c>
      <c r="C3" s="40" t="s">
        <v>41</v>
      </c>
      <c r="D3" t="s">
        <v>42</v>
      </c>
    </row>
    <row r="4" spans="1:4" x14ac:dyDescent="0.25">
      <c r="A4" t="str">
        <f t="shared" si="0"/>
        <v>012Rehabilitation</v>
      </c>
      <c r="B4">
        <v>2159</v>
      </c>
      <c r="C4" s="40" t="s">
        <v>45</v>
      </c>
      <c r="D4" t="s">
        <v>46</v>
      </c>
    </row>
    <row r="5" spans="1:4" x14ac:dyDescent="0.25">
      <c r="A5" t="str">
        <f t="shared" si="0"/>
        <v>013Residential Treatment Center</v>
      </c>
      <c r="B5">
        <v>2161</v>
      </c>
      <c r="C5" s="40" t="s">
        <v>31</v>
      </c>
      <c r="D5" t="s">
        <v>32</v>
      </c>
    </row>
    <row r="6" spans="1:4" x14ac:dyDescent="0.25">
      <c r="A6" t="str">
        <f t="shared" si="0"/>
        <v>014Critical Access</v>
      </c>
      <c r="B6">
        <v>2135</v>
      </c>
      <c r="C6" s="40" t="s">
        <v>57</v>
      </c>
      <c r="D6" t="s">
        <v>58</v>
      </c>
    </row>
    <row r="7" spans="1:4" x14ac:dyDescent="0.25">
      <c r="A7" t="str">
        <f t="shared" si="0"/>
        <v>015Children's Specialty</v>
      </c>
      <c r="B7">
        <v>2130</v>
      </c>
      <c r="C7" s="40" t="s">
        <v>22</v>
      </c>
      <c r="D7" t="s">
        <v>23</v>
      </c>
    </row>
    <row r="8" spans="1:4" x14ac:dyDescent="0.25">
      <c r="A8" t="str">
        <f t="shared" si="0"/>
        <v>016Emergency</v>
      </c>
      <c r="B8">
        <v>2193</v>
      </c>
      <c r="C8" s="40" t="s">
        <v>16</v>
      </c>
      <c r="D8" t="s">
        <v>17</v>
      </c>
    </row>
    <row r="9" spans="1:4" x14ac:dyDescent="0.25">
      <c r="A9" t="str">
        <f t="shared" si="0"/>
        <v>017Acute Care - Rural</v>
      </c>
      <c r="B9">
        <v>2126</v>
      </c>
      <c r="C9" s="40" t="s">
        <v>63</v>
      </c>
      <c r="D9" t="s">
        <v>64</v>
      </c>
    </row>
    <row r="10" spans="1:4" x14ac:dyDescent="0.25">
      <c r="A10" t="str">
        <f t="shared" si="0"/>
        <v>018Mental Health Inpatient Hospitals Under 21</v>
      </c>
      <c r="B10">
        <v>2152</v>
      </c>
      <c r="C10" s="40" t="s">
        <v>26</v>
      </c>
      <c r="D10" t="s">
        <v>27</v>
      </c>
    </row>
    <row r="11" spans="1:4" x14ac:dyDescent="0.25">
      <c r="A11" t="str">
        <f t="shared" si="0"/>
        <v>019Mental Health Inpatient Hospitals Over 65</v>
      </c>
      <c r="B11">
        <v>2151</v>
      </c>
      <c r="C11" s="40" t="s">
        <v>67</v>
      </c>
      <c r="D11" t="s">
        <v>68</v>
      </c>
    </row>
    <row r="12" spans="1:4" x14ac:dyDescent="0.25">
      <c r="A12" t="str">
        <f t="shared" si="0"/>
        <v>020Ambulatory Surgical Center (ASC)</v>
      </c>
      <c r="B12">
        <v>2172</v>
      </c>
      <c r="C12" s="40" t="s">
        <v>90</v>
      </c>
      <c r="D12" t="s">
        <v>89</v>
      </c>
    </row>
    <row r="13" spans="1:4" x14ac:dyDescent="0.25">
      <c r="A13" t="str">
        <f t="shared" si="0"/>
        <v>030Nursing Facility - ICF</v>
      </c>
      <c r="B13">
        <v>2180</v>
      </c>
      <c r="C13" s="40" t="s">
        <v>141</v>
      </c>
      <c r="D13" t="s">
        <v>142</v>
      </c>
    </row>
    <row r="14" spans="1:4" x14ac:dyDescent="0.25">
      <c r="A14" t="str">
        <f t="shared" si="0"/>
        <v>031ICF/IID</v>
      </c>
      <c r="B14">
        <v>2148</v>
      </c>
      <c r="C14" s="40" t="s">
        <v>126</v>
      </c>
      <c r="D14" t="s">
        <v>2477</v>
      </c>
    </row>
    <row r="15" spans="1:4" x14ac:dyDescent="0.25">
      <c r="A15" t="str">
        <f t="shared" si="0"/>
        <v>032Pediatric Nursing Facility</v>
      </c>
      <c r="B15">
        <v>2182</v>
      </c>
      <c r="C15" s="40" t="s">
        <v>112</v>
      </c>
      <c r="D15" t="s">
        <v>113</v>
      </c>
    </row>
    <row r="16" spans="1:4" x14ac:dyDescent="0.25">
      <c r="A16" t="str">
        <f t="shared" si="0"/>
        <v>033Residential Care Facility</v>
      </c>
      <c r="B16">
        <v>2184</v>
      </c>
      <c r="C16" s="40" t="s">
        <v>118</v>
      </c>
      <c r="D16" t="s">
        <v>2478</v>
      </c>
    </row>
    <row r="17" spans="1:4" x14ac:dyDescent="0.25">
      <c r="A17" t="str">
        <f t="shared" si="0"/>
        <v>034Skilled Nursing Facility (SNF) - Other</v>
      </c>
      <c r="B17">
        <v>2185</v>
      </c>
      <c r="C17" s="40" t="s">
        <v>120</v>
      </c>
      <c r="D17" t="s">
        <v>121</v>
      </c>
    </row>
    <row r="18" spans="1:4" x14ac:dyDescent="0.25">
      <c r="A18" t="str">
        <f t="shared" si="0"/>
        <v>035Skilled Nursing Facility (SNF)</v>
      </c>
      <c r="B18">
        <v>2181</v>
      </c>
      <c r="C18" s="40" t="s">
        <v>145</v>
      </c>
      <c r="D18" t="s">
        <v>146</v>
      </c>
    </row>
    <row r="19" spans="1:4" x14ac:dyDescent="0.25">
      <c r="A19" t="str">
        <f t="shared" si="0"/>
        <v>036Respite Care - Facility Based</v>
      </c>
      <c r="B19">
        <v>2186</v>
      </c>
      <c r="C19" s="40" t="s">
        <v>122</v>
      </c>
      <c r="D19" t="s">
        <v>2479</v>
      </c>
    </row>
    <row r="20" spans="1:4" x14ac:dyDescent="0.25">
      <c r="A20" t="str">
        <f t="shared" si="0"/>
        <v>037Assisted Living</v>
      </c>
      <c r="B20">
        <v>2179</v>
      </c>
      <c r="C20" s="40" t="s">
        <v>100</v>
      </c>
      <c r="D20" t="s">
        <v>101</v>
      </c>
    </row>
    <row r="21" spans="1:4" x14ac:dyDescent="0.25">
      <c r="A21" t="str">
        <f t="shared" si="0"/>
        <v>038ICF/IID - Other</v>
      </c>
      <c r="B21">
        <v>2187</v>
      </c>
      <c r="C21" s="40" t="s">
        <v>127</v>
      </c>
      <c r="D21" t="s">
        <v>2480</v>
      </c>
    </row>
    <row r="22" spans="1:4" x14ac:dyDescent="0.25">
      <c r="A22" t="str">
        <f t="shared" si="0"/>
        <v>039Nursing Facility - ICF - Other</v>
      </c>
      <c r="B22">
        <v>2183</v>
      </c>
      <c r="C22" s="40" t="s">
        <v>114</v>
      </c>
      <c r="D22" t="s">
        <v>115</v>
      </c>
    </row>
    <row r="23" spans="1:4" x14ac:dyDescent="0.25">
      <c r="A23" t="str">
        <f t="shared" si="0"/>
        <v>040Rehabilitation Facility</v>
      </c>
      <c r="B23">
        <v>2160</v>
      </c>
      <c r="C23" s="40" t="s">
        <v>156</v>
      </c>
      <c r="D23" t="s">
        <v>155</v>
      </c>
    </row>
    <row r="24" spans="1:4" x14ac:dyDescent="0.25">
      <c r="A24" t="str">
        <f t="shared" si="0"/>
        <v>050Home Health Agency</v>
      </c>
      <c r="B24">
        <v>2145</v>
      </c>
      <c r="C24" s="40" t="s">
        <v>188</v>
      </c>
      <c r="D24" t="s">
        <v>179</v>
      </c>
    </row>
    <row r="25" spans="1:4" x14ac:dyDescent="0.25">
      <c r="A25" t="str">
        <f t="shared" si="0"/>
        <v>051Specialized Home Nursing Services</v>
      </c>
      <c r="B25">
        <v>2167</v>
      </c>
      <c r="C25" s="40" t="s">
        <v>182</v>
      </c>
      <c r="D25" t="s">
        <v>183</v>
      </c>
    </row>
    <row r="26" spans="1:4" x14ac:dyDescent="0.25">
      <c r="A26" t="str">
        <f t="shared" si="0"/>
        <v>052Voluntary or Charitable</v>
      </c>
      <c r="B26">
        <v>2191</v>
      </c>
      <c r="C26" s="40" t="s">
        <v>186</v>
      </c>
      <c r="D26" t="s">
        <v>187</v>
      </c>
    </row>
    <row r="27" spans="1:4" x14ac:dyDescent="0.25">
      <c r="A27" t="str">
        <f t="shared" si="0"/>
        <v>060Hospice</v>
      </c>
      <c r="B27">
        <v>2146</v>
      </c>
      <c r="C27" s="40" t="s">
        <v>196</v>
      </c>
      <c r="D27" t="s">
        <v>195</v>
      </c>
    </row>
    <row r="28" spans="1:4" x14ac:dyDescent="0.25">
      <c r="A28" t="str">
        <f t="shared" si="0"/>
        <v>080Federally Qualified Health Clinic (FQHC)</v>
      </c>
      <c r="B28">
        <v>2121</v>
      </c>
      <c r="C28" s="40" t="s">
        <v>267</v>
      </c>
      <c r="D28" t="s">
        <v>268</v>
      </c>
    </row>
    <row r="29" spans="1:4" x14ac:dyDescent="0.25">
      <c r="A29" t="str">
        <f t="shared" si="0"/>
        <v>081Rural Health Clinic (RHC)</v>
      </c>
      <c r="B29">
        <v>2122</v>
      </c>
      <c r="C29" s="40" t="s">
        <v>309</v>
      </c>
      <c r="D29" t="s">
        <v>310</v>
      </c>
    </row>
    <row r="30" spans="1:4" x14ac:dyDescent="0.25">
      <c r="A30" t="str">
        <f t="shared" si="0"/>
        <v>082Multi-Specialty</v>
      </c>
      <c r="B30">
        <v>2118</v>
      </c>
      <c r="C30" s="40" t="s">
        <v>234</v>
      </c>
      <c r="D30" t="s">
        <v>1444</v>
      </c>
    </row>
    <row r="31" spans="1:4" x14ac:dyDescent="0.25">
      <c r="A31" t="str">
        <f t="shared" si="0"/>
        <v>082Multi-Specialty</v>
      </c>
      <c r="B31">
        <v>2119</v>
      </c>
      <c r="C31" s="40" t="s">
        <v>234</v>
      </c>
      <c r="D31" t="s">
        <v>1444</v>
      </c>
    </row>
    <row r="32" spans="1:4" x14ac:dyDescent="0.25">
      <c r="A32" t="str">
        <f t="shared" si="0"/>
        <v>082Multi-Specialty</v>
      </c>
      <c r="B32">
        <v>2120</v>
      </c>
      <c r="C32" s="40" t="s">
        <v>234</v>
      </c>
      <c r="D32" t="s">
        <v>1444</v>
      </c>
    </row>
    <row r="33" spans="1:4" x14ac:dyDescent="0.25">
      <c r="A33" t="str">
        <f t="shared" si="0"/>
        <v>082Medical Clinic</v>
      </c>
      <c r="B33">
        <v>2174</v>
      </c>
      <c r="C33" s="40" t="s">
        <v>234</v>
      </c>
      <c r="D33" t="s">
        <v>235</v>
      </c>
    </row>
    <row r="34" spans="1:4" x14ac:dyDescent="0.25">
      <c r="A34" t="str">
        <f t="shared" si="0"/>
        <v>083Family Planning Clinic</v>
      </c>
      <c r="B34">
        <v>2173</v>
      </c>
      <c r="C34" s="40" t="s">
        <v>238</v>
      </c>
      <c r="D34" t="s">
        <v>239</v>
      </c>
    </row>
    <row r="35" spans="1:4" x14ac:dyDescent="0.25">
      <c r="A35" t="str">
        <f t="shared" si="0"/>
        <v>084Nurse Practitioner Clinic</v>
      </c>
      <c r="B35">
        <v>2154</v>
      </c>
      <c r="C35" s="40" t="s">
        <v>231</v>
      </c>
      <c r="D35" t="s">
        <v>232</v>
      </c>
    </row>
    <row r="36" spans="1:4" x14ac:dyDescent="0.25">
      <c r="A36" t="str">
        <f t="shared" si="0"/>
        <v>085EPSDT Clinic</v>
      </c>
      <c r="B36">
        <v>2177</v>
      </c>
      <c r="C36" s="40" t="s">
        <v>223</v>
      </c>
      <c r="D36" t="s">
        <v>224</v>
      </c>
    </row>
    <row r="37" spans="1:4" x14ac:dyDescent="0.25">
      <c r="A37" t="str">
        <f t="shared" si="0"/>
        <v>086Dental Clinic</v>
      </c>
      <c r="B37">
        <v>2136</v>
      </c>
      <c r="C37" s="40" t="s">
        <v>255</v>
      </c>
      <c r="D37" t="s">
        <v>256</v>
      </c>
    </row>
    <row r="38" spans="1:4" x14ac:dyDescent="0.25">
      <c r="A38" t="str">
        <f t="shared" si="0"/>
        <v>087Therapy Clinic</v>
      </c>
      <c r="B38">
        <v>2170</v>
      </c>
      <c r="C38" s="40" t="s">
        <v>273</v>
      </c>
      <c r="D38" t="s">
        <v>274</v>
      </c>
    </row>
    <row r="39" spans="1:4" x14ac:dyDescent="0.25">
      <c r="A39" t="str">
        <f t="shared" si="0"/>
        <v>088Pediatric Clinic</v>
      </c>
      <c r="B39">
        <v>2156</v>
      </c>
      <c r="C39" s="40" t="s">
        <v>211</v>
      </c>
      <c r="D39" t="s">
        <v>212</v>
      </c>
    </row>
    <row r="40" spans="1:4" x14ac:dyDescent="0.25">
      <c r="A40" t="str">
        <f t="shared" si="0"/>
        <v>089Tuberculosis Clinic</v>
      </c>
      <c r="B40">
        <v>2176</v>
      </c>
      <c r="C40" s="40" t="s">
        <v>213</v>
      </c>
      <c r="D40" t="s">
        <v>214</v>
      </c>
    </row>
    <row r="41" spans="1:4" x14ac:dyDescent="0.25">
      <c r="A41" t="str">
        <f t="shared" si="0"/>
        <v>090Pediatric Nurse Practitioner</v>
      </c>
      <c r="B41">
        <v>2347</v>
      </c>
      <c r="C41" s="40" t="s">
        <v>327</v>
      </c>
      <c r="D41" t="s">
        <v>328</v>
      </c>
    </row>
    <row r="42" spans="1:4" x14ac:dyDescent="0.25">
      <c r="A42" t="str">
        <f t="shared" si="0"/>
        <v>091Obstetric Nurse Practitioner</v>
      </c>
      <c r="B42">
        <v>2348</v>
      </c>
      <c r="C42" s="40" t="s">
        <v>333</v>
      </c>
      <c r="D42" t="s">
        <v>334</v>
      </c>
    </row>
    <row r="43" spans="1:4" x14ac:dyDescent="0.25">
      <c r="A43" t="str">
        <f t="shared" si="0"/>
        <v>092Family Nurse Practitioner</v>
      </c>
      <c r="B43">
        <v>2349</v>
      </c>
      <c r="C43" s="40" t="s">
        <v>352</v>
      </c>
      <c r="D43" t="s">
        <v>353</v>
      </c>
    </row>
    <row r="44" spans="1:4" x14ac:dyDescent="0.25">
      <c r="A44" t="str">
        <f t="shared" si="0"/>
        <v>093Nurse Practitioner (Other)</v>
      </c>
      <c r="B44">
        <v>2350</v>
      </c>
      <c r="C44" s="40" t="s">
        <v>342</v>
      </c>
      <c r="D44" t="s">
        <v>343</v>
      </c>
    </row>
    <row r="45" spans="1:4" x14ac:dyDescent="0.25">
      <c r="A45" t="str">
        <f t="shared" si="0"/>
        <v>094Certified Registered Nurse Anesthetist (CRNA)</v>
      </c>
      <c r="B45">
        <v>2351</v>
      </c>
      <c r="C45" s="40" t="s">
        <v>425</v>
      </c>
      <c r="D45" t="s">
        <v>426</v>
      </c>
    </row>
    <row r="46" spans="1:4" x14ac:dyDescent="0.25">
      <c r="A46" t="str">
        <f t="shared" si="0"/>
        <v>095Certified Nurse Midwife</v>
      </c>
      <c r="B46">
        <v>2352</v>
      </c>
      <c r="C46" s="40" t="s">
        <v>340</v>
      </c>
      <c r="D46" t="s">
        <v>341</v>
      </c>
    </row>
    <row r="47" spans="1:4" x14ac:dyDescent="0.25">
      <c r="A47" t="str">
        <f t="shared" si="0"/>
        <v>100Physician Assistant</v>
      </c>
      <c r="B47">
        <v>2200</v>
      </c>
      <c r="C47" s="40" t="s">
        <v>2575</v>
      </c>
      <c r="D47" t="s">
        <v>433</v>
      </c>
    </row>
    <row r="48" spans="1:4" x14ac:dyDescent="0.25">
      <c r="A48" t="str">
        <f t="shared" si="0"/>
        <v>101Anesthesiology Assistant</v>
      </c>
      <c r="B48">
        <v>2201</v>
      </c>
      <c r="C48" s="40" t="s">
        <v>2576</v>
      </c>
      <c r="D48" t="s">
        <v>440</v>
      </c>
    </row>
    <row r="49" spans="1:4" x14ac:dyDescent="0.25">
      <c r="A49" t="str">
        <f t="shared" si="0"/>
        <v>110Outpatient Mental Health Clinic</v>
      </c>
      <c r="B49">
        <v>2202</v>
      </c>
      <c r="C49" s="40" t="s">
        <v>2577</v>
      </c>
      <c r="D49" t="s">
        <v>526</v>
      </c>
    </row>
    <row r="50" spans="1:4" x14ac:dyDescent="0.25">
      <c r="A50" t="str">
        <f t="shared" si="0"/>
        <v>111Community Mental Health Center (CMHC)</v>
      </c>
      <c r="B50">
        <v>2203</v>
      </c>
      <c r="C50" s="40" t="s">
        <v>2578</v>
      </c>
      <c r="D50" t="s">
        <v>527</v>
      </c>
    </row>
    <row r="51" spans="1:4" x14ac:dyDescent="0.25">
      <c r="A51" t="str">
        <f t="shared" si="0"/>
        <v>112Psychologist</v>
      </c>
      <c r="B51">
        <v>2204</v>
      </c>
      <c r="C51" s="40" t="s">
        <v>2579</v>
      </c>
      <c r="D51" t="s">
        <v>477</v>
      </c>
    </row>
    <row r="52" spans="1:4" x14ac:dyDescent="0.25">
      <c r="A52" t="str">
        <f t="shared" si="0"/>
        <v>113Clinical Psychologist</v>
      </c>
      <c r="B52">
        <v>2205</v>
      </c>
      <c r="C52" s="40" t="s">
        <v>2580</v>
      </c>
      <c r="D52" t="s">
        <v>480</v>
      </c>
    </row>
    <row r="53" spans="1:4" x14ac:dyDescent="0.25">
      <c r="A53" t="str">
        <f t="shared" si="0"/>
        <v>114Health Service Provider in Psychology (HSPP)</v>
      </c>
      <c r="B53">
        <v>2206</v>
      </c>
      <c r="C53" s="40" t="s">
        <v>2581</v>
      </c>
      <c r="D53" t="s">
        <v>464</v>
      </c>
    </row>
    <row r="54" spans="1:4" x14ac:dyDescent="0.25">
      <c r="A54" t="str">
        <f t="shared" si="0"/>
        <v>115Certified Clinical Social Worker</v>
      </c>
      <c r="B54">
        <v>2207</v>
      </c>
      <c r="C54" s="40" t="s">
        <v>2582</v>
      </c>
      <c r="D54" t="s">
        <v>524</v>
      </c>
    </row>
    <row r="55" spans="1:4" x14ac:dyDescent="0.25">
      <c r="A55" t="str">
        <f t="shared" si="0"/>
        <v>116Certified Social Worker</v>
      </c>
      <c r="B55">
        <v>2208</v>
      </c>
      <c r="C55" s="40" t="s">
        <v>2583</v>
      </c>
      <c r="D55" t="s">
        <v>522</v>
      </c>
    </row>
    <row r="56" spans="1:4" x14ac:dyDescent="0.25">
      <c r="A56" t="str">
        <f t="shared" si="0"/>
        <v>117Psychiatric Nurse</v>
      </c>
      <c r="B56">
        <v>2209</v>
      </c>
      <c r="C56" s="40" t="s">
        <v>2584</v>
      </c>
      <c r="D56" t="s">
        <v>471</v>
      </c>
    </row>
    <row r="57" spans="1:4" x14ac:dyDescent="0.25">
      <c r="A57" t="str">
        <f t="shared" si="0"/>
        <v>118Mental Health - DMHSAS</v>
      </c>
      <c r="B57">
        <v>2210</v>
      </c>
      <c r="C57" s="40" t="s">
        <v>2585</v>
      </c>
      <c r="D57" t="s">
        <v>474</v>
      </c>
    </row>
    <row r="58" spans="1:4" x14ac:dyDescent="0.25">
      <c r="A58" t="str">
        <f t="shared" si="0"/>
        <v>119Marriage and Family Counselor</v>
      </c>
      <c r="B58">
        <v>2211</v>
      </c>
      <c r="C58" s="40" t="s">
        <v>2586</v>
      </c>
      <c r="D58" t="s">
        <v>467</v>
      </c>
    </row>
    <row r="59" spans="1:4" x14ac:dyDescent="0.25">
      <c r="A59" t="str">
        <f t="shared" si="0"/>
        <v>120Teaching Institute</v>
      </c>
      <c r="B59">
        <v>2212</v>
      </c>
      <c r="C59" s="40" t="s">
        <v>2481</v>
      </c>
      <c r="D59" t="s">
        <v>203</v>
      </c>
    </row>
    <row r="60" spans="1:4" x14ac:dyDescent="0.25">
      <c r="A60" t="str">
        <f t="shared" si="0"/>
        <v>120School Corporation</v>
      </c>
      <c r="B60">
        <v>2163</v>
      </c>
      <c r="C60" s="40" t="s">
        <v>2481</v>
      </c>
      <c r="D60" t="s">
        <v>547</v>
      </c>
    </row>
    <row r="61" spans="1:4" x14ac:dyDescent="0.25">
      <c r="A61" t="str">
        <f t="shared" si="0"/>
        <v>121Licensed Practical Counselor</v>
      </c>
      <c r="B61">
        <v>2213</v>
      </c>
      <c r="C61" s="40" t="s">
        <v>2587</v>
      </c>
      <c r="D61" t="s">
        <v>447</v>
      </c>
    </row>
    <row r="62" spans="1:4" x14ac:dyDescent="0.25">
      <c r="A62" t="str">
        <f t="shared" si="0"/>
        <v>122Behavioral Analyst</v>
      </c>
      <c r="B62">
        <v>2214</v>
      </c>
      <c r="C62" s="40" t="s">
        <v>2588</v>
      </c>
      <c r="D62" t="s">
        <v>533</v>
      </c>
    </row>
    <row r="63" spans="1:4" x14ac:dyDescent="0.25">
      <c r="A63" t="str">
        <f t="shared" si="0"/>
        <v>130County Health Department</v>
      </c>
      <c r="B63">
        <v>2134</v>
      </c>
      <c r="C63" s="40" t="s">
        <v>2482</v>
      </c>
      <c r="D63" t="s">
        <v>551</v>
      </c>
    </row>
    <row r="64" spans="1:4" x14ac:dyDescent="0.25">
      <c r="A64" t="str">
        <f t="shared" si="0"/>
        <v>140Podiatrist</v>
      </c>
      <c r="B64">
        <v>2215</v>
      </c>
      <c r="C64" s="40" t="s">
        <v>2589</v>
      </c>
      <c r="D64" t="s">
        <v>557</v>
      </c>
    </row>
    <row r="65" spans="1:4" x14ac:dyDescent="0.25">
      <c r="A65" t="str">
        <f t="shared" si="0"/>
        <v>150Chiropractor</v>
      </c>
      <c r="B65">
        <v>1</v>
      </c>
      <c r="C65" s="40" t="s">
        <v>2483</v>
      </c>
      <c r="D65" t="s">
        <v>575</v>
      </c>
    </row>
    <row r="66" spans="1:4" x14ac:dyDescent="0.25">
      <c r="A66" t="str">
        <f t="shared" si="0"/>
        <v>170Physical Therapist</v>
      </c>
      <c r="B66">
        <v>2216</v>
      </c>
      <c r="C66" s="40" t="s">
        <v>2590</v>
      </c>
      <c r="D66" t="s">
        <v>713</v>
      </c>
    </row>
    <row r="67" spans="1:4" x14ac:dyDescent="0.25">
      <c r="A67" t="str">
        <f t="shared" ref="A67:A130" si="1">C67&amp;D67</f>
        <v>171Occupational Therapist</v>
      </c>
      <c r="B67">
        <v>2217</v>
      </c>
      <c r="C67" s="40" t="s">
        <v>2591</v>
      </c>
      <c r="D67" t="s">
        <v>739</v>
      </c>
    </row>
    <row r="68" spans="1:4" x14ac:dyDescent="0.25">
      <c r="A68" t="str">
        <f t="shared" si="1"/>
        <v>172Respiratory Therapist</v>
      </c>
      <c r="B68">
        <v>2218</v>
      </c>
      <c r="C68" s="40" t="s">
        <v>2592</v>
      </c>
      <c r="D68" t="s">
        <v>671</v>
      </c>
    </row>
    <row r="69" spans="1:4" x14ac:dyDescent="0.25">
      <c r="A69" t="str">
        <f t="shared" si="1"/>
        <v>173Speech/Hearing Therapist</v>
      </c>
      <c r="B69">
        <v>2219</v>
      </c>
      <c r="C69" s="40" t="s">
        <v>2593</v>
      </c>
      <c r="D69" t="s">
        <v>751</v>
      </c>
    </row>
    <row r="70" spans="1:4" x14ac:dyDescent="0.25">
      <c r="A70" t="str">
        <f t="shared" si="1"/>
        <v>174Occupational Therapy Assistant</v>
      </c>
      <c r="B70">
        <v>2220</v>
      </c>
      <c r="C70" s="40" t="s">
        <v>2594</v>
      </c>
      <c r="D70" t="s">
        <v>665</v>
      </c>
    </row>
    <row r="71" spans="1:4" x14ac:dyDescent="0.25">
      <c r="A71" t="str">
        <f t="shared" si="1"/>
        <v>175Physical Therapy Assistant</v>
      </c>
      <c r="B71">
        <v>2221</v>
      </c>
      <c r="C71" s="40" t="s">
        <v>2595</v>
      </c>
      <c r="D71" t="s">
        <v>668</v>
      </c>
    </row>
    <row r="72" spans="1:4" x14ac:dyDescent="0.25">
      <c r="A72" t="str">
        <f t="shared" si="1"/>
        <v>180Optometrist</v>
      </c>
      <c r="B72">
        <v>2222</v>
      </c>
      <c r="C72" s="40" t="s">
        <v>2596</v>
      </c>
      <c r="D72" t="s">
        <v>783</v>
      </c>
    </row>
    <row r="73" spans="1:4" x14ac:dyDescent="0.25">
      <c r="A73" t="str">
        <f t="shared" si="1"/>
        <v>181Maternity</v>
      </c>
      <c r="B73">
        <v>2150</v>
      </c>
      <c r="C73" s="40" t="s">
        <v>2484</v>
      </c>
      <c r="D73" t="s">
        <v>208</v>
      </c>
    </row>
    <row r="74" spans="1:4" x14ac:dyDescent="0.25">
      <c r="A74" t="str">
        <f t="shared" si="1"/>
        <v>182Speech/Hearing Clinic</v>
      </c>
      <c r="B74">
        <v>2168</v>
      </c>
      <c r="C74" s="40" t="s">
        <v>2485</v>
      </c>
      <c r="D74" t="s">
        <v>209</v>
      </c>
    </row>
    <row r="75" spans="1:4" x14ac:dyDescent="0.25">
      <c r="A75" t="str">
        <f t="shared" si="1"/>
        <v>183Early Intervention Services</v>
      </c>
      <c r="B75">
        <v>2138</v>
      </c>
      <c r="C75" s="40" t="s">
        <v>2486</v>
      </c>
      <c r="D75" t="s">
        <v>210</v>
      </c>
    </row>
    <row r="76" spans="1:4" x14ac:dyDescent="0.25">
      <c r="A76" t="str">
        <f t="shared" si="1"/>
        <v>184Hospital Based Rural Health Clinic</v>
      </c>
      <c r="B76">
        <v>2147</v>
      </c>
      <c r="C76" s="40" t="s">
        <v>2487</v>
      </c>
      <c r="D76" t="s">
        <v>2488</v>
      </c>
    </row>
    <row r="77" spans="1:4" x14ac:dyDescent="0.25">
      <c r="A77" t="str">
        <f t="shared" si="1"/>
        <v>185Free Standing Rural Health Clinic</v>
      </c>
      <c r="B77">
        <v>2141</v>
      </c>
      <c r="C77" s="40" t="s">
        <v>2489</v>
      </c>
      <c r="D77" t="s">
        <v>2490</v>
      </c>
    </row>
    <row r="78" spans="1:4" x14ac:dyDescent="0.25">
      <c r="A78" t="str">
        <f t="shared" si="1"/>
        <v>186Community Health</v>
      </c>
      <c r="B78">
        <v>2133</v>
      </c>
      <c r="C78" s="40" t="s">
        <v>2491</v>
      </c>
      <c r="D78" t="s">
        <v>250</v>
      </c>
    </row>
    <row r="79" spans="1:4" x14ac:dyDescent="0.25">
      <c r="A79" t="str">
        <f t="shared" si="1"/>
        <v>187Community Health - Non-Professional</v>
      </c>
      <c r="B79">
        <v>2223</v>
      </c>
      <c r="C79" s="40" t="s">
        <v>2597</v>
      </c>
      <c r="D79" t="s">
        <v>1837</v>
      </c>
    </row>
    <row r="80" spans="1:4" x14ac:dyDescent="0.25">
      <c r="A80" t="str">
        <f t="shared" si="1"/>
        <v>190Optician</v>
      </c>
      <c r="B80">
        <v>1063</v>
      </c>
      <c r="C80" s="40" t="s">
        <v>2492</v>
      </c>
      <c r="D80" t="s">
        <v>797</v>
      </c>
    </row>
    <row r="81" spans="1:4" x14ac:dyDescent="0.25">
      <c r="A81" t="str">
        <f t="shared" si="1"/>
        <v>200Audiologist</v>
      </c>
      <c r="B81">
        <v>2224</v>
      </c>
      <c r="C81" s="40" t="s">
        <v>2598</v>
      </c>
      <c r="D81" t="s">
        <v>817</v>
      </c>
    </row>
    <row r="82" spans="1:4" x14ac:dyDescent="0.25">
      <c r="A82" t="str">
        <f t="shared" si="1"/>
        <v>210Care Coordinator for Pregnant Women</v>
      </c>
      <c r="B82">
        <v>2188</v>
      </c>
      <c r="C82" s="40" t="s">
        <v>2493</v>
      </c>
      <c r="D82" t="s">
        <v>180</v>
      </c>
    </row>
    <row r="83" spans="1:4" x14ac:dyDescent="0.25">
      <c r="A83" t="str">
        <f t="shared" si="1"/>
        <v>211HIV Case Manager</v>
      </c>
      <c r="B83">
        <v>2189</v>
      </c>
      <c r="C83" s="40" t="s">
        <v>2494</v>
      </c>
      <c r="D83" t="s">
        <v>181</v>
      </c>
    </row>
    <row r="84" spans="1:4" x14ac:dyDescent="0.25">
      <c r="A84" t="str">
        <f t="shared" si="1"/>
        <v>212Addiction Counselor</v>
      </c>
      <c r="B84">
        <v>2225</v>
      </c>
      <c r="C84" s="40" t="s">
        <v>2599</v>
      </c>
      <c r="D84" t="s">
        <v>450</v>
      </c>
    </row>
    <row r="85" spans="1:4" x14ac:dyDescent="0.25">
      <c r="A85" t="str">
        <f t="shared" si="1"/>
        <v>217Child Welfare Targeted Case Management</v>
      </c>
      <c r="B85">
        <v>2226</v>
      </c>
      <c r="C85" s="40" t="s">
        <v>2600</v>
      </c>
      <c r="D85" t="s">
        <v>827</v>
      </c>
    </row>
    <row r="86" spans="1:4" x14ac:dyDescent="0.25">
      <c r="A86" t="str">
        <f t="shared" si="1"/>
        <v>230Nutritionist</v>
      </c>
      <c r="B86">
        <v>2227</v>
      </c>
      <c r="C86" s="40" t="s">
        <v>2601</v>
      </c>
      <c r="D86" t="s">
        <v>833</v>
      </c>
    </row>
    <row r="87" spans="1:4" x14ac:dyDescent="0.25">
      <c r="A87" t="str">
        <f t="shared" si="1"/>
        <v>241Pharmacist</v>
      </c>
      <c r="B87">
        <v>2228</v>
      </c>
      <c r="C87" s="40" t="s">
        <v>2602</v>
      </c>
      <c r="D87" t="s">
        <v>1764</v>
      </c>
    </row>
    <row r="88" spans="1:4" x14ac:dyDescent="0.25">
      <c r="A88" t="str">
        <f t="shared" si="1"/>
        <v>242Geriatric Pharmacist</v>
      </c>
      <c r="B88">
        <v>2229</v>
      </c>
      <c r="C88" s="40" t="s">
        <v>2603</v>
      </c>
      <c r="D88" t="s">
        <v>1769</v>
      </c>
    </row>
    <row r="89" spans="1:4" x14ac:dyDescent="0.25">
      <c r="A89" t="str">
        <f t="shared" si="1"/>
        <v>243Nuclear Pharmacist</v>
      </c>
      <c r="B89">
        <v>2230</v>
      </c>
      <c r="C89" s="40" t="s">
        <v>2604</v>
      </c>
      <c r="D89" t="s">
        <v>1772</v>
      </c>
    </row>
    <row r="90" spans="1:4" x14ac:dyDescent="0.25">
      <c r="A90" t="str">
        <f t="shared" si="1"/>
        <v>244Nutrition Support Pharmacist</v>
      </c>
      <c r="B90">
        <v>2231</v>
      </c>
      <c r="C90" s="40" t="s">
        <v>2605</v>
      </c>
      <c r="D90" t="s">
        <v>1774</v>
      </c>
    </row>
    <row r="91" spans="1:4" x14ac:dyDescent="0.25">
      <c r="A91" t="str">
        <f t="shared" si="1"/>
        <v>245Oncology Pharmacist</v>
      </c>
      <c r="B91">
        <v>2232</v>
      </c>
      <c r="C91" s="40" t="s">
        <v>2606</v>
      </c>
      <c r="D91" t="s">
        <v>1784</v>
      </c>
    </row>
    <row r="92" spans="1:4" x14ac:dyDescent="0.25">
      <c r="A92" t="str">
        <f t="shared" si="1"/>
        <v>246Pharmacology Pharmacist</v>
      </c>
      <c r="B92">
        <v>2233</v>
      </c>
      <c r="C92" s="40" t="s">
        <v>2607</v>
      </c>
      <c r="D92" t="s">
        <v>1779</v>
      </c>
    </row>
    <row r="93" spans="1:4" x14ac:dyDescent="0.25">
      <c r="A93" t="str">
        <f t="shared" si="1"/>
        <v>247Psychiatric Pharmacist</v>
      </c>
      <c r="B93">
        <v>2234</v>
      </c>
      <c r="C93" s="40" t="s">
        <v>2608</v>
      </c>
      <c r="D93" t="s">
        <v>2609</v>
      </c>
    </row>
    <row r="94" spans="1:4" x14ac:dyDescent="0.25">
      <c r="A94" t="str">
        <f t="shared" si="1"/>
        <v>248Pharmacy Technician</v>
      </c>
      <c r="B94">
        <v>2235</v>
      </c>
      <c r="C94" s="40" t="s">
        <v>2610</v>
      </c>
      <c r="D94" t="s">
        <v>1547</v>
      </c>
    </row>
    <row r="95" spans="1:4" x14ac:dyDescent="0.25">
      <c r="A95" t="str">
        <f t="shared" si="1"/>
        <v>250DME/Medical Supply Dealer</v>
      </c>
      <c r="B95">
        <v>2137</v>
      </c>
      <c r="C95" s="40" t="s">
        <v>2495</v>
      </c>
      <c r="D95" t="s">
        <v>849</v>
      </c>
    </row>
    <row r="96" spans="1:4" x14ac:dyDescent="0.25">
      <c r="A96" t="str">
        <f t="shared" si="1"/>
        <v>251Assistive Technology</v>
      </c>
      <c r="B96">
        <v>2178</v>
      </c>
      <c r="C96" s="40" t="s">
        <v>2496</v>
      </c>
      <c r="D96" t="s">
        <v>820</v>
      </c>
    </row>
    <row r="97" spans="1:4" x14ac:dyDescent="0.25">
      <c r="A97" t="str">
        <f t="shared" si="1"/>
        <v>260Ambulance</v>
      </c>
      <c r="B97">
        <v>2128</v>
      </c>
      <c r="C97" s="40" t="s">
        <v>2497</v>
      </c>
      <c r="D97" t="s">
        <v>902</v>
      </c>
    </row>
    <row r="98" spans="1:4" x14ac:dyDescent="0.25">
      <c r="A98" t="str">
        <f t="shared" si="1"/>
        <v>261Air Ambulance</v>
      </c>
      <c r="B98">
        <v>2127</v>
      </c>
      <c r="C98" s="40" t="s">
        <v>2498</v>
      </c>
      <c r="D98" t="s">
        <v>882</v>
      </c>
    </row>
    <row r="99" spans="1:4" x14ac:dyDescent="0.25">
      <c r="A99" t="str">
        <f t="shared" si="1"/>
        <v>262Bus</v>
      </c>
      <c r="B99">
        <v>2197</v>
      </c>
      <c r="C99" s="40" t="s">
        <v>2499</v>
      </c>
      <c r="D99" t="s">
        <v>893</v>
      </c>
    </row>
    <row r="100" spans="1:4" x14ac:dyDescent="0.25">
      <c r="A100" t="str">
        <f t="shared" si="1"/>
        <v>263Taxi</v>
      </c>
      <c r="B100">
        <v>2169</v>
      </c>
      <c r="C100" s="40" t="s">
        <v>2500</v>
      </c>
      <c r="D100" t="s">
        <v>890</v>
      </c>
    </row>
    <row r="101" spans="1:4" x14ac:dyDescent="0.25">
      <c r="A101" t="str">
        <f t="shared" si="1"/>
        <v>264Common Carrier (Ambulatory)</v>
      </c>
      <c r="B101">
        <v>2131</v>
      </c>
      <c r="C101" s="40" t="s">
        <v>2501</v>
      </c>
      <c r="D101" t="s">
        <v>874</v>
      </c>
    </row>
    <row r="102" spans="1:4" x14ac:dyDescent="0.25">
      <c r="A102" t="str">
        <f t="shared" si="1"/>
        <v>265Common Carrier (Non-ambulatory)</v>
      </c>
      <c r="B102">
        <v>2132</v>
      </c>
      <c r="C102" s="40" t="s">
        <v>2502</v>
      </c>
      <c r="D102" t="s">
        <v>877</v>
      </c>
    </row>
    <row r="103" spans="1:4" x14ac:dyDescent="0.25">
      <c r="A103" t="str">
        <f t="shared" si="1"/>
        <v>266Family Member</v>
      </c>
      <c r="B103">
        <v>2139</v>
      </c>
      <c r="C103" s="40" t="s">
        <v>2503</v>
      </c>
      <c r="D103" t="s">
        <v>896</v>
      </c>
    </row>
    <row r="104" spans="1:4" x14ac:dyDescent="0.25">
      <c r="A104" t="str">
        <f t="shared" si="1"/>
        <v>267Volunteer</v>
      </c>
      <c r="B104">
        <v>2171</v>
      </c>
      <c r="C104" s="40" t="s">
        <v>2504</v>
      </c>
      <c r="D104" t="s">
        <v>912</v>
      </c>
    </row>
    <row r="105" spans="1:4" x14ac:dyDescent="0.25">
      <c r="A105" t="str">
        <f t="shared" si="1"/>
        <v>268Secured Medical Transport (VAN)</v>
      </c>
      <c r="B105">
        <v>2164</v>
      </c>
      <c r="C105" s="40" t="s">
        <v>2505</v>
      </c>
      <c r="D105" t="s">
        <v>915</v>
      </c>
    </row>
    <row r="106" spans="1:4" x14ac:dyDescent="0.25">
      <c r="A106" t="str">
        <f t="shared" si="1"/>
        <v>270Endodontist</v>
      </c>
      <c r="B106">
        <v>2236</v>
      </c>
      <c r="C106" s="40" t="s">
        <v>2611</v>
      </c>
      <c r="D106" t="s">
        <v>940</v>
      </c>
    </row>
    <row r="107" spans="1:4" x14ac:dyDescent="0.25">
      <c r="A107" t="str">
        <f t="shared" si="1"/>
        <v>271General Dentistry Practitioner</v>
      </c>
      <c r="B107">
        <v>2237</v>
      </c>
      <c r="C107" s="40" t="s">
        <v>2612</v>
      </c>
      <c r="D107" t="s">
        <v>926</v>
      </c>
    </row>
    <row r="108" spans="1:4" x14ac:dyDescent="0.25">
      <c r="A108" t="str">
        <f t="shared" si="1"/>
        <v>272Oral Surgeon</v>
      </c>
      <c r="B108">
        <v>2070</v>
      </c>
      <c r="C108" s="40" t="s">
        <v>2506</v>
      </c>
      <c r="D108" t="s">
        <v>952</v>
      </c>
    </row>
    <row r="109" spans="1:4" x14ac:dyDescent="0.25">
      <c r="A109" t="str">
        <f t="shared" si="1"/>
        <v>273Orthodontist</v>
      </c>
      <c r="B109">
        <v>2238</v>
      </c>
      <c r="C109" s="40" t="s">
        <v>2613</v>
      </c>
      <c r="D109" t="s">
        <v>955</v>
      </c>
    </row>
    <row r="110" spans="1:4" x14ac:dyDescent="0.25">
      <c r="A110" t="str">
        <f t="shared" si="1"/>
        <v>274Pediatric Dentist</v>
      </c>
      <c r="B110">
        <v>2239</v>
      </c>
      <c r="C110" s="40" t="s">
        <v>2614</v>
      </c>
      <c r="D110" t="s">
        <v>944</v>
      </c>
    </row>
    <row r="111" spans="1:4" x14ac:dyDescent="0.25">
      <c r="A111" t="str">
        <f t="shared" si="1"/>
        <v>275Periodontist</v>
      </c>
      <c r="B111">
        <v>2240</v>
      </c>
      <c r="C111" s="40" t="s">
        <v>2615</v>
      </c>
      <c r="D111" t="s">
        <v>947</v>
      </c>
    </row>
    <row r="112" spans="1:4" x14ac:dyDescent="0.25">
      <c r="A112" t="str">
        <f t="shared" si="1"/>
        <v>276Oral Pathologist</v>
      </c>
      <c r="B112">
        <v>2241</v>
      </c>
      <c r="C112" s="40" t="s">
        <v>2616</v>
      </c>
      <c r="D112" t="s">
        <v>924</v>
      </c>
    </row>
    <row r="113" spans="1:4" x14ac:dyDescent="0.25">
      <c r="A113" t="str">
        <f t="shared" si="1"/>
        <v>277Prothesis / Orthotics</v>
      </c>
      <c r="B113">
        <v>2242</v>
      </c>
      <c r="C113" s="40" t="s">
        <v>2507</v>
      </c>
      <c r="D113" t="s">
        <v>1550</v>
      </c>
    </row>
    <row r="114" spans="1:4" x14ac:dyDescent="0.25">
      <c r="A114" t="str">
        <f t="shared" si="1"/>
        <v>277Prosthesis / Orthotics</v>
      </c>
      <c r="B114">
        <v>2243</v>
      </c>
      <c r="C114" s="40" t="s">
        <v>2507</v>
      </c>
      <c r="D114" t="s">
        <v>1788</v>
      </c>
    </row>
    <row r="115" spans="1:4" x14ac:dyDescent="0.25">
      <c r="A115" t="str">
        <f t="shared" si="1"/>
        <v>277Prosthesis</v>
      </c>
      <c r="B115">
        <v>2157</v>
      </c>
      <c r="C115" s="40" t="s">
        <v>2507</v>
      </c>
      <c r="D115" t="s">
        <v>866</v>
      </c>
    </row>
    <row r="116" spans="1:4" x14ac:dyDescent="0.25">
      <c r="A116" t="str">
        <f t="shared" si="1"/>
        <v>278Prosthodontist</v>
      </c>
      <c r="B116">
        <v>2244</v>
      </c>
      <c r="C116" s="40" t="s">
        <v>2617</v>
      </c>
      <c r="D116" t="s">
        <v>950</v>
      </c>
    </row>
    <row r="117" spans="1:4" x14ac:dyDescent="0.25">
      <c r="A117" t="str">
        <f t="shared" si="1"/>
        <v>280Independent Lab</v>
      </c>
      <c r="B117">
        <v>2149</v>
      </c>
      <c r="C117" s="40" t="s">
        <v>2508</v>
      </c>
      <c r="D117" t="s">
        <v>968</v>
      </c>
    </row>
    <row r="118" spans="1:4" x14ac:dyDescent="0.25">
      <c r="A118" t="str">
        <f t="shared" si="1"/>
        <v>281Mobile Lab</v>
      </c>
      <c r="B118">
        <v>2194</v>
      </c>
      <c r="C118" s="40" t="s">
        <v>2509</v>
      </c>
      <c r="D118" t="s">
        <v>964</v>
      </c>
    </row>
    <row r="119" spans="1:4" x14ac:dyDescent="0.25">
      <c r="A119" t="str">
        <f t="shared" si="1"/>
        <v>282Radiology Practitioner Assistants</v>
      </c>
      <c r="B119">
        <v>2245</v>
      </c>
      <c r="C119" s="40" t="s">
        <v>2618</v>
      </c>
      <c r="D119" t="s">
        <v>1642</v>
      </c>
    </row>
    <row r="120" spans="1:4" x14ac:dyDescent="0.25">
      <c r="A120" t="str">
        <f t="shared" si="1"/>
        <v>290Freestanding X-Ray Clinic</v>
      </c>
      <c r="B120">
        <v>2143</v>
      </c>
      <c r="C120" s="40" t="s">
        <v>2510</v>
      </c>
      <c r="D120" t="s">
        <v>980</v>
      </c>
    </row>
    <row r="121" spans="1:4" x14ac:dyDescent="0.25">
      <c r="A121" t="str">
        <f t="shared" si="1"/>
        <v>291Mobile X-Ray Clinic</v>
      </c>
      <c r="B121">
        <v>2153</v>
      </c>
      <c r="C121" s="40" t="s">
        <v>2511</v>
      </c>
      <c r="D121" t="s">
        <v>983</v>
      </c>
    </row>
    <row r="122" spans="1:4" x14ac:dyDescent="0.25">
      <c r="A122" t="str">
        <f t="shared" si="1"/>
        <v>292Mammography</v>
      </c>
      <c r="B122">
        <v>2199</v>
      </c>
      <c r="C122" s="40" t="s">
        <v>2512</v>
      </c>
      <c r="D122" t="s">
        <v>978</v>
      </c>
    </row>
    <row r="123" spans="1:4" x14ac:dyDescent="0.25">
      <c r="A123" t="str">
        <f t="shared" si="1"/>
        <v>300Free-standing Renal Dialysis Clinic</v>
      </c>
      <c r="B123">
        <v>2142</v>
      </c>
      <c r="C123" s="40" t="s">
        <v>2513</v>
      </c>
      <c r="D123" t="s">
        <v>987</v>
      </c>
    </row>
    <row r="124" spans="1:4" x14ac:dyDescent="0.25">
      <c r="A124" t="str">
        <f t="shared" si="1"/>
        <v>310Allergist</v>
      </c>
      <c r="B124">
        <v>2071</v>
      </c>
      <c r="C124" s="40" t="s">
        <v>2514</v>
      </c>
      <c r="D124" t="s">
        <v>1071</v>
      </c>
    </row>
    <row r="125" spans="1:4" x14ac:dyDescent="0.25">
      <c r="A125" t="str">
        <f t="shared" si="1"/>
        <v>311Anesthesiologist</v>
      </c>
      <c r="B125">
        <v>2072</v>
      </c>
      <c r="C125" s="40" t="s">
        <v>2515</v>
      </c>
      <c r="D125" t="s">
        <v>1077</v>
      </c>
    </row>
    <row r="126" spans="1:4" x14ac:dyDescent="0.25">
      <c r="A126" t="str">
        <f t="shared" si="1"/>
        <v>312Cardiologist</v>
      </c>
      <c r="B126">
        <v>2073</v>
      </c>
      <c r="C126" s="40" t="s">
        <v>2516</v>
      </c>
      <c r="D126" t="s">
        <v>1135</v>
      </c>
    </row>
    <row r="127" spans="1:4" x14ac:dyDescent="0.25">
      <c r="A127" t="str">
        <f t="shared" si="1"/>
        <v>313Cardiovascular Surgeon</v>
      </c>
      <c r="B127">
        <v>2074</v>
      </c>
      <c r="C127" s="40" t="s">
        <v>2517</v>
      </c>
      <c r="D127" t="s">
        <v>1400</v>
      </c>
    </row>
    <row r="128" spans="1:4" x14ac:dyDescent="0.25">
      <c r="A128" t="str">
        <f t="shared" si="1"/>
        <v>314Dermatologist</v>
      </c>
      <c r="B128">
        <v>2075</v>
      </c>
      <c r="C128" s="40" t="s">
        <v>2518</v>
      </c>
      <c r="D128" t="s">
        <v>1088</v>
      </c>
    </row>
    <row r="129" spans="1:4" x14ac:dyDescent="0.25">
      <c r="A129" t="str">
        <f t="shared" si="1"/>
        <v>315Emergency Medicine Practitioner</v>
      </c>
      <c r="B129">
        <v>2076</v>
      </c>
      <c r="C129" s="40" t="s">
        <v>2519</v>
      </c>
      <c r="D129" t="s">
        <v>1101</v>
      </c>
    </row>
    <row r="130" spans="1:4" x14ac:dyDescent="0.25">
      <c r="A130" t="str">
        <f t="shared" si="1"/>
        <v>316Family Practitioner</v>
      </c>
      <c r="B130">
        <v>2077</v>
      </c>
      <c r="C130" s="40" t="s">
        <v>2520</v>
      </c>
      <c r="D130" t="s">
        <v>1115</v>
      </c>
    </row>
    <row r="131" spans="1:4" x14ac:dyDescent="0.25">
      <c r="A131" t="str">
        <f t="shared" ref="A131:A194" si="2">C131&amp;D131</f>
        <v>317Gastroenterologist</v>
      </c>
      <c r="B131">
        <v>2078</v>
      </c>
      <c r="C131" s="40" t="s">
        <v>2521</v>
      </c>
      <c r="D131" t="s">
        <v>1141</v>
      </c>
    </row>
    <row r="132" spans="1:4" x14ac:dyDescent="0.25">
      <c r="A132" t="str">
        <f t="shared" si="2"/>
        <v>318General Practitioner</v>
      </c>
      <c r="B132">
        <v>2079</v>
      </c>
      <c r="C132" s="40" t="s">
        <v>2522</v>
      </c>
      <c r="D132" t="s">
        <v>1322</v>
      </c>
    </row>
    <row r="133" spans="1:4" x14ac:dyDescent="0.25">
      <c r="A133" t="str">
        <f t="shared" si="2"/>
        <v>318Gastroenterologist</v>
      </c>
      <c r="B133">
        <v>2246</v>
      </c>
      <c r="C133" s="40" t="s">
        <v>2522</v>
      </c>
      <c r="D133" t="s">
        <v>1141</v>
      </c>
    </row>
    <row r="134" spans="1:4" x14ac:dyDescent="0.25">
      <c r="A134" t="str">
        <f t="shared" si="2"/>
        <v>319Gastroenterologist</v>
      </c>
      <c r="B134">
        <v>2247</v>
      </c>
      <c r="C134" s="40" t="s">
        <v>2523</v>
      </c>
      <c r="D134" t="s">
        <v>1141</v>
      </c>
    </row>
    <row r="135" spans="1:4" x14ac:dyDescent="0.25">
      <c r="A135" t="str">
        <f t="shared" si="2"/>
        <v>319General Practitioner</v>
      </c>
      <c r="B135">
        <v>2248</v>
      </c>
      <c r="C135" s="40" t="s">
        <v>2523</v>
      </c>
      <c r="D135" t="s">
        <v>1322</v>
      </c>
    </row>
    <row r="136" spans="1:4" x14ac:dyDescent="0.25">
      <c r="A136" t="str">
        <f t="shared" si="2"/>
        <v>319General Surgeon</v>
      </c>
      <c r="B136">
        <v>2080</v>
      </c>
      <c r="C136" s="40" t="s">
        <v>2523</v>
      </c>
      <c r="D136" t="s">
        <v>1066</v>
      </c>
    </row>
    <row r="137" spans="1:4" x14ac:dyDescent="0.25">
      <c r="A137" t="str">
        <f t="shared" si="2"/>
        <v>320Geriatric Practitioner</v>
      </c>
      <c r="B137">
        <v>2081</v>
      </c>
      <c r="C137" s="40" t="s">
        <v>2524</v>
      </c>
      <c r="D137" t="s">
        <v>998</v>
      </c>
    </row>
    <row r="138" spans="1:4" x14ac:dyDescent="0.25">
      <c r="A138" t="str">
        <f t="shared" si="2"/>
        <v>320General Practitioner</v>
      </c>
      <c r="B138">
        <v>2249</v>
      </c>
      <c r="C138" s="40" t="s">
        <v>2524</v>
      </c>
      <c r="D138" t="s">
        <v>1322</v>
      </c>
    </row>
    <row r="139" spans="1:4" x14ac:dyDescent="0.25">
      <c r="A139" t="str">
        <f t="shared" si="2"/>
        <v>321Hand Surgeon</v>
      </c>
      <c r="B139">
        <v>2082</v>
      </c>
      <c r="C139" s="40" t="s">
        <v>2525</v>
      </c>
      <c r="D139" t="s">
        <v>1202</v>
      </c>
    </row>
    <row r="140" spans="1:4" x14ac:dyDescent="0.25">
      <c r="A140" t="str">
        <f t="shared" si="2"/>
        <v>322Internist</v>
      </c>
      <c r="B140">
        <v>5</v>
      </c>
      <c r="C140" s="40" t="s">
        <v>2526</v>
      </c>
      <c r="D140" t="s">
        <v>1126</v>
      </c>
    </row>
    <row r="141" spans="1:4" x14ac:dyDescent="0.25">
      <c r="A141" t="str">
        <f t="shared" si="2"/>
        <v>323Neonatologist</v>
      </c>
      <c r="B141">
        <v>2083</v>
      </c>
      <c r="C141" s="40" t="s">
        <v>2527</v>
      </c>
      <c r="D141" t="s">
        <v>1041</v>
      </c>
    </row>
    <row r="142" spans="1:4" x14ac:dyDescent="0.25">
      <c r="A142" t="str">
        <f t="shared" si="2"/>
        <v>324Nephrologist</v>
      </c>
      <c r="B142">
        <v>2084</v>
      </c>
      <c r="C142" s="40" t="s">
        <v>2528</v>
      </c>
      <c r="D142" t="s">
        <v>1155</v>
      </c>
    </row>
    <row r="143" spans="1:4" x14ac:dyDescent="0.25">
      <c r="A143" t="str">
        <f t="shared" si="2"/>
        <v>325Neurological Surgeon</v>
      </c>
      <c r="B143">
        <v>2085</v>
      </c>
      <c r="C143" s="40" t="s">
        <v>2529</v>
      </c>
      <c r="D143" t="s">
        <v>1167</v>
      </c>
    </row>
    <row r="144" spans="1:4" x14ac:dyDescent="0.25">
      <c r="A144" t="str">
        <f t="shared" si="2"/>
        <v>326Neurologist</v>
      </c>
      <c r="B144">
        <v>2086</v>
      </c>
      <c r="C144" s="40" t="s">
        <v>2530</v>
      </c>
      <c r="D144" t="s">
        <v>1341</v>
      </c>
    </row>
    <row r="145" spans="1:4" x14ac:dyDescent="0.25">
      <c r="A145" t="str">
        <f t="shared" si="2"/>
        <v>327Nuclear Medicine Practitioner</v>
      </c>
      <c r="B145">
        <v>2087</v>
      </c>
      <c r="C145" s="40" t="s">
        <v>2531</v>
      </c>
      <c r="D145" t="s">
        <v>1060</v>
      </c>
    </row>
    <row r="146" spans="1:4" x14ac:dyDescent="0.25">
      <c r="A146" t="str">
        <f t="shared" si="2"/>
        <v>328Obstetrician/Gynecologist</v>
      </c>
      <c r="B146">
        <v>2088</v>
      </c>
      <c r="C146" s="40" t="s">
        <v>2532</v>
      </c>
      <c r="D146" t="s">
        <v>1177</v>
      </c>
    </row>
    <row r="147" spans="1:4" x14ac:dyDescent="0.25">
      <c r="A147" t="str">
        <f t="shared" si="2"/>
        <v>329Oncologist (including Hematology)</v>
      </c>
      <c r="B147">
        <v>2089</v>
      </c>
      <c r="C147" s="40" t="s">
        <v>2533</v>
      </c>
      <c r="D147" t="s">
        <v>1009</v>
      </c>
    </row>
    <row r="148" spans="1:4" x14ac:dyDescent="0.25">
      <c r="A148" t="str">
        <f t="shared" si="2"/>
        <v>330Opthamologist</v>
      </c>
      <c r="B148">
        <v>2090</v>
      </c>
      <c r="C148" s="40" t="s">
        <v>2534</v>
      </c>
      <c r="D148" t="s">
        <v>1194</v>
      </c>
    </row>
    <row r="149" spans="1:4" x14ac:dyDescent="0.25">
      <c r="A149" t="str">
        <f t="shared" si="2"/>
        <v>331Orthopedic Surgeon</v>
      </c>
      <c r="B149">
        <v>2091</v>
      </c>
      <c r="C149" s="40" t="s">
        <v>2535</v>
      </c>
      <c r="D149" t="s">
        <v>1197</v>
      </c>
    </row>
    <row r="150" spans="1:4" x14ac:dyDescent="0.25">
      <c r="A150" t="str">
        <f t="shared" si="2"/>
        <v>332Otologist, Laryngologist, Rhinologist</v>
      </c>
      <c r="B150">
        <v>2092</v>
      </c>
      <c r="C150" s="40" t="s">
        <v>2536</v>
      </c>
      <c r="D150" t="s">
        <v>1214</v>
      </c>
    </row>
    <row r="151" spans="1:4" x14ac:dyDescent="0.25">
      <c r="A151" t="str">
        <f t="shared" si="2"/>
        <v>333Pathologist</v>
      </c>
      <c r="B151">
        <v>2093</v>
      </c>
      <c r="C151" s="40" t="s">
        <v>2537</v>
      </c>
      <c r="D151" t="s">
        <v>1057</v>
      </c>
    </row>
    <row r="152" spans="1:4" x14ac:dyDescent="0.25">
      <c r="A152" t="str">
        <f t="shared" si="2"/>
        <v>333Otologist, Laryngologist, Rhinologist</v>
      </c>
      <c r="B152">
        <v>2250</v>
      </c>
      <c r="C152" s="40" t="s">
        <v>2537</v>
      </c>
      <c r="D152" t="s">
        <v>1214</v>
      </c>
    </row>
    <row r="153" spans="1:4" x14ac:dyDescent="0.25">
      <c r="A153" t="str">
        <f t="shared" si="2"/>
        <v>334Otologist, Laryngologist, Rhinologist</v>
      </c>
      <c r="B153">
        <v>2260</v>
      </c>
      <c r="C153" s="40" t="s">
        <v>2538</v>
      </c>
      <c r="D153" t="s">
        <v>1214</v>
      </c>
    </row>
    <row r="154" spans="1:4" x14ac:dyDescent="0.25">
      <c r="A154" t="str">
        <f t="shared" si="2"/>
        <v>334Pediatric Surgeon</v>
      </c>
      <c r="B154">
        <v>2094</v>
      </c>
      <c r="C154" s="40" t="s">
        <v>2538</v>
      </c>
      <c r="D154" t="s">
        <v>1051</v>
      </c>
    </row>
    <row r="155" spans="1:4" x14ac:dyDescent="0.25">
      <c r="A155" t="str">
        <f t="shared" si="2"/>
        <v>335Maternal Fetal Medicine</v>
      </c>
      <c r="B155">
        <v>2095</v>
      </c>
      <c r="C155" s="40" t="s">
        <v>2539</v>
      </c>
      <c r="D155" t="s">
        <v>1035</v>
      </c>
    </row>
    <row r="156" spans="1:4" x14ac:dyDescent="0.25">
      <c r="A156" t="str">
        <f t="shared" si="2"/>
        <v>336Physical Medicine and Rehabilitation Practitioner</v>
      </c>
      <c r="B156">
        <v>2096</v>
      </c>
      <c r="C156" s="40" t="s">
        <v>2540</v>
      </c>
      <c r="D156" t="s">
        <v>1303</v>
      </c>
    </row>
    <row r="157" spans="1:4" x14ac:dyDescent="0.25">
      <c r="A157" t="str">
        <f t="shared" si="2"/>
        <v>337Plastic Surgeon</v>
      </c>
      <c r="B157">
        <v>2097</v>
      </c>
      <c r="C157" s="40" t="s">
        <v>2541</v>
      </c>
      <c r="D157" t="s">
        <v>1221</v>
      </c>
    </row>
    <row r="158" spans="1:4" x14ac:dyDescent="0.25">
      <c r="A158" t="str">
        <f t="shared" si="2"/>
        <v>338Proctologist</v>
      </c>
      <c r="B158">
        <v>2098</v>
      </c>
      <c r="C158" s="40" t="s">
        <v>2542</v>
      </c>
      <c r="D158" t="s">
        <v>1407</v>
      </c>
    </row>
    <row r="159" spans="1:4" x14ac:dyDescent="0.25">
      <c r="A159" t="str">
        <f t="shared" si="2"/>
        <v>339Psychiatrist</v>
      </c>
      <c r="B159">
        <v>2099</v>
      </c>
      <c r="C159" s="40" t="s">
        <v>2543</v>
      </c>
      <c r="D159" t="s">
        <v>1338</v>
      </c>
    </row>
    <row r="160" spans="1:4" x14ac:dyDescent="0.25">
      <c r="A160" t="str">
        <f t="shared" si="2"/>
        <v>340Pulmonary Disease Specialist</v>
      </c>
      <c r="B160">
        <v>2100</v>
      </c>
      <c r="C160" s="40" t="s">
        <v>2544</v>
      </c>
      <c r="D160" t="s">
        <v>1158</v>
      </c>
    </row>
    <row r="161" spans="1:4" x14ac:dyDescent="0.25">
      <c r="A161" t="str">
        <f t="shared" si="2"/>
        <v>341Radiologist</v>
      </c>
      <c r="B161">
        <v>2101</v>
      </c>
      <c r="C161" s="40" t="s">
        <v>2545</v>
      </c>
      <c r="D161" t="s">
        <v>960</v>
      </c>
    </row>
    <row r="162" spans="1:4" x14ac:dyDescent="0.25">
      <c r="A162" t="str">
        <f t="shared" si="2"/>
        <v>342Thoracic Surgeon</v>
      </c>
      <c r="B162">
        <v>2102</v>
      </c>
      <c r="C162" s="40" t="s">
        <v>2546</v>
      </c>
      <c r="D162" t="s">
        <v>1412</v>
      </c>
    </row>
    <row r="163" spans="1:4" x14ac:dyDescent="0.25">
      <c r="A163" t="str">
        <f t="shared" si="2"/>
        <v>343Urologist</v>
      </c>
      <c r="B163">
        <v>2103</v>
      </c>
      <c r="C163" s="40" t="s">
        <v>2547</v>
      </c>
      <c r="D163" t="s">
        <v>1402</v>
      </c>
    </row>
    <row r="164" spans="1:4" x14ac:dyDescent="0.25">
      <c r="A164" t="str">
        <f t="shared" si="2"/>
        <v>344General Internist</v>
      </c>
      <c r="B164">
        <v>2104</v>
      </c>
      <c r="C164" s="40" t="s">
        <v>2548</v>
      </c>
      <c r="D164" t="s">
        <v>1004</v>
      </c>
    </row>
    <row r="165" spans="1:4" x14ac:dyDescent="0.25">
      <c r="A165" t="str">
        <f t="shared" si="2"/>
        <v>345General Pediatrician</v>
      </c>
      <c r="B165">
        <v>2105</v>
      </c>
      <c r="C165" s="40" t="s">
        <v>2549</v>
      </c>
      <c r="D165" t="s">
        <v>1260</v>
      </c>
    </row>
    <row r="166" spans="1:4" x14ac:dyDescent="0.25">
      <c r="A166" t="str">
        <f t="shared" si="2"/>
        <v>347Radiation Therapist</v>
      </c>
      <c r="B166">
        <v>2106</v>
      </c>
      <c r="C166" s="40" t="s">
        <v>2550</v>
      </c>
      <c r="D166" t="s">
        <v>1382</v>
      </c>
    </row>
    <row r="167" spans="1:4" x14ac:dyDescent="0.25">
      <c r="A167" t="str">
        <f t="shared" si="2"/>
        <v>348Osteopathic Manipulative Medicine</v>
      </c>
      <c r="B167">
        <v>2107</v>
      </c>
      <c r="C167" s="40" t="s">
        <v>2551</v>
      </c>
      <c r="D167" t="s">
        <v>1063</v>
      </c>
    </row>
    <row r="168" spans="1:4" x14ac:dyDescent="0.25">
      <c r="A168" t="str">
        <f t="shared" si="2"/>
        <v>349Pediatric Oncology</v>
      </c>
      <c r="B168">
        <v>2108</v>
      </c>
      <c r="C168" s="40" t="s">
        <v>2552</v>
      </c>
      <c r="D168" t="s">
        <v>1044</v>
      </c>
    </row>
    <row r="169" spans="1:4" x14ac:dyDescent="0.25">
      <c r="A169" t="str">
        <f t="shared" si="2"/>
        <v>349Osteopathic Manipulative Medicine</v>
      </c>
      <c r="B169">
        <v>2261</v>
      </c>
      <c r="C169" s="40" t="s">
        <v>2552</v>
      </c>
      <c r="D169" t="s">
        <v>1063</v>
      </c>
    </row>
    <row r="170" spans="1:4" x14ac:dyDescent="0.25">
      <c r="A170" t="str">
        <f t="shared" si="2"/>
        <v>350Osteopathic Manipulative Medicine</v>
      </c>
      <c r="B170">
        <v>2262</v>
      </c>
      <c r="C170" s="40" t="s">
        <v>2553</v>
      </c>
      <c r="D170" t="s">
        <v>1063</v>
      </c>
    </row>
    <row r="171" spans="1:4" x14ac:dyDescent="0.25">
      <c r="A171" t="str">
        <f t="shared" si="2"/>
        <v>350Rheumatologist</v>
      </c>
      <c r="B171">
        <v>2109</v>
      </c>
      <c r="C171" s="40" t="s">
        <v>2553</v>
      </c>
      <c r="D171" t="s">
        <v>1015</v>
      </c>
    </row>
    <row r="172" spans="1:4" x14ac:dyDescent="0.25">
      <c r="A172" t="str">
        <f t="shared" si="2"/>
        <v>351Radiation Oncology</v>
      </c>
      <c r="B172">
        <v>170</v>
      </c>
      <c r="C172" s="40" t="s">
        <v>2554</v>
      </c>
      <c r="D172" t="s">
        <v>1377</v>
      </c>
    </row>
    <row r="173" spans="1:4" x14ac:dyDescent="0.25">
      <c r="A173" t="str">
        <f t="shared" si="2"/>
        <v>351Radiation Oncology</v>
      </c>
      <c r="B173">
        <v>380</v>
      </c>
      <c r="C173" s="40" t="s">
        <v>2554</v>
      </c>
      <c r="D173" t="s">
        <v>1377</v>
      </c>
    </row>
    <row r="174" spans="1:4" x14ac:dyDescent="0.25">
      <c r="A174" t="str">
        <f t="shared" si="2"/>
        <v>352Surgical Oncology</v>
      </c>
      <c r="B174">
        <v>2110</v>
      </c>
      <c r="C174" s="40" t="s">
        <v>2555</v>
      </c>
      <c r="D174" t="s">
        <v>1054</v>
      </c>
    </row>
    <row r="175" spans="1:4" x14ac:dyDescent="0.25">
      <c r="A175" t="str">
        <f t="shared" si="2"/>
        <v>353Gynecologist</v>
      </c>
      <c r="B175">
        <v>2111</v>
      </c>
      <c r="C175" s="40" t="s">
        <v>2556</v>
      </c>
      <c r="D175" t="s">
        <v>1185</v>
      </c>
    </row>
    <row r="176" spans="1:4" x14ac:dyDescent="0.25">
      <c r="A176" t="str">
        <f t="shared" si="2"/>
        <v>354Obstetrician</v>
      </c>
      <c r="B176">
        <v>2112</v>
      </c>
      <c r="C176" s="40" t="s">
        <v>2557</v>
      </c>
      <c r="D176" t="s">
        <v>1189</v>
      </c>
    </row>
    <row r="177" spans="1:4" x14ac:dyDescent="0.25">
      <c r="A177" t="str">
        <f t="shared" si="2"/>
        <v>355Pathology - Clinical</v>
      </c>
      <c r="B177">
        <v>2113</v>
      </c>
      <c r="C177" s="40" t="s">
        <v>2558</v>
      </c>
      <c r="D177" t="s">
        <v>1234</v>
      </c>
    </row>
    <row r="178" spans="1:4" x14ac:dyDescent="0.25">
      <c r="A178" t="str">
        <f t="shared" si="2"/>
        <v>356Addiction Medicine</v>
      </c>
      <c r="B178">
        <v>235</v>
      </c>
      <c r="C178" s="40" t="s">
        <v>2559</v>
      </c>
      <c r="D178" t="s">
        <v>992</v>
      </c>
    </row>
    <row r="179" spans="1:4" x14ac:dyDescent="0.25">
      <c r="A179" t="str">
        <f t="shared" si="2"/>
        <v>356Addiction Medicine</v>
      </c>
      <c r="B179">
        <v>22</v>
      </c>
      <c r="C179" s="40" t="s">
        <v>2559</v>
      </c>
      <c r="D179" t="s">
        <v>992</v>
      </c>
    </row>
    <row r="180" spans="1:4" x14ac:dyDescent="0.25">
      <c r="A180" t="str">
        <f t="shared" si="2"/>
        <v>357Genetics</v>
      </c>
      <c r="B180">
        <v>2114</v>
      </c>
      <c r="C180" s="40" t="s">
        <v>2560</v>
      </c>
      <c r="D180" t="s">
        <v>536</v>
      </c>
    </row>
    <row r="181" spans="1:4" x14ac:dyDescent="0.25">
      <c r="A181" t="str">
        <f t="shared" si="2"/>
        <v>358Hematology</v>
      </c>
      <c r="B181">
        <v>77</v>
      </c>
      <c r="C181" s="40" t="s">
        <v>2561</v>
      </c>
      <c r="D181" t="s">
        <v>1005</v>
      </c>
    </row>
    <row r="182" spans="1:4" x14ac:dyDescent="0.25">
      <c r="A182" t="str">
        <f t="shared" si="2"/>
        <v>358Hematology</v>
      </c>
      <c r="B182">
        <v>287</v>
      </c>
      <c r="C182" s="40" t="s">
        <v>2561</v>
      </c>
      <c r="D182" t="s">
        <v>1005</v>
      </c>
    </row>
    <row r="183" spans="1:4" x14ac:dyDescent="0.25">
      <c r="A183" t="str">
        <f t="shared" si="2"/>
        <v>359Infectious Diseases</v>
      </c>
      <c r="B183">
        <v>299</v>
      </c>
      <c r="C183" s="40" t="s">
        <v>2562</v>
      </c>
      <c r="D183" t="s">
        <v>1012</v>
      </c>
    </row>
    <row r="184" spans="1:4" x14ac:dyDescent="0.25">
      <c r="A184" t="str">
        <f t="shared" si="2"/>
        <v>359Infectious Diseases</v>
      </c>
      <c r="B184">
        <v>89</v>
      </c>
      <c r="C184" s="40" t="s">
        <v>2562</v>
      </c>
      <c r="D184" t="s">
        <v>1012</v>
      </c>
    </row>
    <row r="185" spans="1:4" x14ac:dyDescent="0.25">
      <c r="A185" t="str">
        <f t="shared" si="2"/>
        <v>360Personal Care - Individual</v>
      </c>
      <c r="B185">
        <v>2263</v>
      </c>
      <c r="C185" s="40" t="s">
        <v>2619</v>
      </c>
      <c r="D185" t="s">
        <v>1452</v>
      </c>
    </row>
    <row r="186" spans="1:4" x14ac:dyDescent="0.25">
      <c r="A186" t="str">
        <f t="shared" si="2"/>
        <v>361Personal Care - Agency</v>
      </c>
      <c r="B186">
        <v>2264</v>
      </c>
      <c r="C186" s="40" t="s">
        <v>2620</v>
      </c>
      <c r="D186" t="s">
        <v>1449</v>
      </c>
    </row>
    <row r="187" spans="1:4" x14ac:dyDescent="0.25">
      <c r="A187" t="str">
        <f t="shared" si="2"/>
        <v>365Oncologist</v>
      </c>
      <c r="B187">
        <v>2115</v>
      </c>
      <c r="C187" s="40" t="s">
        <v>2563</v>
      </c>
      <c r="D187" t="s">
        <v>1018</v>
      </c>
    </row>
    <row r="188" spans="1:4" x14ac:dyDescent="0.25">
      <c r="A188" t="str">
        <f t="shared" si="2"/>
        <v>366Allergist - Pediatric</v>
      </c>
      <c r="B188">
        <v>2116</v>
      </c>
      <c r="C188" s="40" t="s">
        <v>2564</v>
      </c>
      <c r="D188" t="s">
        <v>1074</v>
      </c>
    </row>
    <row r="189" spans="1:4" x14ac:dyDescent="0.25">
      <c r="A189" t="str">
        <f t="shared" si="2"/>
        <v>380Respite Care - Community Based</v>
      </c>
      <c r="B189">
        <v>2265</v>
      </c>
      <c r="C189" s="40" t="s">
        <v>2621</v>
      </c>
      <c r="D189" t="s">
        <v>1468</v>
      </c>
    </row>
    <row r="190" spans="1:4" x14ac:dyDescent="0.25">
      <c r="A190" t="str">
        <f t="shared" si="2"/>
        <v>381Respite Care - Home Based</v>
      </c>
      <c r="B190">
        <v>2266</v>
      </c>
      <c r="C190" s="40" t="s">
        <v>2622</v>
      </c>
      <c r="D190" t="s">
        <v>1469</v>
      </c>
    </row>
    <row r="191" spans="1:4" x14ac:dyDescent="0.25">
      <c r="A191" t="str">
        <f t="shared" si="2"/>
        <v>390Habilitation Training Specialist</v>
      </c>
      <c r="B191">
        <v>2267</v>
      </c>
      <c r="C191" s="40" t="s">
        <v>2623</v>
      </c>
      <c r="D191" t="s">
        <v>1475</v>
      </c>
    </row>
    <row r="192" spans="1:4" x14ac:dyDescent="0.25">
      <c r="A192" t="str">
        <f t="shared" si="2"/>
        <v>391Agency Companion</v>
      </c>
      <c r="B192">
        <v>2268</v>
      </c>
      <c r="C192" s="40" t="s">
        <v>2624</v>
      </c>
      <c r="D192" t="s">
        <v>1476</v>
      </c>
    </row>
    <row r="193" spans="1:4" x14ac:dyDescent="0.25">
      <c r="A193" t="str">
        <f t="shared" si="2"/>
        <v>392Daily Living Supports</v>
      </c>
      <c r="B193">
        <v>2269</v>
      </c>
      <c r="C193" s="40" t="s">
        <v>2625</v>
      </c>
      <c r="D193" t="s">
        <v>1474</v>
      </c>
    </row>
    <row r="194" spans="1:4" x14ac:dyDescent="0.25">
      <c r="A194" t="str">
        <f t="shared" si="2"/>
        <v>410Adult Day Care</v>
      </c>
      <c r="B194">
        <v>2270</v>
      </c>
      <c r="C194" s="40" t="s">
        <v>2626</v>
      </c>
      <c r="D194" t="s">
        <v>1485</v>
      </c>
    </row>
    <row r="195" spans="1:4" x14ac:dyDescent="0.25">
      <c r="A195" t="str">
        <f t="shared" ref="A195:A258" si="3">C195&amp;D195</f>
        <v>420Employee Training Specialist</v>
      </c>
      <c r="B195">
        <v>2271</v>
      </c>
      <c r="C195" s="40" t="s">
        <v>2627</v>
      </c>
      <c r="D195" t="s">
        <v>1488</v>
      </c>
    </row>
    <row r="196" spans="1:4" x14ac:dyDescent="0.25">
      <c r="A196" t="str">
        <f t="shared" si="3"/>
        <v>430Homemaker Services</v>
      </c>
      <c r="B196">
        <v>2272</v>
      </c>
      <c r="C196" s="40" t="s">
        <v>2628</v>
      </c>
      <c r="D196" t="s">
        <v>1491</v>
      </c>
    </row>
    <row r="197" spans="1:4" x14ac:dyDescent="0.25">
      <c r="A197" t="str">
        <f t="shared" si="3"/>
        <v>440Architectural Modification</v>
      </c>
      <c r="B197">
        <v>2273</v>
      </c>
      <c r="C197" s="40" t="s">
        <v>2629</v>
      </c>
      <c r="D197" t="s">
        <v>1494</v>
      </c>
    </row>
    <row r="198" spans="1:4" x14ac:dyDescent="0.25">
      <c r="A198" t="str">
        <f t="shared" si="3"/>
        <v>450RBMS Room and Board</v>
      </c>
      <c r="B198">
        <v>2274</v>
      </c>
      <c r="C198" s="40" t="s">
        <v>2630</v>
      </c>
      <c r="D198" t="s">
        <v>1503</v>
      </c>
    </row>
    <row r="199" spans="1:4" x14ac:dyDescent="0.25">
      <c r="A199" t="str">
        <f t="shared" si="3"/>
        <v>451RBMS Therapeutic Foster Care</v>
      </c>
      <c r="B199">
        <v>2275</v>
      </c>
      <c r="C199" s="40" t="s">
        <v>2631</v>
      </c>
      <c r="D199" t="s">
        <v>1502</v>
      </c>
    </row>
    <row r="200" spans="1:4" x14ac:dyDescent="0.25">
      <c r="A200" t="str">
        <f t="shared" si="3"/>
        <v>460Advantage Home Delivered Meal</v>
      </c>
      <c r="B200">
        <v>2276</v>
      </c>
      <c r="C200" s="40" t="s">
        <v>2632</v>
      </c>
      <c r="D200" t="s">
        <v>1507</v>
      </c>
    </row>
    <row r="201" spans="1:4" x14ac:dyDescent="0.25">
      <c r="A201" t="str">
        <f t="shared" si="3"/>
        <v>470Free Standing Birthing Center</v>
      </c>
      <c r="B201">
        <v>2277</v>
      </c>
      <c r="C201" s="40" t="s">
        <v>2633</v>
      </c>
      <c r="D201" t="s">
        <v>1512</v>
      </c>
    </row>
    <row r="202" spans="1:4" x14ac:dyDescent="0.25">
      <c r="A202" t="str">
        <f t="shared" si="3"/>
        <v>480DDSD-NFM</v>
      </c>
      <c r="B202">
        <v>2278</v>
      </c>
      <c r="C202" s="40" t="s">
        <v>2634</v>
      </c>
      <c r="D202" t="s">
        <v>1513</v>
      </c>
    </row>
    <row r="203" spans="1:4" x14ac:dyDescent="0.25">
      <c r="A203" t="str">
        <f t="shared" si="3"/>
        <v>493DDSD-Supportive Living Arrangements</v>
      </c>
      <c r="B203">
        <v>2279</v>
      </c>
      <c r="C203" s="40" t="s">
        <v>2635</v>
      </c>
      <c r="D203" t="s">
        <v>542</v>
      </c>
    </row>
    <row r="204" spans="1:4" x14ac:dyDescent="0.25">
      <c r="A204" t="str">
        <f t="shared" si="3"/>
        <v>495Anesthesiologist - Other</v>
      </c>
      <c r="B204">
        <v>2117</v>
      </c>
      <c r="C204" s="40" t="s">
        <v>2565</v>
      </c>
      <c r="D204" t="s">
        <v>931</v>
      </c>
    </row>
    <row r="205" spans="1:4" x14ac:dyDescent="0.25">
      <c r="A205" t="str">
        <f t="shared" si="3"/>
        <v>500State Agency</v>
      </c>
      <c r="B205">
        <v>2280</v>
      </c>
      <c r="C205" s="40" t="s">
        <v>2636</v>
      </c>
      <c r="D205" t="s">
        <v>1517</v>
      </c>
    </row>
    <row r="206" spans="1:4" x14ac:dyDescent="0.25">
      <c r="A206" t="str">
        <f t="shared" si="3"/>
        <v>501TPL Carrier</v>
      </c>
      <c r="B206">
        <v>2281</v>
      </c>
      <c r="C206" s="40" t="s">
        <v>2637</v>
      </c>
      <c r="D206" t="s">
        <v>1518</v>
      </c>
    </row>
    <row r="207" spans="1:4" x14ac:dyDescent="0.25">
      <c r="A207" t="str">
        <f t="shared" si="3"/>
        <v>502Insurance Carrier</v>
      </c>
      <c r="B207">
        <v>2282</v>
      </c>
      <c r="C207" s="40" t="s">
        <v>2638</v>
      </c>
      <c r="D207" t="s">
        <v>1519</v>
      </c>
    </row>
    <row r="208" spans="1:4" x14ac:dyDescent="0.25">
      <c r="A208" t="str">
        <f t="shared" si="3"/>
        <v>510HCBS - IID Waiver Facility</v>
      </c>
      <c r="B208">
        <v>2144</v>
      </c>
      <c r="C208" s="40" t="s">
        <v>2566</v>
      </c>
      <c r="D208" t="s">
        <v>2567</v>
      </c>
    </row>
    <row r="209" spans="1:4" x14ac:dyDescent="0.25">
      <c r="A209" t="str">
        <f t="shared" si="3"/>
        <v>511Health Educator</v>
      </c>
      <c r="B209">
        <v>2283</v>
      </c>
      <c r="C209" s="40" t="s">
        <v>2639</v>
      </c>
      <c r="D209" t="s">
        <v>1845</v>
      </c>
    </row>
    <row r="210" spans="1:4" x14ac:dyDescent="0.25">
      <c r="A210" t="str">
        <f t="shared" si="3"/>
        <v>520Clinical Pharmacology</v>
      </c>
      <c r="B210">
        <v>518</v>
      </c>
      <c r="C210" s="40" t="s">
        <v>2568</v>
      </c>
      <c r="D210" t="s">
        <v>1435</v>
      </c>
    </row>
    <row r="211" spans="1:4" x14ac:dyDescent="0.25">
      <c r="A211" t="str">
        <f t="shared" si="3"/>
        <v>520Clinical Pharmacology</v>
      </c>
      <c r="B211">
        <v>519</v>
      </c>
      <c r="C211" s="40" t="s">
        <v>2568</v>
      </c>
      <c r="D211" t="s">
        <v>1435</v>
      </c>
    </row>
    <row r="212" spans="1:4" x14ac:dyDescent="0.25">
      <c r="A212" t="str">
        <f t="shared" si="3"/>
        <v>530Legal Medicine</v>
      </c>
      <c r="B212">
        <v>622</v>
      </c>
      <c r="C212" s="40" t="s">
        <v>2569</v>
      </c>
      <c r="D212" t="s">
        <v>1421</v>
      </c>
    </row>
    <row r="213" spans="1:4" x14ac:dyDescent="0.25">
      <c r="A213" t="str">
        <f t="shared" si="3"/>
        <v>530Legal Medicine</v>
      </c>
      <c r="B213">
        <v>623</v>
      </c>
      <c r="C213" s="40" t="s">
        <v>2569</v>
      </c>
      <c r="D213" t="s">
        <v>1421</v>
      </c>
    </row>
    <row r="214" spans="1:4" x14ac:dyDescent="0.25">
      <c r="A214" t="str">
        <f t="shared" si="3"/>
        <v>540Phlebology</v>
      </c>
      <c r="B214">
        <v>1980</v>
      </c>
      <c r="C214" s="40" t="s">
        <v>2570</v>
      </c>
      <c r="D214" t="s">
        <v>1424</v>
      </c>
    </row>
    <row r="215" spans="1:4" x14ac:dyDescent="0.25">
      <c r="A215" t="str">
        <f t="shared" si="3"/>
        <v>540Phlebology</v>
      </c>
      <c r="B215">
        <v>1981</v>
      </c>
      <c r="C215" s="40" t="s">
        <v>2570</v>
      </c>
      <c r="D215" t="s">
        <v>1424</v>
      </c>
    </row>
    <row r="216" spans="1:4" x14ac:dyDescent="0.25">
      <c r="A216" t="str">
        <f t="shared" si="3"/>
        <v>550Dental Assistant</v>
      </c>
      <c r="B216">
        <v>2284</v>
      </c>
      <c r="C216" s="40" t="s">
        <v>2640</v>
      </c>
      <c r="D216" t="s">
        <v>1633</v>
      </c>
    </row>
    <row r="217" spans="1:4" x14ac:dyDescent="0.25">
      <c r="A217" t="str">
        <f t="shared" si="3"/>
        <v>551Dental Hygienist</v>
      </c>
      <c r="B217">
        <v>2285</v>
      </c>
      <c r="C217" s="40" t="s">
        <v>2641</v>
      </c>
      <c r="D217" t="s">
        <v>1645</v>
      </c>
    </row>
    <row r="218" spans="1:4" x14ac:dyDescent="0.25">
      <c r="A218" t="str">
        <f t="shared" si="3"/>
        <v>552Dental Laboratory Techinician</v>
      </c>
      <c r="B218">
        <v>2286</v>
      </c>
      <c r="C218" s="40" t="s">
        <v>2642</v>
      </c>
      <c r="D218" t="s">
        <v>1531</v>
      </c>
    </row>
    <row r="219" spans="1:4" x14ac:dyDescent="0.25">
      <c r="A219" t="str">
        <f t="shared" si="3"/>
        <v>560Emergency Medical Technician, Basic</v>
      </c>
      <c r="B219">
        <v>2287</v>
      </c>
      <c r="C219" s="40" t="s">
        <v>2643</v>
      </c>
      <c r="D219" t="s">
        <v>1540</v>
      </c>
    </row>
    <row r="220" spans="1:4" x14ac:dyDescent="0.25">
      <c r="A220" t="str">
        <f t="shared" si="3"/>
        <v>561Emergency Medical Technician, Intermediate</v>
      </c>
      <c r="B220">
        <v>2288</v>
      </c>
      <c r="C220" s="40" t="s">
        <v>2644</v>
      </c>
      <c r="D220" t="s">
        <v>1537</v>
      </c>
    </row>
    <row r="221" spans="1:4" x14ac:dyDescent="0.25">
      <c r="A221" t="str">
        <f t="shared" si="3"/>
        <v>562Emergency Medical Technician, Paramedic</v>
      </c>
      <c r="B221">
        <v>2289</v>
      </c>
      <c r="C221" s="40" t="s">
        <v>2645</v>
      </c>
      <c r="D221" t="s">
        <v>1534</v>
      </c>
    </row>
    <row r="222" spans="1:4" x14ac:dyDescent="0.25">
      <c r="A222" t="str">
        <f t="shared" si="3"/>
        <v>570Licensed Psychiatric Techinician</v>
      </c>
      <c r="B222">
        <v>2290</v>
      </c>
      <c r="C222" s="40" t="s">
        <v>2646</v>
      </c>
      <c r="D222" t="s">
        <v>1543</v>
      </c>
    </row>
    <row r="223" spans="1:4" x14ac:dyDescent="0.25">
      <c r="A223" t="str">
        <f t="shared" si="3"/>
        <v>580Nurse Technician</v>
      </c>
      <c r="B223">
        <v>2291</v>
      </c>
      <c r="C223" s="40" t="s">
        <v>2647</v>
      </c>
      <c r="D223" t="s">
        <v>1590</v>
      </c>
    </row>
    <row r="224" spans="1:4" x14ac:dyDescent="0.25">
      <c r="A224" t="str">
        <f t="shared" si="3"/>
        <v>581Nursing Home Administrator</v>
      </c>
      <c r="B224">
        <v>2292</v>
      </c>
      <c r="C224" s="40" t="s">
        <v>2648</v>
      </c>
      <c r="D224" t="s">
        <v>1649</v>
      </c>
    </row>
    <row r="225" spans="1:4" x14ac:dyDescent="0.25">
      <c r="A225" t="str">
        <f t="shared" si="3"/>
        <v>590Homeopath</v>
      </c>
      <c r="B225">
        <v>2293</v>
      </c>
      <c r="C225" s="40" t="s">
        <v>2649</v>
      </c>
      <c r="D225" t="s">
        <v>1652</v>
      </c>
    </row>
    <row r="226" spans="1:4" x14ac:dyDescent="0.25">
      <c r="A226" t="str">
        <f t="shared" si="3"/>
        <v>591Interpreter</v>
      </c>
      <c r="B226">
        <v>2294</v>
      </c>
      <c r="C226" s="40" t="s">
        <v>2650</v>
      </c>
      <c r="D226" t="s">
        <v>1655</v>
      </c>
    </row>
    <row r="227" spans="1:4" x14ac:dyDescent="0.25">
      <c r="A227" t="str">
        <f t="shared" si="3"/>
        <v>592Non-certified Midwife</v>
      </c>
      <c r="B227">
        <v>2295</v>
      </c>
      <c r="C227" s="40" t="s">
        <v>2651</v>
      </c>
      <c r="D227" t="s">
        <v>1662</v>
      </c>
    </row>
    <row r="228" spans="1:4" x14ac:dyDescent="0.25">
      <c r="A228" t="str">
        <f t="shared" si="3"/>
        <v>593Military Health Care Provider</v>
      </c>
      <c r="B228">
        <v>2296</v>
      </c>
      <c r="C228" s="40" t="s">
        <v>2652</v>
      </c>
      <c r="D228" t="s">
        <v>1665</v>
      </c>
    </row>
    <row r="229" spans="1:4" x14ac:dyDescent="0.25">
      <c r="A229" t="str">
        <f t="shared" si="3"/>
        <v>594Independent Duty Corpsman</v>
      </c>
      <c r="B229">
        <v>2297</v>
      </c>
      <c r="C229" s="40" t="s">
        <v>2653</v>
      </c>
      <c r="D229" t="s">
        <v>2654</v>
      </c>
    </row>
    <row r="230" spans="1:4" x14ac:dyDescent="0.25">
      <c r="A230" t="str">
        <f t="shared" si="3"/>
        <v>595Independent Duty Medical Technicians</v>
      </c>
      <c r="B230">
        <v>2298</v>
      </c>
      <c r="C230" s="40" t="s">
        <v>2655</v>
      </c>
      <c r="D230" t="s">
        <v>2656</v>
      </c>
    </row>
    <row r="231" spans="1:4" x14ac:dyDescent="0.25">
      <c r="A231" t="str">
        <f t="shared" si="3"/>
        <v>596Naprapath</v>
      </c>
      <c r="B231">
        <v>2299</v>
      </c>
      <c r="C231" s="40" t="s">
        <v>2657</v>
      </c>
      <c r="D231" t="s">
        <v>1676</v>
      </c>
    </row>
    <row r="232" spans="1:4" x14ac:dyDescent="0.25">
      <c r="A232" t="str">
        <f t="shared" si="3"/>
        <v>597Naturopath</v>
      </c>
      <c r="B232">
        <v>2300</v>
      </c>
      <c r="C232" s="40" t="s">
        <v>2658</v>
      </c>
      <c r="D232" t="s">
        <v>1679</v>
      </c>
    </row>
    <row r="233" spans="1:4" x14ac:dyDescent="0.25">
      <c r="A233" t="str">
        <f t="shared" si="3"/>
        <v>598Graphic Designer</v>
      </c>
      <c r="B233">
        <v>2301</v>
      </c>
      <c r="C233" s="40" t="s">
        <v>2659</v>
      </c>
      <c r="D233" t="s">
        <v>1685</v>
      </c>
    </row>
    <row r="234" spans="1:4" x14ac:dyDescent="0.25">
      <c r="A234" t="str">
        <f t="shared" si="3"/>
        <v>599Prosthetics Case Manager</v>
      </c>
      <c r="B234">
        <v>2302</v>
      </c>
      <c r="C234" s="40" t="s">
        <v>2660</v>
      </c>
      <c r="D234" t="s">
        <v>1688</v>
      </c>
    </row>
    <row r="235" spans="1:4" x14ac:dyDescent="0.25">
      <c r="A235" t="str">
        <f t="shared" si="3"/>
        <v>600Research Data Abstractor/Coder</v>
      </c>
      <c r="B235">
        <v>2303</v>
      </c>
      <c r="C235" s="40" t="s">
        <v>2661</v>
      </c>
      <c r="D235" t="s">
        <v>1694</v>
      </c>
    </row>
    <row r="236" spans="1:4" x14ac:dyDescent="0.25">
      <c r="A236" t="str">
        <f t="shared" si="3"/>
        <v>601Research Study</v>
      </c>
      <c r="B236">
        <v>2304</v>
      </c>
      <c r="C236" s="40" t="s">
        <v>2662</v>
      </c>
      <c r="D236" t="s">
        <v>1691</v>
      </c>
    </row>
    <row r="237" spans="1:4" x14ac:dyDescent="0.25">
      <c r="A237" t="str">
        <f t="shared" si="3"/>
        <v>610Art Therapist</v>
      </c>
      <c r="B237">
        <v>2305</v>
      </c>
      <c r="C237" s="40" t="s">
        <v>2663</v>
      </c>
      <c r="D237" t="s">
        <v>1792</v>
      </c>
    </row>
    <row r="238" spans="1:4" x14ac:dyDescent="0.25">
      <c r="A238" t="str">
        <f t="shared" si="3"/>
        <v>611Dance Therapist</v>
      </c>
      <c r="B238">
        <v>2306</v>
      </c>
      <c r="C238" s="40" t="s">
        <v>2664</v>
      </c>
      <c r="D238" t="s">
        <v>1798</v>
      </c>
    </row>
    <row r="239" spans="1:4" x14ac:dyDescent="0.25">
      <c r="A239" t="str">
        <f t="shared" si="3"/>
        <v>612Developmental Therapist</v>
      </c>
      <c r="B239">
        <v>2307</v>
      </c>
      <c r="C239" s="40" t="s">
        <v>2665</v>
      </c>
      <c r="D239" t="s">
        <v>1795</v>
      </c>
    </row>
    <row r="240" spans="1:4" x14ac:dyDescent="0.25">
      <c r="A240" t="str">
        <f t="shared" si="3"/>
        <v>613Kinesiotherapist</v>
      </c>
      <c r="B240">
        <v>2308</v>
      </c>
      <c r="C240" s="40" t="s">
        <v>2666</v>
      </c>
      <c r="D240" t="s">
        <v>2667</v>
      </c>
    </row>
    <row r="241" spans="1:4" x14ac:dyDescent="0.25">
      <c r="A241" t="str">
        <f t="shared" si="3"/>
        <v>614Massage Therapist</v>
      </c>
      <c r="B241">
        <v>2309</v>
      </c>
      <c r="C241" s="40" t="s">
        <v>2668</v>
      </c>
      <c r="D241" t="s">
        <v>2669</v>
      </c>
    </row>
    <row r="242" spans="1:4" x14ac:dyDescent="0.25">
      <c r="A242" t="str">
        <f t="shared" si="3"/>
        <v>615Music Therapist</v>
      </c>
      <c r="B242">
        <v>2310</v>
      </c>
      <c r="C242" s="40" t="s">
        <v>2670</v>
      </c>
      <c r="D242" t="s">
        <v>2671</v>
      </c>
    </row>
    <row r="243" spans="1:4" x14ac:dyDescent="0.25">
      <c r="A243" t="str">
        <f t="shared" si="3"/>
        <v>616Recreation Therapist</v>
      </c>
      <c r="B243">
        <v>2311</v>
      </c>
      <c r="C243" s="40" t="s">
        <v>2672</v>
      </c>
      <c r="D243" t="s">
        <v>1803</v>
      </c>
    </row>
    <row r="244" spans="1:4" x14ac:dyDescent="0.25">
      <c r="A244" t="str">
        <f t="shared" si="3"/>
        <v>617Poetry Therapist</v>
      </c>
      <c r="B244">
        <v>2312</v>
      </c>
      <c r="C244" s="40" t="s">
        <v>2673</v>
      </c>
      <c r="D244" t="s">
        <v>458</v>
      </c>
    </row>
    <row r="245" spans="1:4" x14ac:dyDescent="0.25">
      <c r="A245" t="str">
        <f t="shared" si="3"/>
        <v>620Rehabilitation Counselor</v>
      </c>
      <c r="B245">
        <v>2313</v>
      </c>
      <c r="C245" s="40" t="s">
        <v>2674</v>
      </c>
      <c r="D245" t="s">
        <v>2675</v>
      </c>
    </row>
    <row r="246" spans="1:4" x14ac:dyDescent="0.25">
      <c r="A246" t="str">
        <f t="shared" si="3"/>
        <v>621Assistive Technology Supplier</v>
      </c>
      <c r="B246">
        <v>2314</v>
      </c>
      <c r="C246" s="40" t="s">
        <v>2676</v>
      </c>
      <c r="D246" t="s">
        <v>823</v>
      </c>
    </row>
    <row r="247" spans="1:4" x14ac:dyDescent="0.25">
      <c r="A247" t="str">
        <f t="shared" si="3"/>
        <v>622Orientation and Mobility Training Provider</v>
      </c>
      <c r="B247">
        <v>2315</v>
      </c>
      <c r="C247" s="40" t="s">
        <v>2677</v>
      </c>
      <c r="D247" t="s">
        <v>2678</v>
      </c>
    </row>
    <row r="248" spans="1:4" x14ac:dyDescent="0.25">
      <c r="A248" t="str">
        <f t="shared" si="3"/>
        <v>623Athletic Trainer</v>
      </c>
      <c r="B248">
        <v>2316</v>
      </c>
      <c r="C248" s="40" t="s">
        <v>2679</v>
      </c>
      <c r="D248" t="s">
        <v>1698</v>
      </c>
    </row>
    <row r="249" spans="1:4" x14ac:dyDescent="0.25">
      <c r="A249" t="str">
        <f t="shared" si="3"/>
        <v>624Rehabilitation, Blind</v>
      </c>
      <c r="B249">
        <v>2317</v>
      </c>
      <c r="C249" s="40" t="s">
        <v>2680</v>
      </c>
      <c r="D249" t="s">
        <v>1701</v>
      </c>
    </row>
    <row r="250" spans="1:4" x14ac:dyDescent="0.25">
      <c r="A250" t="str">
        <f t="shared" si="3"/>
        <v>625Audiologist-Hearing Aid Fitter</v>
      </c>
      <c r="B250">
        <v>2318</v>
      </c>
      <c r="C250" s="40" t="s">
        <v>2681</v>
      </c>
      <c r="D250" t="s">
        <v>2682</v>
      </c>
    </row>
    <row r="251" spans="1:4" x14ac:dyDescent="0.25">
      <c r="A251" t="str">
        <f t="shared" si="3"/>
        <v>626Hearing Instrument Specialist</v>
      </c>
      <c r="B251">
        <v>2319</v>
      </c>
      <c r="C251" s="40" t="s">
        <v>2683</v>
      </c>
      <c r="D251" t="s">
        <v>2684</v>
      </c>
    </row>
    <row r="252" spans="1:4" x14ac:dyDescent="0.25">
      <c r="A252" t="str">
        <f t="shared" si="3"/>
        <v>627Audiology Assistant</v>
      </c>
      <c r="B252">
        <v>2320</v>
      </c>
      <c r="C252" s="40" t="s">
        <v>2685</v>
      </c>
      <c r="D252" t="s">
        <v>1637</v>
      </c>
    </row>
    <row r="253" spans="1:4" x14ac:dyDescent="0.25">
      <c r="A253" t="str">
        <f t="shared" si="3"/>
        <v>628Speech-Language Assistant</v>
      </c>
      <c r="B253">
        <v>2321</v>
      </c>
      <c r="C253" s="40" t="s">
        <v>2686</v>
      </c>
      <c r="D253" t="s">
        <v>2687</v>
      </c>
    </row>
    <row r="254" spans="1:4" x14ac:dyDescent="0.25">
      <c r="A254" t="str">
        <f t="shared" si="3"/>
        <v>629Student in an Organized Health Care Education/Training Program</v>
      </c>
      <c r="B254">
        <v>2322</v>
      </c>
      <c r="C254" s="40" t="s">
        <v>2688</v>
      </c>
      <c r="D254" t="s">
        <v>2689</v>
      </c>
    </row>
    <row r="255" spans="1:4" x14ac:dyDescent="0.25">
      <c r="A255" t="str">
        <f t="shared" si="3"/>
        <v>630Perfusionist</v>
      </c>
      <c r="B255">
        <v>2323</v>
      </c>
      <c r="C255" s="40" t="s">
        <v>2690</v>
      </c>
      <c r="D255" t="s">
        <v>1598</v>
      </c>
    </row>
    <row r="256" spans="1:4" x14ac:dyDescent="0.25">
      <c r="A256" t="str">
        <f t="shared" si="3"/>
        <v>631Radiologic Technologist</v>
      </c>
      <c r="B256">
        <v>2324</v>
      </c>
      <c r="C256" s="40" t="s">
        <v>2691</v>
      </c>
      <c r="D256" t="s">
        <v>2692</v>
      </c>
    </row>
    <row r="257" spans="1:4" x14ac:dyDescent="0.25">
      <c r="A257" t="str">
        <f t="shared" si="3"/>
        <v>632Bone Densitometry</v>
      </c>
      <c r="B257">
        <v>2325</v>
      </c>
      <c r="C257" s="40" t="s">
        <v>2693</v>
      </c>
      <c r="D257" t="s">
        <v>2694</v>
      </c>
    </row>
    <row r="258" spans="1:4" x14ac:dyDescent="0.25">
      <c r="A258" t="str">
        <f t="shared" si="3"/>
        <v>633Cardiac/Cardiovascular-Interventional Technology</v>
      </c>
      <c r="B258">
        <v>2326</v>
      </c>
      <c r="C258" s="40" t="s">
        <v>2695</v>
      </c>
      <c r="D258" t="s">
        <v>2696</v>
      </c>
    </row>
    <row r="259" spans="1:4" x14ac:dyDescent="0.25">
      <c r="A259" t="str">
        <f t="shared" ref="A259:A279" si="4">C259&amp;D259</f>
        <v>634Computed Tomography</v>
      </c>
      <c r="B259">
        <v>2327</v>
      </c>
      <c r="C259" s="40" t="s">
        <v>2697</v>
      </c>
      <c r="D259" t="s">
        <v>2698</v>
      </c>
    </row>
    <row r="260" spans="1:4" x14ac:dyDescent="0.25">
      <c r="A260" t="str">
        <f t="shared" si="4"/>
        <v>635Magnetic Resonance Imaging</v>
      </c>
      <c r="B260">
        <v>2328</v>
      </c>
      <c r="C260" s="40" t="s">
        <v>2699</v>
      </c>
      <c r="D260" t="s">
        <v>2700</v>
      </c>
    </row>
    <row r="261" spans="1:4" x14ac:dyDescent="0.25">
      <c r="A261" t="str">
        <f t="shared" si="4"/>
        <v>636Nuclear Medicine Technology</v>
      </c>
      <c r="B261">
        <v>2329</v>
      </c>
      <c r="C261" s="40" t="s">
        <v>2701</v>
      </c>
      <c r="D261" t="s">
        <v>2702</v>
      </c>
    </row>
    <row r="262" spans="1:4" x14ac:dyDescent="0.25">
      <c r="A262" t="str">
        <f t="shared" si="4"/>
        <v>637Quality Management</v>
      </c>
      <c r="B262">
        <v>2330</v>
      </c>
      <c r="C262" s="40" t="s">
        <v>2703</v>
      </c>
      <c r="D262" t="s">
        <v>2704</v>
      </c>
    </row>
    <row r="263" spans="1:4" x14ac:dyDescent="0.25">
      <c r="A263" t="str">
        <f t="shared" si="4"/>
        <v>638Radiography</v>
      </c>
      <c r="B263">
        <v>2331</v>
      </c>
      <c r="C263" s="40" t="s">
        <v>2705</v>
      </c>
      <c r="D263" t="s">
        <v>2706</v>
      </c>
    </row>
    <row r="264" spans="1:4" x14ac:dyDescent="0.25">
      <c r="A264" t="str">
        <f t="shared" si="4"/>
        <v>639Sonography / Vascular</v>
      </c>
      <c r="B264">
        <v>2332</v>
      </c>
      <c r="C264" s="40" t="s">
        <v>2707</v>
      </c>
      <c r="D264" t="s">
        <v>1625</v>
      </c>
    </row>
    <row r="265" spans="1:4" x14ac:dyDescent="0.25">
      <c r="A265" t="str">
        <f t="shared" si="4"/>
        <v>640Vascular-Interventional Technology</v>
      </c>
      <c r="B265">
        <v>2333</v>
      </c>
      <c r="C265" s="40" t="s">
        <v>2708</v>
      </c>
      <c r="D265" t="s">
        <v>2709</v>
      </c>
    </row>
    <row r="266" spans="1:4" x14ac:dyDescent="0.25">
      <c r="A266" t="str">
        <f t="shared" si="4"/>
        <v>641Specialist/Technologist, Health Information / Coding Specialist</v>
      </c>
      <c r="B266">
        <v>2334</v>
      </c>
      <c r="C266" s="40" t="s">
        <v>2710</v>
      </c>
      <c r="D266" t="s">
        <v>1570</v>
      </c>
    </row>
    <row r="267" spans="1:4" x14ac:dyDescent="0.25">
      <c r="A267" t="str">
        <f t="shared" si="4"/>
        <v>642Registered Record Administrator</v>
      </c>
      <c r="B267">
        <v>2335</v>
      </c>
      <c r="C267" s="40" t="s">
        <v>2711</v>
      </c>
      <c r="D267" t="s">
        <v>2712</v>
      </c>
    </row>
    <row r="268" spans="1:4" x14ac:dyDescent="0.25">
      <c r="A268" t="str">
        <f t="shared" si="4"/>
        <v>643Pathology</v>
      </c>
      <c r="B268">
        <v>2336</v>
      </c>
      <c r="C268" s="40" t="s">
        <v>2713</v>
      </c>
      <c r="D268" t="s">
        <v>2714</v>
      </c>
    </row>
    <row r="269" spans="1:4" x14ac:dyDescent="0.25">
      <c r="A269" t="str">
        <f t="shared" si="4"/>
        <v>644Cardiology</v>
      </c>
      <c r="B269">
        <v>2337</v>
      </c>
      <c r="C269" s="40" t="s">
        <v>2715</v>
      </c>
      <c r="D269" t="s">
        <v>1567</v>
      </c>
    </row>
    <row r="270" spans="1:4" x14ac:dyDescent="0.25">
      <c r="A270" t="str">
        <f t="shared" si="4"/>
        <v>645Biomedical Engineering</v>
      </c>
      <c r="B270">
        <v>2338</v>
      </c>
      <c r="C270" s="40" t="s">
        <v>2716</v>
      </c>
      <c r="D270" t="s">
        <v>2717</v>
      </c>
    </row>
    <row r="271" spans="1:4" x14ac:dyDescent="0.25">
      <c r="A271" t="str">
        <f t="shared" si="4"/>
        <v>646Clinical Laboratory Director, Non physician</v>
      </c>
      <c r="B271">
        <v>2339</v>
      </c>
      <c r="C271" s="40" t="s">
        <v>2718</v>
      </c>
      <c r="D271" t="s">
        <v>1588</v>
      </c>
    </row>
    <row r="272" spans="1:4" x14ac:dyDescent="0.25">
      <c r="A272" t="str">
        <f t="shared" si="4"/>
        <v>647Certified First Assistant</v>
      </c>
      <c r="B272">
        <v>2340</v>
      </c>
      <c r="C272" s="40" t="s">
        <v>2719</v>
      </c>
      <c r="D272" t="s">
        <v>1594</v>
      </c>
    </row>
    <row r="273" spans="1:4" x14ac:dyDescent="0.25">
      <c r="A273" t="str">
        <f t="shared" si="4"/>
        <v>664Emergency Response System Companies</v>
      </c>
      <c r="B273">
        <v>2341</v>
      </c>
      <c r="C273" s="40" t="s">
        <v>2720</v>
      </c>
      <c r="D273" t="s">
        <v>1830</v>
      </c>
    </row>
    <row r="274" spans="1:4" x14ac:dyDescent="0.25">
      <c r="A274" t="str">
        <f t="shared" si="4"/>
        <v>665Lactation Non-RN Counselor</v>
      </c>
      <c r="B274">
        <v>2342</v>
      </c>
      <c r="C274" s="40" t="s">
        <v>2721</v>
      </c>
      <c r="D274" t="s">
        <v>1811</v>
      </c>
    </row>
    <row r="275" spans="1:4" x14ac:dyDescent="0.25">
      <c r="A275" t="str">
        <f t="shared" si="4"/>
        <v>666Ethics Case consultant</v>
      </c>
      <c r="B275">
        <v>2343</v>
      </c>
      <c r="C275" s="40" t="s">
        <v>2722</v>
      </c>
      <c r="D275" t="s">
        <v>1815</v>
      </c>
    </row>
    <row r="276" spans="1:4" x14ac:dyDescent="0.25">
      <c r="A276" t="str">
        <f t="shared" si="4"/>
        <v>667Neurophysiologic Tech Specialist</v>
      </c>
      <c r="B276">
        <v>2344</v>
      </c>
      <c r="C276" s="40" t="s">
        <v>2723</v>
      </c>
      <c r="D276" t="s">
        <v>1673</v>
      </c>
    </row>
    <row r="277" spans="1:4" x14ac:dyDescent="0.25">
      <c r="A277" t="str">
        <f t="shared" si="4"/>
        <v>669Anesthesiologist - Other</v>
      </c>
      <c r="B277">
        <v>2345</v>
      </c>
      <c r="C277" s="40" t="s">
        <v>2724</v>
      </c>
      <c r="D277" t="s">
        <v>931</v>
      </c>
    </row>
    <row r="278" spans="1:4" x14ac:dyDescent="0.25">
      <c r="A278" t="str">
        <f t="shared" si="4"/>
        <v>998Specialty not yet defined</v>
      </c>
      <c r="B278">
        <v>2190</v>
      </c>
      <c r="C278" s="40" t="s">
        <v>2571</v>
      </c>
      <c r="D278" t="s">
        <v>191</v>
      </c>
    </row>
    <row r="279" spans="1:4" x14ac:dyDescent="0.25">
      <c r="A279" t="str">
        <f t="shared" si="4"/>
        <v>999Miscellaneous</v>
      </c>
      <c r="B279">
        <v>2346</v>
      </c>
      <c r="C279" s="40" t="s">
        <v>2725</v>
      </c>
      <c r="D279" t="s">
        <v>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0"/>
  <sheetViews>
    <sheetView workbookViewId="0">
      <selection activeCell="A3" sqref="A3"/>
    </sheetView>
  </sheetViews>
  <sheetFormatPr defaultRowHeight="15" x14ac:dyDescent="0.25"/>
  <cols>
    <col min="1" max="1" width="20.140625" customWidth="1"/>
    <col min="2" max="2" width="19.7109375" bestFit="1" customWidth="1"/>
    <col min="3" max="4" width="18.28515625" bestFit="1" customWidth="1"/>
    <col min="5" max="5" width="17.5703125" bestFit="1" customWidth="1"/>
    <col min="6" max="6" width="95.140625" bestFit="1" customWidth="1"/>
  </cols>
  <sheetData>
    <row r="1" spans="1:6" x14ac:dyDescent="0.25">
      <c r="A1" t="s">
        <v>2026</v>
      </c>
      <c r="B1" t="s">
        <v>2726</v>
      </c>
      <c r="C1" t="s">
        <v>2474</v>
      </c>
      <c r="D1" t="s">
        <v>1954</v>
      </c>
      <c r="E1" t="s">
        <v>2727</v>
      </c>
      <c r="F1" t="s">
        <v>2728</v>
      </c>
    </row>
    <row r="2" spans="1:6" x14ac:dyDescent="0.25">
      <c r="A2" t="str">
        <f t="shared" ref="A2:A65" si="0">C2 &amp; "+" &amp; D2 &amp; "+" &amp; E2</f>
        <v>1+1+0</v>
      </c>
      <c r="B2">
        <v>4449</v>
      </c>
      <c r="C2">
        <v>1</v>
      </c>
      <c r="D2">
        <v>1</v>
      </c>
      <c r="E2">
        <v>0</v>
      </c>
      <c r="F2" t="s">
        <v>2728</v>
      </c>
    </row>
    <row r="3" spans="1:6" x14ac:dyDescent="0.25">
      <c r="A3" t="str">
        <f t="shared" si="0"/>
        <v>1+5+111N00000X</v>
      </c>
      <c r="B3">
        <v>2616</v>
      </c>
      <c r="C3">
        <v>1</v>
      </c>
      <c r="D3">
        <v>5</v>
      </c>
      <c r="E3" t="s">
        <v>574</v>
      </c>
      <c r="F3" t="s">
        <v>575</v>
      </c>
    </row>
    <row r="4" spans="1:6" x14ac:dyDescent="0.25">
      <c r="A4" t="str">
        <f t="shared" si="0"/>
        <v>1+50+111N00000X</v>
      </c>
      <c r="B4">
        <v>9391</v>
      </c>
      <c r="C4">
        <v>1</v>
      </c>
      <c r="D4">
        <v>50</v>
      </c>
      <c r="E4" t="s">
        <v>574</v>
      </c>
      <c r="F4" t="s">
        <v>3679</v>
      </c>
    </row>
    <row r="5" spans="1:6" x14ac:dyDescent="0.25">
      <c r="A5" t="str">
        <f t="shared" si="0"/>
        <v>1+51+111N00000X</v>
      </c>
      <c r="B5">
        <v>9392</v>
      </c>
      <c r="C5">
        <v>1</v>
      </c>
      <c r="D5">
        <v>51</v>
      </c>
      <c r="E5" t="s">
        <v>574</v>
      </c>
      <c r="F5" t="s">
        <v>3679</v>
      </c>
    </row>
    <row r="6" spans="1:6" x14ac:dyDescent="0.25">
      <c r="A6" t="str">
        <f t="shared" si="0"/>
        <v>1+51+193400000X</v>
      </c>
      <c r="B6">
        <v>4450</v>
      </c>
      <c r="C6">
        <v>1</v>
      </c>
      <c r="D6">
        <v>51</v>
      </c>
      <c r="E6" t="s">
        <v>1447</v>
      </c>
      <c r="F6" t="s">
        <v>3680</v>
      </c>
    </row>
    <row r="7" spans="1:6" x14ac:dyDescent="0.25">
      <c r="A7" t="str">
        <f t="shared" si="0"/>
        <v>1+105+111N00000X</v>
      </c>
      <c r="B7">
        <v>9260</v>
      </c>
      <c r="C7">
        <v>1</v>
      </c>
      <c r="D7">
        <v>105</v>
      </c>
      <c r="E7" t="s">
        <v>574</v>
      </c>
      <c r="F7" t="s">
        <v>3679</v>
      </c>
    </row>
    <row r="8" spans="1:6" x14ac:dyDescent="0.25">
      <c r="A8" t="str">
        <f t="shared" si="0"/>
        <v>1+105+111NI0013X</v>
      </c>
      <c r="B8">
        <v>9261</v>
      </c>
      <c r="C8">
        <v>1</v>
      </c>
      <c r="D8">
        <v>105</v>
      </c>
      <c r="E8" t="s">
        <v>577</v>
      </c>
      <c r="F8" t="s">
        <v>3681</v>
      </c>
    </row>
    <row r="9" spans="1:6" x14ac:dyDescent="0.25">
      <c r="A9" t="str">
        <f t="shared" si="0"/>
        <v>1+105+111NI0900X</v>
      </c>
      <c r="B9">
        <v>9262</v>
      </c>
      <c r="C9">
        <v>1</v>
      </c>
      <c r="D9">
        <v>105</v>
      </c>
      <c r="E9" t="s">
        <v>579</v>
      </c>
      <c r="F9" t="s">
        <v>3682</v>
      </c>
    </row>
    <row r="10" spans="1:6" x14ac:dyDescent="0.25">
      <c r="A10" t="str">
        <f t="shared" si="0"/>
        <v>1+105+111NN0400X</v>
      </c>
      <c r="B10">
        <v>9263</v>
      </c>
      <c r="C10">
        <v>1</v>
      </c>
      <c r="D10">
        <v>105</v>
      </c>
      <c r="E10" t="s">
        <v>581</v>
      </c>
      <c r="F10" t="s">
        <v>3683</v>
      </c>
    </row>
    <row r="11" spans="1:6" x14ac:dyDescent="0.25">
      <c r="A11" t="str">
        <f t="shared" si="0"/>
        <v>1+105+111NN1001X</v>
      </c>
      <c r="B11">
        <v>9264</v>
      </c>
      <c r="C11">
        <v>1</v>
      </c>
      <c r="D11">
        <v>105</v>
      </c>
      <c r="E11" t="s">
        <v>583</v>
      </c>
      <c r="F11" t="s">
        <v>3684</v>
      </c>
    </row>
    <row r="12" spans="1:6" x14ac:dyDescent="0.25">
      <c r="A12" t="str">
        <f t="shared" si="0"/>
        <v>1+105+111NP0017X</v>
      </c>
      <c r="B12">
        <v>9265</v>
      </c>
      <c r="C12">
        <v>1</v>
      </c>
      <c r="D12">
        <v>105</v>
      </c>
      <c r="E12" t="s">
        <v>585</v>
      </c>
      <c r="F12" t="s">
        <v>3685</v>
      </c>
    </row>
    <row r="13" spans="1:6" x14ac:dyDescent="0.25">
      <c r="A13" t="str">
        <f t="shared" si="0"/>
        <v>1+105+111NR0200X</v>
      </c>
      <c r="B13">
        <v>9266</v>
      </c>
      <c r="C13">
        <v>1</v>
      </c>
      <c r="D13">
        <v>105</v>
      </c>
      <c r="E13" t="s">
        <v>586</v>
      </c>
      <c r="F13" t="s">
        <v>3686</v>
      </c>
    </row>
    <row r="14" spans="1:6" x14ac:dyDescent="0.25">
      <c r="A14" t="str">
        <f t="shared" si="0"/>
        <v>1+105+111NR0400X</v>
      </c>
      <c r="B14">
        <v>9267</v>
      </c>
      <c r="C14">
        <v>1</v>
      </c>
      <c r="D14">
        <v>105</v>
      </c>
      <c r="E14" t="s">
        <v>587</v>
      </c>
      <c r="F14" t="s">
        <v>3687</v>
      </c>
    </row>
    <row r="15" spans="1:6" x14ac:dyDescent="0.25">
      <c r="A15" t="str">
        <f t="shared" si="0"/>
        <v>1+105+111NS0005X</v>
      </c>
      <c r="B15">
        <v>9268</v>
      </c>
      <c r="C15">
        <v>1</v>
      </c>
      <c r="D15">
        <v>105</v>
      </c>
      <c r="E15" t="s">
        <v>589</v>
      </c>
      <c r="F15" t="s">
        <v>3688</v>
      </c>
    </row>
    <row r="16" spans="1:6" x14ac:dyDescent="0.25">
      <c r="A16" t="str">
        <f t="shared" si="0"/>
        <v>1+105+111NT0100X</v>
      </c>
      <c r="B16">
        <v>9269</v>
      </c>
      <c r="C16">
        <v>1</v>
      </c>
      <c r="D16">
        <v>105</v>
      </c>
      <c r="E16" t="s">
        <v>591</v>
      </c>
      <c r="F16" t="s">
        <v>3689</v>
      </c>
    </row>
    <row r="17" spans="1:6" x14ac:dyDescent="0.25">
      <c r="A17" t="str">
        <f t="shared" si="0"/>
        <v>1+105+111NX0100X</v>
      </c>
      <c r="B17">
        <v>9270</v>
      </c>
      <c r="C17">
        <v>1</v>
      </c>
      <c r="D17">
        <v>105</v>
      </c>
      <c r="E17" t="s">
        <v>592</v>
      </c>
      <c r="F17" t="s">
        <v>3690</v>
      </c>
    </row>
    <row r="18" spans="1:6" x14ac:dyDescent="0.25">
      <c r="A18" t="str">
        <f t="shared" si="0"/>
        <v>1+105+111NX0800X</v>
      </c>
      <c r="B18">
        <v>9271</v>
      </c>
      <c r="C18">
        <v>1</v>
      </c>
      <c r="D18">
        <v>105</v>
      </c>
      <c r="E18" t="s">
        <v>594</v>
      </c>
      <c r="F18" t="s">
        <v>3691</v>
      </c>
    </row>
    <row r="19" spans="1:6" x14ac:dyDescent="0.25">
      <c r="A19" t="str">
        <f t="shared" si="0"/>
        <v>1+114+111N00000X</v>
      </c>
      <c r="B19">
        <v>9390</v>
      </c>
      <c r="C19">
        <v>1</v>
      </c>
      <c r="D19">
        <v>114</v>
      </c>
      <c r="E19" t="s">
        <v>574</v>
      </c>
      <c r="F19" t="s">
        <v>3679</v>
      </c>
    </row>
    <row r="20" spans="1:6" x14ac:dyDescent="0.25">
      <c r="A20" t="str">
        <f t="shared" si="0"/>
        <v>2+2+122300000X</v>
      </c>
      <c r="B20">
        <v>2617</v>
      </c>
      <c r="C20">
        <v>2</v>
      </c>
      <c r="D20">
        <v>2</v>
      </c>
      <c r="E20" t="s">
        <v>925</v>
      </c>
      <c r="F20" t="s">
        <v>923</v>
      </c>
    </row>
    <row r="21" spans="1:6" x14ac:dyDescent="0.25">
      <c r="A21" t="str">
        <f t="shared" si="0"/>
        <v>3+4+213E00000X</v>
      </c>
      <c r="B21">
        <v>2618</v>
      </c>
      <c r="C21">
        <v>3</v>
      </c>
      <c r="D21">
        <v>4</v>
      </c>
      <c r="E21" t="s">
        <v>556</v>
      </c>
      <c r="F21" t="s">
        <v>557</v>
      </c>
    </row>
    <row r="22" spans="1:6" x14ac:dyDescent="0.25">
      <c r="A22" t="str">
        <f t="shared" si="0"/>
        <v>4+3+122300000X</v>
      </c>
      <c r="B22">
        <v>2619</v>
      </c>
      <c r="C22">
        <v>4</v>
      </c>
      <c r="D22">
        <v>3</v>
      </c>
      <c r="E22" t="s">
        <v>925</v>
      </c>
      <c r="F22" t="s">
        <v>923</v>
      </c>
    </row>
    <row r="23" spans="1:6" x14ac:dyDescent="0.25">
      <c r="A23" t="str">
        <f t="shared" si="0"/>
        <v>5+5+111NI0900N</v>
      </c>
      <c r="B23">
        <v>2620</v>
      </c>
      <c r="C23">
        <v>5</v>
      </c>
      <c r="D23">
        <v>5</v>
      </c>
      <c r="E23" t="s">
        <v>2729</v>
      </c>
      <c r="F23" t="s">
        <v>1126</v>
      </c>
    </row>
    <row r="24" spans="1:6" x14ac:dyDescent="0.25">
      <c r="A24" t="str">
        <f t="shared" si="0"/>
        <v>5+50+207R00000X</v>
      </c>
      <c r="B24">
        <v>9572</v>
      </c>
      <c r="C24">
        <v>5</v>
      </c>
      <c r="D24">
        <v>50</v>
      </c>
      <c r="E24" t="s">
        <v>1125</v>
      </c>
      <c r="F24" t="s">
        <v>3692</v>
      </c>
    </row>
    <row r="25" spans="1:6" x14ac:dyDescent="0.25">
      <c r="A25" t="str">
        <f t="shared" si="0"/>
        <v>5+50+207RA0000X</v>
      </c>
      <c r="B25">
        <v>9575</v>
      </c>
      <c r="C25">
        <v>5</v>
      </c>
      <c r="D25">
        <v>50</v>
      </c>
      <c r="E25" t="s">
        <v>1128</v>
      </c>
      <c r="F25" t="s">
        <v>3693</v>
      </c>
    </row>
    <row r="26" spans="1:6" x14ac:dyDescent="0.25">
      <c r="A26" t="str">
        <f t="shared" si="0"/>
        <v>5+50+207RB0002X</v>
      </c>
      <c r="B26">
        <v>9578</v>
      </c>
      <c r="C26">
        <v>5</v>
      </c>
      <c r="D26">
        <v>50</v>
      </c>
      <c r="E26" t="s">
        <v>1132</v>
      </c>
      <c r="F26" t="s">
        <v>3694</v>
      </c>
    </row>
    <row r="27" spans="1:6" x14ac:dyDescent="0.25">
      <c r="A27" t="str">
        <f t="shared" si="0"/>
        <v>5+50+207RC0001X</v>
      </c>
      <c r="B27">
        <v>9581</v>
      </c>
      <c r="C27">
        <v>5</v>
      </c>
      <c r="D27">
        <v>50</v>
      </c>
      <c r="E27" t="s">
        <v>1137</v>
      </c>
      <c r="F27" t="s">
        <v>3695</v>
      </c>
    </row>
    <row r="28" spans="1:6" x14ac:dyDescent="0.25">
      <c r="A28" t="str">
        <f t="shared" si="0"/>
        <v>5+50+207RC0200X</v>
      </c>
      <c r="B28">
        <v>9584</v>
      </c>
      <c r="C28">
        <v>5</v>
      </c>
      <c r="D28">
        <v>50</v>
      </c>
      <c r="E28" t="s">
        <v>1138</v>
      </c>
      <c r="F28" t="s">
        <v>3696</v>
      </c>
    </row>
    <row r="29" spans="1:6" x14ac:dyDescent="0.25">
      <c r="A29" t="str">
        <f t="shared" si="0"/>
        <v>5+50+207RG0300X</v>
      </c>
      <c r="B29">
        <v>9587</v>
      </c>
      <c r="C29">
        <v>5</v>
      </c>
      <c r="D29">
        <v>50</v>
      </c>
      <c r="E29" t="s">
        <v>1143</v>
      </c>
      <c r="F29" t="s">
        <v>3697</v>
      </c>
    </row>
    <row r="30" spans="1:6" x14ac:dyDescent="0.25">
      <c r="A30" t="str">
        <f t="shared" si="0"/>
        <v>5+50+207RH0002X</v>
      </c>
      <c r="B30">
        <v>9590</v>
      </c>
      <c r="C30">
        <v>5</v>
      </c>
      <c r="D30">
        <v>50</v>
      </c>
      <c r="E30" t="s">
        <v>1144</v>
      </c>
      <c r="F30" t="s">
        <v>3698</v>
      </c>
    </row>
    <row r="31" spans="1:6" x14ac:dyDescent="0.25">
      <c r="A31" t="str">
        <f t="shared" si="0"/>
        <v>5+50+207RH0005X</v>
      </c>
      <c r="B31">
        <v>9608</v>
      </c>
      <c r="C31">
        <v>5</v>
      </c>
      <c r="D31">
        <v>50</v>
      </c>
      <c r="E31" t="s">
        <v>1431</v>
      </c>
      <c r="F31" t="s">
        <v>3699</v>
      </c>
    </row>
    <row r="32" spans="1:6" x14ac:dyDescent="0.25">
      <c r="A32" t="str">
        <f t="shared" si="0"/>
        <v>5+50+207RI0001X</v>
      </c>
      <c r="B32">
        <v>9593</v>
      </c>
      <c r="C32">
        <v>5</v>
      </c>
      <c r="D32">
        <v>50</v>
      </c>
      <c r="E32" t="s">
        <v>1146</v>
      </c>
      <c r="F32" t="s">
        <v>3700</v>
      </c>
    </row>
    <row r="33" spans="1:6" x14ac:dyDescent="0.25">
      <c r="A33" t="str">
        <f t="shared" si="0"/>
        <v>5+50+207RM1200X</v>
      </c>
      <c r="B33">
        <v>9596</v>
      </c>
      <c r="C33">
        <v>5</v>
      </c>
      <c r="D33">
        <v>50</v>
      </c>
      <c r="E33" t="s">
        <v>1152</v>
      </c>
      <c r="F33" t="s">
        <v>3701</v>
      </c>
    </row>
    <row r="34" spans="1:6" x14ac:dyDescent="0.25">
      <c r="A34" t="str">
        <f t="shared" si="0"/>
        <v>5+50+207RS0010X</v>
      </c>
      <c r="B34">
        <v>9599</v>
      </c>
      <c r="C34">
        <v>5</v>
      </c>
      <c r="D34">
        <v>50</v>
      </c>
      <c r="E34" t="s">
        <v>1160</v>
      </c>
      <c r="F34" t="s">
        <v>3702</v>
      </c>
    </row>
    <row r="35" spans="1:6" x14ac:dyDescent="0.25">
      <c r="A35" t="str">
        <f t="shared" si="0"/>
        <v>5+50+207RS0012X</v>
      </c>
      <c r="B35">
        <v>9602</v>
      </c>
      <c r="C35">
        <v>5</v>
      </c>
      <c r="D35">
        <v>50</v>
      </c>
      <c r="E35" t="s">
        <v>1162</v>
      </c>
      <c r="F35" t="s">
        <v>3703</v>
      </c>
    </row>
    <row r="36" spans="1:6" x14ac:dyDescent="0.25">
      <c r="A36" t="str">
        <f t="shared" si="0"/>
        <v>5+50+207RT0003X</v>
      </c>
      <c r="B36">
        <v>9605</v>
      </c>
      <c r="C36">
        <v>5</v>
      </c>
      <c r="D36">
        <v>50</v>
      </c>
      <c r="E36" t="s">
        <v>1164</v>
      </c>
      <c r="F36" t="s">
        <v>3704</v>
      </c>
    </row>
    <row r="37" spans="1:6" x14ac:dyDescent="0.25">
      <c r="A37" t="str">
        <f t="shared" si="0"/>
        <v>5+51+193400000X</v>
      </c>
      <c r="B37">
        <v>4451</v>
      </c>
      <c r="C37">
        <v>5</v>
      </c>
      <c r="D37">
        <v>51</v>
      </c>
      <c r="E37" t="s">
        <v>1447</v>
      </c>
      <c r="F37" t="s">
        <v>3680</v>
      </c>
    </row>
    <row r="38" spans="1:6" x14ac:dyDescent="0.25">
      <c r="A38" t="str">
        <f t="shared" si="0"/>
        <v>5+51+207R00000X</v>
      </c>
      <c r="B38">
        <v>9573</v>
      </c>
      <c r="C38">
        <v>5</v>
      </c>
      <c r="D38">
        <v>51</v>
      </c>
      <c r="E38" t="s">
        <v>1125</v>
      </c>
      <c r="F38" t="s">
        <v>3692</v>
      </c>
    </row>
    <row r="39" spans="1:6" x14ac:dyDescent="0.25">
      <c r="A39" t="str">
        <f t="shared" si="0"/>
        <v>5+51+207RA0000X</v>
      </c>
      <c r="B39">
        <v>9576</v>
      </c>
      <c r="C39">
        <v>5</v>
      </c>
      <c r="D39">
        <v>51</v>
      </c>
      <c r="E39" t="s">
        <v>1128</v>
      </c>
      <c r="F39" t="s">
        <v>3693</v>
      </c>
    </row>
    <row r="40" spans="1:6" x14ac:dyDescent="0.25">
      <c r="A40" t="str">
        <f t="shared" si="0"/>
        <v>5+51+207RB0002X</v>
      </c>
      <c r="B40">
        <v>9579</v>
      </c>
      <c r="C40">
        <v>5</v>
      </c>
      <c r="D40">
        <v>51</v>
      </c>
      <c r="E40" t="s">
        <v>1132</v>
      </c>
      <c r="F40" t="s">
        <v>3694</v>
      </c>
    </row>
    <row r="41" spans="1:6" x14ac:dyDescent="0.25">
      <c r="A41" t="str">
        <f t="shared" si="0"/>
        <v>5+51+207RC0001X</v>
      </c>
      <c r="B41">
        <v>9582</v>
      </c>
      <c r="C41">
        <v>5</v>
      </c>
      <c r="D41">
        <v>51</v>
      </c>
      <c r="E41" t="s">
        <v>1137</v>
      </c>
      <c r="F41" t="s">
        <v>3695</v>
      </c>
    </row>
    <row r="42" spans="1:6" x14ac:dyDescent="0.25">
      <c r="A42" t="str">
        <f t="shared" si="0"/>
        <v>5+51+207RC0200X</v>
      </c>
      <c r="B42">
        <v>9585</v>
      </c>
      <c r="C42">
        <v>5</v>
      </c>
      <c r="D42">
        <v>51</v>
      </c>
      <c r="E42" t="s">
        <v>1138</v>
      </c>
      <c r="F42" t="s">
        <v>3696</v>
      </c>
    </row>
    <row r="43" spans="1:6" x14ac:dyDescent="0.25">
      <c r="A43" t="str">
        <f t="shared" si="0"/>
        <v>5+51+207RG0300X</v>
      </c>
      <c r="B43">
        <v>9588</v>
      </c>
      <c r="C43">
        <v>5</v>
      </c>
      <c r="D43">
        <v>51</v>
      </c>
      <c r="E43" t="s">
        <v>1143</v>
      </c>
      <c r="F43" t="s">
        <v>3697</v>
      </c>
    </row>
    <row r="44" spans="1:6" x14ac:dyDescent="0.25">
      <c r="A44" t="str">
        <f t="shared" si="0"/>
        <v>5+51+207RH0002X</v>
      </c>
      <c r="B44">
        <v>9591</v>
      </c>
      <c r="C44">
        <v>5</v>
      </c>
      <c r="D44">
        <v>51</v>
      </c>
      <c r="E44" t="s">
        <v>1144</v>
      </c>
      <c r="F44" t="s">
        <v>3698</v>
      </c>
    </row>
    <row r="45" spans="1:6" x14ac:dyDescent="0.25">
      <c r="A45" t="str">
        <f t="shared" si="0"/>
        <v>5+51+207RH0005X</v>
      </c>
      <c r="B45">
        <v>9609</v>
      </c>
      <c r="C45">
        <v>5</v>
      </c>
      <c r="D45">
        <v>51</v>
      </c>
      <c r="E45" t="s">
        <v>1431</v>
      </c>
      <c r="F45" t="s">
        <v>3699</v>
      </c>
    </row>
    <row r="46" spans="1:6" x14ac:dyDescent="0.25">
      <c r="A46" t="str">
        <f t="shared" si="0"/>
        <v>5+51+207RI0001X</v>
      </c>
      <c r="B46">
        <v>9594</v>
      </c>
      <c r="C46">
        <v>5</v>
      </c>
      <c r="D46">
        <v>51</v>
      </c>
      <c r="E46" t="s">
        <v>1146</v>
      </c>
      <c r="F46" t="s">
        <v>3700</v>
      </c>
    </row>
    <row r="47" spans="1:6" x14ac:dyDescent="0.25">
      <c r="A47" t="str">
        <f t="shared" si="0"/>
        <v>5+51+207RM1200X</v>
      </c>
      <c r="B47">
        <v>9597</v>
      </c>
      <c r="C47">
        <v>5</v>
      </c>
      <c r="D47">
        <v>51</v>
      </c>
      <c r="E47" t="s">
        <v>1152</v>
      </c>
      <c r="F47" t="s">
        <v>3701</v>
      </c>
    </row>
    <row r="48" spans="1:6" x14ac:dyDescent="0.25">
      <c r="A48" t="str">
        <f t="shared" si="0"/>
        <v>5+51+207RS0010X</v>
      </c>
      <c r="B48">
        <v>9600</v>
      </c>
      <c r="C48">
        <v>5</v>
      </c>
      <c r="D48">
        <v>51</v>
      </c>
      <c r="E48" t="s">
        <v>1160</v>
      </c>
      <c r="F48" t="s">
        <v>3702</v>
      </c>
    </row>
    <row r="49" spans="1:6" x14ac:dyDescent="0.25">
      <c r="A49" t="str">
        <f t="shared" si="0"/>
        <v>5+51+207RS0012X</v>
      </c>
      <c r="B49">
        <v>9603</v>
      </c>
      <c r="C49">
        <v>5</v>
      </c>
      <c r="D49">
        <v>51</v>
      </c>
      <c r="E49" t="s">
        <v>1162</v>
      </c>
      <c r="F49" t="s">
        <v>3703</v>
      </c>
    </row>
    <row r="50" spans="1:6" x14ac:dyDescent="0.25">
      <c r="A50" t="str">
        <f t="shared" si="0"/>
        <v>5+51+207RT0003X</v>
      </c>
      <c r="B50">
        <v>9606</v>
      </c>
      <c r="C50">
        <v>5</v>
      </c>
      <c r="D50">
        <v>51</v>
      </c>
      <c r="E50" t="s">
        <v>1164</v>
      </c>
      <c r="F50" t="s">
        <v>3704</v>
      </c>
    </row>
    <row r="51" spans="1:6" x14ac:dyDescent="0.25">
      <c r="A51" t="str">
        <f t="shared" si="0"/>
        <v>5+113+207RH0005X</v>
      </c>
      <c r="B51">
        <v>9607</v>
      </c>
      <c r="C51">
        <v>5</v>
      </c>
      <c r="D51">
        <v>113</v>
      </c>
      <c r="E51" t="s">
        <v>1431</v>
      </c>
      <c r="F51" t="s">
        <v>3699</v>
      </c>
    </row>
    <row r="52" spans="1:6" x14ac:dyDescent="0.25">
      <c r="A52" t="str">
        <f t="shared" si="0"/>
        <v>5+114+207R00000X</v>
      </c>
      <c r="B52">
        <v>9571</v>
      </c>
      <c r="C52">
        <v>5</v>
      </c>
      <c r="D52">
        <v>114</v>
      </c>
      <c r="E52" t="s">
        <v>1125</v>
      </c>
      <c r="F52" t="s">
        <v>3692</v>
      </c>
    </row>
    <row r="53" spans="1:6" x14ac:dyDescent="0.25">
      <c r="A53" t="str">
        <f t="shared" si="0"/>
        <v>5+114+207RA0000X</v>
      </c>
      <c r="B53">
        <v>9574</v>
      </c>
      <c r="C53">
        <v>5</v>
      </c>
      <c r="D53">
        <v>114</v>
      </c>
      <c r="E53" t="s">
        <v>1128</v>
      </c>
      <c r="F53" t="s">
        <v>3693</v>
      </c>
    </row>
    <row r="54" spans="1:6" x14ac:dyDescent="0.25">
      <c r="A54" t="str">
        <f t="shared" si="0"/>
        <v>5+114+207RB0002X</v>
      </c>
      <c r="B54">
        <v>9577</v>
      </c>
      <c r="C54">
        <v>5</v>
      </c>
      <c r="D54">
        <v>114</v>
      </c>
      <c r="E54" t="s">
        <v>1132</v>
      </c>
      <c r="F54" t="s">
        <v>3694</v>
      </c>
    </row>
    <row r="55" spans="1:6" x14ac:dyDescent="0.25">
      <c r="A55" t="str">
        <f t="shared" si="0"/>
        <v>5+114+207RC0001X</v>
      </c>
      <c r="B55">
        <v>9580</v>
      </c>
      <c r="C55">
        <v>5</v>
      </c>
      <c r="D55">
        <v>114</v>
      </c>
      <c r="E55" t="s">
        <v>1137</v>
      </c>
      <c r="F55" t="s">
        <v>3695</v>
      </c>
    </row>
    <row r="56" spans="1:6" x14ac:dyDescent="0.25">
      <c r="A56" t="str">
        <f t="shared" si="0"/>
        <v>5+114+207RC0200X</v>
      </c>
      <c r="B56">
        <v>9583</v>
      </c>
      <c r="C56">
        <v>5</v>
      </c>
      <c r="D56">
        <v>114</v>
      </c>
      <c r="E56" t="s">
        <v>1138</v>
      </c>
      <c r="F56" t="s">
        <v>3696</v>
      </c>
    </row>
    <row r="57" spans="1:6" x14ac:dyDescent="0.25">
      <c r="A57" t="str">
        <f t="shared" si="0"/>
        <v>5+114+207RG0300X</v>
      </c>
      <c r="B57">
        <v>9586</v>
      </c>
      <c r="C57">
        <v>5</v>
      </c>
      <c r="D57">
        <v>114</v>
      </c>
      <c r="E57" t="s">
        <v>1143</v>
      </c>
      <c r="F57" t="s">
        <v>3697</v>
      </c>
    </row>
    <row r="58" spans="1:6" x14ac:dyDescent="0.25">
      <c r="A58" t="str">
        <f t="shared" si="0"/>
        <v>5+114+207RH0002X</v>
      </c>
      <c r="B58">
        <v>9589</v>
      </c>
      <c r="C58">
        <v>5</v>
      </c>
      <c r="D58">
        <v>114</v>
      </c>
      <c r="E58" t="s">
        <v>1144</v>
      </c>
      <c r="F58" t="s">
        <v>3698</v>
      </c>
    </row>
    <row r="59" spans="1:6" x14ac:dyDescent="0.25">
      <c r="A59" t="str">
        <f t="shared" si="0"/>
        <v>5+114+207RI0001X</v>
      </c>
      <c r="B59">
        <v>9592</v>
      </c>
      <c r="C59">
        <v>5</v>
      </c>
      <c r="D59">
        <v>114</v>
      </c>
      <c r="E59" t="s">
        <v>1146</v>
      </c>
      <c r="F59" t="s">
        <v>3700</v>
      </c>
    </row>
    <row r="60" spans="1:6" x14ac:dyDescent="0.25">
      <c r="A60" t="str">
        <f t="shared" si="0"/>
        <v>5+114+207RM1200X</v>
      </c>
      <c r="B60">
        <v>9595</v>
      </c>
      <c r="C60">
        <v>5</v>
      </c>
      <c r="D60">
        <v>114</v>
      </c>
      <c r="E60" t="s">
        <v>1152</v>
      </c>
      <c r="F60" t="s">
        <v>3701</v>
      </c>
    </row>
    <row r="61" spans="1:6" x14ac:dyDescent="0.25">
      <c r="A61" t="str">
        <f t="shared" si="0"/>
        <v>5+114+207RS0010X</v>
      </c>
      <c r="B61">
        <v>9598</v>
      </c>
      <c r="C61">
        <v>5</v>
      </c>
      <c r="D61">
        <v>114</v>
      </c>
      <c r="E61" t="s">
        <v>1160</v>
      </c>
      <c r="F61" t="s">
        <v>3702</v>
      </c>
    </row>
    <row r="62" spans="1:6" x14ac:dyDescent="0.25">
      <c r="A62" t="str">
        <f t="shared" si="0"/>
        <v>5+114+207RS0012X</v>
      </c>
      <c r="B62">
        <v>9601</v>
      </c>
      <c r="C62">
        <v>5</v>
      </c>
      <c r="D62">
        <v>114</v>
      </c>
      <c r="E62" t="s">
        <v>1162</v>
      </c>
      <c r="F62" t="s">
        <v>3703</v>
      </c>
    </row>
    <row r="63" spans="1:6" x14ac:dyDescent="0.25">
      <c r="A63" t="str">
        <f t="shared" si="0"/>
        <v>5+114+207RT0003X</v>
      </c>
      <c r="B63">
        <v>9604</v>
      </c>
      <c r="C63">
        <v>5</v>
      </c>
      <c r="D63">
        <v>114</v>
      </c>
      <c r="E63" t="s">
        <v>1164</v>
      </c>
      <c r="F63" t="s">
        <v>3704</v>
      </c>
    </row>
    <row r="64" spans="1:6" x14ac:dyDescent="0.25">
      <c r="A64" t="str">
        <f t="shared" si="0"/>
        <v>6+5+111NN0400N</v>
      </c>
      <c r="B64">
        <v>2621</v>
      </c>
      <c r="C64">
        <v>6</v>
      </c>
      <c r="D64">
        <v>5</v>
      </c>
      <c r="E64" t="s">
        <v>2730</v>
      </c>
      <c r="F64" t="s">
        <v>2731</v>
      </c>
    </row>
    <row r="65" spans="1:6" x14ac:dyDescent="0.25">
      <c r="A65" t="str">
        <f t="shared" si="0"/>
        <v>7+5+111NN1001N</v>
      </c>
      <c r="B65">
        <v>2622</v>
      </c>
      <c r="C65">
        <v>7</v>
      </c>
      <c r="D65">
        <v>5</v>
      </c>
      <c r="E65" t="s">
        <v>2732</v>
      </c>
      <c r="F65" t="s">
        <v>2733</v>
      </c>
    </row>
    <row r="66" spans="1:6" x14ac:dyDescent="0.25">
      <c r="A66" t="str">
        <f t="shared" ref="A66:A129" si="1">C66 &amp; "+" &amp; D66 &amp; "+" &amp; E66</f>
        <v>8+5+111NX0100N</v>
      </c>
      <c r="B66">
        <v>2623</v>
      </c>
      <c r="C66">
        <v>8</v>
      </c>
      <c r="D66">
        <v>5</v>
      </c>
      <c r="E66" t="s">
        <v>2734</v>
      </c>
      <c r="F66" t="s">
        <v>2735</v>
      </c>
    </row>
    <row r="67" spans="1:6" x14ac:dyDescent="0.25">
      <c r="A67" t="str">
        <f t="shared" si="1"/>
        <v>9+5+111NX0800N</v>
      </c>
      <c r="B67">
        <v>2624</v>
      </c>
      <c r="C67">
        <v>9</v>
      </c>
      <c r="D67">
        <v>5</v>
      </c>
      <c r="E67" t="s">
        <v>2736</v>
      </c>
      <c r="F67" t="s">
        <v>2737</v>
      </c>
    </row>
    <row r="68" spans="1:6" x14ac:dyDescent="0.25">
      <c r="A68" t="str">
        <f t="shared" si="1"/>
        <v>10+5+111NR0200N</v>
      </c>
      <c r="B68">
        <v>2625</v>
      </c>
      <c r="C68">
        <v>10</v>
      </c>
      <c r="D68">
        <v>5</v>
      </c>
      <c r="E68" t="s">
        <v>2738</v>
      </c>
      <c r="F68" t="s">
        <v>2739</v>
      </c>
    </row>
    <row r="69" spans="1:6" x14ac:dyDescent="0.25">
      <c r="A69" t="str">
        <f t="shared" si="1"/>
        <v>11+5+111NS0005N</v>
      </c>
      <c r="B69">
        <v>2626</v>
      </c>
      <c r="C69">
        <v>11</v>
      </c>
      <c r="D69">
        <v>5</v>
      </c>
      <c r="E69" t="s">
        <v>2740</v>
      </c>
      <c r="F69" t="s">
        <v>2741</v>
      </c>
    </row>
    <row r="70" spans="1:6" x14ac:dyDescent="0.25">
      <c r="A70" t="str">
        <f t="shared" si="1"/>
        <v>12+5+111NT0100N</v>
      </c>
      <c r="B70">
        <v>2627</v>
      </c>
      <c r="C70">
        <v>12</v>
      </c>
      <c r="D70">
        <v>5</v>
      </c>
      <c r="E70" t="s">
        <v>2742</v>
      </c>
      <c r="F70" t="s">
        <v>590</v>
      </c>
    </row>
    <row r="71" spans="1:6" x14ac:dyDescent="0.25">
      <c r="A71" t="str">
        <f t="shared" si="1"/>
        <v>13+2+1223D0001Y</v>
      </c>
      <c r="B71">
        <v>2628</v>
      </c>
      <c r="C71">
        <v>13</v>
      </c>
      <c r="D71">
        <v>2</v>
      </c>
      <c r="E71" t="s">
        <v>2743</v>
      </c>
      <c r="F71" t="s">
        <v>2744</v>
      </c>
    </row>
    <row r="72" spans="1:6" x14ac:dyDescent="0.25">
      <c r="A72" t="str">
        <f t="shared" si="1"/>
        <v>14+2+1223E0200Y</v>
      </c>
      <c r="B72">
        <v>2629</v>
      </c>
      <c r="C72">
        <v>14</v>
      </c>
      <c r="D72">
        <v>2</v>
      </c>
      <c r="E72" t="s">
        <v>2745</v>
      </c>
      <c r="F72" t="s">
        <v>2746</v>
      </c>
    </row>
    <row r="73" spans="1:6" x14ac:dyDescent="0.25">
      <c r="A73" t="str">
        <f t="shared" si="1"/>
        <v>15+2+1223X0400Y</v>
      </c>
      <c r="B73">
        <v>2630</v>
      </c>
      <c r="C73">
        <v>15</v>
      </c>
      <c r="D73">
        <v>2</v>
      </c>
      <c r="E73" t="s">
        <v>2747</v>
      </c>
      <c r="F73" t="s">
        <v>2748</v>
      </c>
    </row>
    <row r="74" spans="1:6" x14ac:dyDescent="0.25">
      <c r="A74" t="str">
        <f t="shared" si="1"/>
        <v>16+2+1223P0106Y</v>
      </c>
      <c r="B74">
        <v>2631</v>
      </c>
      <c r="C74">
        <v>16</v>
      </c>
      <c r="D74">
        <v>2</v>
      </c>
      <c r="E74" t="s">
        <v>2749</v>
      </c>
      <c r="F74" t="s">
        <v>2750</v>
      </c>
    </row>
    <row r="75" spans="1:6" x14ac:dyDescent="0.25">
      <c r="A75" t="str">
        <f t="shared" si="1"/>
        <v>17+2+1223P0221Y</v>
      </c>
      <c r="B75">
        <v>2632</v>
      </c>
      <c r="C75">
        <v>17</v>
      </c>
      <c r="D75">
        <v>2</v>
      </c>
      <c r="E75" t="s">
        <v>2751</v>
      </c>
      <c r="F75" t="s">
        <v>2752</v>
      </c>
    </row>
    <row r="76" spans="1:6" x14ac:dyDescent="0.25">
      <c r="A76" t="str">
        <f t="shared" si="1"/>
        <v>18+2+1223P0300Y</v>
      </c>
      <c r="B76">
        <v>2633</v>
      </c>
      <c r="C76">
        <v>18</v>
      </c>
      <c r="D76">
        <v>2</v>
      </c>
      <c r="E76" t="s">
        <v>2753</v>
      </c>
      <c r="F76" t="s">
        <v>2754</v>
      </c>
    </row>
    <row r="77" spans="1:6" x14ac:dyDescent="0.25">
      <c r="A77" t="str">
        <f t="shared" si="1"/>
        <v>19+2+1223P0700Y</v>
      </c>
      <c r="B77">
        <v>2634</v>
      </c>
      <c r="C77">
        <v>19</v>
      </c>
      <c r="D77">
        <v>2</v>
      </c>
      <c r="E77" t="s">
        <v>2755</v>
      </c>
      <c r="F77" t="s">
        <v>2756</v>
      </c>
    </row>
    <row r="78" spans="1:6" x14ac:dyDescent="0.25">
      <c r="A78" t="str">
        <f t="shared" si="1"/>
        <v>20+2+1223S0112Y</v>
      </c>
      <c r="B78">
        <v>2635</v>
      </c>
      <c r="C78">
        <v>20</v>
      </c>
      <c r="D78">
        <v>2</v>
      </c>
      <c r="E78" t="s">
        <v>2757</v>
      </c>
      <c r="F78" t="s">
        <v>2758</v>
      </c>
    </row>
    <row r="79" spans="1:6" x14ac:dyDescent="0.25">
      <c r="A79" t="str">
        <f t="shared" si="1"/>
        <v>21+3+1223D0001Y</v>
      </c>
      <c r="B79">
        <v>2636</v>
      </c>
      <c r="C79">
        <v>21</v>
      </c>
      <c r="D79">
        <v>3</v>
      </c>
      <c r="E79" t="s">
        <v>2743</v>
      </c>
      <c r="F79" t="s">
        <v>2744</v>
      </c>
    </row>
    <row r="80" spans="1:6" x14ac:dyDescent="0.25">
      <c r="A80" t="str">
        <f t="shared" si="1"/>
        <v>22+7+203BA0401N</v>
      </c>
      <c r="B80">
        <v>2637</v>
      </c>
      <c r="C80">
        <v>22</v>
      </c>
      <c r="D80">
        <v>7</v>
      </c>
      <c r="E80" s="43" t="s">
        <v>2759</v>
      </c>
      <c r="F80" t="s">
        <v>992</v>
      </c>
    </row>
    <row r="81" spans="1:6" x14ac:dyDescent="0.25">
      <c r="A81" t="str">
        <f t="shared" si="1"/>
        <v>22+51+193400000X</v>
      </c>
      <c r="B81">
        <v>4452</v>
      </c>
      <c r="C81">
        <v>22</v>
      </c>
      <c r="D81">
        <v>51</v>
      </c>
      <c r="E81" s="43" t="s">
        <v>1447</v>
      </c>
      <c r="F81" t="s">
        <v>1953</v>
      </c>
    </row>
    <row r="82" spans="1:6" x14ac:dyDescent="0.25">
      <c r="A82" t="str">
        <f t="shared" si="1"/>
        <v>23+7+203BA0000Y</v>
      </c>
      <c r="B82">
        <v>2638</v>
      </c>
      <c r="C82">
        <v>23</v>
      </c>
      <c r="D82">
        <v>7</v>
      </c>
      <c r="E82" t="s">
        <v>2760</v>
      </c>
      <c r="F82" t="s">
        <v>2761</v>
      </c>
    </row>
    <row r="83" spans="1:6" x14ac:dyDescent="0.25">
      <c r="A83" t="str">
        <f t="shared" si="1"/>
        <v>24+7+203BA0001N</v>
      </c>
      <c r="B83">
        <v>2639</v>
      </c>
      <c r="C83">
        <v>24</v>
      </c>
      <c r="D83">
        <v>7</v>
      </c>
      <c r="E83" t="s">
        <v>2762</v>
      </c>
      <c r="F83" t="s">
        <v>2763</v>
      </c>
    </row>
    <row r="84" spans="1:6" x14ac:dyDescent="0.25">
      <c r="A84" t="str">
        <f t="shared" si="1"/>
        <v>25+7+203BA0002Y</v>
      </c>
      <c r="B84">
        <v>2640</v>
      </c>
      <c r="C84">
        <v>25</v>
      </c>
      <c r="D84">
        <v>7</v>
      </c>
      <c r="E84" t="s">
        <v>2764</v>
      </c>
      <c r="F84" t="s">
        <v>2765</v>
      </c>
    </row>
    <row r="85" spans="1:6" x14ac:dyDescent="0.25">
      <c r="A85" t="str">
        <f t="shared" si="1"/>
        <v>26+7+203BA0003Y</v>
      </c>
      <c r="B85">
        <v>2641</v>
      </c>
      <c r="C85">
        <v>26</v>
      </c>
      <c r="D85">
        <v>7</v>
      </c>
      <c r="E85" t="s">
        <v>2766</v>
      </c>
      <c r="F85" t="s">
        <v>2767</v>
      </c>
    </row>
    <row r="86" spans="1:6" x14ac:dyDescent="0.25">
      <c r="A86" t="str">
        <f t="shared" si="1"/>
        <v>27+7+203BA0501N</v>
      </c>
      <c r="B86">
        <v>2642</v>
      </c>
      <c r="C86">
        <v>27</v>
      </c>
      <c r="D86">
        <v>7</v>
      </c>
      <c r="E86" t="s">
        <v>2768</v>
      </c>
      <c r="F86" t="s">
        <v>2769</v>
      </c>
    </row>
    <row r="87" spans="1:6" x14ac:dyDescent="0.25">
      <c r="A87" t="str">
        <f t="shared" si="1"/>
        <v>28+7+203BA0502N</v>
      </c>
      <c r="B87">
        <v>2643</v>
      </c>
      <c r="C87">
        <v>28</v>
      </c>
      <c r="D87">
        <v>7</v>
      </c>
      <c r="E87" t="s">
        <v>2770</v>
      </c>
      <c r="F87" t="s">
        <v>2771</v>
      </c>
    </row>
    <row r="88" spans="1:6" x14ac:dyDescent="0.25">
      <c r="A88" t="str">
        <f t="shared" si="1"/>
        <v>29+7+203BA0100Y</v>
      </c>
      <c r="B88">
        <v>2644</v>
      </c>
      <c r="C88">
        <v>29</v>
      </c>
      <c r="D88">
        <v>7</v>
      </c>
      <c r="E88" t="s">
        <v>2772</v>
      </c>
      <c r="F88" t="s">
        <v>2773</v>
      </c>
    </row>
    <row r="89" spans="1:6" x14ac:dyDescent="0.25">
      <c r="A89" t="str">
        <f t="shared" si="1"/>
        <v>30+7+203BA0101Y</v>
      </c>
      <c r="B89">
        <v>2645</v>
      </c>
      <c r="C89">
        <v>30</v>
      </c>
      <c r="D89">
        <v>7</v>
      </c>
      <c r="E89" t="s">
        <v>2774</v>
      </c>
      <c r="F89" t="s">
        <v>2775</v>
      </c>
    </row>
    <row r="90" spans="1:6" x14ac:dyDescent="0.25">
      <c r="A90" t="str">
        <f t="shared" si="1"/>
        <v>31+7+203BA0503N</v>
      </c>
      <c r="B90">
        <v>2646</v>
      </c>
      <c r="C90">
        <v>31</v>
      </c>
      <c r="D90">
        <v>7</v>
      </c>
      <c r="E90" t="s">
        <v>2776</v>
      </c>
      <c r="F90" t="s">
        <v>2777</v>
      </c>
    </row>
    <row r="91" spans="1:6" x14ac:dyDescent="0.25">
      <c r="A91" t="str">
        <f t="shared" si="1"/>
        <v>32+7+203BA0504N</v>
      </c>
      <c r="B91">
        <v>2647</v>
      </c>
      <c r="C91">
        <v>32</v>
      </c>
      <c r="D91">
        <v>7</v>
      </c>
      <c r="E91" t="s">
        <v>2778</v>
      </c>
      <c r="F91" t="s">
        <v>2779</v>
      </c>
    </row>
    <row r="92" spans="1:6" x14ac:dyDescent="0.25">
      <c r="A92" t="str">
        <f t="shared" si="1"/>
        <v>33+7+203BA0200N</v>
      </c>
      <c r="B92">
        <v>2648</v>
      </c>
      <c r="C92">
        <v>33</v>
      </c>
      <c r="D92">
        <v>7</v>
      </c>
      <c r="E92" t="s">
        <v>2780</v>
      </c>
      <c r="F92" t="s">
        <v>1072</v>
      </c>
    </row>
    <row r="93" spans="1:6" x14ac:dyDescent="0.25">
      <c r="A93" t="str">
        <f t="shared" si="1"/>
        <v>34+7+207K00000X</v>
      </c>
      <c r="B93">
        <v>2649</v>
      </c>
      <c r="C93">
        <v>34</v>
      </c>
      <c r="D93">
        <v>7</v>
      </c>
      <c r="E93" t="s">
        <v>1070</v>
      </c>
      <c r="F93" t="s">
        <v>1069</v>
      </c>
    </row>
    <row r="94" spans="1:6" x14ac:dyDescent="0.25">
      <c r="A94" t="str">
        <f t="shared" si="1"/>
        <v>35+7+203BA0202N</v>
      </c>
      <c r="B94">
        <v>2650</v>
      </c>
      <c r="C94">
        <v>35</v>
      </c>
      <c r="D94">
        <v>7</v>
      </c>
      <c r="E94" t="s">
        <v>2781</v>
      </c>
      <c r="F94" t="s">
        <v>2782</v>
      </c>
    </row>
    <row r="95" spans="1:6" x14ac:dyDescent="0.25">
      <c r="A95" t="str">
        <f t="shared" si="1"/>
        <v>36+7+207L00000X</v>
      </c>
      <c r="B95">
        <v>2651</v>
      </c>
      <c r="C95">
        <v>36</v>
      </c>
      <c r="D95">
        <v>7</v>
      </c>
      <c r="E95" t="s">
        <v>990</v>
      </c>
      <c r="F95" t="s">
        <v>989</v>
      </c>
    </row>
    <row r="96" spans="1:6" x14ac:dyDescent="0.25">
      <c r="A96" t="str">
        <f t="shared" si="1"/>
        <v>37+7+203BB0000N</v>
      </c>
      <c r="B96">
        <v>2652</v>
      </c>
      <c r="C96">
        <v>37</v>
      </c>
      <c r="D96">
        <v>7</v>
      </c>
      <c r="E96" t="s">
        <v>2783</v>
      </c>
      <c r="F96" t="s">
        <v>2784</v>
      </c>
    </row>
    <row r="97" spans="1:6" x14ac:dyDescent="0.25">
      <c r="A97" t="str">
        <f t="shared" si="1"/>
        <v>38+7+203BB0001Y</v>
      </c>
      <c r="B97">
        <v>2653</v>
      </c>
      <c r="C97">
        <v>38</v>
      </c>
      <c r="D97">
        <v>7</v>
      </c>
      <c r="E97" t="s">
        <v>2785</v>
      </c>
      <c r="F97" t="s">
        <v>2786</v>
      </c>
    </row>
    <row r="98" spans="1:6" x14ac:dyDescent="0.25">
      <c r="A98" t="str">
        <f t="shared" si="1"/>
        <v>39+7+203BB0100Y</v>
      </c>
      <c r="B98">
        <v>2654</v>
      </c>
      <c r="C98">
        <v>39</v>
      </c>
      <c r="D98">
        <v>7</v>
      </c>
      <c r="E98" t="s">
        <v>2787</v>
      </c>
      <c r="F98" t="s">
        <v>2788</v>
      </c>
    </row>
    <row r="99" spans="1:6" x14ac:dyDescent="0.25">
      <c r="A99" t="str">
        <f t="shared" si="1"/>
        <v>40+7+203BC0000Y</v>
      </c>
      <c r="B99">
        <v>2655</v>
      </c>
      <c r="C99">
        <v>40</v>
      </c>
      <c r="D99">
        <v>7</v>
      </c>
      <c r="E99" t="s">
        <v>2789</v>
      </c>
      <c r="F99" t="s">
        <v>2790</v>
      </c>
    </row>
    <row r="100" spans="1:6" x14ac:dyDescent="0.25">
      <c r="A100" t="str">
        <f t="shared" si="1"/>
        <v>41+7+203BC0001Y</v>
      </c>
      <c r="B100">
        <v>2656</v>
      </c>
      <c r="C100">
        <v>41</v>
      </c>
      <c r="D100">
        <v>7</v>
      </c>
      <c r="E100" t="s">
        <v>2791</v>
      </c>
      <c r="F100" t="s">
        <v>2792</v>
      </c>
    </row>
    <row r="101" spans="1:6" x14ac:dyDescent="0.25">
      <c r="A101" t="str">
        <f t="shared" si="1"/>
        <v>42+7+203BC0100Y</v>
      </c>
      <c r="B101">
        <v>2657</v>
      </c>
      <c r="C101">
        <v>42</v>
      </c>
      <c r="D101">
        <v>7</v>
      </c>
      <c r="E101" t="s">
        <v>2793</v>
      </c>
      <c r="F101" t="s">
        <v>1567</v>
      </c>
    </row>
    <row r="102" spans="1:6" x14ac:dyDescent="0.25">
      <c r="A102" t="str">
        <f t="shared" si="1"/>
        <v>43+7+203BC2500Y</v>
      </c>
      <c r="B102">
        <v>2658</v>
      </c>
      <c r="C102">
        <v>43</v>
      </c>
      <c r="D102">
        <v>7</v>
      </c>
      <c r="E102" t="s">
        <v>2794</v>
      </c>
      <c r="F102" t="s">
        <v>2795</v>
      </c>
    </row>
    <row r="103" spans="1:6" x14ac:dyDescent="0.25">
      <c r="A103" t="str">
        <f t="shared" si="1"/>
        <v>44+7+203BC0200Y</v>
      </c>
      <c r="B103">
        <v>2659</v>
      </c>
      <c r="C103">
        <v>44</v>
      </c>
      <c r="D103">
        <v>7</v>
      </c>
      <c r="E103" t="s">
        <v>2796</v>
      </c>
      <c r="F103" t="s">
        <v>1078</v>
      </c>
    </row>
    <row r="104" spans="1:6" x14ac:dyDescent="0.25">
      <c r="A104" t="str">
        <f t="shared" si="1"/>
        <v>45+7+203BC0201Y</v>
      </c>
      <c r="B104">
        <v>2660</v>
      </c>
      <c r="C104">
        <v>45</v>
      </c>
      <c r="D104">
        <v>7</v>
      </c>
      <c r="E104" t="s">
        <v>2797</v>
      </c>
      <c r="F104" t="s">
        <v>2798</v>
      </c>
    </row>
    <row r="105" spans="1:6" x14ac:dyDescent="0.25">
      <c r="A105" t="str">
        <f t="shared" si="1"/>
        <v>46+7+203BC0202Y</v>
      </c>
      <c r="B105">
        <v>2661</v>
      </c>
      <c r="C105">
        <v>46</v>
      </c>
      <c r="D105">
        <v>7</v>
      </c>
      <c r="E105" t="s">
        <v>2799</v>
      </c>
      <c r="F105" t="s">
        <v>2800</v>
      </c>
    </row>
    <row r="106" spans="1:6" x14ac:dyDescent="0.25">
      <c r="A106" t="str">
        <f t="shared" si="1"/>
        <v>47+7+203BC0203Y</v>
      </c>
      <c r="B106">
        <v>2662</v>
      </c>
      <c r="C106">
        <v>47</v>
      </c>
      <c r="D106">
        <v>7</v>
      </c>
      <c r="E106" t="s">
        <v>2801</v>
      </c>
      <c r="F106" t="s">
        <v>2802</v>
      </c>
    </row>
    <row r="107" spans="1:6" x14ac:dyDescent="0.25">
      <c r="A107" t="str">
        <f t="shared" si="1"/>
        <v>48+7+203BC0300Y</v>
      </c>
      <c r="B107">
        <v>2663</v>
      </c>
      <c r="C107">
        <v>48</v>
      </c>
      <c r="D107">
        <v>7</v>
      </c>
      <c r="E107" t="s">
        <v>2803</v>
      </c>
      <c r="F107" t="s">
        <v>2804</v>
      </c>
    </row>
    <row r="108" spans="1:6" x14ac:dyDescent="0.25">
      <c r="A108" t="str">
        <f t="shared" si="1"/>
        <v>49+7+203BC0500Y</v>
      </c>
      <c r="B108">
        <v>2664</v>
      </c>
      <c r="C108">
        <v>49</v>
      </c>
      <c r="D108">
        <v>7</v>
      </c>
      <c r="E108" t="s">
        <v>2805</v>
      </c>
      <c r="F108" t="s">
        <v>2806</v>
      </c>
    </row>
    <row r="109" spans="1:6" x14ac:dyDescent="0.25">
      <c r="A109" t="str">
        <f t="shared" si="1"/>
        <v>50+7+207N00000X</v>
      </c>
      <c r="B109">
        <v>2665</v>
      </c>
      <c r="C109">
        <v>50</v>
      </c>
      <c r="D109">
        <v>7</v>
      </c>
      <c r="E109" t="s">
        <v>1087</v>
      </c>
      <c r="F109" t="s">
        <v>2807</v>
      </c>
    </row>
    <row r="110" spans="1:6" x14ac:dyDescent="0.25">
      <c r="A110" t="str">
        <f t="shared" si="1"/>
        <v>51+7+203BD0101Y</v>
      </c>
      <c r="B110">
        <v>2666</v>
      </c>
      <c r="C110">
        <v>51</v>
      </c>
      <c r="D110">
        <v>7</v>
      </c>
      <c r="E110" t="s">
        <v>2808</v>
      </c>
      <c r="F110" t="s">
        <v>2809</v>
      </c>
    </row>
    <row r="111" spans="1:6" x14ac:dyDescent="0.25">
      <c r="A111" t="str">
        <f t="shared" si="1"/>
        <v>52+7+203BD0900Y</v>
      </c>
      <c r="B111">
        <v>2667</v>
      </c>
      <c r="C111">
        <v>52</v>
      </c>
      <c r="D111">
        <v>7</v>
      </c>
      <c r="E111" t="s">
        <v>2810</v>
      </c>
      <c r="F111" t="s">
        <v>2811</v>
      </c>
    </row>
    <row r="112" spans="1:6" x14ac:dyDescent="0.25">
      <c r="A112" t="str">
        <f t="shared" si="1"/>
        <v>53+7+203BD0901N</v>
      </c>
      <c r="B112">
        <v>2668</v>
      </c>
      <c r="C112">
        <v>53</v>
      </c>
      <c r="D112">
        <v>7</v>
      </c>
      <c r="E112" t="s">
        <v>2812</v>
      </c>
      <c r="F112" t="s">
        <v>2813</v>
      </c>
    </row>
    <row r="113" spans="1:6" x14ac:dyDescent="0.25">
      <c r="A113" t="str">
        <f t="shared" si="1"/>
        <v>54+7+203BD0300N</v>
      </c>
      <c r="B113">
        <v>2669</v>
      </c>
      <c r="C113">
        <v>54</v>
      </c>
      <c r="D113">
        <v>7</v>
      </c>
      <c r="E113" t="s">
        <v>2814</v>
      </c>
      <c r="F113" t="s">
        <v>2815</v>
      </c>
    </row>
    <row r="114" spans="1:6" x14ac:dyDescent="0.25">
      <c r="A114" t="str">
        <f t="shared" si="1"/>
        <v>55+7+207P00000X</v>
      </c>
      <c r="B114">
        <v>2670</v>
      </c>
      <c r="C114">
        <v>55</v>
      </c>
      <c r="D114">
        <v>7</v>
      </c>
      <c r="E114" t="s">
        <v>1100</v>
      </c>
      <c r="F114" t="s">
        <v>2816</v>
      </c>
    </row>
    <row r="115" spans="1:6" x14ac:dyDescent="0.25">
      <c r="A115" t="str">
        <f t="shared" si="1"/>
        <v>56+7+203BE0100Y</v>
      </c>
      <c r="B115">
        <v>2671</v>
      </c>
      <c r="C115">
        <v>56</v>
      </c>
      <c r="D115">
        <v>7</v>
      </c>
      <c r="E115" t="s">
        <v>2817</v>
      </c>
      <c r="F115" t="s">
        <v>2818</v>
      </c>
    </row>
    <row r="116" spans="1:6" x14ac:dyDescent="0.25">
      <c r="A116" t="str">
        <f t="shared" si="1"/>
        <v>57+7+203BE0101Y</v>
      </c>
      <c r="B116">
        <v>2672</v>
      </c>
      <c r="C116">
        <v>57</v>
      </c>
      <c r="D116">
        <v>7</v>
      </c>
      <c r="E116" t="s">
        <v>2819</v>
      </c>
      <c r="F116" t="s">
        <v>1002</v>
      </c>
    </row>
    <row r="117" spans="1:6" x14ac:dyDescent="0.25">
      <c r="A117" t="str">
        <f t="shared" si="1"/>
        <v>58+7+203BE0102Y</v>
      </c>
      <c r="B117">
        <v>2673</v>
      </c>
      <c r="C117">
        <v>58</v>
      </c>
      <c r="D117">
        <v>7</v>
      </c>
      <c r="E117" t="s">
        <v>2820</v>
      </c>
      <c r="F117" t="s">
        <v>2821</v>
      </c>
    </row>
    <row r="118" spans="1:6" x14ac:dyDescent="0.25">
      <c r="A118" t="str">
        <f t="shared" si="1"/>
        <v>59+7+207Q00000X</v>
      </c>
      <c r="B118">
        <v>2674</v>
      </c>
      <c r="C118">
        <v>59</v>
      </c>
      <c r="D118">
        <v>7</v>
      </c>
      <c r="E118" t="s">
        <v>1114</v>
      </c>
      <c r="F118" t="s">
        <v>2822</v>
      </c>
    </row>
    <row r="119" spans="1:6" x14ac:dyDescent="0.25">
      <c r="A119" t="str">
        <f t="shared" si="1"/>
        <v>60+7+203BF0201Y</v>
      </c>
      <c r="B119">
        <v>2675</v>
      </c>
      <c r="C119">
        <v>60</v>
      </c>
      <c r="D119">
        <v>7</v>
      </c>
      <c r="E119" t="s">
        <v>2823</v>
      </c>
      <c r="F119" t="s">
        <v>2824</v>
      </c>
    </row>
    <row r="120" spans="1:6" x14ac:dyDescent="0.25">
      <c r="A120" t="str">
        <f t="shared" si="1"/>
        <v>61+7+203BF0202N</v>
      </c>
      <c r="B120">
        <v>2676</v>
      </c>
      <c r="C120">
        <v>61</v>
      </c>
      <c r="D120">
        <v>7</v>
      </c>
      <c r="E120" s="43" t="s">
        <v>2825</v>
      </c>
      <c r="F120" t="s">
        <v>2826</v>
      </c>
    </row>
    <row r="121" spans="1:6" x14ac:dyDescent="0.25">
      <c r="A121" t="str">
        <f t="shared" si="1"/>
        <v>62+7+203BG0100Y</v>
      </c>
      <c r="B121">
        <v>2677</v>
      </c>
      <c r="C121">
        <v>62</v>
      </c>
      <c r="D121">
        <v>7</v>
      </c>
      <c r="E121" t="s">
        <v>2827</v>
      </c>
      <c r="F121" t="s">
        <v>1139</v>
      </c>
    </row>
    <row r="122" spans="1:6" x14ac:dyDescent="0.25">
      <c r="A122" t="str">
        <f t="shared" si="1"/>
        <v>63+7+208D00000X</v>
      </c>
      <c r="B122">
        <v>2678</v>
      </c>
      <c r="C122">
        <v>63</v>
      </c>
      <c r="D122">
        <v>7</v>
      </c>
      <c r="E122" t="s">
        <v>1409</v>
      </c>
      <c r="F122" t="s">
        <v>1408</v>
      </c>
    </row>
    <row r="123" spans="1:6" x14ac:dyDescent="0.25">
      <c r="A123" t="str">
        <f t="shared" si="1"/>
        <v>64+7+203BG0201Y</v>
      </c>
      <c r="B123">
        <v>2679</v>
      </c>
      <c r="C123">
        <v>64</v>
      </c>
      <c r="D123">
        <v>7</v>
      </c>
      <c r="E123" t="s">
        <v>2828</v>
      </c>
      <c r="F123" t="s">
        <v>2829</v>
      </c>
    </row>
    <row r="124" spans="1:6" x14ac:dyDescent="0.25">
      <c r="A124" t="str">
        <f t="shared" si="1"/>
        <v>65+7+203BG0202Y</v>
      </c>
      <c r="B124">
        <v>2680</v>
      </c>
      <c r="C124">
        <v>65</v>
      </c>
      <c r="D124">
        <v>7</v>
      </c>
      <c r="E124" t="s">
        <v>2830</v>
      </c>
      <c r="F124" t="s">
        <v>2831</v>
      </c>
    </row>
    <row r="125" spans="1:6" x14ac:dyDescent="0.25">
      <c r="A125" t="str">
        <f t="shared" si="1"/>
        <v>66+3+1223E0200Y</v>
      </c>
      <c r="B125">
        <v>2681</v>
      </c>
      <c r="C125">
        <v>66</v>
      </c>
      <c r="D125">
        <v>3</v>
      </c>
      <c r="E125" t="s">
        <v>2745</v>
      </c>
      <c r="F125" t="s">
        <v>2746</v>
      </c>
    </row>
    <row r="126" spans="1:6" x14ac:dyDescent="0.25">
      <c r="A126" t="str">
        <f t="shared" si="1"/>
        <v>67+3+1223P0106Y</v>
      </c>
      <c r="B126">
        <v>2682</v>
      </c>
      <c r="C126">
        <v>67</v>
      </c>
      <c r="D126">
        <v>3</v>
      </c>
      <c r="E126" t="s">
        <v>2749</v>
      </c>
      <c r="F126" t="s">
        <v>2750</v>
      </c>
    </row>
    <row r="127" spans="1:6" x14ac:dyDescent="0.25">
      <c r="A127" t="str">
        <f t="shared" si="1"/>
        <v>68+3+1223P0300Y</v>
      </c>
      <c r="B127">
        <v>2683</v>
      </c>
      <c r="C127">
        <v>68</v>
      </c>
      <c r="D127">
        <v>3</v>
      </c>
      <c r="E127" t="s">
        <v>2753</v>
      </c>
      <c r="F127" t="s">
        <v>2754</v>
      </c>
    </row>
    <row r="128" spans="1:6" x14ac:dyDescent="0.25">
      <c r="A128" t="str">
        <f t="shared" si="1"/>
        <v>69+7+203BG0204Y</v>
      </c>
      <c r="B128">
        <v>2684</v>
      </c>
      <c r="C128">
        <v>69</v>
      </c>
      <c r="D128">
        <v>7</v>
      </c>
      <c r="E128" t="s">
        <v>2832</v>
      </c>
      <c r="F128" t="s">
        <v>2833</v>
      </c>
    </row>
    <row r="129" spans="1:6" x14ac:dyDescent="0.25">
      <c r="A129" t="str">
        <f t="shared" si="1"/>
        <v>70+7+203BG0203Y</v>
      </c>
      <c r="B129">
        <v>2685</v>
      </c>
      <c r="C129">
        <v>70</v>
      </c>
      <c r="D129">
        <v>7</v>
      </c>
      <c r="E129" t="s">
        <v>2834</v>
      </c>
      <c r="F129" t="s">
        <v>2835</v>
      </c>
    </row>
    <row r="130" spans="1:6" x14ac:dyDescent="0.25">
      <c r="A130" t="str">
        <f t="shared" ref="A130:A193" si="2">C130 &amp; "+" &amp; D130 &amp; "+" &amp; E130</f>
        <v>71+7+203BG0200Y</v>
      </c>
      <c r="B130">
        <v>2686</v>
      </c>
      <c r="C130">
        <v>71</v>
      </c>
      <c r="D130">
        <v>7</v>
      </c>
      <c r="E130" s="43" t="s">
        <v>2836</v>
      </c>
      <c r="F130" t="s">
        <v>2837</v>
      </c>
    </row>
    <row r="131" spans="1:6" x14ac:dyDescent="0.25">
      <c r="A131" t="str">
        <f t="shared" si="2"/>
        <v>72+7+203BG0300N</v>
      </c>
      <c r="B131">
        <v>2687</v>
      </c>
      <c r="C131">
        <v>72</v>
      </c>
      <c r="D131">
        <v>7</v>
      </c>
      <c r="E131" t="s">
        <v>2838</v>
      </c>
      <c r="F131" t="s">
        <v>1142</v>
      </c>
    </row>
    <row r="132" spans="1:6" x14ac:dyDescent="0.25">
      <c r="A132" t="str">
        <f t="shared" si="2"/>
        <v>73+7+203BG0301Y</v>
      </c>
      <c r="B132">
        <v>2688</v>
      </c>
      <c r="C132">
        <v>73</v>
      </c>
      <c r="D132">
        <v>7</v>
      </c>
      <c r="E132" t="s">
        <v>2839</v>
      </c>
      <c r="F132" t="s">
        <v>2840</v>
      </c>
    </row>
    <row r="133" spans="1:6" x14ac:dyDescent="0.25">
      <c r="A133" t="str">
        <f t="shared" si="2"/>
        <v>74+7+203BG0302Y</v>
      </c>
      <c r="B133">
        <v>2689</v>
      </c>
      <c r="C133">
        <v>74</v>
      </c>
      <c r="D133">
        <v>7</v>
      </c>
      <c r="E133" t="s">
        <v>2841</v>
      </c>
      <c r="F133" t="s">
        <v>2842</v>
      </c>
    </row>
    <row r="134" spans="1:6" x14ac:dyDescent="0.25">
      <c r="A134" t="str">
        <f t="shared" si="2"/>
        <v>75+7+203BG0303Y</v>
      </c>
      <c r="B134">
        <v>2690</v>
      </c>
      <c r="C134">
        <v>75</v>
      </c>
      <c r="D134">
        <v>7</v>
      </c>
      <c r="E134" t="s">
        <v>2843</v>
      </c>
      <c r="F134" t="s">
        <v>2844</v>
      </c>
    </row>
    <row r="135" spans="1:6" x14ac:dyDescent="0.25">
      <c r="A135" t="str">
        <f t="shared" si="2"/>
        <v>76+7+203BG0400N</v>
      </c>
      <c r="B135">
        <v>2691</v>
      </c>
      <c r="C135">
        <v>76</v>
      </c>
      <c r="D135">
        <v>7</v>
      </c>
      <c r="E135" s="43" t="s">
        <v>2845</v>
      </c>
      <c r="F135" t="s">
        <v>1183</v>
      </c>
    </row>
    <row r="136" spans="1:6" x14ac:dyDescent="0.25">
      <c r="A136" t="str">
        <f t="shared" si="2"/>
        <v>77+7+203BH0000Y</v>
      </c>
      <c r="B136">
        <v>2692</v>
      </c>
      <c r="C136">
        <v>77</v>
      </c>
      <c r="D136">
        <v>7</v>
      </c>
      <c r="E136" t="s">
        <v>2846</v>
      </c>
      <c r="F136" t="s">
        <v>1005</v>
      </c>
    </row>
    <row r="137" spans="1:6" x14ac:dyDescent="0.25">
      <c r="A137" t="str">
        <f t="shared" si="2"/>
        <v>77+50+207RH0000X</v>
      </c>
      <c r="B137">
        <v>10007</v>
      </c>
      <c r="C137">
        <v>77</v>
      </c>
      <c r="D137">
        <v>50</v>
      </c>
      <c r="E137" t="s">
        <v>1006</v>
      </c>
      <c r="F137" t="s">
        <v>3705</v>
      </c>
    </row>
    <row r="138" spans="1:6" x14ac:dyDescent="0.25">
      <c r="A138" t="str">
        <f t="shared" si="2"/>
        <v>77+50+207ZH0000X</v>
      </c>
      <c r="B138">
        <v>10010</v>
      </c>
      <c r="C138">
        <v>77</v>
      </c>
      <c r="D138">
        <v>50</v>
      </c>
      <c r="E138" t="s">
        <v>1038</v>
      </c>
      <c r="F138" t="s">
        <v>3706</v>
      </c>
    </row>
    <row r="139" spans="1:6" x14ac:dyDescent="0.25">
      <c r="A139" t="str">
        <f t="shared" si="2"/>
        <v>77+51+193400000X</v>
      </c>
      <c r="B139">
        <v>4453</v>
      </c>
      <c r="C139">
        <v>77</v>
      </c>
      <c r="D139">
        <v>51</v>
      </c>
      <c r="E139" t="s">
        <v>1447</v>
      </c>
      <c r="F139" t="s">
        <v>3680</v>
      </c>
    </row>
    <row r="140" spans="1:6" x14ac:dyDescent="0.25">
      <c r="A140" t="str">
        <f t="shared" si="2"/>
        <v>77+51+207RH0000X</v>
      </c>
      <c r="B140">
        <v>10008</v>
      </c>
      <c r="C140">
        <v>77</v>
      </c>
      <c r="D140">
        <v>51</v>
      </c>
      <c r="E140" t="s">
        <v>1006</v>
      </c>
      <c r="F140" t="s">
        <v>3705</v>
      </c>
    </row>
    <row r="141" spans="1:6" x14ac:dyDescent="0.25">
      <c r="A141" t="str">
        <f t="shared" si="2"/>
        <v>77+51+207ZH0000X</v>
      </c>
      <c r="B141">
        <v>10011</v>
      </c>
      <c r="C141">
        <v>77</v>
      </c>
      <c r="D141">
        <v>51</v>
      </c>
      <c r="E141" t="s">
        <v>1038</v>
      </c>
      <c r="F141" t="s">
        <v>3706</v>
      </c>
    </row>
    <row r="142" spans="1:6" x14ac:dyDescent="0.25">
      <c r="A142" t="str">
        <f t="shared" si="2"/>
        <v>77+114+207RH0000X</v>
      </c>
      <c r="B142">
        <v>10006</v>
      </c>
      <c r="C142">
        <v>77</v>
      </c>
      <c r="D142">
        <v>114</v>
      </c>
      <c r="E142" t="s">
        <v>1006</v>
      </c>
      <c r="F142" t="s">
        <v>3705</v>
      </c>
    </row>
    <row r="143" spans="1:6" x14ac:dyDescent="0.25">
      <c r="A143" t="str">
        <f t="shared" si="2"/>
        <v>77+114+207ZH0000X</v>
      </c>
      <c r="B143">
        <v>10009</v>
      </c>
      <c r="C143">
        <v>77</v>
      </c>
      <c r="D143">
        <v>114</v>
      </c>
      <c r="E143" t="s">
        <v>1038</v>
      </c>
      <c r="F143" t="s">
        <v>3706</v>
      </c>
    </row>
    <row r="144" spans="1:6" x14ac:dyDescent="0.25">
      <c r="A144" t="str">
        <f t="shared" si="2"/>
        <v>78+7+203BH0003Y</v>
      </c>
      <c r="B144">
        <v>2693</v>
      </c>
      <c r="C144">
        <v>78</v>
      </c>
      <c r="D144">
        <v>7</v>
      </c>
      <c r="E144" t="s">
        <v>2847</v>
      </c>
      <c r="F144" t="s">
        <v>1007</v>
      </c>
    </row>
    <row r="145" spans="1:6" x14ac:dyDescent="0.25">
      <c r="A145" t="str">
        <f t="shared" si="2"/>
        <v>79+7+203BH0001Y</v>
      </c>
      <c r="B145">
        <v>2694</v>
      </c>
      <c r="C145">
        <v>79</v>
      </c>
      <c r="D145">
        <v>7</v>
      </c>
      <c r="E145" t="s">
        <v>2848</v>
      </c>
      <c r="F145" t="s">
        <v>2849</v>
      </c>
    </row>
    <row r="146" spans="1:6" x14ac:dyDescent="0.25">
      <c r="A146" t="str">
        <f t="shared" si="2"/>
        <v>80+7+203BH0002Y</v>
      </c>
      <c r="B146">
        <v>2695</v>
      </c>
      <c r="C146">
        <v>80</v>
      </c>
      <c r="D146">
        <v>7</v>
      </c>
      <c r="E146" t="s">
        <v>2850</v>
      </c>
      <c r="F146" t="s">
        <v>2851</v>
      </c>
    </row>
    <row r="147" spans="1:6" x14ac:dyDescent="0.25">
      <c r="A147" t="str">
        <f t="shared" si="2"/>
        <v>81+7+203BI0001N</v>
      </c>
      <c r="B147">
        <v>2696</v>
      </c>
      <c r="C147">
        <v>81</v>
      </c>
      <c r="D147">
        <v>7</v>
      </c>
      <c r="E147" t="s">
        <v>2852</v>
      </c>
      <c r="F147" t="s">
        <v>2853</v>
      </c>
    </row>
    <row r="148" spans="1:6" x14ac:dyDescent="0.25">
      <c r="A148" t="str">
        <f t="shared" si="2"/>
        <v>82+7+203BI0002N</v>
      </c>
      <c r="B148">
        <v>2697</v>
      </c>
      <c r="C148">
        <v>82</v>
      </c>
      <c r="D148">
        <v>7</v>
      </c>
      <c r="E148" t="s">
        <v>2854</v>
      </c>
      <c r="F148" t="s">
        <v>2855</v>
      </c>
    </row>
    <row r="149" spans="1:6" x14ac:dyDescent="0.25">
      <c r="A149" t="str">
        <f t="shared" si="2"/>
        <v>83+7+203BI0005N</v>
      </c>
      <c r="B149">
        <v>2698</v>
      </c>
      <c r="C149">
        <v>83</v>
      </c>
      <c r="D149">
        <v>7</v>
      </c>
      <c r="E149" t="s">
        <v>2856</v>
      </c>
      <c r="F149" t="s">
        <v>2857</v>
      </c>
    </row>
    <row r="150" spans="1:6" x14ac:dyDescent="0.25">
      <c r="A150" t="str">
        <f t="shared" si="2"/>
        <v>84+7+203BI0006N</v>
      </c>
      <c r="B150">
        <v>2699</v>
      </c>
      <c r="C150">
        <v>84</v>
      </c>
      <c r="D150">
        <v>7</v>
      </c>
      <c r="E150" t="s">
        <v>2858</v>
      </c>
      <c r="F150" t="s">
        <v>2859</v>
      </c>
    </row>
    <row r="151" spans="1:6" x14ac:dyDescent="0.25">
      <c r="A151" t="str">
        <f t="shared" si="2"/>
        <v>85+7+203BI0007N</v>
      </c>
      <c r="B151">
        <v>2700</v>
      </c>
      <c r="C151">
        <v>85</v>
      </c>
      <c r="D151">
        <v>7</v>
      </c>
      <c r="E151" t="s">
        <v>2860</v>
      </c>
      <c r="F151" t="s">
        <v>2861</v>
      </c>
    </row>
    <row r="152" spans="1:6" x14ac:dyDescent="0.25">
      <c r="A152" t="str">
        <f t="shared" si="2"/>
        <v>86+7+203BI0003Y</v>
      </c>
      <c r="B152">
        <v>2701</v>
      </c>
      <c r="C152">
        <v>86</v>
      </c>
      <c r="D152">
        <v>7</v>
      </c>
      <c r="E152" t="s">
        <v>2862</v>
      </c>
      <c r="F152" t="s">
        <v>2863</v>
      </c>
    </row>
    <row r="153" spans="1:6" x14ac:dyDescent="0.25">
      <c r="A153" t="str">
        <f t="shared" si="2"/>
        <v>87+7+203BI0004Y</v>
      </c>
      <c r="B153">
        <v>2702</v>
      </c>
      <c r="C153">
        <v>87</v>
      </c>
      <c r="D153">
        <v>7</v>
      </c>
      <c r="E153" t="s">
        <v>2864</v>
      </c>
      <c r="F153" t="s">
        <v>2865</v>
      </c>
    </row>
    <row r="154" spans="1:6" x14ac:dyDescent="0.25">
      <c r="A154" t="str">
        <f t="shared" si="2"/>
        <v>88+7+203BI0100Y</v>
      </c>
      <c r="B154">
        <v>2703</v>
      </c>
      <c r="C154">
        <v>88</v>
      </c>
      <c r="D154">
        <v>7</v>
      </c>
      <c r="E154" t="s">
        <v>2866</v>
      </c>
      <c r="F154" t="s">
        <v>2867</v>
      </c>
    </row>
    <row r="155" spans="1:6" x14ac:dyDescent="0.25">
      <c r="A155" t="str">
        <f t="shared" si="2"/>
        <v>89+7+203BI0200Y</v>
      </c>
      <c r="B155">
        <v>2704</v>
      </c>
      <c r="C155">
        <v>89</v>
      </c>
      <c r="D155">
        <v>7</v>
      </c>
      <c r="E155" t="s">
        <v>2868</v>
      </c>
      <c r="F155" t="s">
        <v>1012</v>
      </c>
    </row>
    <row r="156" spans="1:6" x14ac:dyDescent="0.25">
      <c r="A156" t="str">
        <f t="shared" si="2"/>
        <v>89+51+193400000X</v>
      </c>
      <c r="B156">
        <v>4454</v>
      </c>
      <c r="C156">
        <v>89</v>
      </c>
      <c r="D156">
        <v>51</v>
      </c>
      <c r="E156" t="s">
        <v>1447</v>
      </c>
      <c r="F156" t="s">
        <v>1953</v>
      </c>
    </row>
    <row r="157" spans="1:6" x14ac:dyDescent="0.25">
      <c r="A157" t="str">
        <f t="shared" si="2"/>
        <v>90+7+203BI0400N</v>
      </c>
      <c r="B157">
        <v>2705</v>
      </c>
      <c r="C157">
        <v>90</v>
      </c>
      <c r="D157">
        <v>7</v>
      </c>
      <c r="E157" t="s">
        <v>2869</v>
      </c>
      <c r="F157" t="s">
        <v>2870</v>
      </c>
    </row>
    <row r="158" spans="1:6" x14ac:dyDescent="0.25">
      <c r="A158" t="str">
        <f t="shared" si="2"/>
        <v>91+7+207R00000X</v>
      </c>
      <c r="B158">
        <v>2706</v>
      </c>
      <c r="C158">
        <v>91</v>
      </c>
      <c r="D158">
        <v>7</v>
      </c>
      <c r="E158" t="s">
        <v>1125</v>
      </c>
      <c r="F158" t="s">
        <v>999</v>
      </c>
    </row>
    <row r="159" spans="1:6" x14ac:dyDescent="0.25">
      <c r="A159" t="str">
        <f t="shared" si="2"/>
        <v>92+7+203BL0000Y</v>
      </c>
      <c r="B159">
        <v>2707</v>
      </c>
      <c r="C159">
        <v>92</v>
      </c>
      <c r="D159">
        <v>7</v>
      </c>
      <c r="E159" t="s">
        <v>2871</v>
      </c>
      <c r="F159" t="s">
        <v>2872</v>
      </c>
    </row>
    <row r="160" spans="1:6" x14ac:dyDescent="0.25">
      <c r="A160" t="str">
        <f t="shared" si="2"/>
        <v>93+7+203BM0101Y</v>
      </c>
      <c r="B160">
        <v>2708</v>
      </c>
      <c r="C160">
        <v>93</v>
      </c>
      <c r="D160">
        <v>7</v>
      </c>
      <c r="E160" t="s">
        <v>2873</v>
      </c>
      <c r="F160" t="s">
        <v>1033</v>
      </c>
    </row>
    <row r="161" spans="1:6" x14ac:dyDescent="0.25">
      <c r="A161" t="str">
        <f t="shared" si="2"/>
        <v>94+7+203BM0200Y</v>
      </c>
      <c r="B161">
        <v>2709</v>
      </c>
      <c r="C161">
        <v>94</v>
      </c>
      <c r="D161">
        <v>7</v>
      </c>
      <c r="E161" t="s">
        <v>2874</v>
      </c>
      <c r="F161" t="s">
        <v>2875</v>
      </c>
    </row>
    <row r="162" spans="1:6" x14ac:dyDescent="0.25">
      <c r="A162" t="str">
        <f t="shared" si="2"/>
        <v>95+7+203BM0300Y</v>
      </c>
      <c r="B162">
        <v>2710</v>
      </c>
      <c r="C162">
        <v>95</v>
      </c>
      <c r="D162">
        <v>7</v>
      </c>
      <c r="E162" t="s">
        <v>2876</v>
      </c>
      <c r="F162" t="s">
        <v>2877</v>
      </c>
    </row>
    <row r="163" spans="1:6" x14ac:dyDescent="0.25">
      <c r="A163" t="str">
        <f t="shared" si="2"/>
        <v>96+7+203BN0001Y</v>
      </c>
      <c r="B163">
        <v>2711</v>
      </c>
      <c r="C163">
        <v>96</v>
      </c>
      <c r="D163">
        <v>7</v>
      </c>
      <c r="E163" t="s">
        <v>2878</v>
      </c>
      <c r="F163" t="s">
        <v>2879</v>
      </c>
    </row>
    <row r="164" spans="1:6" x14ac:dyDescent="0.25">
      <c r="A164" t="str">
        <f t="shared" si="2"/>
        <v>97+7+203BN0100Y</v>
      </c>
      <c r="B164">
        <v>2712</v>
      </c>
      <c r="C164">
        <v>97</v>
      </c>
      <c r="D164">
        <v>7</v>
      </c>
      <c r="E164" t="s">
        <v>2880</v>
      </c>
      <c r="F164" t="s">
        <v>2881</v>
      </c>
    </row>
    <row r="165" spans="1:6" x14ac:dyDescent="0.25">
      <c r="A165" t="str">
        <f t="shared" si="2"/>
        <v>98+7+203BN0200N</v>
      </c>
      <c r="B165">
        <v>2713</v>
      </c>
      <c r="C165">
        <v>98</v>
      </c>
      <c r="D165">
        <v>7</v>
      </c>
      <c r="E165" t="s">
        <v>2882</v>
      </c>
      <c r="F165" t="s">
        <v>2883</v>
      </c>
    </row>
    <row r="166" spans="1:6" x14ac:dyDescent="0.25">
      <c r="A166" t="str">
        <f t="shared" si="2"/>
        <v>99+7+203BN0300Y</v>
      </c>
      <c r="B166">
        <v>2714</v>
      </c>
      <c r="C166">
        <v>99</v>
      </c>
      <c r="D166">
        <v>7</v>
      </c>
      <c r="E166" t="s">
        <v>2884</v>
      </c>
      <c r="F166" t="s">
        <v>1153</v>
      </c>
    </row>
    <row r="167" spans="1:6" x14ac:dyDescent="0.25">
      <c r="A167" t="str">
        <f t="shared" si="2"/>
        <v>100+7+203BN0400Y</v>
      </c>
      <c r="B167">
        <v>2715</v>
      </c>
      <c r="C167">
        <v>100</v>
      </c>
      <c r="D167">
        <v>7</v>
      </c>
      <c r="E167" t="s">
        <v>2885</v>
      </c>
      <c r="F167" t="s">
        <v>2731</v>
      </c>
    </row>
    <row r="168" spans="1:6" x14ac:dyDescent="0.25">
      <c r="A168" t="str">
        <f t="shared" si="2"/>
        <v>101+7+203BN0402Y</v>
      </c>
      <c r="B168">
        <v>2716</v>
      </c>
      <c r="C168">
        <v>101</v>
      </c>
      <c r="D168">
        <v>7</v>
      </c>
      <c r="E168" t="s">
        <v>2886</v>
      </c>
      <c r="F168" t="s">
        <v>2887</v>
      </c>
    </row>
    <row r="169" spans="1:6" x14ac:dyDescent="0.25">
      <c r="A169" t="str">
        <f t="shared" si="2"/>
        <v>102+7+203BN0500Y</v>
      </c>
      <c r="B169">
        <v>2717</v>
      </c>
      <c r="C169">
        <v>102</v>
      </c>
      <c r="D169">
        <v>7</v>
      </c>
      <c r="E169" t="s">
        <v>2888</v>
      </c>
      <c r="F169" t="s">
        <v>2889</v>
      </c>
    </row>
    <row r="170" spans="1:6" x14ac:dyDescent="0.25">
      <c r="A170" t="str">
        <f t="shared" si="2"/>
        <v>103+7+203BN0600Y</v>
      </c>
      <c r="B170">
        <v>2718</v>
      </c>
      <c r="C170">
        <v>103</v>
      </c>
      <c r="D170">
        <v>7</v>
      </c>
      <c r="E170" t="s">
        <v>2890</v>
      </c>
      <c r="F170" t="s">
        <v>2891</v>
      </c>
    </row>
    <row r="171" spans="1:6" x14ac:dyDescent="0.25">
      <c r="A171" t="str">
        <f t="shared" si="2"/>
        <v>104+7+203BN0700Y</v>
      </c>
      <c r="B171">
        <v>2719</v>
      </c>
      <c r="C171">
        <v>104</v>
      </c>
      <c r="D171">
        <v>7</v>
      </c>
      <c r="E171" t="s">
        <v>2892</v>
      </c>
      <c r="F171" t="s">
        <v>2893</v>
      </c>
    </row>
    <row r="172" spans="1:6" x14ac:dyDescent="0.25">
      <c r="A172" t="str">
        <f t="shared" si="2"/>
        <v>105+7+203BN0901Y</v>
      </c>
      <c r="B172">
        <v>2720</v>
      </c>
      <c r="C172">
        <v>105</v>
      </c>
      <c r="D172">
        <v>7</v>
      </c>
      <c r="E172" t="s">
        <v>2894</v>
      </c>
      <c r="F172" t="s">
        <v>1170</v>
      </c>
    </row>
    <row r="173" spans="1:6" x14ac:dyDescent="0.25">
      <c r="A173" t="str">
        <f t="shared" si="2"/>
        <v>106+7+203BN0902Y</v>
      </c>
      <c r="B173">
        <v>2721</v>
      </c>
      <c r="C173">
        <v>106</v>
      </c>
      <c r="D173">
        <v>7</v>
      </c>
      <c r="E173" t="s">
        <v>2895</v>
      </c>
      <c r="F173" t="s">
        <v>1172</v>
      </c>
    </row>
    <row r="174" spans="1:6" x14ac:dyDescent="0.25">
      <c r="A174" t="str">
        <f t="shared" si="2"/>
        <v>107+7+207U00000X</v>
      </c>
      <c r="B174">
        <v>2722</v>
      </c>
      <c r="C174">
        <v>107</v>
      </c>
      <c r="D174">
        <v>7</v>
      </c>
      <c r="E174" t="s">
        <v>1169</v>
      </c>
      <c r="F174" t="s">
        <v>1168</v>
      </c>
    </row>
    <row r="175" spans="1:6" x14ac:dyDescent="0.25">
      <c r="A175" t="str">
        <f t="shared" si="2"/>
        <v>108+7+203BN0903Y</v>
      </c>
      <c r="B175">
        <v>2723</v>
      </c>
      <c r="C175">
        <v>108</v>
      </c>
      <c r="D175">
        <v>7</v>
      </c>
      <c r="E175" t="s">
        <v>2896</v>
      </c>
      <c r="F175" t="s">
        <v>2897</v>
      </c>
    </row>
    <row r="176" spans="1:6" x14ac:dyDescent="0.25">
      <c r="A176" t="str">
        <f t="shared" si="2"/>
        <v>109+7+203BN0904Y</v>
      </c>
      <c r="B176">
        <v>2724</v>
      </c>
      <c r="C176">
        <v>109</v>
      </c>
      <c r="D176">
        <v>7</v>
      </c>
      <c r="E176" t="s">
        <v>2898</v>
      </c>
      <c r="F176" t="s">
        <v>2899</v>
      </c>
    </row>
    <row r="177" spans="1:6" x14ac:dyDescent="0.25">
      <c r="A177" t="str">
        <f t="shared" si="2"/>
        <v>110+7+203BX0000N</v>
      </c>
      <c r="B177">
        <v>2725</v>
      </c>
      <c r="C177">
        <v>110</v>
      </c>
      <c r="D177">
        <v>7</v>
      </c>
      <c r="E177" t="s">
        <v>2900</v>
      </c>
      <c r="F177" t="s">
        <v>1187</v>
      </c>
    </row>
    <row r="178" spans="1:6" x14ac:dyDescent="0.25">
      <c r="A178" t="str">
        <f t="shared" si="2"/>
        <v>111+7+207V00000X</v>
      </c>
      <c r="B178">
        <v>2726</v>
      </c>
      <c r="C178">
        <v>111</v>
      </c>
      <c r="D178">
        <v>7</v>
      </c>
      <c r="E178" t="s">
        <v>1176</v>
      </c>
      <c r="F178" t="s">
        <v>1032</v>
      </c>
    </row>
    <row r="179" spans="1:6" x14ac:dyDescent="0.25">
      <c r="A179" t="str">
        <f t="shared" si="2"/>
        <v>112+7+203BX0100Y</v>
      </c>
      <c r="B179">
        <v>2727</v>
      </c>
      <c r="C179">
        <v>112</v>
      </c>
      <c r="D179">
        <v>7</v>
      </c>
      <c r="E179" t="s">
        <v>2901</v>
      </c>
      <c r="F179" t="s">
        <v>2735</v>
      </c>
    </row>
    <row r="180" spans="1:6" x14ac:dyDescent="0.25">
      <c r="A180" t="str">
        <f t="shared" si="2"/>
        <v>113+7+203BX0104Y</v>
      </c>
      <c r="B180">
        <v>2728</v>
      </c>
      <c r="C180">
        <v>113</v>
      </c>
      <c r="D180">
        <v>7</v>
      </c>
      <c r="E180" t="s">
        <v>2902</v>
      </c>
      <c r="F180" t="s">
        <v>2903</v>
      </c>
    </row>
    <row r="181" spans="1:6" x14ac:dyDescent="0.25">
      <c r="A181" t="str">
        <f t="shared" si="2"/>
        <v>114+7+203BX0105Y</v>
      </c>
      <c r="B181">
        <v>2729</v>
      </c>
      <c r="C181">
        <v>114</v>
      </c>
      <c r="D181">
        <v>7</v>
      </c>
      <c r="E181" t="s">
        <v>2904</v>
      </c>
      <c r="F181" t="s">
        <v>2905</v>
      </c>
    </row>
    <row r="182" spans="1:6" x14ac:dyDescent="0.25">
      <c r="A182" t="str">
        <f t="shared" si="2"/>
        <v>115+7+203BX0200Y</v>
      </c>
      <c r="B182">
        <v>2730</v>
      </c>
      <c r="C182">
        <v>115</v>
      </c>
      <c r="D182">
        <v>7</v>
      </c>
      <c r="E182" t="s">
        <v>2906</v>
      </c>
      <c r="F182" t="s">
        <v>2907</v>
      </c>
    </row>
    <row r="183" spans="1:6" x14ac:dyDescent="0.25">
      <c r="A183" t="str">
        <f t="shared" si="2"/>
        <v>116+7+203BX0201Y</v>
      </c>
      <c r="B183">
        <v>2731</v>
      </c>
      <c r="C183">
        <v>116</v>
      </c>
      <c r="D183">
        <v>7</v>
      </c>
      <c r="E183" t="s">
        <v>2908</v>
      </c>
      <c r="F183" t="s">
        <v>2909</v>
      </c>
    </row>
    <row r="184" spans="1:6" x14ac:dyDescent="0.25">
      <c r="A184" t="str">
        <f t="shared" si="2"/>
        <v>117+7+203BX0202Y</v>
      </c>
      <c r="B184">
        <v>2732</v>
      </c>
      <c r="C184">
        <v>117</v>
      </c>
      <c r="D184">
        <v>7</v>
      </c>
      <c r="E184" t="s">
        <v>2910</v>
      </c>
      <c r="F184" t="s">
        <v>2911</v>
      </c>
    </row>
    <row r="185" spans="1:6" x14ac:dyDescent="0.25">
      <c r="A185" t="str">
        <f t="shared" si="2"/>
        <v>118+7+207W00000X</v>
      </c>
      <c r="B185">
        <v>2733</v>
      </c>
      <c r="C185">
        <v>118</v>
      </c>
      <c r="D185">
        <v>7</v>
      </c>
      <c r="E185" t="s">
        <v>1193</v>
      </c>
      <c r="F185" t="s">
        <v>1192</v>
      </c>
    </row>
    <row r="186" spans="1:6" x14ac:dyDescent="0.25">
      <c r="A186" t="str">
        <f t="shared" si="2"/>
        <v>119+7+203BX0800N</v>
      </c>
      <c r="B186">
        <v>2734</v>
      </c>
      <c r="C186">
        <v>119</v>
      </c>
      <c r="D186">
        <v>7</v>
      </c>
      <c r="E186" t="s">
        <v>2912</v>
      </c>
      <c r="F186" t="s">
        <v>2737</v>
      </c>
    </row>
    <row r="187" spans="1:6" x14ac:dyDescent="0.25">
      <c r="A187" t="str">
        <f t="shared" si="2"/>
        <v>120+7+203BX2100Y</v>
      </c>
      <c r="B187">
        <v>2735</v>
      </c>
      <c r="C187">
        <v>120</v>
      </c>
      <c r="D187">
        <v>7</v>
      </c>
      <c r="E187" t="s">
        <v>2913</v>
      </c>
      <c r="F187" t="s">
        <v>2914</v>
      </c>
    </row>
    <row r="188" spans="1:6" x14ac:dyDescent="0.25">
      <c r="A188" t="str">
        <f t="shared" si="2"/>
        <v>121+7+207Y00000X</v>
      </c>
      <c r="B188">
        <v>2736</v>
      </c>
      <c r="C188">
        <v>121</v>
      </c>
      <c r="D188">
        <v>7</v>
      </c>
      <c r="E188" t="s">
        <v>1213</v>
      </c>
      <c r="F188" t="s">
        <v>1212</v>
      </c>
    </row>
    <row r="189" spans="1:6" x14ac:dyDescent="0.25">
      <c r="A189" t="str">
        <f t="shared" si="2"/>
        <v>122+7+203BX0900N</v>
      </c>
      <c r="B189">
        <v>2737</v>
      </c>
      <c r="C189">
        <v>122</v>
      </c>
      <c r="D189">
        <v>7</v>
      </c>
      <c r="E189" t="s">
        <v>2915</v>
      </c>
      <c r="F189" t="s">
        <v>2916</v>
      </c>
    </row>
    <row r="190" spans="1:6" x14ac:dyDescent="0.25">
      <c r="A190" t="str">
        <f t="shared" si="2"/>
        <v>123+7+203BX0901N</v>
      </c>
      <c r="B190">
        <v>2738</v>
      </c>
      <c r="C190">
        <v>123</v>
      </c>
      <c r="D190">
        <v>7</v>
      </c>
      <c r="E190" t="s">
        <v>2917</v>
      </c>
      <c r="F190" t="s">
        <v>1226</v>
      </c>
    </row>
    <row r="191" spans="1:6" x14ac:dyDescent="0.25">
      <c r="A191" t="str">
        <f t="shared" si="2"/>
        <v>124+7+203BX0600Y</v>
      </c>
      <c r="B191">
        <v>2739</v>
      </c>
      <c r="C191">
        <v>124</v>
      </c>
      <c r="D191">
        <v>7</v>
      </c>
      <c r="E191" t="s">
        <v>2918</v>
      </c>
      <c r="F191" t="s">
        <v>2919</v>
      </c>
    </row>
    <row r="192" spans="1:6" x14ac:dyDescent="0.25">
      <c r="A192" t="str">
        <f t="shared" si="2"/>
        <v>125+7+203BX0601N</v>
      </c>
      <c r="B192">
        <v>2740</v>
      </c>
      <c r="C192">
        <v>125</v>
      </c>
      <c r="D192">
        <v>7</v>
      </c>
      <c r="E192" t="s">
        <v>2920</v>
      </c>
      <c r="F192" t="s">
        <v>2921</v>
      </c>
    </row>
    <row r="193" spans="1:6" x14ac:dyDescent="0.25">
      <c r="A193" t="str">
        <f t="shared" si="2"/>
        <v>126+7+203BP0001Y</v>
      </c>
      <c r="B193">
        <v>2741</v>
      </c>
      <c r="C193">
        <v>126</v>
      </c>
      <c r="D193">
        <v>7</v>
      </c>
      <c r="E193" t="s">
        <v>2922</v>
      </c>
      <c r="F193" t="s">
        <v>2923</v>
      </c>
    </row>
    <row r="194" spans="1:6" x14ac:dyDescent="0.25">
      <c r="A194" t="str">
        <f t="shared" ref="A194:A257" si="3">C194 &amp; "+" &amp; D194 &amp; "+" &amp; E194</f>
        <v>127+7+203BP2900N</v>
      </c>
      <c r="B194">
        <v>2742</v>
      </c>
      <c r="C194">
        <v>127</v>
      </c>
      <c r="D194">
        <v>7</v>
      </c>
      <c r="E194" t="s">
        <v>2924</v>
      </c>
      <c r="F194" t="s">
        <v>1082</v>
      </c>
    </row>
    <row r="195" spans="1:6" x14ac:dyDescent="0.25">
      <c r="A195" t="str">
        <f t="shared" si="3"/>
        <v>128+7+203BP0100Y</v>
      </c>
      <c r="B195">
        <v>2743</v>
      </c>
      <c r="C195">
        <v>128</v>
      </c>
      <c r="D195">
        <v>7</v>
      </c>
      <c r="E195" t="s">
        <v>2925</v>
      </c>
      <c r="F195" t="s">
        <v>2714</v>
      </c>
    </row>
    <row r="196" spans="1:6" x14ac:dyDescent="0.25">
      <c r="A196" t="str">
        <f t="shared" si="3"/>
        <v>129+7+203BP0101Y</v>
      </c>
      <c r="B196">
        <v>2744</v>
      </c>
      <c r="C196">
        <v>129</v>
      </c>
      <c r="D196">
        <v>7</v>
      </c>
      <c r="E196" t="s">
        <v>2926</v>
      </c>
      <c r="F196" t="s">
        <v>2927</v>
      </c>
    </row>
    <row r="197" spans="1:6" x14ac:dyDescent="0.25">
      <c r="A197" t="str">
        <f t="shared" si="3"/>
        <v>130+7+203BP0102Y</v>
      </c>
      <c r="B197">
        <v>2745</v>
      </c>
      <c r="C197">
        <v>130</v>
      </c>
      <c r="D197">
        <v>7</v>
      </c>
      <c r="E197" t="s">
        <v>2928</v>
      </c>
      <c r="F197" t="s">
        <v>2929</v>
      </c>
    </row>
    <row r="198" spans="1:6" x14ac:dyDescent="0.25">
      <c r="A198" t="str">
        <f t="shared" si="3"/>
        <v>131+7+203BP0103Y</v>
      </c>
      <c r="B198">
        <v>2746</v>
      </c>
      <c r="C198">
        <v>131</v>
      </c>
      <c r="D198">
        <v>7</v>
      </c>
      <c r="E198" t="s">
        <v>2930</v>
      </c>
      <c r="F198" t="s">
        <v>2931</v>
      </c>
    </row>
    <row r="199" spans="1:6" x14ac:dyDescent="0.25">
      <c r="A199" t="str">
        <f t="shared" si="3"/>
        <v>132+7+203BP0104Y</v>
      </c>
      <c r="B199">
        <v>2747</v>
      </c>
      <c r="C199">
        <v>132</v>
      </c>
      <c r="D199">
        <v>7</v>
      </c>
      <c r="E199" t="s">
        <v>2932</v>
      </c>
      <c r="F199" t="s">
        <v>2933</v>
      </c>
    </row>
    <row r="200" spans="1:6" x14ac:dyDescent="0.25">
      <c r="A200" t="str">
        <f t="shared" si="3"/>
        <v>133+7+203BP0105Y</v>
      </c>
      <c r="B200">
        <v>2748</v>
      </c>
      <c r="C200">
        <v>133</v>
      </c>
      <c r="D200">
        <v>7</v>
      </c>
      <c r="E200" t="s">
        <v>2934</v>
      </c>
      <c r="F200" t="s">
        <v>2935</v>
      </c>
    </row>
    <row r="201" spans="1:6" x14ac:dyDescent="0.25">
      <c r="A201" t="str">
        <f t="shared" si="3"/>
        <v>134+7+203BP0107N</v>
      </c>
      <c r="B201">
        <v>2749</v>
      </c>
      <c r="C201">
        <v>134</v>
      </c>
      <c r="D201">
        <v>7</v>
      </c>
      <c r="E201" t="s">
        <v>2936</v>
      </c>
      <c r="F201" t="s">
        <v>2937</v>
      </c>
    </row>
    <row r="202" spans="1:6" x14ac:dyDescent="0.25">
      <c r="A202" t="str">
        <f t="shared" si="3"/>
        <v>135+7+203BP0201Y</v>
      </c>
      <c r="B202">
        <v>2750</v>
      </c>
      <c r="C202">
        <v>135</v>
      </c>
      <c r="D202">
        <v>7</v>
      </c>
      <c r="E202" t="s">
        <v>2938</v>
      </c>
      <c r="F202" t="s">
        <v>2939</v>
      </c>
    </row>
    <row r="203" spans="1:6" x14ac:dyDescent="0.25">
      <c r="A203" t="str">
        <f t="shared" si="3"/>
        <v>136+7+203BP0202Y</v>
      </c>
      <c r="B203">
        <v>2751</v>
      </c>
      <c r="C203">
        <v>136</v>
      </c>
      <c r="D203">
        <v>7</v>
      </c>
      <c r="E203" t="s">
        <v>2940</v>
      </c>
      <c r="F203" t="s">
        <v>2941</v>
      </c>
    </row>
    <row r="204" spans="1:6" x14ac:dyDescent="0.25">
      <c r="A204" t="str">
        <f t="shared" si="3"/>
        <v>137+7+203BP0203Y</v>
      </c>
      <c r="B204">
        <v>2752</v>
      </c>
      <c r="C204">
        <v>137</v>
      </c>
      <c r="D204">
        <v>7</v>
      </c>
      <c r="E204" t="s">
        <v>2942</v>
      </c>
      <c r="F204" t="s">
        <v>2943</v>
      </c>
    </row>
    <row r="205" spans="1:6" x14ac:dyDescent="0.25">
      <c r="A205" t="str">
        <f t="shared" si="3"/>
        <v>138+7+203BP0204Y</v>
      </c>
      <c r="B205">
        <v>2753</v>
      </c>
      <c r="C205">
        <v>138</v>
      </c>
      <c r="D205">
        <v>7</v>
      </c>
      <c r="E205" t="s">
        <v>2944</v>
      </c>
      <c r="F205" t="s">
        <v>2945</v>
      </c>
    </row>
    <row r="206" spans="1:6" x14ac:dyDescent="0.25">
      <c r="A206" t="str">
        <f t="shared" si="3"/>
        <v>139+7+203BP0205Y</v>
      </c>
      <c r="B206">
        <v>2754</v>
      </c>
      <c r="C206">
        <v>139</v>
      </c>
      <c r="D206">
        <v>7</v>
      </c>
      <c r="E206" t="s">
        <v>2946</v>
      </c>
      <c r="F206" t="s">
        <v>2947</v>
      </c>
    </row>
    <row r="207" spans="1:6" x14ac:dyDescent="0.25">
      <c r="A207" t="str">
        <f t="shared" si="3"/>
        <v>140+7+203BP0206Y</v>
      </c>
      <c r="B207">
        <v>2755</v>
      </c>
      <c r="C207">
        <v>140</v>
      </c>
      <c r="D207">
        <v>7</v>
      </c>
      <c r="E207" t="s">
        <v>2948</v>
      </c>
      <c r="F207" t="s">
        <v>2949</v>
      </c>
    </row>
    <row r="208" spans="1:6" x14ac:dyDescent="0.25">
      <c r="A208" t="str">
        <f t="shared" si="3"/>
        <v>141+7+203BP0207Y</v>
      </c>
      <c r="B208">
        <v>2756</v>
      </c>
      <c r="C208">
        <v>141</v>
      </c>
      <c r="D208">
        <v>7</v>
      </c>
      <c r="E208" t="s">
        <v>2950</v>
      </c>
      <c r="F208" t="s">
        <v>2951</v>
      </c>
    </row>
    <row r="209" spans="1:6" x14ac:dyDescent="0.25">
      <c r="A209" t="str">
        <f t="shared" si="3"/>
        <v>142+7+203BP0208Y</v>
      </c>
      <c r="B209">
        <v>2757</v>
      </c>
      <c r="C209">
        <v>142</v>
      </c>
      <c r="D209">
        <v>7</v>
      </c>
      <c r="E209" t="s">
        <v>2952</v>
      </c>
      <c r="F209" t="s">
        <v>2953</v>
      </c>
    </row>
    <row r="210" spans="1:6" x14ac:dyDescent="0.25">
      <c r="A210" t="str">
        <f t="shared" si="3"/>
        <v>143+7+203BP0209Y</v>
      </c>
      <c r="B210">
        <v>2758</v>
      </c>
      <c r="C210">
        <v>143</v>
      </c>
      <c r="D210">
        <v>7</v>
      </c>
      <c r="E210" t="s">
        <v>2954</v>
      </c>
      <c r="F210" t="s">
        <v>2955</v>
      </c>
    </row>
    <row r="211" spans="1:6" x14ac:dyDescent="0.25">
      <c r="A211" t="str">
        <f t="shared" si="3"/>
        <v>144+7+203BP0220N</v>
      </c>
      <c r="B211">
        <v>2759</v>
      </c>
      <c r="C211">
        <v>144</v>
      </c>
      <c r="D211">
        <v>7</v>
      </c>
      <c r="E211" t="s">
        <v>2956</v>
      </c>
      <c r="F211" t="s">
        <v>2957</v>
      </c>
    </row>
    <row r="212" spans="1:6" x14ac:dyDescent="0.25">
      <c r="A212" t="str">
        <f t="shared" si="3"/>
        <v>145+7+203BP0210Y</v>
      </c>
      <c r="B212">
        <v>2760</v>
      </c>
      <c r="C212">
        <v>145</v>
      </c>
      <c r="D212">
        <v>7</v>
      </c>
      <c r="E212" t="s">
        <v>2958</v>
      </c>
      <c r="F212" t="s">
        <v>2959</v>
      </c>
    </row>
    <row r="213" spans="1:6" x14ac:dyDescent="0.25">
      <c r="A213" t="str">
        <f t="shared" si="3"/>
        <v>146+7+203BP0211Y</v>
      </c>
      <c r="B213">
        <v>2761</v>
      </c>
      <c r="C213">
        <v>146</v>
      </c>
      <c r="D213">
        <v>7</v>
      </c>
      <c r="E213" t="s">
        <v>2960</v>
      </c>
      <c r="F213" t="s">
        <v>2961</v>
      </c>
    </row>
    <row r="214" spans="1:6" x14ac:dyDescent="0.25">
      <c r="A214" t="str">
        <f t="shared" si="3"/>
        <v>147+7+203BP0212Y</v>
      </c>
      <c r="B214">
        <v>2762</v>
      </c>
      <c r="C214">
        <v>147</v>
      </c>
      <c r="D214">
        <v>7</v>
      </c>
      <c r="E214" t="s">
        <v>2962</v>
      </c>
      <c r="F214" t="s">
        <v>1215</v>
      </c>
    </row>
    <row r="215" spans="1:6" x14ac:dyDescent="0.25">
      <c r="A215" t="str">
        <f t="shared" si="3"/>
        <v>148+7+203BP0213Y</v>
      </c>
      <c r="B215">
        <v>2763</v>
      </c>
      <c r="C215">
        <v>148</v>
      </c>
      <c r="D215">
        <v>7</v>
      </c>
      <c r="E215" t="s">
        <v>2963</v>
      </c>
      <c r="F215" t="s">
        <v>2964</v>
      </c>
    </row>
    <row r="216" spans="1:6" x14ac:dyDescent="0.25">
      <c r="A216" t="str">
        <f t="shared" si="3"/>
        <v>149+7+203BP0214Y</v>
      </c>
      <c r="B216">
        <v>2764</v>
      </c>
      <c r="C216">
        <v>149</v>
      </c>
      <c r="D216">
        <v>7</v>
      </c>
      <c r="E216" t="s">
        <v>2965</v>
      </c>
      <c r="F216" t="s">
        <v>2966</v>
      </c>
    </row>
    <row r="217" spans="1:6" x14ac:dyDescent="0.25">
      <c r="A217" t="str">
        <f t="shared" si="3"/>
        <v>150+7+203BP0215N</v>
      </c>
      <c r="B217">
        <v>2765</v>
      </c>
      <c r="C217">
        <v>150</v>
      </c>
      <c r="D217">
        <v>7</v>
      </c>
      <c r="E217" t="s">
        <v>2967</v>
      </c>
      <c r="F217" t="s">
        <v>2968</v>
      </c>
    </row>
    <row r="218" spans="1:6" x14ac:dyDescent="0.25">
      <c r="A218" t="str">
        <f t="shared" si="3"/>
        <v>151+7+203BP0216Y</v>
      </c>
      <c r="B218">
        <v>2766</v>
      </c>
      <c r="C218">
        <v>151</v>
      </c>
      <c r="D218">
        <v>7</v>
      </c>
      <c r="E218" t="s">
        <v>2969</v>
      </c>
      <c r="F218" t="s">
        <v>2970</v>
      </c>
    </row>
    <row r="219" spans="1:6" x14ac:dyDescent="0.25">
      <c r="A219" t="str">
        <f t="shared" si="3"/>
        <v>152+7+203BP0200Y</v>
      </c>
      <c r="B219">
        <v>2767</v>
      </c>
      <c r="C219">
        <v>152</v>
      </c>
      <c r="D219">
        <v>7</v>
      </c>
      <c r="E219" t="s">
        <v>2971</v>
      </c>
      <c r="F219" t="s">
        <v>1263</v>
      </c>
    </row>
    <row r="220" spans="1:6" x14ac:dyDescent="0.25">
      <c r="A220" t="str">
        <f t="shared" si="3"/>
        <v>153+7+203BP2600N</v>
      </c>
      <c r="B220">
        <v>2768</v>
      </c>
      <c r="C220">
        <v>153</v>
      </c>
      <c r="D220">
        <v>7</v>
      </c>
      <c r="E220" t="s">
        <v>2972</v>
      </c>
      <c r="F220" t="s">
        <v>2973</v>
      </c>
    </row>
    <row r="221" spans="1:6" x14ac:dyDescent="0.25">
      <c r="A221" t="str">
        <f t="shared" si="3"/>
        <v>154+7+203BP1200N</v>
      </c>
      <c r="B221">
        <v>2769</v>
      </c>
      <c r="C221">
        <v>154</v>
      </c>
      <c r="D221">
        <v>7</v>
      </c>
      <c r="E221" t="s">
        <v>2974</v>
      </c>
      <c r="F221" t="s">
        <v>2975</v>
      </c>
    </row>
    <row r="222" spans="1:6" x14ac:dyDescent="0.25">
      <c r="A222" t="str">
        <f t="shared" si="3"/>
        <v>155+7+208100000X</v>
      </c>
      <c r="B222">
        <v>2770</v>
      </c>
      <c r="C222">
        <v>155</v>
      </c>
      <c r="D222">
        <v>7</v>
      </c>
      <c r="E222" t="s">
        <v>1302</v>
      </c>
      <c r="F222" t="s">
        <v>2976</v>
      </c>
    </row>
    <row r="223" spans="1:6" x14ac:dyDescent="0.25">
      <c r="A223" t="str">
        <f t="shared" si="3"/>
        <v>156+7+203BP0500Y</v>
      </c>
      <c r="B223">
        <v>2771</v>
      </c>
      <c r="C223">
        <v>156</v>
      </c>
      <c r="D223">
        <v>7</v>
      </c>
      <c r="E223" t="s">
        <v>2977</v>
      </c>
      <c r="F223" t="s">
        <v>2978</v>
      </c>
    </row>
    <row r="224" spans="1:6" x14ac:dyDescent="0.25">
      <c r="A224" t="str">
        <f t="shared" si="3"/>
        <v>157+7+203BP0600Y</v>
      </c>
      <c r="B224">
        <v>2772</v>
      </c>
      <c r="C224">
        <v>157</v>
      </c>
      <c r="D224">
        <v>7</v>
      </c>
      <c r="E224" t="s">
        <v>2979</v>
      </c>
      <c r="F224" t="s">
        <v>2980</v>
      </c>
    </row>
    <row r="225" spans="1:6" x14ac:dyDescent="0.25">
      <c r="A225" t="str">
        <f t="shared" si="3"/>
        <v>158+7+203BP0800Y</v>
      </c>
      <c r="B225">
        <v>2773</v>
      </c>
      <c r="C225">
        <v>158</v>
      </c>
      <c r="D225">
        <v>7</v>
      </c>
      <c r="E225" t="s">
        <v>2981</v>
      </c>
      <c r="F225" t="s">
        <v>1333</v>
      </c>
    </row>
    <row r="226" spans="1:6" x14ac:dyDescent="0.25">
      <c r="A226" t="str">
        <f t="shared" si="3"/>
        <v>159+7+203BP0801Y</v>
      </c>
      <c r="B226">
        <v>2774</v>
      </c>
      <c r="C226">
        <v>159</v>
      </c>
      <c r="D226">
        <v>7</v>
      </c>
      <c r="E226" t="s">
        <v>2982</v>
      </c>
      <c r="F226" t="s">
        <v>2983</v>
      </c>
    </row>
    <row r="227" spans="1:6" x14ac:dyDescent="0.25">
      <c r="A227" t="str">
        <f t="shared" si="3"/>
        <v>160+7+203BP0802Y</v>
      </c>
      <c r="B227">
        <v>2775</v>
      </c>
      <c r="C227">
        <v>160</v>
      </c>
      <c r="D227">
        <v>7</v>
      </c>
      <c r="E227" t="s">
        <v>2984</v>
      </c>
      <c r="F227" t="s">
        <v>2985</v>
      </c>
    </row>
    <row r="228" spans="1:6" x14ac:dyDescent="0.25">
      <c r="A228" t="str">
        <f t="shared" si="3"/>
        <v>161+7+203BP0803Y</v>
      </c>
      <c r="B228">
        <v>2776</v>
      </c>
      <c r="C228">
        <v>161</v>
      </c>
      <c r="D228">
        <v>7</v>
      </c>
      <c r="E228" t="s">
        <v>2986</v>
      </c>
      <c r="F228" t="s">
        <v>2987</v>
      </c>
    </row>
    <row r="229" spans="1:6" x14ac:dyDescent="0.25">
      <c r="A229" t="str">
        <f t="shared" si="3"/>
        <v>162+7+203BP0804Y</v>
      </c>
      <c r="B229">
        <v>2777</v>
      </c>
      <c r="C229">
        <v>162</v>
      </c>
      <c r="D229">
        <v>7</v>
      </c>
      <c r="E229" t="s">
        <v>2988</v>
      </c>
      <c r="F229" t="s">
        <v>2989</v>
      </c>
    </row>
    <row r="230" spans="1:6" x14ac:dyDescent="0.25">
      <c r="A230" t="str">
        <f t="shared" si="3"/>
        <v>163+7+203BP0805Y</v>
      </c>
      <c r="B230">
        <v>2778</v>
      </c>
      <c r="C230">
        <v>163</v>
      </c>
      <c r="D230">
        <v>7</v>
      </c>
      <c r="E230" t="s">
        <v>2990</v>
      </c>
      <c r="F230" t="s">
        <v>2991</v>
      </c>
    </row>
    <row r="231" spans="1:6" x14ac:dyDescent="0.25">
      <c r="A231" t="str">
        <f t="shared" si="3"/>
        <v>164+7+203BP0806N</v>
      </c>
      <c r="B231">
        <v>2779</v>
      </c>
      <c r="C231">
        <v>164</v>
      </c>
      <c r="D231">
        <v>7</v>
      </c>
      <c r="E231" t="s">
        <v>2992</v>
      </c>
      <c r="F231" t="s">
        <v>2993</v>
      </c>
    </row>
    <row r="232" spans="1:6" x14ac:dyDescent="0.25">
      <c r="A232" t="str">
        <f t="shared" si="3"/>
        <v>165+7+203BP1300N</v>
      </c>
      <c r="B232">
        <v>2780</v>
      </c>
      <c r="C232">
        <v>165</v>
      </c>
      <c r="D232">
        <v>7</v>
      </c>
      <c r="E232" t="s">
        <v>2994</v>
      </c>
      <c r="F232" t="s">
        <v>2995</v>
      </c>
    </row>
    <row r="233" spans="1:6" x14ac:dyDescent="0.25">
      <c r="A233" t="str">
        <f t="shared" si="3"/>
        <v>166+7+203BP0901N</v>
      </c>
      <c r="B233">
        <v>2781</v>
      </c>
      <c r="C233">
        <v>166</v>
      </c>
      <c r="D233">
        <v>7</v>
      </c>
      <c r="E233" t="s">
        <v>2996</v>
      </c>
      <c r="F233" t="s">
        <v>2997</v>
      </c>
    </row>
    <row r="234" spans="1:6" x14ac:dyDescent="0.25">
      <c r="A234" t="str">
        <f t="shared" si="3"/>
        <v>167+7+203BP0903Y</v>
      </c>
      <c r="B234">
        <v>2782</v>
      </c>
      <c r="C234">
        <v>167</v>
      </c>
      <c r="D234">
        <v>7</v>
      </c>
      <c r="E234" t="s">
        <v>2998</v>
      </c>
      <c r="F234" t="s">
        <v>2999</v>
      </c>
    </row>
    <row r="235" spans="1:6" x14ac:dyDescent="0.25">
      <c r="A235" t="str">
        <f t="shared" si="3"/>
        <v>168+7+203BP1001Y</v>
      </c>
      <c r="B235">
        <v>2783</v>
      </c>
      <c r="C235">
        <v>168</v>
      </c>
      <c r="D235">
        <v>7</v>
      </c>
      <c r="E235" t="s">
        <v>3000</v>
      </c>
      <c r="F235" t="s">
        <v>3001</v>
      </c>
    </row>
    <row r="236" spans="1:6" x14ac:dyDescent="0.25">
      <c r="A236" t="str">
        <f t="shared" si="3"/>
        <v>169+7+203BP1003Y</v>
      </c>
      <c r="B236">
        <v>2784</v>
      </c>
      <c r="C236">
        <v>169</v>
      </c>
      <c r="D236">
        <v>7</v>
      </c>
      <c r="E236" t="s">
        <v>3002</v>
      </c>
      <c r="F236" t="s">
        <v>3003</v>
      </c>
    </row>
    <row r="237" spans="1:6" x14ac:dyDescent="0.25">
      <c r="A237" t="str">
        <f t="shared" si="3"/>
        <v>170+7+203BR0001Y</v>
      </c>
      <c r="B237">
        <v>2785</v>
      </c>
      <c r="C237">
        <v>170</v>
      </c>
      <c r="D237">
        <v>7</v>
      </c>
      <c r="E237" t="s">
        <v>3004</v>
      </c>
      <c r="F237" t="s">
        <v>1377</v>
      </c>
    </row>
    <row r="238" spans="1:6" x14ac:dyDescent="0.25">
      <c r="A238" t="str">
        <f t="shared" si="3"/>
        <v>170+50+2085R0001X</v>
      </c>
      <c r="B238">
        <v>9953</v>
      </c>
      <c r="C238">
        <v>170</v>
      </c>
      <c r="D238">
        <v>50</v>
      </c>
      <c r="E238" t="s">
        <v>1376</v>
      </c>
      <c r="F238" t="s">
        <v>3707</v>
      </c>
    </row>
    <row r="239" spans="1:6" x14ac:dyDescent="0.25">
      <c r="A239" t="str">
        <f t="shared" si="3"/>
        <v>170+51+193400000X</v>
      </c>
      <c r="B239">
        <v>4455</v>
      </c>
      <c r="C239">
        <v>170</v>
      </c>
      <c r="D239">
        <v>51</v>
      </c>
      <c r="E239" t="s">
        <v>1447</v>
      </c>
      <c r="F239" t="s">
        <v>3680</v>
      </c>
    </row>
    <row r="240" spans="1:6" x14ac:dyDescent="0.25">
      <c r="A240" t="str">
        <f t="shared" si="3"/>
        <v>170+51+2085R0001X</v>
      </c>
      <c r="B240">
        <v>9954</v>
      </c>
      <c r="C240">
        <v>170</v>
      </c>
      <c r="D240">
        <v>51</v>
      </c>
      <c r="E240" t="s">
        <v>1376</v>
      </c>
      <c r="F240" t="s">
        <v>3707</v>
      </c>
    </row>
    <row r="241" spans="1:6" x14ac:dyDescent="0.25">
      <c r="A241" t="str">
        <f t="shared" si="3"/>
        <v>170+114+2085R0001X</v>
      </c>
      <c r="B241">
        <v>9952</v>
      </c>
      <c r="C241">
        <v>170</v>
      </c>
      <c r="D241">
        <v>114</v>
      </c>
      <c r="E241" t="s">
        <v>1376</v>
      </c>
      <c r="F241" t="s">
        <v>3707</v>
      </c>
    </row>
    <row r="242" spans="1:6" x14ac:dyDescent="0.25">
      <c r="A242" t="str">
        <f t="shared" si="3"/>
        <v>171+7+203BR0002Y</v>
      </c>
      <c r="B242">
        <v>2786</v>
      </c>
      <c r="C242">
        <v>171</v>
      </c>
      <c r="D242">
        <v>7</v>
      </c>
      <c r="E242" t="s">
        <v>3005</v>
      </c>
      <c r="F242" t="s">
        <v>3006</v>
      </c>
    </row>
    <row r="243" spans="1:6" x14ac:dyDescent="0.25">
      <c r="A243" t="str">
        <f t="shared" si="3"/>
        <v>172+7+203BR0205N</v>
      </c>
      <c r="B243">
        <v>2787</v>
      </c>
      <c r="C243">
        <v>172</v>
      </c>
      <c r="D243">
        <v>7</v>
      </c>
      <c r="E243" t="s">
        <v>3007</v>
      </c>
      <c r="F243" t="s">
        <v>3008</v>
      </c>
    </row>
    <row r="244" spans="1:6" x14ac:dyDescent="0.25">
      <c r="A244" t="str">
        <f t="shared" si="3"/>
        <v>173+7+203BR0200Y</v>
      </c>
      <c r="B244">
        <v>2788</v>
      </c>
      <c r="C244">
        <v>173</v>
      </c>
      <c r="D244">
        <v>7</v>
      </c>
      <c r="E244" t="s">
        <v>3009</v>
      </c>
      <c r="F244" t="s">
        <v>2739</v>
      </c>
    </row>
    <row r="245" spans="1:6" x14ac:dyDescent="0.25">
      <c r="A245" t="str">
        <f t="shared" si="3"/>
        <v>174+7+203BR0201Y</v>
      </c>
      <c r="B245">
        <v>2789</v>
      </c>
      <c r="C245">
        <v>174</v>
      </c>
      <c r="D245">
        <v>7</v>
      </c>
      <c r="E245" t="s">
        <v>3010</v>
      </c>
      <c r="F245" t="s">
        <v>3011</v>
      </c>
    </row>
    <row r="246" spans="1:6" x14ac:dyDescent="0.25">
      <c r="A246" t="str">
        <f t="shared" si="3"/>
        <v>175+7+203BR0202Y</v>
      </c>
      <c r="B246">
        <v>2790</v>
      </c>
      <c r="C246">
        <v>175</v>
      </c>
      <c r="D246">
        <v>7</v>
      </c>
      <c r="E246" t="s">
        <v>3012</v>
      </c>
      <c r="F246" t="s">
        <v>3013</v>
      </c>
    </row>
    <row r="247" spans="1:6" x14ac:dyDescent="0.25">
      <c r="A247" t="str">
        <f t="shared" si="3"/>
        <v>176+7+203BR0203N</v>
      </c>
      <c r="B247">
        <v>2791</v>
      </c>
      <c r="C247">
        <v>176</v>
      </c>
      <c r="D247">
        <v>7</v>
      </c>
      <c r="E247" t="s">
        <v>3014</v>
      </c>
      <c r="F247" t="s">
        <v>3015</v>
      </c>
    </row>
    <row r="248" spans="1:6" x14ac:dyDescent="0.25">
      <c r="A248" t="str">
        <f t="shared" si="3"/>
        <v>177+7+203BR0204N</v>
      </c>
      <c r="B248">
        <v>2792</v>
      </c>
      <c r="C248">
        <v>177</v>
      </c>
      <c r="D248">
        <v>7</v>
      </c>
      <c r="E248" t="s">
        <v>3016</v>
      </c>
      <c r="F248" t="s">
        <v>3017</v>
      </c>
    </row>
    <row r="249" spans="1:6" x14ac:dyDescent="0.25">
      <c r="A249" t="str">
        <f t="shared" si="3"/>
        <v>178+7+203BR0300N</v>
      </c>
      <c r="B249">
        <v>2793</v>
      </c>
      <c r="C249">
        <v>178</v>
      </c>
      <c r="D249">
        <v>7</v>
      </c>
      <c r="E249" t="s">
        <v>3018</v>
      </c>
      <c r="F249" t="s">
        <v>3019</v>
      </c>
    </row>
    <row r="250" spans="1:6" x14ac:dyDescent="0.25">
      <c r="A250" t="str">
        <f t="shared" si="3"/>
        <v>179+7+203BR0402Y</v>
      </c>
      <c r="B250">
        <v>2794</v>
      </c>
      <c r="C250">
        <v>179</v>
      </c>
      <c r="D250">
        <v>7</v>
      </c>
      <c r="E250" t="s">
        <v>3020</v>
      </c>
      <c r="F250" t="s">
        <v>3021</v>
      </c>
    </row>
    <row r="251" spans="1:6" x14ac:dyDescent="0.25">
      <c r="A251" t="str">
        <f t="shared" si="3"/>
        <v>180+7+203BR0500Y</v>
      </c>
      <c r="B251">
        <v>2795</v>
      </c>
      <c r="C251">
        <v>180</v>
      </c>
      <c r="D251">
        <v>7</v>
      </c>
      <c r="E251" t="s">
        <v>3022</v>
      </c>
      <c r="F251" t="s">
        <v>1013</v>
      </c>
    </row>
    <row r="252" spans="1:6" x14ac:dyDescent="0.25">
      <c r="A252" t="str">
        <f t="shared" si="3"/>
        <v>181+7+203BR0600N</v>
      </c>
      <c r="B252">
        <v>2796</v>
      </c>
      <c r="C252">
        <v>181</v>
      </c>
      <c r="D252">
        <v>7</v>
      </c>
      <c r="E252" t="s">
        <v>3023</v>
      </c>
      <c r="F252" t="s">
        <v>3024</v>
      </c>
    </row>
    <row r="253" spans="1:6" x14ac:dyDescent="0.25">
      <c r="A253" t="str">
        <f t="shared" si="3"/>
        <v>182+7+203BR0700Y</v>
      </c>
      <c r="B253">
        <v>2797</v>
      </c>
      <c r="C253">
        <v>182</v>
      </c>
      <c r="D253">
        <v>7</v>
      </c>
      <c r="E253" t="s">
        <v>3025</v>
      </c>
      <c r="F253" t="s">
        <v>3026</v>
      </c>
    </row>
    <row r="254" spans="1:6" x14ac:dyDescent="0.25">
      <c r="A254" t="str">
        <f t="shared" si="3"/>
        <v>183+7+203BR0701Y</v>
      </c>
      <c r="B254">
        <v>2798</v>
      </c>
      <c r="C254">
        <v>183</v>
      </c>
      <c r="D254">
        <v>7</v>
      </c>
      <c r="E254" t="s">
        <v>3027</v>
      </c>
      <c r="F254" t="s">
        <v>3028</v>
      </c>
    </row>
    <row r="255" spans="1:6" x14ac:dyDescent="0.25">
      <c r="A255" t="str">
        <f t="shared" si="3"/>
        <v>184+7+203BS0000Y</v>
      </c>
      <c r="B255">
        <v>2799</v>
      </c>
      <c r="C255">
        <v>184</v>
      </c>
      <c r="D255">
        <v>7</v>
      </c>
      <c r="E255" t="s">
        <v>3029</v>
      </c>
      <c r="F255" t="s">
        <v>1159</v>
      </c>
    </row>
    <row r="256" spans="1:6" x14ac:dyDescent="0.25">
      <c r="A256" t="str">
        <f t="shared" si="3"/>
        <v>185+7+203BS0001Y</v>
      </c>
      <c r="B256">
        <v>2800</v>
      </c>
      <c r="C256">
        <v>185</v>
      </c>
      <c r="D256">
        <v>7</v>
      </c>
      <c r="E256" t="s">
        <v>3030</v>
      </c>
      <c r="F256" t="s">
        <v>3031</v>
      </c>
    </row>
    <row r="257" spans="1:6" x14ac:dyDescent="0.25">
      <c r="A257" t="str">
        <f t="shared" si="3"/>
        <v>186+7+203BS0002Y</v>
      </c>
      <c r="B257">
        <v>2801</v>
      </c>
      <c r="C257">
        <v>186</v>
      </c>
      <c r="D257">
        <v>7</v>
      </c>
      <c r="E257" t="s">
        <v>3032</v>
      </c>
      <c r="F257" t="s">
        <v>3033</v>
      </c>
    </row>
    <row r="258" spans="1:6" x14ac:dyDescent="0.25">
      <c r="A258" t="str">
        <f t="shared" ref="A258:A321" si="4">C258 &amp; "+" &amp; D258 &amp; "+" &amp; E258</f>
        <v>187+7+203BS0003Y</v>
      </c>
      <c r="B258">
        <v>2802</v>
      </c>
      <c r="C258">
        <v>187</v>
      </c>
      <c r="D258">
        <v>7</v>
      </c>
      <c r="E258" t="s">
        <v>3034</v>
      </c>
      <c r="F258" t="s">
        <v>3035</v>
      </c>
    </row>
    <row r="259" spans="1:6" x14ac:dyDescent="0.25">
      <c r="A259" t="str">
        <f t="shared" si="4"/>
        <v>188+7+203BS0004Y</v>
      </c>
      <c r="B259">
        <v>2803</v>
      </c>
      <c r="C259">
        <v>188</v>
      </c>
      <c r="D259">
        <v>7</v>
      </c>
      <c r="E259" t="s">
        <v>3036</v>
      </c>
      <c r="F259" t="s">
        <v>3037</v>
      </c>
    </row>
    <row r="260" spans="1:6" x14ac:dyDescent="0.25">
      <c r="A260" t="str">
        <f t="shared" si="4"/>
        <v>189+7+203BS0104N</v>
      </c>
      <c r="B260">
        <v>2804</v>
      </c>
      <c r="C260">
        <v>189</v>
      </c>
      <c r="D260">
        <v>7</v>
      </c>
      <c r="E260" t="s">
        <v>3038</v>
      </c>
      <c r="F260" t="s">
        <v>3039</v>
      </c>
    </row>
    <row r="261" spans="1:6" x14ac:dyDescent="0.25">
      <c r="A261" t="str">
        <f t="shared" si="4"/>
        <v>190+7+203BS0133N</v>
      </c>
      <c r="B261">
        <v>2805</v>
      </c>
      <c r="C261">
        <v>190</v>
      </c>
      <c r="D261">
        <v>7</v>
      </c>
      <c r="E261" t="s">
        <v>3040</v>
      </c>
      <c r="F261" t="s">
        <v>3041</v>
      </c>
    </row>
    <row r="262" spans="1:6" x14ac:dyDescent="0.25">
      <c r="A262" t="str">
        <f t="shared" si="4"/>
        <v>191+7+203BS0101Y</v>
      </c>
      <c r="B262">
        <v>2806</v>
      </c>
      <c r="C262">
        <v>191</v>
      </c>
      <c r="D262">
        <v>7</v>
      </c>
      <c r="E262" t="s">
        <v>3042</v>
      </c>
      <c r="F262" t="s">
        <v>3043</v>
      </c>
    </row>
    <row r="263" spans="1:6" x14ac:dyDescent="0.25">
      <c r="A263" t="str">
        <f t="shared" si="4"/>
        <v>192+7+203BS0123Y</v>
      </c>
      <c r="B263">
        <v>2807</v>
      </c>
      <c r="C263">
        <v>192</v>
      </c>
      <c r="D263">
        <v>7</v>
      </c>
      <c r="E263" t="s">
        <v>3044</v>
      </c>
      <c r="F263" t="s">
        <v>3045</v>
      </c>
    </row>
    <row r="264" spans="1:6" x14ac:dyDescent="0.25">
      <c r="A264" t="str">
        <f t="shared" si="4"/>
        <v>193+7+203BS0100Y</v>
      </c>
      <c r="B264">
        <v>2808</v>
      </c>
      <c r="C264">
        <v>193</v>
      </c>
      <c r="D264">
        <v>7</v>
      </c>
      <c r="E264" t="s">
        <v>3046</v>
      </c>
      <c r="F264" t="s">
        <v>3047</v>
      </c>
    </row>
    <row r="265" spans="1:6" x14ac:dyDescent="0.25">
      <c r="A265" t="str">
        <f t="shared" si="4"/>
        <v>194+7+203BS0129Y</v>
      </c>
      <c r="B265">
        <v>2809</v>
      </c>
      <c r="C265">
        <v>194</v>
      </c>
      <c r="D265">
        <v>7</v>
      </c>
      <c r="E265" t="s">
        <v>3048</v>
      </c>
      <c r="F265" t="s">
        <v>3049</v>
      </c>
    </row>
    <row r="266" spans="1:6" x14ac:dyDescent="0.25">
      <c r="A266" t="str">
        <f t="shared" si="4"/>
        <v>195+7+203BS0105Y</v>
      </c>
      <c r="B266">
        <v>2810</v>
      </c>
      <c r="C266">
        <v>195</v>
      </c>
      <c r="D266">
        <v>7</v>
      </c>
      <c r="E266" t="s">
        <v>3050</v>
      </c>
      <c r="F266" t="s">
        <v>3051</v>
      </c>
    </row>
    <row r="267" spans="1:6" x14ac:dyDescent="0.25">
      <c r="A267" t="str">
        <f t="shared" si="4"/>
        <v>196+7+203BS0106Y</v>
      </c>
      <c r="B267">
        <v>2811</v>
      </c>
      <c r="C267">
        <v>196</v>
      </c>
      <c r="D267">
        <v>7</v>
      </c>
      <c r="E267" t="s">
        <v>3052</v>
      </c>
      <c r="F267" t="s">
        <v>3053</v>
      </c>
    </row>
    <row r="268" spans="1:6" x14ac:dyDescent="0.25">
      <c r="A268" t="str">
        <f t="shared" si="4"/>
        <v>197+7+203BS0107Y</v>
      </c>
      <c r="B268">
        <v>2812</v>
      </c>
      <c r="C268">
        <v>197</v>
      </c>
      <c r="D268">
        <v>7</v>
      </c>
      <c r="E268" t="s">
        <v>3054</v>
      </c>
      <c r="F268" t="s">
        <v>3055</v>
      </c>
    </row>
    <row r="269" spans="1:6" x14ac:dyDescent="0.25">
      <c r="A269" t="str">
        <f t="shared" si="4"/>
        <v>198+7+203BS0108N</v>
      </c>
      <c r="B269">
        <v>2813</v>
      </c>
      <c r="C269">
        <v>198</v>
      </c>
      <c r="D269">
        <v>7</v>
      </c>
      <c r="E269" t="s">
        <v>3056</v>
      </c>
      <c r="F269" t="s">
        <v>3057</v>
      </c>
    </row>
    <row r="270" spans="1:6" x14ac:dyDescent="0.25">
      <c r="A270" t="str">
        <f t="shared" si="4"/>
        <v>199+7+203BS0110Y</v>
      </c>
      <c r="B270">
        <v>2814</v>
      </c>
      <c r="C270">
        <v>199</v>
      </c>
      <c r="D270">
        <v>7</v>
      </c>
      <c r="E270" t="s">
        <v>3058</v>
      </c>
      <c r="F270" t="s">
        <v>3059</v>
      </c>
    </row>
    <row r="271" spans="1:6" x14ac:dyDescent="0.25">
      <c r="A271" t="str">
        <f t="shared" si="4"/>
        <v>200+7+203BS0111Y</v>
      </c>
      <c r="B271">
        <v>2815</v>
      </c>
      <c r="C271">
        <v>200</v>
      </c>
      <c r="D271">
        <v>7</v>
      </c>
      <c r="E271" t="s">
        <v>3060</v>
      </c>
      <c r="F271" t="s">
        <v>3061</v>
      </c>
    </row>
    <row r="272" spans="1:6" x14ac:dyDescent="0.25">
      <c r="A272" t="str">
        <f t="shared" si="4"/>
        <v>201+7+203BS0113Y</v>
      </c>
      <c r="B272">
        <v>2816</v>
      </c>
      <c r="C272">
        <v>201</v>
      </c>
      <c r="D272">
        <v>7</v>
      </c>
      <c r="E272" t="s">
        <v>3062</v>
      </c>
      <c r="F272" t="s">
        <v>3063</v>
      </c>
    </row>
    <row r="273" spans="1:6" x14ac:dyDescent="0.25">
      <c r="A273" t="str">
        <f t="shared" si="4"/>
        <v>202+7+203BS0114N</v>
      </c>
      <c r="B273">
        <v>2817</v>
      </c>
      <c r="C273">
        <v>202</v>
      </c>
      <c r="D273">
        <v>7</v>
      </c>
      <c r="E273" t="s">
        <v>3064</v>
      </c>
      <c r="F273" t="s">
        <v>3065</v>
      </c>
    </row>
    <row r="274" spans="1:6" x14ac:dyDescent="0.25">
      <c r="A274" t="str">
        <f t="shared" si="4"/>
        <v>203+7+203BS0115N</v>
      </c>
      <c r="B274">
        <v>2818</v>
      </c>
      <c r="C274">
        <v>203</v>
      </c>
      <c r="D274">
        <v>7</v>
      </c>
      <c r="E274" t="s">
        <v>3066</v>
      </c>
      <c r="F274" t="s">
        <v>3067</v>
      </c>
    </row>
    <row r="275" spans="1:6" x14ac:dyDescent="0.25">
      <c r="A275" t="str">
        <f t="shared" si="4"/>
        <v>204+7+203BS0116N</v>
      </c>
      <c r="B275">
        <v>2819</v>
      </c>
      <c r="C275">
        <v>204</v>
      </c>
      <c r="D275">
        <v>7</v>
      </c>
      <c r="E275" t="s">
        <v>3068</v>
      </c>
      <c r="F275" t="s">
        <v>3069</v>
      </c>
    </row>
    <row r="276" spans="1:6" x14ac:dyDescent="0.25">
      <c r="A276" t="str">
        <f t="shared" si="4"/>
        <v>205+7+203BS0117N</v>
      </c>
      <c r="B276">
        <v>2820</v>
      </c>
      <c r="C276">
        <v>205</v>
      </c>
      <c r="D276">
        <v>7</v>
      </c>
      <c r="E276" t="s">
        <v>3070</v>
      </c>
      <c r="F276" t="s">
        <v>3071</v>
      </c>
    </row>
    <row r="277" spans="1:6" x14ac:dyDescent="0.25">
      <c r="A277" t="str">
        <f t="shared" si="4"/>
        <v>206+7+203BS0119N</v>
      </c>
      <c r="B277">
        <v>2821</v>
      </c>
      <c r="C277">
        <v>206</v>
      </c>
      <c r="D277">
        <v>7</v>
      </c>
      <c r="E277" t="s">
        <v>3072</v>
      </c>
      <c r="F277" t="s">
        <v>3073</v>
      </c>
    </row>
    <row r="278" spans="1:6" x14ac:dyDescent="0.25">
      <c r="A278" t="str">
        <f t="shared" si="4"/>
        <v>207+7+203BS0130Y</v>
      </c>
      <c r="B278">
        <v>2822</v>
      </c>
      <c r="C278">
        <v>207</v>
      </c>
      <c r="D278">
        <v>7</v>
      </c>
      <c r="E278" t="s">
        <v>3074</v>
      </c>
      <c r="F278" t="s">
        <v>3075</v>
      </c>
    </row>
    <row r="279" spans="1:6" x14ac:dyDescent="0.25">
      <c r="A279" t="str">
        <f t="shared" si="4"/>
        <v>208+7+203BS0120Y</v>
      </c>
      <c r="B279">
        <v>2823</v>
      </c>
      <c r="C279">
        <v>208</v>
      </c>
      <c r="D279">
        <v>7</v>
      </c>
      <c r="E279" t="s">
        <v>3076</v>
      </c>
      <c r="F279" t="s">
        <v>3077</v>
      </c>
    </row>
    <row r="280" spans="1:6" x14ac:dyDescent="0.25">
      <c r="A280" t="str">
        <f t="shared" si="4"/>
        <v>209+7+203BS0121Y</v>
      </c>
      <c r="B280">
        <v>2824</v>
      </c>
      <c r="C280">
        <v>209</v>
      </c>
      <c r="D280">
        <v>7</v>
      </c>
      <c r="E280" t="s">
        <v>3078</v>
      </c>
      <c r="F280" t="s">
        <v>3079</v>
      </c>
    </row>
    <row r="281" spans="1:6" x14ac:dyDescent="0.25">
      <c r="A281" t="str">
        <f t="shared" si="4"/>
        <v>210+7+203BS0122Y</v>
      </c>
      <c r="B281">
        <v>2825</v>
      </c>
      <c r="C281">
        <v>210</v>
      </c>
      <c r="D281">
        <v>7</v>
      </c>
      <c r="E281" t="s">
        <v>3080</v>
      </c>
      <c r="F281" t="s">
        <v>3081</v>
      </c>
    </row>
    <row r="282" spans="1:6" x14ac:dyDescent="0.25">
      <c r="A282" t="str">
        <f t="shared" si="4"/>
        <v>211+7+203BS0125Y</v>
      </c>
      <c r="B282">
        <v>2826</v>
      </c>
      <c r="C282">
        <v>211</v>
      </c>
      <c r="D282">
        <v>7</v>
      </c>
      <c r="E282" t="s">
        <v>3082</v>
      </c>
      <c r="F282" t="s">
        <v>3083</v>
      </c>
    </row>
    <row r="283" spans="1:6" x14ac:dyDescent="0.25">
      <c r="A283" t="str">
        <f t="shared" si="4"/>
        <v>212+7+203BS0126Y</v>
      </c>
      <c r="B283">
        <v>2827</v>
      </c>
      <c r="C283">
        <v>212</v>
      </c>
      <c r="D283">
        <v>7</v>
      </c>
      <c r="E283" t="s">
        <v>3084</v>
      </c>
      <c r="F283" t="s">
        <v>3085</v>
      </c>
    </row>
    <row r="284" spans="1:6" x14ac:dyDescent="0.25">
      <c r="A284" t="str">
        <f t="shared" si="4"/>
        <v>213+7+203BS0127N</v>
      </c>
      <c r="B284">
        <v>2828</v>
      </c>
      <c r="C284">
        <v>213</v>
      </c>
      <c r="D284">
        <v>7</v>
      </c>
      <c r="E284" t="s">
        <v>3086</v>
      </c>
      <c r="F284" t="s">
        <v>3087</v>
      </c>
    </row>
    <row r="285" spans="1:6" x14ac:dyDescent="0.25">
      <c r="A285" t="str">
        <f t="shared" si="4"/>
        <v>214+7+203BS0128Y</v>
      </c>
      <c r="B285">
        <v>2829</v>
      </c>
      <c r="C285">
        <v>214</v>
      </c>
      <c r="D285">
        <v>7</v>
      </c>
      <c r="E285" t="s">
        <v>3088</v>
      </c>
      <c r="F285" t="s">
        <v>3089</v>
      </c>
    </row>
    <row r="286" spans="1:6" x14ac:dyDescent="0.25">
      <c r="A286" t="str">
        <f t="shared" si="4"/>
        <v>215+7+203BS0102Y</v>
      </c>
      <c r="B286">
        <v>2830</v>
      </c>
      <c r="C286">
        <v>215</v>
      </c>
      <c r="D286">
        <v>7</v>
      </c>
      <c r="E286" t="s">
        <v>3090</v>
      </c>
      <c r="F286" t="s">
        <v>3091</v>
      </c>
    </row>
    <row r="287" spans="1:6" x14ac:dyDescent="0.25">
      <c r="A287" t="str">
        <f t="shared" si="4"/>
        <v>216+7+203BT0100N</v>
      </c>
      <c r="B287">
        <v>2831</v>
      </c>
      <c r="C287">
        <v>216</v>
      </c>
      <c r="D287">
        <v>7</v>
      </c>
      <c r="E287" t="s">
        <v>3092</v>
      </c>
      <c r="F287" t="s">
        <v>590</v>
      </c>
    </row>
    <row r="288" spans="1:6" x14ac:dyDescent="0.25">
      <c r="A288" t="str">
        <f t="shared" si="4"/>
        <v>217+7+203BT0000Y</v>
      </c>
      <c r="B288">
        <v>2832</v>
      </c>
      <c r="C288">
        <v>217</v>
      </c>
      <c r="D288">
        <v>7</v>
      </c>
      <c r="E288" t="s">
        <v>3093</v>
      </c>
      <c r="F288" t="s">
        <v>3094</v>
      </c>
    </row>
    <row r="289" spans="1:6" x14ac:dyDescent="0.25">
      <c r="A289" t="str">
        <f t="shared" si="4"/>
        <v>218+7+203BT0002Y</v>
      </c>
      <c r="B289">
        <v>2833</v>
      </c>
      <c r="C289">
        <v>218</v>
      </c>
      <c r="D289">
        <v>7</v>
      </c>
      <c r="E289" t="s">
        <v>3095</v>
      </c>
      <c r="F289" t="s">
        <v>3096</v>
      </c>
    </row>
    <row r="290" spans="1:6" x14ac:dyDescent="0.25">
      <c r="A290" t="str">
        <f t="shared" si="4"/>
        <v>219+7+203BT0001Y</v>
      </c>
      <c r="B290">
        <v>2834</v>
      </c>
      <c r="C290">
        <v>219</v>
      </c>
      <c r="D290">
        <v>7</v>
      </c>
      <c r="E290" t="s">
        <v>3097</v>
      </c>
      <c r="F290" t="s">
        <v>3098</v>
      </c>
    </row>
    <row r="291" spans="1:6" x14ac:dyDescent="0.25">
      <c r="A291" t="str">
        <f t="shared" si="4"/>
        <v>220+7+203BU0001Y</v>
      </c>
      <c r="B291">
        <v>2835</v>
      </c>
      <c r="C291">
        <v>220</v>
      </c>
      <c r="D291">
        <v>7</v>
      </c>
      <c r="E291" t="s">
        <v>3099</v>
      </c>
      <c r="F291" t="s">
        <v>3100</v>
      </c>
    </row>
    <row r="292" spans="1:6" x14ac:dyDescent="0.25">
      <c r="A292" t="str">
        <f t="shared" si="4"/>
        <v>221+7+203BU0300Y</v>
      </c>
      <c r="B292">
        <v>2836</v>
      </c>
      <c r="C292">
        <v>221</v>
      </c>
      <c r="D292">
        <v>7</v>
      </c>
      <c r="E292" s="43" t="s">
        <v>3101</v>
      </c>
      <c r="F292" t="s">
        <v>3102</v>
      </c>
    </row>
    <row r="293" spans="1:6" x14ac:dyDescent="0.25">
      <c r="A293" t="str">
        <f t="shared" si="4"/>
        <v>222+7+203BU0100Y</v>
      </c>
      <c r="B293">
        <v>2837</v>
      </c>
      <c r="C293">
        <v>222</v>
      </c>
      <c r="D293">
        <v>7</v>
      </c>
      <c r="E293" t="s">
        <v>3103</v>
      </c>
      <c r="F293" t="s">
        <v>3104</v>
      </c>
    </row>
    <row r="294" spans="1:6" x14ac:dyDescent="0.25">
      <c r="A294" t="str">
        <f t="shared" si="4"/>
        <v>223+7+353BL0002N</v>
      </c>
      <c r="B294">
        <v>2838</v>
      </c>
      <c r="C294">
        <v>223</v>
      </c>
      <c r="D294">
        <v>7</v>
      </c>
      <c r="E294" t="s">
        <v>3105</v>
      </c>
      <c r="F294" t="s">
        <v>3106</v>
      </c>
    </row>
    <row r="295" spans="1:6" x14ac:dyDescent="0.25">
      <c r="A295" t="str">
        <f t="shared" si="4"/>
        <v>224+7+353BS0900N</v>
      </c>
      <c r="B295">
        <v>2839</v>
      </c>
      <c r="C295">
        <v>224</v>
      </c>
      <c r="D295">
        <v>7</v>
      </c>
      <c r="E295" t="s">
        <v>3107</v>
      </c>
      <c r="F295" t="s">
        <v>3108</v>
      </c>
    </row>
    <row r="296" spans="1:6" x14ac:dyDescent="0.25">
      <c r="A296" t="str">
        <f t="shared" si="4"/>
        <v>225+4+213EG0000N</v>
      </c>
      <c r="B296">
        <v>2840</v>
      </c>
      <c r="C296">
        <v>225</v>
      </c>
      <c r="D296">
        <v>4</v>
      </c>
      <c r="E296" t="s">
        <v>3109</v>
      </c>
      <c r="F296" t="s">
        <v>1408</v>
      </c>
    </row>
    <row r="297" spans="1:6" x14ac:dyDescent="0.25">
      <c r="A297" t="str">
        <f t="shared" si="4"/>
        <v>226+4+213EP0504N</v>
      </c>
      <c r="B297">
        <v>2841</v>
      </c>
      <c r="C297">
        <v>226</v>
      </c>
      <c r="D297">
        <v>4</v>
      </c>
      <c r="E297" t="s">
        <v>3110</v>
      </c>
      <c r="F297" t="s">
        <v>3111</v>
      </c>
    </row>
    <row r="298" spans="1:6" x14ac:dyDescent="0.25">
      <c r="A298" t="str">
        <f t="shared" si="4"/>
        <v>227+4+213EP1101N</v>
      </c>
      <c r="B298">
        <v>2842</v>
      </c>
      <c r="C298">
        <v>227</v>
      </c>
      <c r="D298">
        <v>4</v>
      </c>
      <c r="E298" t="s">
        <v>3112</v>
      </c>
      <c r="F298" t="s">
        <v>3113</v>
      </c>
    </row>
    <row r="299" spans="1:6" x14ac:dyDescent="0.25">
      <c r="A299" t="str">
        <f t="shared" si="4"/>
        <v>228+4+213ER0200N</v>
      </c>
      <c r="B299">
        <v>2843</v>
      </c>
      <c r="C299">
        <v>228</v>
      </c>
      <c r="D299">
        <v>4</v>
      </c>
      <c r="E299" t="s">
        <v>3114</v>
      </c>
      <c r="F299" t="s">
        <v>2739</v>
      </c>
    </row>
    <row r="300" spans="1:6" x14ac:dyDescent="0.25">
      <c r="A300" t="str">
        <f t="shared" si="4"/>
        <v>229+4+213ES0000N</v>
      </c>
      <c r="B300">
        <v>2844</v>
      </c>
      <c r="C300">
        <v>229</v>
      </c>
      <c r="D300">
        <v>4</v>
      </c>
      <c r="E300" t="s">
        <v>3115</v>
      </c>
      <c r="F300" t="s">
        <v>1159</v>
      </c>
    </row>
    <row r="301" spans="1:6" x14ac:dyDescent="0.25">
      <c r="A301" t="str">
        <f t="shared" si="4"/>
        <v>230+4+213ES0131N</v>
      </c>
      <c r="B301">
        <v>2845</v>
      </c>
      <c r="C301">
        <v>230</v>
      </c>
      <c r="D301">
        <v>4</v>
      </c>
      <c r="E301" t="s">
        <v>3116</v>
      </c>
      <c r="F301" t="s">
        <v>3117</v>
      </c>
    </row>
    <row r="302" spans="1:6" x14ac:dyDescent="0.25">
      <c r="A302" t="str">
        <f t="shared" si="4"/>
        <v>231+4+213ES0103N</v>
      </c>
      <c r="B302">
        <v>2846</v>
      </c>
      <c r="C302">
        <v>231</v>
      </c>
      <c r="D302">
        <v>4</v>
      </c>
      <c r="E302" t="s">
        <v>3118</v>
      </c>
      <c r="F302" t="s">
        <v>3119</v>
      </c>
    </row>
    <row r="303" spans="1:6" x14ac:dyDescent="0.25">
      <c r="A303" t="str">
        <f t="shared" si="4"/>
        <v>232+3+1223P0700Y</v>
      </c>
      <c r="B303">
        <v>2847</v>
      </c>
      <c r="C303">
        <v>232</v>
      </c>
      <c r="D303">
        <v>3</v>
      </c>
      <c r="E303" t="s">
        <v>2755</v>
      </c>
      <c r="F303" t="s">
        <v>2756</v>
      </c>
    </row>
    <row r="304" spans="1:6" x14ac:dyDescent="0.25">
      <c r="A304" t="str">
        <f t="shared" si="4"/>
        <v>233+3+1223S0112Y</v>
      </c>
      <c r="B304">
        <v>2848</v>
      </c>
      <c r="C304">
        <v>233</v>
      </c>
      <c r="D304">
        <v>3</v>
      </c>
      <c r="E304" t="s">
        <v>2757</v>
      </c>
      <c r="F304" t="s">
        <v>2758</v>
      </c>
    </row>
    <row r="305" spans="1:6" x14ac:dyDescent="0.25">
      <c r="A305" t="str">
        <f t="shared" si="4"/>
        <v>234+3+1223X0400Y</v>
      </c>
      <c r="B305">
        <v>2849</v>
      </c>
      <c r="C305">
        <v>234</v>
      </c>
      <c r="D305">
        <v>3</v>
      </c>
      <c r="E305" t="s">
        <v>2747</v>
      </c>
      <c r="F305" t="s">
        <v>2748</v>
      </c>
    </row>
    <row r="306" spans="1:6" x14ac:dyDescent="0.25">
      <c r="A306" t="str">
        <f t="shared" si="4"/>
        <v>235+1+203BA0401N</v>
      </c>
      <c r="B306">
        <v>2850</v>
      </c>
      <c r="C306">
        <v>235</v>
      </c>
      <c r="D306">
        <v>1</v>
      </c>
      <c r="E306" t="s">
        <v>2759</v>
      </c>
      <c r="F306" t="s">
        <v>992</v>
      </c>
    </row>
    <row r="307" spans="1:6" x14ac:dyDescent="0.25">
      <c r="A307" t="str">
        <f t="shared" si="4"/>
        <v>235+50+207LA0401X</v>
      </c>
      <c r="B307">
        <v>9977</v>
      </c>
      <c r="C307">
        <v>235</v>
      </c>
      <c r="D307">
        <v>50</v>
      </c>
      <c r="E307" t="s">
        <v>993</v>
      </c>
      <c r="F307" t="s">
        <v>3708</v>
      </c>
    </row>
    <row r="308" spans="1:6" x14ac:dyDescent="0.25">
      <c r="A308" t="str">
        <f t="shared" si="4"/>
        <v>235+50+207QA0401X</v>
      </c>
      <c r="B308">
        <v>9980</v>
      </c>
      <c r="C308">
        <v>235</v>
      </c>
      <c r="D308">
        <v>50</v>
      </c>
      <c r="E308" t="s">
        <v>995</v>
      </c>
      <c r="F308" t="s">
        <v>3709</v>
      </c>
    </row>
    <row r="309" spans="1:6" x14ac:dyDescent="0.25">
      <c r="A309" t="str">
        <f t="shared" si="4"/>
        <v>235+50+207RA0401X</v>
      </c>
      <c r="B309">
        <v>9983</v>
      </c>
      <c r="C309">
        <v>235</v>
      </c>
      <c r="D309">
        <v>50</v>
      </c>
      <c r="E309" t="s">
        <v>1001</v>
      </c>
      <c r="F309" t="s">
        <v>3710</v>
      </c>
    </row>
    <row r="310" spans="1:6" x14ac:dyDescent="0.25">
      <c r="A310" t="str">
        <f t="shared" si="4"/>
        <v>235+50+2084A0401X</v>
      </c>
      <c r="B310">
        <v>9986</v>
      </c>
      <c r="C310">
        <v>235</v>
      </c>
      <c r="D310">
        <v>50</v>
      </c>
      <c r="E310" t="s">
        <v>1047</v>
      </c>
      <c r="F310" t="s">
        <v>3711</v>
      </c>
    </row>
    <row r="311" spans="1:6" x14ac:dyDescent="0.25">
      <c r="A311" t="str">
        <f t="shared" si="4"/>
        <v>235+51+193400000X</v>
      </c>
      <c r="B311">
        <v>4456</v>
      </c>
      <c r="C311">
        <v>235</v>
      </c>
      <c r="D311">
        <v>51</v>
      </c>
      <c r="E311" t="s">
        <v>1447</v>
      </c>
      <c r="F311" t="s">
        <v>3680</v>
      </c>
    </row>
    <row r="312" spans="1:6" x14ac:dyDescent="0.25">
      <c r="A312" t="str">
        <f t="shared" si="4"/>
        <v>235+51+207LA0401X</v>
      </c>
      <c r="B312">
        <v>9978</v>
      </c>
      <c r="C312">
        <v>235</v>
      </c>
      <c r="D312">
        <v>51</v>
      </c>
      <c r="E312" t="s">
        <v>993</v>
      </c>
      <c r="F312" t="s">
        <v>3708</v>
      </c>
    </row>
    <row r="313" spans="1:6" x14ac:dyDescent="0.25">
      <c r="A313" t="str">
        <f t="shared" si="4"/>
        <v>235+51+207QA0401X</v>
      </c>
      <c r="B313">
        <v>9981</v>
      </c>
      <c r="C313">
        <v>235</v>
      </c>
      <c r="D313">
        <v>51</v>
      </c>
      <c r="E313" t="s">
        <v>995</v>
      </c>
      <c r="F313" t="s">
        <v>3709</v>
      </c>
    </row>
    <row r="314" spans="1:6" x14ac:dyDescent="0.25">
      <c r="A314" t="str">
        <f t="shared" si="4"/>
        <v>235+51+207RA0401X</v>
      </c>
      <c r="B314">
        <v>9984</v>
      </c>
      <c r="C314">
        <v>235</v>
      </c>
      <c r="D314">
        <v>51</v>
      </c>
      <c r="E314" t="s">
        <v>1001</v>
      </c>
      <c r="F314" t="s">
        <v>3710</v>
      </c>
    </row>
    <row r="315" spans="1:6" x14ac:dyDescent="0.25">
      <c r="A315" t="str">
        <f t="shared" si="4"/>
        <v>235+51+2084A0401X</v>
      </c>
      <c r="B315">
        <v>9987</v>
      </c>
      <c r="C315">
        <v>235</v>
      </c>
      <c r="D315">
        <v>51</v>
      </c>
      <c r="E315" t="s">
        <v>1047</v>
      </c>
      <c r="F315" t="s">
        <v>3711</v>
      </c>
    </row>
    <row r="316" spans="1:6" x14ac:dyDescent="0.25">
      <c r="A316" t="str">
        <f t="shared" si="4"/>
        <v>235+114+207LA0401X</v>
      </c>
      <c r="B316">
        <v>9976</v>
      </c>
      <c r="C316">
        <v>235</v>
      </c>
      <c r="D316">
        <v>114</v>
      </c>
      <c r="E316" t="s">
        <v>993</v>
      </c>
      <c r="F316" t="s">
        <v>3708</v>
      </c>
    </row>
    <row r="317" spans="1:6" x14ac:dyDescent="0.25">
      <c r="A317" t="str">
        <f t="shared" si="4"/>
        <v>235+114+207QA0401X</v>
      </c>
      <c r="B317">
        <v>9979</v>
      </c>
      <c r="C317">
        <v>235</v>
      </c>
      <c r="D317">
        <v>114</v>
      </c>
      <c r="E317" t="s">
        <v>995</v>
      </c>
      <c r="F317" t="s">
        <v>3709</v>
      </c>
    </row>
    <row r="318" spans="1:6" x14ac:dyDescent="0.25">
      <c r="A318" t="str">
        <f t="shared" si="4"/>
        <v>235+114+207RA0401X</v>
      </c>
      <c r="B318">
        <v>9982</v>
      </c>
      <c r="C318">
        <v>235</v>
      </c>
      <c r="D318">
        <v>114</v>
      </c>
      <c r="E318" t="s">
        <v>1001</v>
      </c>
      <c r="F318" t="s">
        <v>3710</v>
      </c>
    </row>
    <row r="319" spans="1:6" x14ac:dyDescent="0.25">
      <c r="A319" t="str">
        <f t="shared" si="4"/>
        <v>235+114+2084A0401X</v>
      </c>
      <c r="B319">
        <v>9985</v>
      </c>
      <c r="C319">
        <v>235</v>
      </c>
      <c r="D319">
        <v>114</v>
      </c>
      <c r="E319" t="s">
        <v>1047</v>
      </c>
      <c r="F319" t="s">
        <v>3711</v>
      </c>
    </row>
    <row r="320" spans="1:6" x14ac:dyDescent="0.25">
      <c r="A320" t="str">
        <f t="shared" si="4"/>
        <v>236+1+203BA0000Y</v>
      </c>
      <c r="B320">
        <v>2851</v>
      </c>
      <c r="C320">
        <v>236</v>
      </c>
      <c r="D320">
        <v>1</v>
      </c>
      <c r="E320" t="s">
        <v>2760</v>
      </c>
      <c r="F320" t="s">
        <v>2761</v>
      </c>
    </row>
    <row r="321" spans="1:6" x14ac:dyDescent="0.25">
      <c r="A321" t="str">
        <f t="shared" si="4"/>
        <v>237+1+203BA0001N</v>
      </c>
      <c r="B321">
        <v>2852</v>
      </c>
      <c r="C321">
        <v>237</v>
      </c>
      <c r="D321">
        <v>1</v>
      </c>
      <c r="E321" t="s">
        <v>2762</v>
      </c>
      <c r="F321" t="s">
        <v>2763</v>
      </c>
    </row>
    <row r="322" spans="1:6" x14ac:dyDescent="0.25">
      <c r="A322" t="str">
        <f t="shared" ref="A322:A385" si="5">C322 &amp; "+" &amp; D322 &amp; "+" &amp; E322</f>
        <v>238+1+203BA0002Y</v>
      </c>
      <c r="B322">
        <v>2853</v>
      </c>
      <c r="C322">
        <v>238</v>
      </c>
      <c r="D322">
        <v>1</v>
      </c>
      <c r="E322" t="s">
        <v>2764</v>
      </c>
      <c r="F322" t="s">
        <v>2765</v>
      </c>
    </row>
    <row r="323" spans="1:6" x14ac:dyDescent="0.25">
      <c r="A323" t="str">
        <f t="shared" si="5"/>
        <v>239+1+203BA0003Y</v>
      </c>
      <c r="B323">
        <v>2854</v>
      </c>
      <c r="C323">
        <v>239</v>
      </c>
      <c r="D323">
        <v>1</v>
      </c>
      <c r="E323" t="s">
        <v>2766</v>
      </c>
      <c r="F323" t="s">
        <v>2767</v>
      </c>
    </row>
    <row r="324" spans="1:6" x14ac:dyDescent="0.25">
      <c r="A324" t="str">
        <f t="shared" si="5"/>
        <v>240+1+203BA0501N</v>
      </c>
      <c r="B324">
        <v>2855</v>
      </c>
      <c r="C324">
        <v>240</v>
      </c>
      <c r="D324">
        <v>1</v>
      </c>
      <c r="E324" t="s">
        <v>2768</v>
      </c>
      <c r="F324" t="s">
        <v>2769</v>
      </c>
    </row>
    <row r="325" spans="1:6" x14ac:dyDescent="0.25">
      <c r="A325" t="str">
        <f t="shared" si="5"/>
        <v>241+1+203BA0502N</v>
      </c>
      <c r="B325">
        <v>2856</v>
      </c>
      <c r="C325">
        <v>241</v>
      </c>
      <c r="D325">
        <v>1</v>
      </c>
      <c r="E325" t="s">
        <v>2770</v>
      </c>
      <c r="F325" t="s">
        <v>2771</v>
      </c>
    </row>
    <row r="326" spans="1:6" x14ac:dyDescent="0.25">
      <c r="A326" t="str">
        <f t="shared" si="5"/>
        <v>242+1+203BA0100Y</v>
      </c>
      <c r="B326">
        <v>2857</v>
      </c>
      <c r="C326">
        <v>242</v>
      </c>
      <c r="D326">
        <v>1</v>
      </c>
      <c r="E326" t="s">
        <v>2772</v>
      </c>
      <c r="F326" t="s">
        <v>2773</v>
      </c>
    </row>
    <row r="327" spans="1:6" x14ac:dyDescent="0.25">
      <c r="A327" t="str">
        <f t="shared" si="5"/>
        <v>243+1+203BA0101Y</v>
      </c>
      <c r="B327">
        <v>2858</v>
      </c>
      <c r="C327">
        <v>243</v>
      </c>
      <c r="D327">
        <v>1</v>
      </c>
      <c r="E327" t="s">
        <v>2774</v>
      </c>
      <c r="F327" t="s">
        <v>2775</v>
      </c>
    </row>
    <row r="328" spans="1:6" x14ac:dyDescent="0.25">
      <c r="A328" t="str">
        <f t="shared" si="5"/>
        <v>244+1+203BA0503N</v>
      </c>
      <c r="B328">
        <v>2859</v>
      </c>
      <c r="C328">
        <v>244</v>
      </c>
      <c r="D328">
        <v>1</v>
      </c>
      <c r="E328" t="s">
        <v>2776</v>
      </c>
      <c r="F328" t="s">
        <v>2777</v>
      </c>
    </row>
    <row r="329" spans="1:6" x14ac:dyDescent="0.25">
      <c r="A329" t="str">
        <f t="shared" si="5"/>
        <v>245+1+203BA0504N</v>
      </c>
      <c r="B329">
        <v>2860</v>
      </c>
      <c r="C329">
        <v>245</v>
      </c>
      <c r="D329">
        <v>1</v>
      </c>
      <c r="E329" t="s">
        <v>2778</v>
      </c>
      <c r="F329" t="s">
        <v>2779</v>
      </c>
    </row>
    <row r="330" spans="1:6" x14ac:dyDescent="0.25">
      <c r="A330" t="str">
        <f t="shared" si="5"/>
        <v>246+1+203BA0200N</v>
      </c>
      <c r="B330">
        <v>2861</v>
      </c>
      <c r="C330">
        <v>246</v>
      </c>
      <c r="D330">
        <v>1</v>
      </c>
      <c r="E330" t="s">
        <v>2780</v>
      </c>
      <c r="F330" t="s">
        <v>1072</v>
      </c>
    </row>
    <row r="331" spans="1:6" x14ac:dyDescent="0.25">
      <c r="A331" t="str">
        <f t="shared" si="5"/>
        <v>247+1+207K00000X</v>
      </c>
      <c r="B331">
        <v>2862</v>
      </c>
      <c r="C331">
        <v>247</v>
      </c>
      <c r="D331">
        <v>1</v>
      </c>
      <c r="E331" t="s">
        <v>1070</v>
      </c>
      <c r="F331" t="s">
        <v>1069</v>
      </c>
    </row>
    <row r="332" spans="1:6" x14ac:dyDescent="0.25">
      <c r="A332" t="str">
        <f t="shared" si="5"/>
        <v>248+1+203BA0202N</v>
      </c>
      <c r="B332">
        <v>2863</v>
      </c>
      <c r="C332">
        <v>248</v>
      </c>
      <c r="D332">
        <v>1</v>
      </c>
      <c r="E332" t="s">
        <v>2781</v>
      </c>
      <c r="F332" t="s">
        <v>2782</v>
      </c>
    </row>
    <row r="333" spans="1:6" x14ac:dyDescent="0.25">
      <c r="A333" t="str">
        <f t="shared" si="5"/>
        <v>249+1+207L00000X</v>
      </c>
      <c r="B333">
        <v>2864</v>
      </c>
      <c r="C333">
        <v>249</v>
      </c>
      <c r="D333">
        <v>1</v>
      </c>
      <c r="E333" t="s">
        <v>990</v>
      </c>
      <c r="F333" t="s">
        <v>989</v>
      </c>
    </row>
    <row r="334" spans="1:6" x14ac:dyDescent="0.25">
      <c r="A334" t="str">
        <f t="shared" si="5"/>
        <v>250+1+203BB0000N</v>
      </c>
      <c r="B334">
        <v>2865</v>
      </c>
      <c r="C334">
        <v>250</v>
      </c>
      <c r="D334">
        <v>1</v>
      </c>
      <c r="E334" t="s">
        <v>2783</v>
      </c>
      <c r="F334" t="s">
        <v>2784</v>
      </c>
    </row>
    <row r="335" spans="1:6" x14ac:dyDescent="0.25">
      <c r="A335" t="str">
        <f t="shared" si="5"/>
        <v>251+1+203BB0001Y</v>
      </c>
      <c r="B335">
        <v>2866</v>
      </c>
      <c r="C335">
        <v>251</v>
      </c>
      <c r="D335">
        <v>1</v>
      </c>
      <c r="E335" t="s">
        <v>2785</v>
      </c>
      <c r="F335" t="s">
        <v>2786</v>
      </c>
    </row>
    <row r="336" spans="1:6" x14ac:dyDescent="0.25">
      <c r="A336" t="str">
        <f t="shared" si="5"/>
        <v>252+1+203BB0100Y</v>
      </c>
      <c r="B336">
        <v>2867</v>
      </c>
      <c r="C336">
        <v>252</v>
      </c>
      <c r="D336">
        <v>1</v>
      </c>
      <c r="E336" t="s">
        <v>2787</v>
      </c>
      <c r="F336" t="s">
        <v>2788</v>
      </c>
    </row>
    <row r="337" spans="1:6" x14ac:dyDescent="0.25">
      <c r="A337" t="str">
        <f t="shared" si="5"/>
        <v>253+1+203BC0000Y</v>
      </c>
      <c r="B337">
        <v>2868</v>
      </c>
      <c r="C337">
        <v>253</v>
      </c>
      <c r="D337">
        <v>1</v>
      </c>
      <c r="E337" t="s">
        <v>2789</v>
      </c>
      <c r="F337" t="s">
        <v>2790</v>
      </c>
    </row>
    <row r="338" spans="1:6" x14ac:dyDescent="0.25">
      <c r="A338" t="str">
        <f t="shared" si="5"/>
        <v>254+1+203BC0001Y</v>
      </c>
      <c r="B338">
        <v>2869</v>
      </c>
      <c r="C338">
        <v>254</v>
      </c>
      <c r="D338">
        <v>1</v>
      </c>
      <c r="E338" t="s">
        <v>2791</v>
      </c>
      <c r="F338" t="s">
        <v>2792</v>
      </c>
    </row>
    <row r="339" spans="1:6" x14ac:dyDescent="0.25">
      <c r="A339" t="str">
        <f t="shared" si="5"/>
        <v>255+1+203BC0100Y</v>
      </c>
      <c r="B339">
        <v>2870</v>
      </c>
      <c r="C339">
        <v>255</v>
      </c>
      <c r="D339">
        <v>1</v>
      </c>
      <c r="E339" t="s">
        <v>2793</v>
      </c>
      <c r="F339" t="s">
        <v>1567</v>
      </c>
    </row>
    <row r="340" spans="1:6" x14ac:dyDescent="0.25">
      <c r="A340" t="str">
        <f t="shared" si="5"/>
        <v>256+1+203BC2500Y</v>
      </c>
      <c r="B340">
        <v>2871</v>
      </c>
      <c r="C340">
        <v>256</v>
      </c>
      <c r="D340">
        <v>1</v>
      </c>
      <c r="E340" t="s">
        <v>2794</v>
      </c>
      <c r="F340" t="s">
        <v>2795</v>
      </c>
    </row>
    <row r="341" spans="1:6" x14ac:dyDescent="0.25">
      <c r="A341" t="str">
        <f t="shared" si="5"/>
        <v>257+1+203BC0200Y</v>
      </c>
      <c r="B341">
        <v>2872</v>
      </c>
      <c r="C341">
        <v>257</v>
      </c>
      <c r="D341">
        <v>1</v>
      </c>
      <c r="E341" t="s">
        <v>2796</v>
      </c>
      <c r="F341" t="s">
        <v>1078</v>
      </c>
    </row>
    <row r="342" spans="1:6" x14ac:dyDescent="0.25">
      <c r="A342" t="str">
        <f t="shared" si="5"/>
        <v>258+1+203BC0201Y</v>
      </c>
      <c r="B342">
        <v>2873</v>
      </c>
      <c r="C342">
        <v>258</v>
      </c>
      <c r="D342">
        <v>1</v>
      </c>
      <c r="E342" t="s">
        <v>2797</v>
      </c>
      <c r="F342" t="s">
        <v>2798</v>
      </c>
    </row>
    <row r="343" spans="1:6" x14ac:dyDescent="0.25">
      <c r="A343" t="str">
        <f t="shared" si="5"/>
        <v>259+1+203BC0202Y</v>
      </c>
      <c r="B343">
        <v>2874</v>
      </c>
      <c r="C343">
        <v>259</v>
      </c>
      <c r="D343">
        <v>1</v>
      </c>
      <c r="E343" t="s">
        <v>2799</v>
      </c>
      <c r="F343" t="s">
        <v>2800</v>
      </c>
    </row>
    <row r="344" spans="1:6" x14ac:dyDescent="0.25">
      <c r="A344" t="str">
        <f t="shared" si="5"/>
        <v>260+1+203BC0203Y</v>
      </c>
      <c r="B344">
        <v>2875</v>
      </c>
      <c r="C344">
        <v>260</v>
      </c>
      <c r="D344">
        <v>1</v>
      </c>
      <c r="E344" t="s">
        <v>2801</v>
      </c>
      <c r="F344" t="s">
        <v>2802</v>
      </c>
    </row>
    <row r="345" spans="1:6" x14ac:dyDescent="0.25">
      <c r="A345" t="str">
        <f t="shared" si="5"/>
        <v>261+1+203BC0300Y</v>
      </c>
      <c r="B345">
        <v>2876</v>
      </c>
      <c r="C345">
        <v>261</v>
      </c>
      <c r="D345">
        <v>1</v>
      </c>
      <c r="E345" t="s">
        <v>2803</v>
      </c>
      <c r="F345" t="s">
        <v>2804</v>
      </c>
    </row>
    <row r="346" spans="1:6" x14ac:dyDescent="0.25">
      <c r="A346" t="str">
        <f t="shared" si="5"/>
        <v>262+1+203BC0500Y</v>
      </c>
      <c r="B346">
        <v>2877</v>
      </c>
      <c r="C346">
        <v>262</v>
      </c>
      <c r="D346">
        <v>1</v>
      </c>
      <c r="E346" t="s">
        <v>2805</v>
      </c>
      <c r="F346" t="s">
        <v>2806</v>
      </c>
    </row>
    <row r="347" spans="1:6" x14ac:dyDescent="0.25">
      <c r="A347" t="str">
        <f t="shared" si="5"/>
        <v>263+1+207N00000X</v>
      </c>
      <c r="B347">
        <v>2878</v>
      </c>
      <c r="C347">
        <v>263</v>
      </c>
      <c r="D347">
        <v>1</v>
      </c>
      <c r="E347" t="s">
        <v>1087</v>
      </c>
      <c r="F347" t="s">
        <v>2807</v>
      </c>
    </row>
    <row r="348" spans="1:6" x14ac:dyDescent="0.25">
      <c r="A348" t="str">
        <f t="shared" si="5"/>
        <v>264+1+203BD0101Y</v>
      </c>
      <c r="B348">
        <v>2879</v>
      </c>
      <c r="C348">
        <v>264</v>
      </c>
      <c r="D348">
        <v>1</v>
      </c>
      <c r="E348" t="s">
        <v>2808</v>
      </c>
      <c r="F348" t="s">
        <v>2809</v>
      </c>
    </row>
    <row r="349" spans="1:6" x14ac:dyDescent="0.25">
      <c r="A349" t="str">
        <f t="shared" si="5"/>
        <v>265+1+203BD0900Y</v>
      </c>
      <c r="B349">
        <v>2880</v>
      </c>
      <c r="C349">
        <v>265</v>
      </c>
      <c r="D349">
        <v>1</v>
      </c>
      <c r="E349" t="s">
        <v>2810</v>
      </c>
      <c r="F349" t="s">
        <v>2811</v>
      </c>
    </row>
    <row r="350" spans="1:6" x14ac:dyDescent="0.25">
      <c r="A350" t="str">
        <f t="shared" si="5"/>
        <v>266+1+203BD0901N</v>
      </c>
      <c r="B350">
        <v>2881</v>
      </c>
      <c r="C350">
        <v>266</v>
      </c>
      <c r="D350">
        <v>1</v>
      </c>
      <c r="E350" t="s">
        <v>2812</v>
      </c>
      <c r="F350" t="s">
        <v>2813</v>
      </c>
    </row>
    <row r="351" spans="1:6" x14ac:dyDescent="0.25">
      <c r="A351" t="str">
        <f t="shared" si="5"/>
        <v>267+1+203BD0300N</v>
      </c>
      <c r="B351">
        <v>2882</v>
      </c>
      <c r="C351">
        <v>267</v>
      </c>
      <c r="D351">
        <v>1</v>
      </c>
      <c r="E351" t="s">
        <v>2814</v>
      </c>
      <c r="F351" t="s">
        <v>2815</v>
      </c>
    </row>
    <row r="352" spans="1:6" x14ac:dyDescent="0.25">
      <c r="A352" t="str">
        <f t="shared" si="5"/>
        <v>268+1+207P00000X</v>
      </c>
      <c r="B352">
        <v>2883</v>
      </c>
      <c r="C352">
        <v>268</v>
      </c>
      <c r="D352">
        <v>1</v>
      </c>
      <c r="E352" t="s">
        <v>1100</v>
      </c>
      <c r="F352" t="s">
        <v>2816</v>
      </c>
    </row>
    <row r="353" spans="1:6" x14ac:dyDescent="0.25">
      <c r="A353" t="str">
        <f t="shared" si="5"/>
        <v>269+1+203BE0100Y</v>
      </c>
      <c r="B353">
        <v>2884</v>
      </c>
      <c r="C353">
        <v>269</v>
      </c>
      <c r="D353">
        <v>1</v>
      </c>
      <c r="E353" t="s">
        <v>2817</v>
      </c>
      <c r="F353" t="s">
        <v>2818</v>
      </c>
    </row>
    <row r="354" spans="1:6" x14ac:dyDescent="0.25">
      <c r="A354" t="str">
        <f t="shared" si="5"/>
        <v>270+1+203BE0101Y</v>
      </c>
      <c r="B354">
        <v>2885</v>
      </c>
      <c r="C354">
        <v>270</v>
      </c>
      <c r="D354">
        <v>1</v>
      </c>
      <c r="E354" t="s">
        <v>2819</v>
      </c>
      <c r="F354" t="s">
        <v>1002</v>
      </c>
    </row>
    <row r="355" spans="1:6" x14ac:dyDescent="0.25">
      <c r="A355" t="str">
        <f t="shared" si="5"/>
        <v>271+1+203BE0102Y</v>
      </c>
      <c r="B355">
        <v>2886</v>
      </c>
      <c r="C355">
        <v>271</v>
      </c>
      <c r="D355">
        <v>1</v>
      </c>
      <c r="E355" t="s">
        <v>2820</v>
      </c>
      <c r="F355" t="s">
        <v>2821</v>
      </c>
    </row>
    <row r="356" spans="1:6" x14ac:dyDescent="0.25">
      <c r="A356" t="str">
        <f t="shared" si="5"/>
        <v>272+1+207Q00000X</v>
      </c>
      <c r="B356">
        <v>2887</v>
      </c>
      <c r="C356">
        <v>272</v>
      </c>
      <c r="D356">
        <v>1</v>
      </c>
      <c r="E356" t="s">
        <v>1114</v>
      </c>
      <c r="F356" t="s">
        <v>2822</v>
      </c>
    </row>
    <row r="357" spans="1:6" x14ac:dyDescent="0.25">
      <c r="A357" t="str">
        <f t="shared" si="5"/>
        <v>273+1+203BF0201Y</v>
      </c>
      <c r="B357">
        <v>2888</v>
      </c>
      <c r="C357">
        <v>273</v>
      </c>
      <c r="D357">
        <v>1</v>
      </c>
      <c r="E357" t="s">
        <v>2823</v>
      </c>
      <c r="F357" t="s">
        <v>2824</v>
      </c>
    </row>
    <row r="358" spans="1:6" x14ac:dyDescent="0.25">
      <c r="A358" t="str">
        <f t="shared" si="5"/>
        <v>274+1+203BF0202N</v>
      </c>
      <c r="B358">
        <v>2889</v>
      </c>
      <c r="C358">
        <v>274</v>
      </c>
      <c r="D358">
        <v>1</v>
      </c>
      <c r="E358" t="s">
        <v>2825</v>
      </c>
      <c r="F358" t="s">
        <v>2826</v>
      </c>
    </row>
    <row r="359" spans="1:6" x14ac:dyDescent="0.25">
      <c r="A359" t="str">
        <f t="shared" si="5"/>
        <v>275+1+203BG0100Y</v>
      </c>
      <c r="B359">
        <v>2890</v>
      </c>
      <c r="C359">
        <v>275</v>
      </c>
      <c r="D359">
        <v>1</v>
      </c>
      <c r="E359" t="s">
        <v>2827</v>
      </c>
      <c r="F359" t="s">
        <v>1139</v>
      </c>
    </row>
    <row r="360" spans="1:6" x14ac:dyDescent="0.25">
      <c r="A360" t="str">
        <f t="shared" si="5"/>
        <v>276+1+203BG0000Y</v>
      </c>
      <c r="B360">
        <v>2891</v>
      </c>
      <c r="C360">
        <v>276</v>
      </c>
      <c r="D360">
        <v>1</v>
      </c>
      <c r="E360" t="s">
        <v>3120</v>
      </c>
      <c r="F360" t="s">
        <v>1408</v>
      </c>
    </row>
    <row r="361" spans="1:6" x14ac:dyDescent="0.25">
      <c r="A361" t="str">
        <f t="shared" si="5"/>
        <v>277+1+203BG0201Y</v>
      </c>
      <c r="B361">
        <v>2892</v>
      </c>
      <c r="C361">
        <v>277</v>
      </c>
      <c r="D361">
        <v>1</v>
      </c>
      <c r="E361" t="s">
        <v>2828</v>
      </c>
      <c r="F361" t="s">
        <v>2829</v>
      </c>
    </row>
    <row r="362" spans="1:6" x14ac:dyDescent="0.25">
      <c r="A362" t="str">
        <f t="shared" si="5"/>
        <v>278+1+203BG0202Y</v>
      </c>
      <c r="B362">
        <v>2893</v>
      </c>
      <c r="C362">
        <v>278</v>
      </c>
      <c r="D362">
        <v>1</v>
      </c>
      <c r="E362" t="s">
        <v>2830</v>
      </c>
      <c r="F362" t="s">
        <v>2831</v>
      </c>
    </row>
    <row r="363" spans="1:6" x14ac:dyDescent="0.25">
      <c r="A363" t="str">
        <f t="shared" si="5"/>
        <v>279+1+203BG0204Y</v>
      </c>
      <c r="B363">
        <v>2894</v>
      </c>
      <c r="C363">
        <v>279</v>
      </c>
      <c r="D363">
        <v>1</v>
      </c>
      <c r="E363" t="s">
        <v>2832</v>
      </c>
      <c r="F363" t="s">
        <v>2833</v>
      </c>
    </row>
    <row r="364" spans="1:6" x14ac:dyDescent="0.25">
      <c r="A364" t="str">
        <f t="shared" si="5"/>
        <v>280+1+203BG0203Y</v>
      </c>
      <c r="B364">
        <v>2895</v>
      </c>
      <c r="C364">
        <v>280</v>
      </c>
      <c r="D364">
        <v>1</v>
      </c>
      <c r="E364" t="s">
        <v>2834</v>
      </c>
      <c r="F364" t="s">
        <v>2835</v>
      </c>
    </row>
    <row r="365" spans="1:6" x14ac:dyDescent="0.25">
      <c r="A365" t="str">
        <f t="shared" si="5"/>
        <v>281+1+203BG0200Y</v>
      </c>
      <c r="B365">
        <v>2896</v>
      </c>
      <c r="C365">
        <v>281</v>
      </c>
      <c r="D365">
        <v>1</v>
      </c>
      <c r="E365" t="s">
        <v>2836</v>
      </c>
      <c r="F365" t="s">
        <v>2837</v>
      </c>
    </row>
    <row r="366" spans="1:6" x14ac:dyDescent="0.25">
      <c r="A366" t="str">
        <f t="shared" si="5"/>
        <v>282+1+203BG0300N</v>
      </c>
      <c r="B366">
        <v>2897</v>
      </c>
      <c r="C366">
        <v>282</v>
      </c>
      <c r="D366">
        <v>1</v>
      </c>
      <c r="E366" t="s">
        <v>2838</v>
      </c>
      <c r="F366" t="s">
        <v>1142</v>
      </c>
    </row>
    <row r="367" spans="1:6" x14ac:dyDescent="0.25">
      <c r="A367" t="str">
        <f t="shared" si="5"/>
        <v>283+1+203BG0301Y</v>
      </c>
      <c r="B367">
        <v>2898</v>
      </c>
      <c r="C367">
        <v>283</v>
      </c>
      <c r="D367">
        <v>1</v>
      </c>
      <c r="E367" t="s">
        <v>2839</v>
      </c>
      <c r="F367" t="s">
        <v>2840</v>
      </c>
    </row>
    <row r="368" spans="1:6" x14ac:dyDescent="0.25">
      <c r="A368" t="str">
        <f t="shared" si="5"/>
        <v>284+1+203BG0302Y</v>
      </c>
      <c r="B368">
        <v>2899</v>
      </c>
      <c r="C368">
        <v>284</v>
      </c>
      <c r="D368">
        <v>1</v>
      </c>
      <c r="E368" t="s">
        <v>2841</v>
      </c>
      <c r="F368" t="s">
        <v>2842</v>
      </c>
    </row>
    <row r="369" spans="1:6" x14ac:dyDescent="0.25">
      <c r="A369" t="str">
        <f t="shared" si="5"/>
        <v>285+1+203BG0303Y</v>
      </c>
      <c r="B369">
        <v>2900</v>
      </c>
      <c r="C369">
        <v>285</v>
      </c>
      <c r="D369">
        <v>1</v>
      </c>
      <c r="E369" t="s">
        <v>2843</v>
      </c>
      <c r="F369" t="s">
        <v>2844</v>
      </c>
    </row>
    <row r="370" spans="1:6" x14ac:dyDescent="0.25">
      <c r="A370" t="str">
        <f t="shared" si="5"/>
        <v>286+1+203BG0400N</v>
      </c>
      <c r="B370">
        <v>2901</v>
      </c>
      <c r="C370">
        <v>286</v>
      </c>
      <c r="D370">
        <v>1</v>
      </c>
      <c r="E370" t="s">
        <v>2845</v>
      </c>
      <c r="F370" t="s">
        <v>1183</v>
      </c>
    </row>
    <row r="371" spans="1:6" x14ac:dyDescent="0.25">
      <c r="A371" t="str">
        <f t="shared" si="5"/>
        <v>287+1+203BH0000Y</v>
      </c>
      <c r="B371">
        <v>2902</v>
      </c>
      <c r="C371">
        <v>287</v>
      </c>
      <c r="D371">
        <v>1</v>
      </c>
      <c r="E371" t="s">
        <v>2846</v>
      </c>
      <c r="F371" t="s">
        <v>1005</v>
      </c>
    </row>
    <row r="372" spans="1:6" x14ac:dyDescent="0.25">
      <c r="A372" t="str">
        <f t="shared" si="5"/>
        <v>287+51+193400000X</v>
      </c>
      <c r="B372">
        <v>4457</v>
      </c>
      <c r="C372">
        <v>287</v>
      </c>
      <c r="D372">
        <v>51</v>
      </c>
      <c r="E372" t="s">
        <v>1447</v>
      </c>
      <c r="F372" t="s">
        <v>1953</v>
      </c>
    </row>
    <row r="373" spans="1:6" x14ac:dyDescent="0.25">
      <c r="A373" t="str">
        <f t="shared" si="5"/>
        <v>288+1+203BH0003Y</v>
      </c>
      <c r="B373">
        <v>2903</v>
      </c>
      <c r="C373">
        <v>288</v>
      </c>
      <c r="D373">
        <v>1</v>
      </c>
      <c r="E373" t="s">
        <v>2847</v>
      </c>
      <c r="F373" t="s">
        <v>1007</v>
      </c>
    </row>
    <row r="374" spans="1:6" x14ac:dyDescent="0.25">
      <c r="A374" t="str">
        <f t="shared" si="5"/>
        <v>289+1+203BH0001Y</v>
      </c>
      <c r="B374">
        <v>2904</v>
      </c>
      <c r="C374">
        <v>289</v>
      </c>
      <c r="D374">
        <v>1</v>
      </c>
      <c r="E374" t="s">
        <v>2848</v>
      </c>
      <c r="F374" t="s">
        <v>2849</v>
      </c>
    </row>
    <row r="375" spans="1:6" x14ac:dyDescent="0.25">
      <c r="A375" t="str">
        <f t="shared" si="5"/>
        <v>290+1+203BH0002Y</v>
      </c>
      <c r="B375">
        <v>2905</v>
      </c>
      <c r="C375">
        <v>290</v>
      </c>
      <c r="D375">
        <v>1</v>
      </c>
      <c r="E375" t="s">
        <v>2850</v>
      </c>
      <c r="F375" t="s">
        <v>2851</v>
      </c>
    </row>
    <row r="376" spans="1:6" x14ac:dyDescent="0.25">
      <c r="A376" t="str">
        <f t="shared" si="5"/>
        <v>291+1+203BI0001N</v>
      </c>
      <c r="B376">
        <v>2906</v>
      </c>
      <c r="C376">
        <v>291</v>
      </c>
      <c r="D376">
        <v>1</v>
      </c>
      <c r="E376" t="s">
        <v>2852</v>
      </c>
      <c r="F376" t="s">
        <v>2853</v>
      </c>
    </row>
    <row r="377" spans="1:6" x14ac:dyDescent="0.25">
      <c r="A377" t="str">
        <f t="shared" si="5"/>
        <v>292+1+203BI0002N</v>
      </c>
      <c r="B377">
        <v>2907</v>
      </c>
      <c r="C377">
        <v>292</v>
      </c>
      <c r="D377">
        <v>1</v>
      </c>
      <c r="E377" t="s">
        <v>2854</v>
      </c>
      <c r="F377" t="s">
        <v>2855</v>
      </c>
    </row>
    <row r="378" spans="1:6" x14ac:dyDescent="0.25">
      <c r="A378" t="str">
        <f t="shared" si="5"/>
        <v>293+1+203BI0005N</v>
      </c>
      <c r="B378">
        <v>2908</v>
      </c>
      <c r="C378">
        <v>293</v>
      </c>
      <c r="D378">
        <v>1</v>
      </c>
      <c r="E378" t="s">
        <v>2856</v>
      </c>
      <c r="F378" t="s">
        <v>2857</v>
      </c>
    </row>
    <row r="379" spans="1:6" x14ac:dyDescent="0.25">
      <c r="A379" t="str">
        <f t="shared" si="5"/>
        <v>294+1+203BI0006N</v>
      </c>
      <c r="B379">
        <v>2909</v>
      </c>
      <c r="C379">
        <v>294</v>
      </c>
      <c r="D379">
        <v>1</v>
      </c>
      <c r="E379" t="s">
        <v>2858</v>
      </c>
      <c r="F379" t="s">
        <v>2859</v>
      </c>
    </row>
    <row r="380" spans="1:6" x14ac:dyDescent="0.25">
      <c r="A380" t="str">
        <f t="shared" si="5"/>
        <v>295+1+203BI0007N</v>
      </c>
      <c r="B380">
        <v>2910</v>
      </c>
      <c r="C380">
        <v>295</v>
      </c>
      <c r="D380">
        <v>1</v>
      </c>
      <c r="E380" t="s">
        <v>2860</v>
      </c>
      <c r="F380" t="s">
        <v>2861</v>
      </c>
    </row>
    <row r="381" spans="1:6" x14ac:dyDescent="0.25">
      <c r="A381" t="str">
        <f t="shared" si="5"/>
        <v>296+1+203BI0003Y</v>
      </c>
      <c r="B381">
        <v>2911</v>
      </c>
      <c r="C381">
        <v>296</v>
      </c>
      <c r="D381">
        <v>1</v>
      </c>
      <c r="E381" t="s">
        <v>2862</v>
      </c>
      <c r="F381" t="s">
        <v>2863</v>
      </c>
    </row>
    <row r="382" spans="1:6" x14ac:dyDescent="0.25">
      <c r="A382" t="str">
        <f t="shared" si="5"/>
        <v>297+1+203BI0004Y</v>
      </c>
      <c r="B382">
        <v>2912</v>
      </c>
      <c r="C382">
        <v>297</v>
      </c>
      <c r="D382">
        <v>1</v>
      </c>
      <c r="E382" t="s">
        <v>2864</v>
      </c>
      <c r="F382" t="s">
        <v>2865</v>
      </c>
    </row>
    <row r="383" spans="1:6" x14ac:dyDescent="0.25">
      <c r="A383" t="str">
        <f t="shared" si="5"/>
        <v>298+1+203BI0100Y</v>
      </c>
      <c r="B383">
        <v>2913</v>
      </c>
      <c r="C383">
        <v>298</v>
      </c>
      <c r="D383">
        <v>1</v>
      </c>
      <c r="E383" t="s">
        <v>2866</v>
      </c>
      <c r="F383" t="s">
        <v>2867</v>
      </c>
    </row>
    <row r="384" spans="1:6" x14ac:dyDescent="0.25">
      <c r="A384" t="str">
        <f t="shared" si="5"/>
        <v>299+1+203BI0200Y</v>
      </c>
      <c r="B384">
        <v>2914</v>
      </c>
      <c r="C384">
        <v>299</v>
      </c>
      <c r="D384">
        <v>1</v>
      </c>
      <c r="E384" t="s">
        <v>2868</v>
      </c>
      <c r="F384" t="s">
        <v>1012</v>
      </c>
    </row>
    <row r="385" spans="1:6" x14ac:dyDescent="0.25">
      <c r="A385" t="str">
        <f t="shared" si="5"/>
        <v>299+50+207RI0200X</v>
      </c>
      <c r="B385">
        <v>10013</v>
      </c>
      <c r="C385">
        <v>299</v>
      </c>
      <c r="D385">
        <v>50</v>
      </c>
      <c r="E385" t="s">
        <v>1011</v>
      </c>
      <c r="F385" t="s">
        <v>3712</v>
      </c>
    </row>
    <row r="386" spans="1:6" x14ac:dyDescent="0.25">
      <c r="A386" t="str">
        <f t="shared" ref="A386:A449" si="6">C386 &amp; "+" &amp; D386 &amp; "+" &amp; E386</f>
        <v>299+51+193400000X</v>
      </c>
      <c r="B386">
        <v>4458</v>
      </c>
      <c r="C386">
        <v>299</v>
      </c>
      <c r="D386">
        <v>51</v>
      </c>
      <c r="E386" t="s">
        <v>1447</v>
      </c>
      <c r="F386" t="s">
        <v>3680</v>
      </c>
    </row>
    <row r="387" spans="1:6" x14ac:dyDescent="0.25">
      <c r="A387" t="str">
        <f t="shared" si="6"/>
        <v>299+51+207RI0200X</v>
      </c>
      <c r="B387">
        <v>10014</v>
      </c>
      <c r="C387">
        <v>299</v>
      </c>
      <c r="D387">
        <v>51</v>
      </c>
      <c r="E387" t="s">
        <v>1011</v>
      </c>
      <c r="F387" t="s">
        <v>3712</v>
      </c>
    </row>
    <row r="388" spans="1:6" x14ac:dyDescent="0.25">
      <c r="A388" t="str">
        <f t="shared" si="6"/>
        <v>299+114+207RI0200X</v>
      </c>
      <c r="B388">
        <v>10012</v>
      </c>
      <c r="C388">
        <v>299</v>
      </c>
      <c r="D388">
        <v>114</v>
      </c>
      <c r="E388" t="s">
        <v>1011</v>
      </c>
      <c r="F388" t="s">
        <v>3712</v>
      </c>
    </row>
    <row r="389" spans="1:6" x14ac:dyDescent="0.25">
      <c r="A389" t="str">
        <f t="shared" si="6"/>
        <v>300+1+203BI0400N</v>
      </c>
      <c r="B389">
        <v>2915</v>
      </c>
      <c r="C389">
        <v>300</v>
      </c>
      <c r="D389">
        <v>1</v>
      </c>
      <c r="E389" t="s">
        <v>2869</v>
      </c>
      <c r="F389" t="s">
        <v>2870</v>
      </c>
    </row>
    <row r="390" spans="1:6" x14ac:dyDescent="0.25">
      <c r="A390" t="str">
        <f t="shared" si="6"/>
        <v>301+1+207R00000X</v>
      </c>
      <c r="B390">
        <v>2916</v>
      </c>
      <c r="C390">
        <v>301</v>
      </c>
      <c r="D390">
        <v>1</v>
      </c>
      <c r="E390" t="s">
        <v>1125</v>
      </c>
      <c r="F390" t="s">
        <v>999</v>
      </c>
    </row>
    <row r="391" spans="1:6" x14ac:dyDescent="0.25">
      <c r="A391" t="str">
        <f t="shared" si="6"/>
        <v>302+1+203BL0000Y</v>
      </c>
      <c r="B391">
        <v>2917</v>
      </c>
      <c r="C391">
        <v>302</v>
      </c>
      <c r="D391">
        <v>1</v>
      </c>
      <c r="E391" t="s">
        <v>2871</v>
      </c>
      <c r="F391" t="s">
        <v>2872</v>
      </c>
    </row>
    <row r="392" spans="1:6" x14ac:dyDescent="0.25">
      <c r="A392" t="str">
        <f t="shared" si="6"/>
        <v>303+1+203BM0101Y</v>
      </c>
      <c r="B392">
        <v>2918</v>
      </c>
      <c r="C392">
        <v>303</v>
      </c>
      <c r="D392">
        <v>1</v>
      </c>
      <c r="E392" t="s">
        <v>2873</v>
      </c>
      <c r="F392" t="s">
        <v>1033</v>
      </c>
    </row>
    <row r="393" spans="1:6" x14ac:dyDescent="0.25">
      <c r="A393" t="str">
        <f t="shared" si="6"/>
        <v>304+1+203BM0200Y</v>
      </c>
      <c r="B393">
        <v>2919</v>
      </c>
      <c r="C393">
        <v>304</v>
      </c>
      <c r="D393">
        <v>1</v>
      </c>
      <c r="E393" t="s">
        <v>2874</v>
      </c>
      <c r="F393" t="s">
        <v>2875</v>
      </c>
    </row>
    <row r="394" spans="1:6" x14ac:dyDescent="0.25">
      <c r="A394" t="str">
        <f t="shared" si="6"/>
        <v>305+1+203BM0300Y</v>
      </c>
      <c r="B394">
        <v>2920</v>
      </c>
      <c r="C394">
        <v>305</v>
      </c>
      <c r="D394">
        <v>1</v>
      </c>
      <c r="E394" t="s">
        <v>2876</v>
      </c>
      <c r="F394" t="s">
        <v>2877</v>
      </c>
    </row>
    <row r="395" spans="1:6" x14ac:dyDescent="0.25">
      <c r="A395" t="str">
        <f t="shared" si="6"/>
        <v>306+1+203BN0001Y</v>
      </c>
      <c r="B395">
        <v>2921</v>
      </c>
      <c r="C395">
        <v>306</v>
      </c>
      <c r="D395">
        <v>1</v>
      </c>
      <c r="E395" t="s">
        <v>2878</v>
      </c>
      <c r="F395" t="s">
        <v>2879</v>
      </c>
    </row>
    <row r="396" spans="1:6" x14ac:dyDescent="0.25">
      <c r="A396" t="str">
        <f t="shared" si="6"/>
        <v>307+1+203BN0100Y</v>
      </c>
      <c r="B396">
        <v>2922</v>
      </c>
      <c r="C396">
        <v>307</v>
      </c>
      <c r="D396">
        <v>1</v>
      </c>
      <c r="E396" t="s">
        <v>2880</v>
      </c>
      <c r="F396" t="s">
        <v>2881</v>
      </c>
    </row>
    <row r="397" spans="1:6" x14ac:dyDescent="0.25">
      <c r="A397" t="str">
        <f t="shared" si="6"/>
        <v>308+1+203BN0200N</v>
      </c>
      <c r="B397">
        <v>2923</v>
      </c>
      <c r="C397">
        <v>308</v>
      </c>
      <c r="D397">
        <v>1</v>
      </c>
      <c r="E397" t="s">
        <v>2882</v>
      </c>
      <c r="F397" t="s">
        <v>2883</v>
      </c>
    </row>
    <row r="398" spans="1:6" x14ac:dyDescent="0.25">
      <c r="A398" t="str">
        <f t="shared" si="6"/>
        <v>309+1+203BN0300Y</v>
      </c>
      <c r="B398">
        <v>2924</v>
      </c>
      <c r="C398">
        <v>309</v>
      </c>
      <c r="D398">
        <v>1</v>
      </c>
      <c r="E398" t="s">
        <v>2884</v>
      </c>
      <c r="F398" t="s">
        <v>1153</v>
      </c>
    </row>
    <row r="399" spans="1:6" x14ac:dyDescent="0.25">
      <c r="A399" t="str">
        <f t="shared" si="6"/>
        <v>310+1+203BN0400Y</v>
      </c>
      <c r="B399">
        <v>2925</v>
      </c>
      <c r="C399">
        <v>310</v>
      </c>
      <c r="D399">
        <v>1</v>
      </c>
      <c r="E399" t="s">
        <v>2885</v>
      </c>
      <c r="F399" t="s">
        <v>2731</v>
      </c>
    </row>
    <row r="400" spans="1:6" x14ac:dyDescent="0.25">
      <c r="A400" t="str">
        <f t="shared" si="6"/>
        <v>311+1+203BN0402Y</v>
      </c>
      <c r="B400">
        <v>2926</v>
      </c>
      <c r="C400">
        <v>311</v>
      </c>
      <c r="D400">
        <v>1</v>
      </c>
      <c r="E400" t="s">
        <v>2886</v>
      </c>
      <c r="F400" t="s">
        <v>2887</v>
      </c>
    </row>
    <row r="401" spans="1:6" x14ac:dyDescent="0.25">
      <c r="A401" t="str">
        <f t="shared" si="6"/>
        <v>312+1+203BN0500Y</v>
      </c>
      <c r="B401">
        <v>2927</v>
      </c>
      <c r="C401">
        <v>312</v>
      </c>
      <c r="D401">
        <v>1</v>
      </c>
      <c r="E401" t="s">
        <v>2888</v>
      </c>
      <c r="F401" t="s">
        <v>2889</v>
      </c>
    </row>
    <row r="402" spans="1:6" x14ac:dyDescent="0.25">
      <c r="A402" t="str">
        <f t="shared" si="6"/>
        <v>313+1+203BN0600Y</v>
      </c>
      <c r="B402">
        <v>2928</v>
      </c>
      <c r="C402">
        <v>313</v>
      </c>
      <c r="D402">
        <v>1</v>
      </c>
      <c r="E402" t="s">
        <v>2890</v>
      </c>
      <c r="F402" t="s">
        <v>2891</v>
      </c>
    </row>
    <row r="403" spans="1:6" x14ac:dyDescent="0.25">
      <c r="A403" t="str">
        <f t="shared" si="6"/>
        <v>314+1+203BN0700Y</v>
      </c>
      <c r="B403">
        <v>2929</v>
      </c>
      <c r="C403">
        <v>314</v>
      </c>
      <c r="D403">
        <v>1</v>
      </c>
      <c r="E403" t="s">
        <v>2892</v>
      </c>
      <c r="F403" t="s">
        <v>2893</v>
      </c>
    </row>
    <row r="404" spans="1:6" x14ac:dyDescent="0.25">
      <c r="A404" t="str">
        <f t="shared" si="6"/>
        <v>315+1+203BN0901Y</v>
      </c>
      <c r="B404">
        <v>2930</v>
      </c>
      <c r="C404">
        <v>315</v>
      </c>
      <c r="D404">
        <v>1</v>
      </c>
      <c r="E404" t="s">
        <v>2894</v>
      </c>
      <c r="F404" t="s">
        <v>1170</v>
      </c>
    </row>
    <row r="405" spans="1:6" x14ac:dyDescent="0.25">
      <c r="A405" t="str">
        <f t="shared" si="6"/>
        <v>316+1+203BN0902Y</v>
      </c>
      <c r="B405">
        <v>2931</v>
      </c>
      <c r="C405">
        <v>316</v>
      </c>
      <c r="D405">
        <v>1</v>
      </c>
      <c r="E405" t="s">
        <v>2895</v>
      </c>
      <c r="F405" t="s">
        <v>1172</v>
      </c>
    </row>
    <row r="406" spans="1:6" x14ac:dyDescent="0.25">
      <c r="A406" t="str">
        <f t="shared" si="6"/>
        <v>317+1+207U00000X</v>
      </c>
      <c r="B406">
        <v>2932</v>
      </c>
      <c r="C406">
        <v>317</v>
      </c>
      <c r="D406">
        <v>1</v>
      </c>
      <c r="E406" t="s">
        <v>1169</v>
      </c>
      <c r="F406" t="s">
        <v>1168</v>
      </c>
    </row>
    <row r="407" spans="1:6" x14ac:dyDescent="0.25">
      <c r="A407" t="str">
        <f t="shared" si="6"/>
        <v>318+1+203BN0903Y</v>
      </c>
      <c r="B407">
        <v>2933</v>
      </c>
      <c r="C407">
        <v>318</v>
      </c>
      <c r="D407">
        <v>1</v>
      </c>
      <c r="E407" t="s">
        <v>2896</v>
      </c>
      <c r="F407" t="s">
        <v>2897</v>
      </c>
    </row>
    <row r="408" spans="1:6" x14ac:dyDescent="0.25">
      <c r="A408" t="str">
        <f t="shared" si="6"/>
        <v>319+1+203BN0904Y</v>
      </c>
      <c r="B408">
        <v>2934</v>
      </c>
      <c r="C408">
        <v>319</v>
      </c>
      <c r="D408">
        <v>1</v>
      </c>
      <c r="E408" t="s">
        <v>2898</v>
      </c>
      <c r="F408" t="s">
        <v>2899</v>
      </c>
    </row>
    <row r="409" spans="1:6" x14ac:dyDescent="0.25">
      <c r="A409" t="str">
        <f t="shared" si="6"/>
        <v>320+1+203BX0000N</v>
      </c>
      <c r="B409">
        <v>2935</v>
      </c>
      <c r="C409">
        <v>320</v>
      </c>
      <c r="D409">
        <v>1</v>
      </c>
      <c r="E409" t="s">
        <v>2900</v>
      </c>
      <c r="F409" t="s">
        <v>1187</v>
      </c>
    </row>
    <row r="410" spans="1:6" x14ac:dyDescent="0.25">
      <c r="A410" t="str">
        <f t="shared" si="6"/>
        <v>321+1+207V00000X</v>
      </c>
      <c r="B410">
        <v>2936</v>
      </c>
      <c r="C410">
        <v>321</v>
      </c>
      <c r="D410">
        <v>1</v>
      </c>
      <c r="E410" t="s">
        <v>1176</v>
      </c>
      <c r="F410" t="s">
        <v>1032</v>
      </c>
    </row>
    <row r="411" spans="1:6" x14ac:dyDescent="0.25">
      <c r="A411" t="str">
        <f t="shared" si="6"/>
        <v>322+1+203BX0100Y</v>
      </c>
      <c r="B411">
        <v>2937</v>
      </c>
      <c r="C411">
        <v>322</v>
      </c>
      <c r="D411">
        <v>1</v>
      </c>
      <c r="E411" t="s">
        <v>2901</v>
      </c>
      <c r="F411" t="s">
        <v>2735</v>
      </c>
    </row>
    <row r="412" spans="1:6" x14ac:dyDescent="0.25">
      <c r="A412" t="str">
        <f t="shared" si="6"/>
        <v>323+1+203BX0104Y</v>
      </c>
      <c r="B412">
        <v>2938</v>
      </c>
      <c r="C412">
        <v>323</v>
      </c>
      <c r="D412">
        <v>1</v>
      </c>
      <c r="E412" t="s">
        <v>2902</v>
      </c>
      <c r="F412" t="s">
        <v>2903</v>
      </c>
    </row>
    <row r="413" spans="1:6" x14ac:dyDescent="0.25">
      <c r="A413" t="str">
        <f t="shared" si="6"/>
        <v>324+1+203BX0105Y</v>
      </c>
      <c r="B413">
        <v>2939</v>
      </c>
      <c r="C413">
        <v>324</v>
      </c>
      <c r="D413">
        <v>1</v>
      </c>
      <c r="E413" t="s">
        <v>2904</v>
      </c>
      <c r="F413" t="s">
        <v>2905</v>
      </c>
    </row>
    <row r="414" spans="1:6" x14ac:dyDescent="0.25">
      <c r="A414" t="str">
        <f t="shared" si="6"/>
        <v>325+1+203BX0200Y</v>
      </c>
      <c r="B414">
        <v>2940</v>
      </c>
      <c r="C414">
        <v>325</v>
      </c>
      <c r="D414">
        <v>1</v>
      </c>
      <c r="E414" t="s">
        <v>2906</v>
      </c>
      <c r="F414" t="s">
        <v>2907</v>
      </c>
    </row>
    <row r="415" spans="1:6" x14ac:dyDescent="0.25">
      <c r="A415" t="str">
        <f t="shared" si="6"/>
        <v>326+1+203BX0201Y</v>
      </c>
      <c r="B415">
        <v>2941</v>
      </c>
      <c r="C415">
        <v>326</v>
      </c>
      <c r="D415">
        <v>1</v>
      </c>
      <c r="E415" t="s">
        <v>2908</v>
      </c>
      <c r="F415" t="s">
        <v>2909</v>
      </c>
    </row>
    <row r="416" spans="1:6" x14ac:dyDescent="0.25">
      <c r="A416" t="str">
        <f t="shared" si="6"/>
        <v>327+1+203BX0202Y</v>
      </c>
      <c r="B416">
        <v>2942</v>
      </c>
      <c r="C416">
        <v>327</v>
      </c>
      <c r="D416">
        <v>1</v>
      </c>
      <c r="E416" t="s">
        <v>2910</v>
      </c>
      <c r="F416" t="s">
        <v>2911</v>
      </c>
    </row>
    <row r="417" spans="1:6" x14ac:dyDescent="0.25">
      <c r="A417" t="str">
        <f t="shared" si="6"/>
        <v>328+1+207W00000X</v>
      </c>
      <c r="B417">
        <v>2943</v>
      </c>
      <c r="C417">
        <v>328</v>
      </c>
      <c r="D417">
        <v>1</v>
      </c>
      <c r="E417" t="s">
        <v>1193</v>
      </c>
      <c r="F417" t="s">
        <v>1192</v>
      </c>
    </row>
    <row r="418" spans="1:6" x14ac:dyDescent="0.25">
      <c r="A418" t="str">
        <f t="shared" si="6"/>
        <v>329+1+203BX0800N</v>
      </c>
      <c r="B418">
        <v>2944</v>
      </c>
      <c r="C418">
        <v>329</v>
      </c>
      <c r="D418">
        <v>1</v>
      </c>
      <c r="E418" t="s">
        <v>2912</v>
      </c>
      <c r="F418" t="s">
        <v>2737</v>
      </c>
    </row>
    <row r="419" spans="1:6" x14ac:dyDescent="0.25">
      <c r="A419" t="str">
        <f t="shared" si="6"/>
        <v>330+1+203BX2100Y</v>
      </c>
      <c r="B419">
        <v>2945</v>
      </c>
      <c r="C419">
        <v>330</v>
      </c>
      <c r="D419">
        <v>1</v>
      </c>
      <c r="E419" t="s">
        <v>2913</v>
      </c>
      <c r="F419" t="s">
        <v>2914</v>
      </c>
    </row>
    <row r="420" spans="1:6" x14ac:dyDescent="0.25">
      <c r="A420" t="str">
        <f t="shared" si="6"/>
        <v>331+1+207Y00000X</v>
      </c>
      <c r="B420">
        <v>2946</v>
      </c>
      <c r="C420">
        <v>331</v>
      </c>
      <c r="D420">
        <v>1</v>
      </c>
      <c r="E420" t="s">
        <v>1213</v>
      </c>
      <c r="F420" t="s">
        <v>1212</v>
      </c>
    </row>
    <row r="421" spans="1:6" x14ac:dyDescent="0.25">
      <c r="A421" t="str">
        <f t="shared" si="6"/>
        <v>332+1+203BX0900N</v>
      </c>
      <c r="B421">
        <v>2947</v>
      </c>
      <c r="C421">
        <v>332</v>
      </c>
      <c r="D421">
        <v>1</v>
      </c>
      <c r="E421" t="s">
        <v>2915</v>
      </c>
      <c r="F421" t="s">
        <v>2916</v>
      </c>
    </row>
    <row r="422" spans="1:6" x14ac:dyDescent="0.25">
      <c r="A422" t="str">
        <f t="shared" si="6"/>
        <v>333+1+203BX0901N</v>
      </c>
      <c r="B422">
        <v>2948</v>
      </c>
      <c r="C422">
        <v>333</v>
      </c>
      <c r="D422">
        <v>1</v>
      </c>
      <c r="E422" t="s">
        <v>2917</v>
      </c>
      <c r="F422" t="s">
        <v>1226</v>
      </c>
    </row>
    <row r="423" spans="1:6" x14ac:dyDescent="0.25">
      <c r="A423" t="str">
        <f t="shared" si="6"/>
        <v>334+1+203BX0600Y</v>
      </c>
      <c r="B423">
        <v>2949</v>
      </c>
      <c r="C423">
        <v>334</v>
      </c>
      <c r="D423">
        <v>1</v>
      </c>
      <c r="E423" t="s">
        <v>2918</v>
      </c>
      <c r="F423" t="s">
        <v>2919</v>
      </c>
    </row>
    <row r="424" spans="1:6" x14ac:dyDescent="0.25">
      <c r="A424" t="str">
        <f t="shared" si="6"/>
        <v>335+1+203BX0601N</v>
      </c>
      <c r="B424">
        <v>2950</v>
      </c>
      <c r="C424">
        <v>335</v>
      </c>
      <c r="D424">
        <v>1</v>
      </c>
      <c r="E424" t="s">
        <v>2920</v>
      </c>
      <c r="F424" t="s">
        <v>2921</v>
      </c>
    </row>
    <row r="425" spans="1:6" x14ac:dyDescent="0.25">
      <c r="A425" t="str">
        <f t="shared" si="6"/>
        <v>336+1+203BP0001Y</v>
      </c>
      <c r="B425">
        <v>2951</v>
      </c>
      <c r="C425">
        <v>336</v>
      </c>
      <c r="D425">
        <v>1</v>
      </c>
      <c r="E425" t="s">
        <v>2922</v>
      </c>
      <c r="F425" t="s">
        <v>2923</v>
      </c>
    </row>
    <row r="426" spans="1:6" x14ac:dyDescent="0.25">
      <c r="A426" t="str">
        <f t="shared" si="6"/>
        <v>337+1+203BP2900N</v>
      </c>
      <c r="B426">
        <v>2952</v>
      </c>
      <c r="C426">
        <v>337</v>
      </c>
      <c r="D426">
        <v>1</v>
      </c>
      <c r="E426" t="s">
        <v>2924</v>
      </c>
      <c r="F426" t="s">
        <v>1082</v>
      </c>
    </row>
    <row r="427" spans="1:6" x14ac:dyDescent="0.25">
      <c r="A427" t="str">
        <f t="shared" si="6"/>
        <v>338+1+203BP0100Y</v>
      </c>
      <c r="B427">
        <v>2953</v>
      </c>
      <c r="C427">
        <v>338</v>
      </c>
      <c r="D427">
        <v>1</v>
      </c>
      <c r="E427" t="s">
        <v>2925</v>
      </c>
      <c r="F427" t="s">
        <v>2714</v>
      </c>
    </row>
    <row r="428" spans="1:6" x14ac:dyDescent="0.25">
      <c r="A428" t="str">
        <f t="shared" si="6"/>
        <v>339+1+203BP0101Y</v>
      </c>
      <c r="B428">
        <v>2954</v>
      </c>
      <c r="C428">
        <v>339</v>
      </c>
      <c r="D428">
        <v>1</v>
      </c>
      <c r="E428" t="s">
        <v>2926</v>
      </c>
      <c r="F428" t="s">
        <v>2927</v>
      </c>
    </row>
    <row r="429" spans="1:6" x14ac:dyDescent="0.25">
      <c r="A429" t="str">
        <f t="shared" si="6"/>
        <v>340+1+203BP0102Y</v>
      </c>
      <c r="B429">
        <v>2955</v>
      </c>
      <c r="C429">
        <v>340</v>
      </c>
      <c r="D429">
        <v>1</v>
      </c>
      <c r="E429" t="s">
        <v>2928</v>
      </c>
      <c r="F429" t="s">
        <v>2929</v>
      </c>
    </row>
    <row r="430" spans="1:6" x14ac:dyDescent="0.25">
      <c r="A430" t="str">
        <f t="shared" si="6"/>
        <v>341+1+203BP0103Y</v>
      </c>
      <c r="B430">
        <v>2956</v>
      </c>
      <c r="C430">
        <v>341</v>
      </c>
      <c r="D430">
        <v>1</v>
      </c>
      <c r="E430" t="s">
        <v>2930</v>
      </c>
      <c r="F430" t="s">
        <v>2931</v>
      </c>
    </row>
    <row r="431" spans="1:6" x14ac:dyDescent="0.25">
      <c r="A431" t="str">
        <f t="shared" si="6"/>
        <v>342+1+203BP0104Y</v>
      </c>
      <c r="B431">
        <v>2957</v>
      </c>
      <c r="C431">
        <v>342</v>
      </c>
      <c r="D431">
        <v>1</v>
      </c>
      <c r="E431" t="s">
        <v>2932</v>
      </c>
      <c r="F431" t="s">
        <v>2933</v>
      </c>
    </row>
    <row r="432" spans="1:6" x14ac:dyDescent="0.25">
      <c r="A432" t="str">
        <f t="shared" si="6"/>
        <v>343+1+203BP0105Y</v>
      </c>
      <c r="B432">
        <v>2958</v>
      </c>
      <c r="C432">
        <v>343</v>
      </c>
      <c r="D432">
        <v>1</v>
      </c>
      <c r="E432" t="s">
        <v>2934</v>
      </c>
      <c r="F432" t="s">
        <v>2935</v>
      </c>
    </row>
    <row r="433" spans="1:6" x14ac:dyDescent="0.25">
      <c r="A433" t="str">
        <f t="shared" si="6"/>
        <v>344+1+203BP0107N</v>
      </c>
      <c r="B433">
        <v>2959</v>
      </c>
      <c r="C433">
        <v>344</v>
      </c>
      <c r="D433">
        <v>1</v>
      </c>
      <c r="E433" t="s">
        <v>2936</v>
      </c>
      <c r="F433" t="s">
        <v>2937</v>
      </c>
    </row>
    <row r="434" spans="1:6" x14ac:dyDescent="0.25">
      <c r="A434" t="str">
        <f t="shared" si="6"/>
        <v>345+1+203BP0201Y</v>
      </c>
      <c r="B434">
        <v>2960</v>
      </c>
      <c r="C434">
        <v>345</v>
      </c>
      <c r="D434">
        <v>1</v>
      </c>
      <c r="E434" t="s">
        <v>2938</v>
      </c>
      <c r="F434" t="s">
        <v>2939</v>
      </c>
    </row>
    <row r="435" spans="1:6" x14ac:dyDescent="0.25">
      <c r="A435" t="str">
        <f t="shared" si="6"/>
        <v>346+1+203BP0202Y</v>
      </c>
      <c r="B435">
        <v>2961</v>
      </c>
      <c r="C435">
        <v>346</v>
      </c>
      <c r="D435">
        <v>1</v>
      </c>
      <c r="E435" t="s">
        <v>2940</v>
      </c>
      <c r="F435" t="s">
        <v>2941</v>
      </c>
    </row>
    <row r="436" spans="1:6" x14ac:dyDescent="0.25">
      <c r="A436" t="str">
        <f t="shared" si="6"/>
        <v>347+1+203BP0203Y</v>
      </c>
      <c r="B436">
        <v>2962</v>
      </c>
      <c r="C436">
        <v>347</v>
      </c>
      <c r="D436">
        <v>1</v>
      </c>
      <c r="E436" t="s">
        <v>2942</v>
      </c>
      <c r="F436" t="s">
        <v>2943</v>
      </c>
    </row>
    <row r="437" spans="1:6" x14ac:dyDescent="0.25">
      <c r="A437" t="str">
        <f t="shared" si="6"/>
        <v>348+1+203BP0204Y</v>
      </c>
      <c r="B437">
        <v>2963</v>
      </c>
      <c r="C437">
        <v>348</v>
      </c>
      <c r="D437">
        <v>1</v>
      </c>
      <c r="E437" t="s">
        <v>2944</v>
      </c>
      <c r="F437" t="s">
        <v>2945</v>
      </c>
    </row>
    <row r="438" spans="1:6" x14ac:dyDescent="0.25">
      <c r="A438" t="str">
        <f t="shared" si="6"/>
        <v>349+1+203BP0205Y</v>
      </c>
      <c r="B438">
        <v>2964</v>
      </c>
      <c r="C438">
        <v>349</v>
      </c>
      <c r="D438">
        <v>1</v>
      </c>
      <c r="E438" t="s">
        <v>2946</v>
      </c>
      <c r="F438" t="s">
        <v>2947</v>
      </c>
    </row>
    <row r="439" spans="1:6" x14ac:dyDescent="0.25">
      <c r="A439" t="str">
        <f t="shared" si="6"/>
        <v>350+1+203BP0206Y</v>
      </c>
      <c r="B439">
        <v>2965</v>
      </c>
      <c r="C439">
        <v>350</v>
      </c>
      <c r="D439">
        <v>1</v>
      </c>
      <c r="E439" t="s">
        <v>2948</v>
      </c>
      <c r="F439" t="s">
        <v>2949</v>
      </c>
    </row>
    <row r="440" spans="1:6" x14ac:dyDescent="0.25">
      <c r="A440" t="str">
        <f t="shared" si="6"/>
        <v>351+1+203BP0207Y</v>
      </c>
      <c r="B440">
        <v>2966</v>
      </c>
      <c r="C440">
        <v>351</v>
      </c>
      <c r="D440">
        <v>1</v>
      </c>
      <c r="E440" t="s">
        <v>2950</v>
      </c>
      <c r="F440" t="s">
        <v>2951</v>
      </c>
    </row>
    <row r="441" spans="1:6" x14ac:dyDescent="0.25">
      <c r="A441" t="str">
        <f t="shared" si="6"/>
        <v>352+1+203BP0208Y</v>
      </c>
      <c r="B441">
        <v>2967</v>
      </c>
      <c r="C441">
        <v>352</v>
      </c>
      <c r="D441">
        <v>1</v>
      </c>
      <c r="E441" t="s">
        <v>2952</v>
      </c>
      <c r="F441" t="s">
        <v>2953</v>
      </c>
    </row>
    <row r="442" spans="1:6" x14ac:dyDescent="0.25">
      <c r="A442" t="str">
        <f t="shared" si="6"/>
        <v>353+1+203BP0209Y</v>
      </c>
      <c r="B442">
        <v>2968</v>
      </c>
      <c r="C442">
        <v>353</v>
      </c>
      <c r="D442">
        <v>1</v>
      </c>
      <c r="E442" t="s">
        <v>2954</v>
      </c>
      <c r="F442" t="s">
        <v>2955</v>
      </c>
    </row>
    <row r="443" spans="1:6" x14ac:dyDescent="0.25">
      <c r="A443" t="str">
        <f t="shared" si="6"/>
        <v>354+1+203BP0220N</v>
      </c>
      <c r="B443">
        <v>2969</v>
      </c>
      <c r="C443">
        <v>354</v>
      </c>
      <c r="D443">
        <v>1</v>
      </c>
      <c r="E443" t="s">
        <v>2956</v>
      </c>
      <c r="F443" t="s">
        <v>2957</v>
      </c>
    </row>
    <row r="444" spans="1:6" x14ac:dyDescent="0.25">
      <c r="A444" t="str">
        <f t="shared" si="6"/>
        <v>355+1+203BP0210Y</v>
      </c>
      <c r="B444">
        <v>2970</v>
      </c>
      <c r="C444">
        <v>355</v>
      </c>
      <c r="D444">
        <v>1</v>
      </c>
      <c r="E444" t="s">
        <v>2958</v>
      </c>
      <c r="F444" t="s">
        <v>2959</v>
      </c>
    </row>
    <row r="445" spans="1:6" x14ac:dyDescent="0.25">
      <c r="A445" t="str">
        <f t="shared" si="6"/>
        <v>356+1+203BP0211Y</v>
      </c>
      <c r="B445">
        <v>2971</v>
      </c>
      <c r="C445">
        <v>356</v>
      </c>
      <c r="D445">
        <v>1</v>
      </c>
      <c r="E445" t="s">
        <v>2960</v>
      </c>
      <c r="F445" t="s">
        <v>2961</v>
      </c>
    </row>
    <row r="446" spans="1:6" x14ac:dyDescent="0.25">
      <c r="A446" t="str">
        <f t="shared" si="6"/>
        <v>357+1+203BP0212Y</v>
      </c>
      <c r="B446">
        <v>2972</v>
      </c>
      <c r="C446">
        <v>357</v>
      </c>
      <c r="D446">
        <v>1</v>
      </c>
      <c r="E446" t="s">
        <v>2962</v>
      </c>
      <c r="F446" t="s">
        <v>1215</v>
      </c>
    </row>
    <row r="447" spans="1:6" x14ac:dyDescent="0.25">
      <c r="A447" t="str">
        <f t="shared" si="6"/>
        <v>358+1+203BP0213Y</v>
      </c>
      <c r="B447">
        <v>2973</v>
      </c>
      <c r="C447">
        <v>358</v>
      </c>
      <c r="D447">
        <v>1</v>
      </c>
      <c r="E447" t="s">
        <v>2963</v>
      </c>
      <c r="F447" t="s">
        <v>2964</v>
      </c>
    </row>
    <row r="448" spans="1:6" x14ac:dyDescent="0.25">
      <c r="A448" t="str">
        <f t="shared" si="6"/>
        <v>359+1+203BP0214Y</v>
      </c>
      <c r="B448">
        <v>2974</v>
      </c>
      <c r="C448">
        <v>359</v>
      </c>
      <c r="D448">
        <v>1</v>
      </c>
      <c r="E448" t="s">
        <v>2965</v>
      </c>
      <c r="F448" t="s">
        <v>2966</v>
      </c>
    </row>
    <row r="449" spans="1:6" x14ac:dyDescent="0.25">
      <c r="A449" t="str">
        <f t="shared" si="6"/>
        <v>360+1+203BP0215N</v>
      </c>
      <c r="B449">
        <v>2975</v>
      </c>
      <c r="C449">
        <v>360</v>
      </c>
      <c r="D449">
        <v>1</v>
      </c>
      <c r="E449" t="s">
        <v>2967</v>
      </c>
      <c r="F449" t="s">
        <v>2968</v>
      </c>
    </row>
    <row r="450" spans="1:6" x14ac:dyDescent="0.25">
      <c r="A450" t="str">
        <f t="shared" ref="A450:A513" si="7">C450 &amp; "+" &amp; D450 &amp; "+" &amp; E450</f>
        <v>361+1+203BP0216Y</v>
      </c>
      <c r="B450">
        <v>2976</v>
      </c>
      <c r="C450">
        <v>361</v>
      </c>
      <c r="D450">
        <v>1</v>
      </c>
      <c r="E450" t="s">
        <v>2969</v>
      </c>
      <c r="F450" t="s">
        <v>2970</v>
      </c>
    </row>
    <row r="451" spans="1:6" x14ac:dyDescent="0.25">
      <c r="A451" t="str">
        <f t="shared" si="7"/>
        <v>362+1+203BP0200Y</v>
      </c>
      <c r="B451">
        <v>2977</v>
      </c>
      <c r="C451">
        <v>362</v>
      </c>
      <c r="D451">
        <v>1</v>
      </c>
      <c r="E451" t="s">
        <v>2971</v>
      </c>
      <c r="F451" t="s">
        <v>1263</v>
      </c>
    </row>
    <row r="452" spans="1:6" x14ac:dyDescent="0.25">
      <c r="A452" t="str">
        <f t="shared" si="7"/>
        <v>363+1+203BP2600N</v>
      </c>
      <c r="B452">
        <v>2978</v>
      </c>
      <c r="C452">
        <v>363</v>
      </c>
      <c r="D452">
        <v>1</v>
      </c>
      <c r="E452" t="s">
        <v>2972</v>
      </c>
      <c r="F452" t="s">
        <v>2973</v>
      </c>
    </row>
    <row r="453" spans="1:6" x14ac:dyDescent="0.25">
      <c r="A453" t="str">
        <f t="shared" si="7"/>
        <v>364+1+203BP1200N</v>
      </c>
      <c r="B453">
        <v>2979</v>
      </c>
      <c r="C453">
        <v>364</v>
      </c>
      <c r="D453">
        <v>1</v>
      </c>
      <c r="E453" t="s">
        <v>2974</v>
      </c>
      <c r="F453" t="s">
        <v>2975</v>
      </c>
    </row>
    <row r="454" spans="1:6" x14ac:dyDescent="0.25">
      <c r="A454" t="str">
        <f t="shared" si="7"/>
        <v>365+1+208100000X</v>
      </c>
      <c r="B454">
        <v>2980</v>
      </c>
      <c r="C454">
        <v>365</v>
      </c>
      <c r="D454">
        <v>1</v>
      </c>
      <c r="E454" t="s">
        <v>1302</v>
      </c>
      <c r="F454" t="s">
        <v>2976</v>
      </c>
    </row>
    <row r="455" spans="1:6" x14ac:dyDescent="0.25">
      <c r="A455" t="str">
        <f t="shared" si="7"/>
        <v>366+1+203BP0500Y</v>
      </c>
      <c r="B455">
        <v>2981</v>
      </c>
      <c r="C455">
        <v>366</v>
      </c>
      <c r="D455">
        <v>1</v>
      </c>
      <c r="E455" t="s">
        <v>2977</v>
      </c>
      <c r="F455" t="s">
        <v>2978</v>
      </c>
    </row>
    <row r="456" spans="1:6" x14ac:dyDescent="0.25">
      <c r="A456" t="str">
        <f t="shared" si="7"/>
        <v>367+1+203BP0600Y</v>
      </c>
      <c r="B456">
        <v>2982</v>
      </c>
      <c r="C456">
        <v>367</v>
      </c>
      <c r="D456">
        <v>1</v>
      </c>
      <c r="E456" t="s">
        <v>2979</v>
      </c>
      <c r="F456" t="s">
        <v>2980</v>
      </c>
    </row>
    <row r="457" spans="1:6" x14ac:dyDescent="0.25">
      <c r="A457" t="str">
        <f t="shared" si="7"/>
        <v>368+1+203BP0800Y</v>
      </c>
      <c r="B457">
        <v>2983</v>
      </c>
      <c r="C457">
        <v>368</v>
      </c>
      <c r="D457">
        <v>1</v>
      </c>
      <c r="E457" t="s">
        <v>2981</v>
      </c>
      <c r="F457" t="s">
        <v>1333</v>
      </c>
    </row>
    <row r="458" spans="1:6" x14ac:dyDescent="0.25">
      <c r="A458" t="str">
        <f t="shared" si="7"/>
        <v>369+1+203BP0801Y</v>
      </c>
      <c r="B458">
        <v>2984</v>
      </c>
      <c r="C458">
        <v>369</v>
      </c>
      <c r="D458">
        <v>1</v>
      </c>
      <c r="E458" t="s">
        <v>2982</v>
      </c>
      <c r="F458" t="s">
        <v>2983</v>
      </c>
    </row>
    <row r="459" spans="1:6" x14ac:dyDescent="0.25">
      <c r="A459" t="str">
        <f t="shared" si="7"/>
        <v>370+1+203BP0802Y</v>
      </c>
      <c r="B459">
        <v>2985</v>
      </c>
      <c r="C459">
        <v>370</v>
      </c>
      <c r="D459">
        <v>1</v>
      </c>
      <c r="E459" t="s">
        <v>2984</v>
      </c>
      <c r="F459" t="s">
        <v>2985</v>
      </c>
    </row>
    <row r="460" spans="1:6" x14ac:dyDescent="0.25">
      <c r="A460" t="str">
        <f t="shared" si="7"/>
        <v>371+1+203BP0803Y</v>
      </c>
      <c r="B460">
        <v>2986</v>
      </c>
      <c r="C460">
        <v>371</v>
      </c>
      <c r="D460">
        <v>1</v>
      </c>
      <c r="E460" t="s">
        <v>2986</v>
      </c>
      <c r="F460" t="s">
        <v>2987</v>
      </c>
    </row>
    <row r="461" spans="1:6" x14ac:dyDescent="0.25">
      <c r="A461" t="str">
        <f t="shared" si="7"/>
        <v>372+1+203BP0804Y</v>
      </c>
      <c r="B461">
        <v>2987</v>
      </c>
      <c r="C461">
        <v>372</v>
      </c>
      <c r="D461">
        <v>1</v>
      </c>
      <c r="E461" t="s">
        <v>2988</v>
      </c>
      <c r="F461" t="s">
        <v>2989</v>
      </c>
    </row>
    <row r="462" spans="1:6" x14ac:dyDescent="0.25">
      <c r="A462" t="str">
        <f t="shared" si="7"/>
        <v>373+1+203BP0805Y</v>
      </c>
      <c r="B462">
        <v>2988</v>
      </c>
      <c r="C462">
        <v>373</v>
      </c>
      <c r="D462">
        <v>1</v>
      </c>
      <c r="E462" t="s">
        <v>2990</v>
      </c>
      <c r="F462" t="s">
        <v>2991</v>
      </c>
    </row>
    <row r="463" spans="1:6" x14ac:dyDescent="0.25">
      <c r="A463" t="str">
        <f t="shared" si="7"/>
        <v>374+1+203BP0806N</v>
      </c>
      <c r="B463">
        <v>2989</v>
      </c>
      <c r="C463">
        <v>374</v>
      </c>
      <c r="D463">
        <v>1</v>
      </c>
      <c r="E463" t="s">
        <v>2992</v>
      </c>
      <c r="F463" t="s">
        <v>2993</v>
      </c>
    </row>
    <row r="464" spans="1:6" x14ac:dyDescent="0.25">
      <c r="A464" t="str">
        <f t="shared" si="7"/>
        <v>375+1+203BP1300N</v>
      </c>
      <c r="B464">
        <v>2990</v>
      </c>
      <c r="C464">
        <v>375</v>
      </c>
      <c r="D464">
        <v>1</v>
      </c>
      <c r="E464" t="s">
        <v>2994</v>
      </c>
      <c r="F464" t="s">
        <v>2995</v>
      </c>
    </row>
    <row r="465" spans="1:6" x14ac:dyDescent="0.25">
      <c r="A465" t="str">
        <f t="shared" si="7"/>
        <v>376+1+203BP0901N</v>
      </c>
      <c r="B465">
        <v>2991</v>
      </c>
      <c r="C465">
        <v>376</v>
      </c>
      <c r="D465">
        <v>1</v>
      </c>
      <c r="E465" t="s">
        <v>2996</v>
      </c>
      <c r="F465" t="s">
        <v>2997</v>
      </c>
    </row>
    <row r="466" spans="1:6" x14ac:dyDescent="0.25">
      <c r="A466" t="str">
        <f t="shared" si="7"/>
        <v>377+1+203BP0903Y</v>
      </c>
      <c r="B466">
        <v>2992</v>
      </c>
      <c r="C466">
        <v>377</v>
      </c>
      <c r="D466">
        <v>1</v>
      </c>
      <c r="E466" t="s">
        <v>2998</v>
      </c>
      <c r="F466" t="s">
        <v>2999</v>
      </c>
    </row>
    <row r="467" spans="1:6" x14ac:dyDescent="0.25">
      <c r="A467" t="str">
        <f t="shared" si="7"/>
        <v>378+1+203BP1001Y</v>
      </c>
      <c r="B467">
        <v>2993</v>
      </c>
      <c r="C467">
        <v>378</v>
      </c>
      <c r="D467">
        <v>1</v>
      </c>
      <c r="E467" t="s">
        <v>3000</v>
      </c>
      <c r="F467" t="s">
        <v>3001</v>
      </c>
    </row>
    <row r="468" spans="1:6" x14ac:dyDescent="0.25">
      <c r="A468" t="str">
        <f t="shared" si="7"/>
        <v>379+1+203BP1003Y</v>
      </c>
      <c r="B468">
        <v>2994</v>
      </c>
      <c r="C468">
        <v>379</v>
      </c>
      <c r="D468">
        <v>1</v>
      </c>
      <c r="E468" t="s">
        <v>3002</v>
      </c>
      <c r="F468" t="s">
        <v>3003</v>
      </c>
    </row>
    <row r="469" spans="1:6" x14ac:dyDescent="0.25">
      <c r="A469" t="str">
        <f t="shared" si="7"/>
        <v>380+1+203BR0001Y</v>
      </c>
      <c r="B469">
        <v>2995</v>
      </c>
      <c r="C469">
        <v>380</v>
      </c>
      <c r="D469">
        <v>1</v>
      </c>
      <c r="E469" t="s">
        <v>3004</v>
      </c>
      <c r="F469" t="s">
        <v>1377</v>
      </c>
    </row>
    <row r="470" spans="1:6" x14ac:dyDescent="0.25">
      <c r="A470" t="str">
        <f t="shared" si="7"/>
        <v>380+51+193400000X</v>
      </c>
      <c r="B470">
        <v>4459</v>
      </c>
      <c r="C470">
        <v>380</v>
      </c>
      <c r="D470">
        <v>51</v>
      </c>
      <c r="E470" t="s">
        <v>1447</v>
      </c>
      <c r="F470" t="s">
        <v>1953</v>
      </c>
    </row>
    <row r="471" spans="1:6" x14ac:dyDescent="0.25">
      <c r="A471" t="str">
        <f t="shared" si="7"/>
        <v>381+1+203BR0002Y</v>
      </c>
      <c r="B471">
        <v>2996</v>
      </c>
      <c r="C471">
        <v>381</v>
      </c>
      <c r="D471">
        <v>1</v>
      </c>
      <c r="E471" t="s">
        <v>3005</v>
      </c>
      <c r="F471" t="s">
        <v>3006</v>
      </c>
    </row>
    <row r="472" spans="1:6" x14ac:dyDescent="0.25">
      <c r="A472" t="str">
        <f t="shared" si="7"/>
        <v>382+1+203BR0205N</v>
      </c>
      <c r="B472">
        <v>2997</v>
      </c>
      <c r="C472">
        <v>382</v>
      </c>
      <c r="D472">
        <v>1</v>
      </c>
      <c r="E472" t="s">
        <v>3007</v>
      </c>
      <c r="F472" t="s">
        <v>3008</v>
      </c>
    </row>
    <row r="473" spans="1:6" x14ac:dyDescent="0.25">
      <c r="A473" t="str">
        <f t="shared" si="7"/>
        <v>383+1+203BR0200Y</v>
      </c>
      <c r="B473">
        <v>2998</v>
      </c>
      <c r="C473">
        <v>383</v>
      </c>
      <c r="D473">
        <v>1</v>
      </c>
      <c r="E473" t="s">
        <v>3009</v>
      </c>
      <c r="F473" t="s">
        <v>2739</v>
      </c>
    </row>
    <row r="474" spans="1:6" x14ac:dyDescent="0.25">
      <c r="A474" t="str">
        <f t="shared" si="7"/>
        <v>384+1+203BR0201Y</v>
      </c>
      <c r="B474">
        <v>2999</v>
      </c>
      <c r="C474">
        <v>384</v>
      </c>
      <c r="D474">
        <v>1</v>
      </c>
      <c r="E474" t="s">
        <v>3010</v>
      </c>
      <c r="F474" t="s">
        <v>3011</v>
      </c>
    </row>
    <row r="475" spans="1:6" x14ac:dyDescent="0.25">
      <c r="A475" t="str">
        <f t="shared" si="7"/>
        <v>385+1+203BR0202Y</v>
      </c>
      <c r="B475">
        <v>3000</v>
      </c>
      <c r="C475">
        <v>385</v>
      </c>
      <c r="D475">
        <v>1</v>
      </c>
      <c r="E475" t="s">
        <v>3012</v>
      </c>
      <c r="F475" t="s">
        <v>3013</v>
      </c>
    </row>
    <row r="476" spans="1:6" x14ac:dyDescent="0.25">
      <c r="A476" t="str">
        <f t="shared" si="7"/>
        <v>386+1+203BR0203N</v>
      </c>
      <c r="B476">
        <v>3001</v>
      </c>
      <c r="C476">
        <v>386</v>
      </c>
      <c r="D476">
        <v>1</v>
      </c>
      <c r="E476" t="s">
        <v>3014</v>
      </c>
      <c r="F476" t="s">
        <v>3015</v>
      </c>
    </row>
    <row r="477" spans="1:6" x14ac:dyDescent="0.25">
      <c r="A477" t="str">
        <f t="shared" si="7"/>
        <v>387+1+203BR0204N</v>
      </c>
      <c r="B477">
        <v>3002</v>
      </c>
      <c r="C477">
        <v>387</v>
      </c>
      <c r="D477">
        <v>1</v>
      </c>
      <c r="E477" t="s">
        <v>3016</v>
      </c>
      <c r="F477" t="s">
        <v>3017</v>
      </c>
    </row>
    <row r="478" spans="1:6" x14ac:dyDescent="0.25">
      <c r="A478" t="str">
        <f t="shared" si="7"/>
        <v>388+1+203BR0300N</v>
      </c>
      <c r="B478">
        <v>3003</v>
      </c>
      <c r="C478">
        <v>388</v>
      </c>
      <c r="D478">
        <v>1</v>
      </c>
      <c r="E478" t="s">
        <v>3018</v>
      </c>
      <c r="F478" t="s">
        <v>3019</v>
      </c>
    </row>
    <row r="479" spans="1:6" x14ac:dyDescent="0.25">
      <c r="A479" t="str">
        <f t="shared" si="7"/>
        <v>389+1+203BR0402Y</v>
      </c>
      <c r="B479">
        <v>3004</v>
      </c>
      <c r="C479">
        <v>389</v>
      </c>
      <c r="D479">
        <v>1</v>
      </c>
      <c r="E479" t="s">
        <v>3020</v>
      </c>
      <c r="F479" t="s">
        <v>3021</v>
      </c>
    </row>
    <row r="480" spans="1:6" x14ac:dyDescent="0.25">
      <c r="A480" t="str">
        <f t="shared" si="7"/>
        <v>390+1+203BR0500Y</v>
      </c>
      <c r="B480">
        <v>3005</v>
      </c>
      <c r="C480">
        <v>390</v>
      </c>
      <c r="D480">
        <v>1</v>
      </c>
      <c r="E480" t="s">
        <v>3022</v>
      </c>
      <c r="F480" t="s">
        <v>1013</v>
      </c>
    </row>
    <row r="481" spans="1:6" x14ac:dyDescent="0.25">
      <c r="A481" t="str">
        <f t="shared" si="7"/>
        <v>391+1+203BR0600N</v>
      </c>
      <c r="B481">
        <v>3006</v>
      </c>
      <c r="C481">
        <v>391</v>
      </c>
      <c r="D481">
        <v>1</v>
      </c>
      <c r="E481" t="s">
        <v>3023</v>
      </c>
      <c r="F481" t="s">
        <v>3024</v>
      </c>
    </row>
    <row r="482" spans="1:6" x14ac:dyDescent="0.25">
      <c r="A482" t="str">
        <f t="shared" si="7"/>
        <v>392+1+203BR0700Y</v>
      </c>
      <c r="B482">
        <v>3007</v>
      </c>
      <c r="C482">
        <v>392</v>
      </c>
      <c r="D482">
        <v>1</v>
      </c>
      <c r="E482" t="s">
        <v>3025</v>
      </c>
      <c r="F482" t="s">
        <v>3026</v>
      </c>
    </row>
    <row r="483" spans="1:6" x14ac:dyDescent="0.25">
      <c r="A483" t="str">
        <f t="shared" si="7"/>
        <v>393+1+203BR0701Y</v>
      </c>
      <c r="B483">
        <v>3008</v>
      </c>
      <c r="C483">
        <v>393</v>
      </c>
      <c r="D483">
        <v>1</v>
      </c>
      <c r="E483" t="s">
        <v>3027</v>
      </c>
      <c r="F483" t="s">
        <v>3028</v>
      </c>
    </row>
    <row r="484" spans="1:6" x14ac:dyDescent="0.25">
      <c r="A484" t="str">
        <f t="shared" si="7"/>
        <v>394+1+203BS0000Y</v>
      </c>
      <c r="B484">
        <v>3009</v>
      </c>
      <c r="C484">
        <v>394</v>
      </c>
      <c r="D484">
        <v>1</v>
      </c>
      <c r="E484" t="s">
        <v>3029</v>
      </c>
      <c r="F484" t="s">
        <v>1159</v>
      </c>
    </row>
    <row r="485" spans="1:6" x14ac:dyDescent="0.25">
      <c r="A485" t="str">
        <f t="shared" si="7"/>
        <v>395+1+203BS0001Y</v>
      </c>
      <c r="B485">
        <v>3010</v>
      </c>
      <c r="C485">
        <v>395</v>
      </c>
      <c r="D485">
        <v>1</v>
      </c>
      <c r="E485" t="s">
        <v>3030</v>
      </c>
      <c r="F485" t="s">
        <v>3031</v>
      </c>
    </row>
    <row r="486" spans="1:6" x14ac:dyDescent="0.25">
      <c r="A486" t="str">
        <f t="shared" si="7"/>
        <v>396+1+203BS0002Y</v>
      </c>
      <c r="B486">
        <v>3011</v>
      </c>
      <c r="C486">
        <v>396</v>
      </c>
      <c r="D486">
        <v>1</v>
      </c>
      <c r="E486" t="s">
        <v>3032</v>
      </c>
      <c r="F486" t="s">
        <v>3033</v>
      </c>
    </row>
    <row r="487" spans="1:6" x14ac:dyDescent="0.25">
      <c r="A487" t="str">
        <f t="shared" si="7"/>
        <v>397+1+203BS0003Y</v>
      </c>
      <c r="B487">
        <v>3012</v>
      </c>
      <c r="C487">
        <v>397</v>
      </c>
      <c r="D487">
        <v>1</v>
      </c>
      <c r="E487" t="s">
        <v>3034</v>
      </c>
      <c r="F487" t="s">
        <v>3035</v>
      </c>
    </row>
    <row r="488" spans="1:6" x14ac:dyDescent="0.25">
      <c r="A488" t="str">
        <f t="shared" si="7"/>
        <v>398+1+203BS0004Y</v>
      </c>
      <c r="B488">
        <v>3013</v>
      </c>
      <c r="C488">
        <v>398</v>
      </c>
      <c r="D488">
        <v>1</v>
      </c>
      <c r="E488" t="s">
        <v>3036</v>
      </c>
      <c r="F488" t="s">
        <v>3037</v>
      </c>
    </row>
    <row r="489" spans="1:6" x14ac:dyDescent="0.25">
      <c r="A489" t="str">
        <f t="shared" si="7"/>
        <v>399+1+203BS0104N</v>
      </c>
      <c r="B489">
        <v>3014</v>
      </c>
      <c r="C489">
        <v>399</v>
      </c>
      <c r="D489">
        <v>1</v>
      </c>
      <c r="E489" t="s">
        <v>3038</v>
      </c>
      <c r="F489" t="s">
        <v>3039</v>
      </c>
    </row>
    <row r="490" spans="1:6" x14ac:dyDescent="0.25">
      <c r="A490" t="str">
        <f t="shared" si="7"/>
        <v>400+1+203BS0133N</v>
      </c>
      <c r="B490">
        <v>3015</v>
      </c>
      <c r="C490">
        <v>400</v>
      </c>
      <c r="D490">
        <v>1</v>
      </c>
      <c r="E490" t="s">
        <v>3040</v>
      </c>
      <c r="F490" t="s">
        <v>3041</v>
      </c>
    </row>
    <row r="491" spans="1:6" x14ac:dyDescent="0.25">
      <c r="A491" t="str">
        <f t="shared" si="7"/>
        <v>401+1+203BS0101Y</v>
      </c>
      <c r="B491">
        <v>3016</v>
      </c>
      <c r="C491">
        <v>401</v>
      </c>
      <c r="D491">
        <v>1</v>
      </c>
      <c r="E491" t="s">
        <v>3042</v>
      </c>
      <c r="F491" t="s">
        <v>3043</v>
      </c>
    </row>
    <row r="492" spans="1:6" x14ac:dyDescent="0.25">
      <c r="A492" t="str">
        <f t="shared" si="7"/>
        <v>402+1+203BS0123Y</v>
      </c>
      <c r="B492">
        <v>3017</v>
      </c>
      <c r="C492">
        <v>402</v>
      </c>
      <c r="D492">
        <v>1</v>
      </c>
      <c r="E492" t="s">
        <v>3044</v>
      </c>
      <c r="F492" t="s">
        <v>3045</v>
      </c>
    </row>
    <row r="493" spans="1:6" x14ac:dyDescent="0.25">
      <c r="A493" t="str">
        <f t="shared" si="7"/>
        <v>403+1+203BS0100Y</v>
      </c>
      <c r="B493">
        <v>3018</v>
      </c>
      <c r="C493">
        <v>403</v>
      </c>
      <c r="D493">
        <v>1</v>
      </c>
      <c r="E493" t="s">
        <v>3046</v>
      </c>
      <c r="F493" t="s">
        <v>3047</v>
      </c>
    </row>
    <row r="494" spans="1:6" x14ac:dyDescent="0.25">
      <c r="A494" t="str">
        <f t="shared" si="7"/>
        <v>404+1+203BS0129Y</v>
      </c>
      <c r="B494">
        <v>3019</v>
      </c>
      <c r="C494">
        <v>404</v>
      </c>
      <c r="D494">
        <v>1</v>
      </c>
      <c r="E494" t="s">
        <v>3048</v>
      </c>
      <c r="F494" t="s">
        <v>3049</v>
      </c>
    </row>
    <row r="495" spans="1:6" x14ac:dyDescent="0.25">
      <c r="A495" t="str">
        <f t="shared" si="7"/>
        <v>405+1+203BS0105Y</v>
      </c>
      <c r="B495">
        <v>3020</v>
      </c>
      <c r="C495">
        <v>405</v>
      </c>
      <c r="D495">
        <v>1</v>
      </c>
      <c r="E495" t="s">
        <v>3050</v>
      </c>
      <c r="F495" t="s">
        <v>3051</v>
      </c>
    </row>
    <row r="496" spans="1:6" x14ac:dyDescent="0.25">
      <c r="A496" t="str">
        <f t="shared" si="7"/>
        <v>406+1+203BS0106Y</v>
      </c>
      <c r="B496">
        <v>3021</v>
      </c>
      <c r="C496">
        <v>406</v>
      </c>
      <c r="D496">
        <v>1</v>
      </c>
      <c r="E496" t="s">
        <v>3052</v>
      </c>
      <c r="F496" t="s">
        <v>3053</v>
      </c>
    </row>
    <row r="497" spans="1:6" x14ac:dyDescent="0.25">
      <c r="A497" t="str">
        <f t="shared" si="7"/>
        <v>407+1+203BS0107Y</v>
      </c>
      <c r="B497">
        <v>3022</v>
      </c>
      <c r="C497">
        <v>407</v>
      </c>
      <c r="D497">
        <v>1</v>
      </c>
      <c r="E497" t="s">
        <v>3054</v>
      </c>
      <c r="F497" t="s">
        <v>3055</v>
      </c>
    </row>
    <row r="498" spans="1:6" x14ac:dyDescent="0.25">
      <c r="A498" t="str">
        <f t="shared" si="7"/>
        <v>408+1+203BS0108N</v>
      </c>
      <c r="B498">
        <v>3023</v>
      </c>
      <c r="C498">
        <v>408</v>
      </c>
      <c r="D498">
        <v>1</v>
      </c>
      <c r="E498" t="s">
        <v>3056</v>
      </c>
      <c r="F498" t="s">
        <v>3057</v>
      </c>
    </row>
    <row r="499" spans="1:6" x14ac:dyDescent="0.25">
      <c r="A499" t="str">
        <f t="shared" si="7"/>
        <v>409+1+203BS0110Y</v>
      </c>
      <c r="B499">
        <v>3024</v>
      </c>
      <c r="C499">
        <v>409</v>
      </c>
      <c r="D499">
        <v>1</v>
      </c>
      <c r="E499" t="s">
        <v>3058</v>
      </c>
      <c r="F499" t="s">
        <v>3059</v>
      </c>
    </row>
    <row r="500" spans="1:6" x14ac:dyDescent="0.25">
      <c r="A500" t="str">
        <f t="shared" si="7"/>
        <v>410+1+203BS0111Y</v>
      </c>
      <c r="B500">
        <v>3025</v>
      </c>
      <c r="C500">
        <v>410</v>
      </c>
      <c r="D500">
        <v>1</v>
      </c>
      <c r="E500" t="s">
        <v>3060</v>
      </c>
      <c r="F500" t="s">
        <v>3061</v>
      </c>
    </row>
    <row r="501" spans="1:6" x14ac:dyDescent="0.25">
      <c r="A501" t="str">
        <f t="shared" si="7"/>
        <v>411+1+203BS0113Y</v>
      </c>
      <c r="B501">
        <v>3026</v>
      </c>
      <c r="C501">
        <v>411</v>
      </c>
      <c r="D501">
        <v>1</v>
      </c>
      <c r="E501" t="s">
        <v>3062</v>
      </c>
      <c r="F501" t="s">
        <v>3063</v>
      </c>
    </row>
    <row r="502" spans="1:6" x14ac:dyDescent="0.25">
      <c r="A502" t="str">
        <f t="shared" si="7"/>
        <v>412+1+203BS0114N</v>
      </c>
      <c r="B502">
        <v>3027</v>
      </c>
      <c r="C502">
        <v>412</v>
      </c>
      <c r="D502">
        <v>1</v>
      </c>
      <c r="E502" t="s">
        <v>3064</v>
      </c>
      <c r="F502" t="s">
        <v>3065</v>
      </c>
    </row>
    <row r="503" spans="1:6" x14ac:dyDescent="0.25">
      <c r="A503" t="str">
        <f t="shared" si="7"/>
        <v>413+1+203BS0115N</v>
      </c>
      <c r="B503">
        <v>3028</v>
      </c>
      <c r="C503">
        <v>413</v>
      </c>
      <c r="D503">
        <v>1</v>
      </c>
      <c r="E503" t="s">
        <v>3066</v>
      </c>
      <c r="F503" t="s">
        <v>3067</v>
      </c>
    </row>
    <row r="504" spans="1:6" x14ac:dyDescent="0.25">
      <c r="A504" t="str">
        <f t="shared" si="7"/>
        <v>414+1+203BS0116N</v>
      </c>
      <c r="B504">
        <v>3029</v>
      </c>
      <c r="C504">
        <v>414</v>
      </c>
      <c r="D504">
        <v>1</v>
      </c>
      <c r="E504" t="s">
        <v>3068</v>
      </c>
      <c r="F504" t="s">
        <v>3069</v>
      </c>
    </row>
    <row r="505" spans="1:6" x14ac:dyDescent="0.25">
      <c r="A505" t="str">
        <f t="shared" si="7"/>
        <v>415+1+203BS0117N</v>
      </c>
      <c r="B505">
        <v>3030</v>
      </c>
      <c r="C505">
        <v>415</v>
      </c>
      <c r="D505">
        <v>1</v>
      </c>
      <c r="E505" t="s">
        <v>3070</v>
      </c>
      <c r="F505" t="s">
        <v>3071</v>
      </c>
    </row>
    <row r="506" spans="1:6" x14ac:dyDescent="0.25">
      <c r="A506" t="str">
        <f t="shared" si="7"/>
        <v>416+1+203BS0119N</v>
      </c>
      <c r="B506">
        <v>3031</v>
      </c>
      <c r="C506">
        <v>416</v>
      </c>
      <c r="D506">
        <v>1</v>
      </c>
      <c r="E506" t="s">
        <v>3072</v>
      </c>
      <c r="F506" t="s">
        <v>3073</v>
      </c>
    </row>
    <row r="507" spans="1:6" x14ac:dyDescent="0.25">
      <c r="A507" t="str">
        <f t="shared" si="7"/>
        <v>417+1+203BS0130Y</v>
      </c>
      <c r="B507">
        <v>3032</v>
      </c>
      <c r="C507">
        <v>417</v>
      </c>
      <c r="D507">
        <v>1</v>
      </c>
      <c r="E507" t="s">
        <v>3074</v>
      </c>
      <c r="F507" t="s">
        <v>3075</v>
      </c>
    </row>
    <row r="508" spans="1:6" x14ac:dyDescent="0.25">
      <c r="A508" t="str">
        <f t="shared" si="7"/>
        <v>418+1+203BS0120Y</v>
      </c>
      <c r="B508">
        <v>3033</v>
      </c>
      <c r="C508">
        <v>418</v>
      </c>
      <c r="D508">
        <v>1</v>
      </c>
      <c r="E508" t="s">
        <v>3076</v>
      </c>
      <c r="F508" t="s">
        <v>3077</v>
      </c>
    </row>
    <row r="509" spans="1:6" x14ac:dyDescent="0.25">
      <c r="A509" t="str">
        <f t="shared" si="7"/>
        <v>419+1+203BS0121Y</v>
      </c>
      <c r="B509">
        <v>3034</v>
      </c>
      <c r="C509">
        <v>419</v>
      </c>
      <c r="D509">
        <v>1</v>
      </c>
      <c r="E509" t="s">
        <v>3078</v>
      </c>
      <c r="F509" t="s">
        <v>3079</v>
      </c>
    </row>
    <row r="510" spans="1:6" x14ac:dyDescent="0.25">
      <c r="A510" t="str">
        <f t="shared" si="7"/>
        <v>420+1+203BS0122Y</v>
      </c>
      <c r="B510">
        <v>3035</v>
      </c>
      <c r="C510">
        <v>420</v>
      </c>
      <c r="D510">
        <v>1</v>
      </c>
      <c r="E510" t="s">
        <v>3080</v>
      </c>
      <c r="F510" t="s">
        <v>3081</v>
      </c>
    </row>
    <row r="511" spans="1:6" x14ac:dyDescent="0.25">
      <c r="A511" t="str">
        <f t="shared" si="7"/>
        <v>421+1+203BS0125Y</v>
      </c>
      <c r="B511">
        <v>3036</v>
      </c>
      <c r="C511">
        <v>421</v>
      </c>
      <c r="D511">
        <v>1</v>
      </c>
      <c r="E511" t="s">
        <v>3082</v>
      </c>
      <c r="F511" t="s">
        <v>3083</v>
      </c>
    </row>
    <row r="512" spans="1:6" x14ac:dyDescent="0.25">
      <c r="A512" t="str">
        <f t="shared" si="7"/>
        <v>422+1+203BS0126Y</v>
      </c>
      <c r="B512">
        <v>3037</v>
      </c>
      <c r="C512">
        <v>422</v>
      </c>
      <c r="D512">
        <v>1</v>
      </c>
      <c r="E512" t="s">
        <v>3084</v>
      </c>
      <c r="F512" t="s">
        <v>3085</v>
      </c>
    </row>
    <row r="513" spans="1:6" x14ac:dyDescent="0.25">
      <c r="A513" t="str">
        <f t="shared" si="7"/>
        <v>423+1+203BS0127N</v>
      </c>
      <c r="B513">
        <v>3038</v>
      </c>
      <c r="C513">
        <v>423</v>
      </c>
      <c r="D513">
        <v>1</v>
      </c>
      <c r="E513" t="s">
        <v>3086</v>
      </c>
      <c r="F513" t="s">
        <v>3087</v>
      </c>
    </row>
    <row r="514" spans="1:6" x14ac:dyDescent="0.25">
      <c r="A514" t="str">
        <f t="shared" ref="A514:A577" si="8">C514 &amp; "+" &amp; D514 &amp; "+" &amp; E514</f>
        <v>424+1+203BS0128Y</v>
      </c>
      <c r="B514">
        <v>3039</v>
      </c>
      <c r="C514">
        <v>424</v>
      </c>
      <c r="D514">
        <v>1</v>
      </c>
      <c r="E514" t="s">
        <v>3088</v>
      </c>
      <c r="F514" t="s">
        <v>3089</v>
      </c>
    </row>
    <row r="515" spans="1:6" x14ac:dyDescent="0.25">
      <c r="A515" t="str">
        <f t="shared" si="8"/>
        <v>425+1+203BS0102Y</v>
      </c>
      <c r="B515">
        <v>3040</v>
      </c>
      <c r="C515">
        <v>425</v>
      </c>
      <c r="D515">
        <v>1</v>
      </c>
      <c r="E515" t="s">
        <v>3090</v>
      </c>
      <c r="F515" t="s">
        <v>3091</v>
      </c>
    </row>
    <row r="516" spans="1:6" x14ac:dyDescent="0.25">
      <c r="A516" t="str">
        <f t="shared" si="8"/>
        <v>426+1+203BT0100N</v>
      </c>
      <c r="B516">
        <v>3041</v>
      </c>
      <c r="C516">
        <v>426</v>
      </c>
      <c r="D516">
        <v>1</v>
      </c>
      <c r="E516" t="s">
        <v>3092</v>
      </c>
      <c r="F516" t="s">
        <v>590</v>
      </c>
    </row>
    <row r="517" spans="1:6" x14ac:dyDescent="0.25">
      <c r="A517" t="str">
        <f t="shared" si="8"/>
        <v>427+1+203BT0000Y</v>
      </c>
      <c r="B517">
        <v>3042</v>
      </c>
      <c r="C517">
        <v>427</v>
      </c>
      <c r="D517">
        <v>1</v>
      </c>
      <c r="E517" t="s">
        <v>3093</v>
      </c>
      <c r="F517" t="s">
        <v>3094</v>
      </c>
    </row>
    <row r="518" spans="1:6" x14ac:dyDescent="0.25">
      <c r="A518" t="str">
        <f t="shared" si="8"/>
        <v>428+1+203BT0002Y</v>
      </c>
      <c r="B518">
        <v>3043</v>
      </c>
      <c r="C518">
        <v>428</v>
      </c>
      <c r="D518">
        <v>1</v>
      </c>
      <c r="E518" t="s">
        <v>3095</v>
      </c>
      <c r="F518" t="s">
        <v>3096</v>
      </c>
    </row>
    <row r="519" spans="1:6" x14ac:dyDescent="0.25">
      <c r="A519" t="str">
        <f t="shared" si="8"/>
        <v>429+1+203BT0001Y</v>
      </c>
      <c r="B519">
        <v>3044</v>
      </c>
      <c r="C519">
        <v>429</v>
      </c>
      <c r="D519">
        <v>1</v>
      </c>
      <c r="E519" t="s">
        <v>3097</v>
      </c>
      <c r="F519" t="s">
        <v>3098</v>
      </c>
    </row>
    <row r="520" spans="1:6" x14ac:dyDescent="0.25">
      <c r="A520" t="str">
        <f t="shared" si="8"/>
        <v>430+1+203BU0001Y</v>
      </c>
      <c r="B520">
        <v>3045</v>
      </c>
      <c r="C520">
        <v>430</v>
      </c>
      <c r="D520">
        <v>1</v>
      </c>
      <c r="E520" t="s">
        <v>3099</v>
      </c>
      <c r="F520" t="s">
        <v>3100</v>
      </c>
    </row>
    <row r="521" spans="1:6" x14ac:dyDescent="0.25">
      <c r="A521" t="str">
        <f t="shared" si="8"/>
        <v>431+1+203BU0300Y</v>
      </c>
      <c r="B521">
        <v>3046</v>
      </c>
      <c r="C521">
        <v>431</v>
      </c>
      <c r="D521">
        <v>1</v>
      </c>
      <c r="E521" t="s">
        <v>3101</v>
      </c>
      <c r="F521" t="s">
        <v>3102</v>
      </c>
    </row>
    <row r="522" spans="1:6" x14ac:dyDescent="0.25">
      <c r="A522" t="str">
        <f t="shared" si="8"/>
        <v>432+1+203BU0100Y</v>
      </c>
      <c r="B522">
        <v>3047</v>
      </c>
      <c r="C522">
        <v>432</v>
      </c>
      <c r="D522">
        <v>1</v>
      </c>
      <c r="E522" t="s">
        <v>3103</v>
      </c>
      <c r="F522" t="s">
        <v>3104</v>
      </c>
    </row>
    <row r="523" spans="1:6" x14ac:dyDescent="0.25">
      <c r="A523" t="str">
        <f t="shared" si="8"/>
        <v>433+1+353BL0002N</v>
      </c>
      <c r="B523">
        <v>3048</v>
      </c>
      <c r="C523">
        <v>433</v>
      </c>
      <c r="D523">
        <v>1</v>
      </c>
      <c r="E523" t="s">
        <v>3105</v>
      </c>
      <c r="F523" t="s">
        <v>3106</v>
      </c>
    </row>
    <row r="524" spans="1:6" x14ac:dyDescent="0.25">
      <c r="A524" t="str">
        <f t="shared" si="8"/>
        <v>434+1+353BS0900N</v>
      </c>
      <c r="B524">
        <v>3049</v>
      </c>
      <c r="C524">
        <v>434</v>
      </c>
      <c r="D524">
        <v>1</v>
      </c>
      <c r="E524" t="s">
        <v>3107</v>
      </c>
      <c r="F524" t="s">
        <v>3108</v>
      </c>
    </row>
    <row r="525" spans="1:6" x14ac:dyDescent="0.25">
      <c r="A525" t="str">
        <f t="shared" si="8"/>
        <v>435+3+1223P0221Y</v>
      </c>
      <c r="B525">
        <v>3050</v>
      </c>
      <c r="C525">
        <v>435</v>
      </c>
      <c r="D525">
        <v>3</v>
      </c>
      <c r="E525" t="s">
        <v>2751</v>
      </c>
      <c r="F525" t="s">
        <v>2752</v>
      </c>
    </row>
    <row r="526" spans="1:6" x14ac:dyDescent="0.25">
      <c r="A526" t="str">
        <f t="shared" si="8"/>
        <v>436+1+1223S0112Y</v>
      </c>
      <c r="B526">
        <v>3051</v>
      </c>
      <c r="C526">
        <v>436</v>
      </c>
      <c r="D526">
        <v>1</v>
      </c>
      <c r="E526" t="s">
        <v>2757</v>
      </c>
      <c r="F526" t="s">
        <v>2758</v>
      </c>
    </row>
    <row r="527" spans="1:6" x14ac:dyDescent="0.25">
      <c r="A527" t="str">
        <f t="shared" si="8"/>
        <v>437+7+1223S0112Y</v>
      </c>
      <c r="B527">
        <v>3052</v>
      </c>
      <c r="C527">
        <v>437</v>
      </c>
      <c r="D527">
        <v>7</v>
      </c>
      <c r="E527" t="s">
        <v>2757</v>
      </c>
      <c r="F527" t="s">
        <v>2758</v>
      </c>
    </row>
    <row r="528" spans="1:6" x14ac:dyDescent="0.25">
      <c r="A528" t="str">
        <f t="shared" si="8"/>
        <v>500+7+207KA0200X</v>
      </c>
      <c r="B528">
        <v>3053</v>
      </c>
      <c r="C528">
        <v>500</v>
      </c>
      <c r="D528">
        <v>7</v>
      </c>
      <c r="E528" t="s">
        <v>1073</v>
      </c>
      <c r="F528" t="s">
        <v>3121</v>
      </c>
    </row>
    <row r="529" spans="1:6" x14ac:dyDescent="0.25">
      <c r="A529" t="str">
        <f t="shared" si="8"/>
        <v>501+1+207KA0200X</v>
      </c>
      <c r="B529">
        <v>3054</v>
      </c>
      <c r="C529">
        <v>501</v>
      </c>
      <c r="D529">
        <v>1</v>
      </c>
      <c r="E529" t="s">
        <v>1073</v>
      </c>
      <c r="F529" t="s">
        <v>3121</v>
      </c>
    </row>
    <row r="530" spans="1:6" x14ac:dyDescent="0.25">
      <c r="A530" t="str">
        <f t="shared" si="8"/>
        <v>502+7+207KI0005X</v>
      </c>
      <c r="B530">
        <v>3055</v>
      </c>
      <c r="C530">
        <v>502</v>
      </c>
      <c r="D530">
        <v>7</v>
      </c>
      <c r="E530" t="s">
        <v>1076</v>
      </c>
      <c r="F530" t="s">
        <v>3122</v>
      </c>
    </row>
    <row r="531" spans="1:6" x14ac:dyDescent="0.25">
      <c r="A531" t="str">
        <f t="shared" si="8"/>
        <v>503+1+207KI0005X</v>
      </c>
      <c r="B531">
        <v>3056</v>
      </c>
      <c r="C531">
        <v>503</v>
      </c>
      <c r="D531">
        <v>1</v>
      </c>
      <c r="E531" t="s">
        <v>1076</v>
      </c>
      <c r="F531" t="s">
        <v>3122</v>
      </c>
    </row>
    <row r="532" spans="1:6" x14ac:dyDescent="0.25">
      <c r="A532" t="str">
        <f t="shared" si="8"/>
        <v>504+7+207LA0401X</v>
      </c>
      <c r="B532">
        <v>3057</v>
      </c>
      <c r="C532">
        <v>504</v>
      </c>
      <c r="D532">
        <v>7</v>
      </c>
      <c r="E532" t="s">
        <v>993</v>
      </c>
      <c r="F532" t="s">
        <v>3123</v>
      </c>
    </row>
    <row r="533" spans="1:6" x14ac:dyDescent="0.25">
      <c r="A533" t="str">
        <f t="shared" si="8"/>
        <v>505+1+207LA0401X</v>
      </c>
      <c r="B533">
        <v>3058</v>
      </c>
      <c r="C533">
        <v>505</v>
      </c>
      <c r="D533">
        <v>1</v>
      </c>
      <c r="E533" t="s">
        <v>993</v>
      </c>
      <c r="F533" t="s">
        <v>3123</v>
      </c>
    </row>
    <row r="534" spans="1:6" x14ac:dyDescent="0.25">
      <c r="A534" t="str">
        <f t="shared" si="8"/>
        <v>506+7+207LC0200X</v>
      </c>
      <c r="B534">
        <v>3059</v>
      </c>
      <c r="C534">
        <v>506</v>
      </c>
      <c r="D534">
        <v>7</v>
      </c>
      <c r="E534" t="s">
        <v>1079</v>
      </c>
      <c r="F534" t="s">
        <v>3124</v>
      </c>
    </row>
    <row r="535" spans="1:6" x14ac:dyDescent="0.25">
      <c r="A535" t="str">
        <f t="shared" si="8"/>
        <v>507+1+207LC0200X</v>
      </c>
      <c r="B535">
        <v>3060</v>
      </c>
      <c r="C535">
        <v>507</v>
      </c>
      <c r="D535">
        <v>1</v>
      </c>
      <c r="E535" t="s">
        <v>1079</v>
      </c>
      <c r="F535" t="s">
        <v>3124</v>
      </c>
    </row>
    <row r="536" spans="1:6" x14ac:dyDescent="0.25">
      <c r="A536" t="str">
        <f t="shared" si="8"/>
        <v>508+7+207LP2900X</v>
      </c>
      <c r="B536">
        <v>3061</v>
      </c>
      <c r="C536">
        <v>508</v>
      </c>
      <c r="D536">
        <v>7</v>
      </c>
      <c r="E536" t="s">
        <v>1083</v>
      </c>
      <c r="F536" t="s">
        <v>3125</v>
      </c>
    </row>
    <row r="537" spans="1:6" x14ac:dyDescent="0.25">
      <c r="A537" t="str">
        <f t="shared" si="8"/>
        <v>509+1+207LP2900X</v>
      </c>
      <c r="B537">
        <v>3062</v>
      </c>
      <c r="C537">
        <v>509</v>
      </c>
      <c r="D537">
        <v>1</v>
      </c>
      <c r="E537" t="s">
        <v>1083</v>
      </c>
      <c r="F537" t="s">
        <v>3125</v>
      </c>
    </row>
    <row r="538" spans="1:6" x14ac:dyDescent="0.25">
      <c r="A538" t="str">
        <f t="shared" si="8"/>
        <v>510+5+111NI0900X</v>
      </c>
      <c r="B538">
        <v>3063</v>
      </c>
      <c r="C538">
        <v>510</v>
      </c>
      <c r="D538">
        <v>5</v>
      </c>
      <c r="E538" t="s">
        <v>579</v>
      </c>
      <c r="F538" t="s">
        <v>3126</v>
      </c>
    </row>
    <row r="539" spans="1:6" x14ac:dyDescent="0.25">
      <c r="A539" t="str">
        <f t="shared" si="8"/>
        <v>511+5+111NN0400X</v>
      </c>
      <c r="B539">
        <v>3064</v>
      </c>
      <c r="C539">
        <v>511</v>
      </c>
      <c r="D539">
        <v>5</v>
      </c>
      <c r="E539" t="s">
        <v>581</v>
      </c>
      <c r="F539" t="s">
        <v>3127</v>
      </c>
    </row>
    <row r="540" spans="1:6" x14ac:dyDescent="0.25">
      <c r="A540" t="str">
        <f t="shared" si="8"/>
        <v>512+5+111NN1001X</v>
      </c>
      <c r="B540">
        <v>3065</v>
      </c>
      <c r="C540">
        <v>512</v>
      </c>
      <c r="D540">
        <v>5</v>
      </c>
      <c r="E540" t="s">
        <v>583</v>
      </c>
      <c r="F540" t="s">
        <v>3128</v>
      </c>
    </row>
    <row r="541" spans="1:6" x14ac:dyDescent="0.25">
      <c r="A541" t="str">
        <f t="shared" si="8"/>
        <v>513+5+111NX0100X</v>
      </c>
      <c r="B541">
        <v>3066</v>
      </c>
      <c r="C541">
        <v>513</v>
      </c>
      <c r="D541">
        <v>5</v>
      </c>
      <c r="E541" t="s">
        <v>592</v>
      </c>
      <c r="F541" t="s">
        <v>3129</v>
      </c>
    </row>
    <row r="542" spans="1:6" x14ac:dyDescent="0.25">
      <c r="A542" t="str">
        <f t="shared" si="8"/>
        <v>514+5+111NX0800X</v>
      </c>
      <c r="B542">
        <v>3067</v>
      </c>
      <c r="C542">
        <v>514</v>
      </c>
      <c r="D542">
        <v>5</v>
      </c>
      <c r="E542" t="s">
        <v>594</v>
      </c>
      <c r="F542" t="s">
        <v>3130</v>
      </c>
    </row>
    <row r="543" spans="1:6" x14ac:dyDescent="0.25">
      <c r="A543" t="str">
        <f t="shared" si="8"/>
        <v>515+5+111NR0200X</v>
      </c>
      <c r="B543">
        <v>3068</v>
      </c>
      <c r="C543">
        <v>515</v>
      </c>
      <c r="D543">
        <v>5</v>
      </c>
      <c r="E543" t="s">
        <v>586</v>
      </c>
      <c r="F543" t="s">
        <v>3131</v>
      </c>
    </row>
    <row r="544" spans="1:6" x14ac:dyDescent="0.25">
      <c r="A544" t="str">
        <f t="shared" si="8"/>
        <v>516+5+111NS0005X</v>
      </c>
      <c r="B544">
        <v>3069</v>
      </c>
      <c r="C544">
        <v>516</v>
      </c>
      <c r="D544">
        <v>5</v>
      </c>
      <c r="E544" t="s">
        <v>589</v>
      </c>
      <c r="F544" t="s">
        <v>3132</v>
      </c>
    </row>
    <row r="545" spans="1:6" x14ac:dyDescent="0.25">
      <c r="A545" t="str">
        <f t="shared" si="8"/>
        <v>517+5+111NT0100X</v>
      </c>
      <c r="B545">
        <v>3070</v>
      </c>
      <c r="C545">
        <v>517</v>
      </c>
      <c r="D545">
        <v>5</v>
      </c>
      <c r="E545" t="s">
        <v>591</v>
      </c>
      <c r="F545" t="s">
        <v>3133</v>
      </c>
    </row>
    <row r="546" spans="1:6" x14ac:dyDescent="0.25">
      <c r="A546" t="str">
        <f t="shared" si="8"/>
        <v>518+7+208U00000X</v>
      </c>
      <c r="B546">
        <v>3071</v>
      </c>
      <c r="C546">
        <v>518</v>
      </c>
      <c r="D546">
        <v>7</v>
      </c>
      <c r="E546" t="s">
        <v>1434</v>
      </c>
      <c r="F546" t="s">
        <v>1435</v>
      </c>
    </row>
    <row r="547" spans="1:6" x14ac:dyDescent="0.25">
      <c r="A547" t="str">
        <f t="shared" si="8"/>
        <v>518+42+1835P0018X</v>
      </c>
      <c r="B547">
        <v>10184</v>
      </c>
      <c r="C547">
        <v>518</v>
      </c>
      <c r="D547">
        <v>42</v>
      </c>
      <c r="E547" t="s">
        <v>1776</v>
      </c>
      <c r="F547" t="s">
        <v>3713</v>
      </c>
    </row>
    <row r="548" spans="1:6" x14ac:dyDescent="0.25">
      <c r="A548" t="str">
        <f t="shared" si="8"/>
        <v>518+50+208U00000X</v>
      </c>
      <c r="B548">
        <v>10028</v>
      </c>
      <c r="C548">
        <v>518</v>
      </c>
      <c r="D548">
        <v>50</v>
      </c>
      <c r="E548" t="s">
        <v>1434</v>
      </c>
      <c r="F548" t="s">
        <v>3714</v>
      </c>
    </row>
    <row r="549" spans="1:6" x14ac:dyDescent="0.25">
      <c r="A549" t="str">
        <f t="shared" si="8"/>
        <v>518+51+193400000X</v>
      </c>
      <c r="B549">
        <v>4460</v>
      </c>
      <c r="C549">
        <v>518</v>
      </c>
      <c r="D549">
        <v>51</v>
      </c>
      <c r="E549" t="s">
        <v>1447</v>
      </c>
      <c r="F549" t="s">
        <v>3680</v>
      </c>
    </row>
    <row r="550" spans="1:6" x14ac:dyDescent="0.25">
      <c r="A550" t="str">
        <f t="shared" si="8"/>
        <v>518+51+208U00000X</v>
      </c>
      <c r="B550">
        <v>10029</v>
      </c>
      <c r="C550">
        <v>518</v>
      </c>
      <c r="D550">
        <v>51</v>
      </c>
      <c r="E550" t="s">
        <v>1434</v>
      </c>
      <c r="F550" t="s">
        <v>3714</v>
      </c>
    </row>
    <row r="551" spans="1:6" x14ac:dyDescent="0.25">
      <c r="A551" t="str">
        <f t="shared" si="8"/>
        <v>518+114+208U00000X</v>
      </c>
      <c r="B551">
        <v>10027</v>
      </c>
      <c r="C551">
        <v>518</v>
      </c>
      <c r="D551">
        <v>114</v>
      </c>
      <c r="E551" t="s">
        <v>1434</v>
      </c>
      <c r="F551" t="s">
        <v>3714</v>
      </c>
    </row>
    <row r="552" spans="1:6" x14ac:dyDescent="0.25">
      <c r="A552" t="str">
        <f t="shared" si="8"/>
        <v>519+1+208U00000X</v>
      </c>
      <c r="B552">
        <v>3072</v>
      </c>
      <c r="C552">
        <v>519</v>
      </c>
      <c r="D552">
        <v>1</v>
      </c>
      <c r="E552" t="s">
        <v>1434</v>
      </c>
      <c r="F552" t="s">
        <v>1435</v>
      </c>
    </row>
    <row r="553" spans="1:6" x14ac:dyDescent="0.25">
      <c r="A553" t="str">
        <f t="shared" si="8"/>
        <v>519+51+193400000X</v>
      </c>
      <c r="B553">
        <v>4461</v>
      </c>
      <c r="C553">
        <v>519</v>
      </c>
      <c r="D553">
        <v>51</v>
      </c>
      <c r="E553" t="s">
        <v>1447</v>
      </c>
      <c r="F553" t="s">
        <v>1953</v>
      </c>
    </row>
    <row r="554" spans="1:6" x14ac:dyDescent="0.25">
      <c r="A554" t="str">
        <f t="shared" si="8"/>
        <v>520+7+208C00000X</v>
      </c>
      <c r="B554">
        <v>3073</v>
      </c>
      <c r="C554">
        <v>520</v>
      </c>
      <c r="D554">
        <v>7</v>
      </c>
      <c r="E554" t="s">
        <v>1406</v>
      </c>
      <c r="F554" t="s">
        <v>3134</v>
      </c>
    </row>
    <row r="555" spans="1:6" x14ac:dyDescent="0.25">
      <c r="A555" t="str">
        <f t="shared" si="8"/>
        <v>521+1+208C00000X</v>
      </c>
      <c r="B555">
        <v>3074</v>
      </c>
      <c r="C555">
        <v>521</v>
      </c>
      <c r="D555">
        <v>1</v>
      </c>
      <c r="E555" t="s">
        <v>1406</v>
      </c>
      <c r="F555" t="s">
        <v>3134</v>
      </c>
    </row>
    <row r="556" spans="1:6" x14ac:dyDescent="0.25">
      <c r="A556" t="str">
        <f t="shared" si="8"/>
        <v>522+2+1223D0001X</v>
      </c>
      <c r="B556">
        <v>3075</v>
      </c>
      <c r="C556">
        <v>522</v>
      </c>
      <c r="D556">
        <v>2</v>
      </c>
      <c r="E556" t="s">
        <v>928</v>
      </c>
      <c r="F556" t="s">
        <v>3135</v>
      </c>
    </row>
    <row r="557" spans="1:6" x14ac:dyDescent="0.25">
      <c r="A557" t="str">
        <f t="shared" si="8"/>
        <v>523+3+1223D0001X</v>
      </c>
      <c r="B557">
        <v>3076</v>
      </c>
      <c r="C557">
        <v>523</v>
      </c>
      <c r="D557">
        <v>3</v>
      </c>
      <c r="E557" t="s">
        <v>928</v>
      </c>
      <c r="F557" t="s">
        <v>3135</v>
      </c>
    </row>
    <row r="558" spans="1:6" x14ac:dyDescent="0.25">
      <c r="A558" t="str">
        <f t="shared" si="8"/>
        <v>524+2+1223E0200X</v>
      </c>
      <c r="B558">
        <v>3077</v>
      </c>
      <c r="C558">
        <v>524</v>
      </c>
      <c r="D558">
        <v>2</v>
      </c>
      <c r="E558" t="s">
        <v>939</v>
      </c>
      <c r="F558" t="s">
        <v>3136</v>
      </c>
    </row>
    <row r="559" spans="1:6" x14ac:dyDescent="0.25">
      <c r="A559" t="str">
        <f t="shared" si="8"/>
        <v>525+3+1223E0200X</v>
      </c>
      <c r="B559">
        <v>3078</v>
      </c>
      <c r="C559">
        <v>525</v>
      </c>
      <c r="D559">
        <v>3</v>
      </c>
      <c r="E559" t="s">
        <v>939</v>
      </c>
      <c r="F559" t="s">
        <v>3136</v>
      </c>
    </row>
    <row r="560" spans="1:6" x14ac:dyDescent="0.25">
      <c r="A560" t="str">
        <f t="shared" si="8"/>
        <v>526+2+1223G0001X</v>
      </c>
      <c r="B560">
        <v>3079</v>
      </c>
      <c r="C560">
        <v>526</v>
      </c>
      <c r="D560">
        <v>2</v>
      </c>
      <c r="E560" t="s">
        <v>941</v>
      </c>
      <c r="F560" t="s">
        <v>3137</v>
      </c>
    </row>
    <row r="561" spans="1:6" x14ac:dyDescent="0.25">
      <c r="A561" t="str">
        <f t="shared" si="8"/>
        <v>527+3+1223G0001X</v>
      </c>
      <c r="B561">
        <v>3080</v>
      </c>
      <c r="C561">
        <v>527</v>
      </c>
      <c r="D561">
        <v>3</v>
      </c>
      <c r="E561" t="s">
        <v>941</v>
      </c>
      <c r="F561" t="s">
        <v>3137</v>
      </c>
    </row>
    <row r="562" spans="1:6" x14ac:dyDescent="0.25">
      <c r="A562" t="str">
        <f t="shared" si="8"/>
        <v>528+2+1223P0106X</v>
      </c>
      <c r="B562">
        <v>3081</v>
      </c>
      <c r="C562">
        <v>528</v>
      </c>
      <c r="D562">
        <v>2</v>
      </c>
      <c r="E562" t="s">
        <v>922</v>
      </c>
      <c r="F562" t="s">
        <v>3138</v>
      </c>
    </row>
    <row r="563" spans="1:6" x14ac:dyDescent="0.25">
      <c r="A563" t="str">
        <f t="shared" si="8"/>
        <v>529+3+1223P0106X</v>
      </c>
      <c r="B563">
        <v>3082</v>
      </c>
      <c r="C563">
        <v>529</v>
      </c>
      <c r="D563">
        <v>3</v>
      </c>
      <c r="E563" t="s">
        <v>922</v>
      </c>
      <c r="F563" t="s">
        <v>3138</v>
      </c>
    </row>
    <row r="564" spans="1:6" x14ac:dyDescent="0.25">
      <c r="A564" t="str">
        <f t="shared" si="8"/>
        <v>530+2+1223X0008X</v>
      </c>
      <c r="B564">
        <v>3083</v>
      </c>
      <c r="C564">
        <v>530</v>
      </c>
      <c r="D564">
        <v>2</v>
      </c>
      <c r="E564" t="s">
        <v>959</v>
      </c>
      <c r="F564" t="s">
        <v>3139</v>
      </c>
    </row>
    <row r="565" spans="1:6" x14ac:dyDescent="0.25">
      <c r="A565" t="str">
        <f t="shared" si="8"/>
        <v>531+3+1223X0008X</v>
      </c>
      <c r="B565">
        <v>3084</v>
      </c>
      <c r="C565">
        <v>531</v>
      </c>
      <c r="D565">
        <v>3</v>
      </c>
      <c r="E565" t="s">
        <v>959</v>
      </c>
      <c r="F565" t="s">
        <v>3139</v>
      </c>
    </row>
    <row r="566" spans="1:6" x14ac:dyDescent="0.25">
      <c r="A566" t="str">
        <f t="shared" si="8"/>
        <v>532+2+1223S0112X</v>
      </c>
      <c r="B566">
        <v>3085</v>
      </c>
      <c r="C566">
        <v>532</v>
      </c>
      <c r="D566">
        <v>2</v>
      </c>
      <c r="E566" t="s">
        <v>951</v>
      </c>
      <c r="F566" t="s">
        <v>3140</v>
      </c>
    </row>
    <row r="567" spans="1:6" x14ac:dyDescent="0.25">
      <c r="A567" t="str">
        <f t="shared" si="8"/>
        <v>533+3+1223S0112X</v>
      </c>
      <c r="B567">
        <v>3086</v>
      </c>
      <c r="C567">
        <v>533</v>
      </c>
      <c r="D567">
        <v>3</v>
      </c>
      <c r="E567" t="s">
        <v>951</v>
      </c>
      <c r="F567" t="s">
        <v>3140</v>
      </c>
    </row>
    <row r="568" spans="1:6" x14ac:dyDescent="0.25">
      <c r="A568" t="str">
        <f t="shared" si="8"/>
        <v>534+2+1223X0400X</v>
      </c>
      <c r="B568">
        <v>3087</v>
      </c>
      <c r="C568">
        <v>534</v>
      </c>
      <c r="D568">
        <v>2</v>
      </c>
      <c r="E568" t="s">
        <v>954</v>
      </c>
      <c r="F568" t="s">
        <v>3141</v>
      </c>
    </row>
    <row r="569" spans="1:6" x14ac:dyDescent="0.25">
      <c r="A569" t="str">
        <f t="shared" si="8"/>
        <v>535+3+1223X0400X</v>
      </c>
      <c r="B569">
        <v>3088</v>
      </c>
      <c r="C569">
        <v>535</v>
      </c>
      <c r="D569">
        <v>3</v>
      </c>
      <c r="E569" t="s">
        <v>954</v>
      </c>
      <c r="F569" t="s">
        <v>3141</v>
      </c>
    </row>
    <row r="570" spans="1:6" x14ac:dyDescent="0.25">
      <c r="A570" t="str">
        <f t="shared" si="8"/>
        <v>536+2+1223P0221X</v>
      </c>
      <c r="B570">
        <v>3089</v>
      </c>
      <c r="C570">
        <v>536</v>
      </c>
      <c r="D570">
        <v>2</v>
      </c>
      <c r="E570" t="s">
        <v>943</v>
      </c>
      <c r="F570" t="s">
        <v>3142</v>
      </c>
    </row>
    <row r="571" spans="1:6" x14ac:dyDescent="0.25">
      <c r="A571" t="str">
        <f t="shared" si="8"/>
        <v>537+3+1223P0221X</v>
      </c>
      <c r="B571">
        <v>3090</v>
      </c>
      <c r="C571">
        <v>537</v>
      </c>
      <c r="D571">
        <v>3</v>
      </c>
      <c r="E571" t="s">
        <v>943</v>
      </c>
      <c r="F571" t="s">
        <v>3142</v>
      </c>
    </row>
    <row r="572" spans="1:6" x14ac:dyDescent="0.25">
      <c r="A572" t="str">
        <f t="shared" si="8"/>
        <v>538+2+1223P0300X</v>
      </c>
      <c r="B572">
        <v>3091</v>
      </c>
      <c r="C572">
        <v>538</v>
      </c>
      <c r="D572">
        <v>2</v>
      </c>
      <c r="E572" t="s">
        <v>946</v>
      </c>
      <c r="F572" t="s">
        <v>3143</v>
      </c>
    </row>
    <row r="573" spans="1:6" x14ac:dyDescent="0.25">
      <c r="A573" t="str">
        <f t="shared" si="8"/>
        <v>539+3+1223P0300X</v>
      </c>
      <c r="B573">
        <v>3092</v>
      </c>
      <c r="C573">
        <v>539</v>
      </c>
      <c r="D573">
        <v>3</v>
      </c>
      <c r="E573" t="s">
        <v>946</v>
      </c>
      <c r="F573" t="s">
        <v>3143</v>
      </c>
    </row>
    <row r="574" spans="1:6" x14ac:dyDescent="0.25">
      <c r="A574" t="str">
        <f t="shared" si="8"/>
        <v>540+2+1223P0700X</v>
      </c>
      <c r="B574">
        <v>3093</v>
      </c>
      <c r="C574">
        <v>540</v>
      </c>
      <c r="D574">
        <v>2</v>
      </c>
      <c r="E574" t="s">
        <v>949</v>
      </c>
      <c r="F574" t="s">
        <v>3144</v>
      </c>
    </row>
    <row r="575" spans="1:6" x14ac:dyDescent="0.25">
      <c r="A575" t="str">
        <f t="shared" si="8"/>
        <v>541+3+1223P0700X</v>
      </c>
      <c r="B575">
        <v>3094</v>
      </c>
      <c r="C575">
        <v>541</v>
      </c>
      <c r="D575">
        <v>3</v>
      </c>
      <c r="E575" t="s">
        <v>949</v>
      </c>
      <c r="F575" t="s">
        <v>3144</v>
      </c>
    </row>
    <row r="576" spans="1:6" x14ac:dyDescent="0.25">
      <c r="A576" t="str">
        <f t="shared" si="8"/>
        <v>542+7+207NI0002X</v>
      </c>
      <c r="B576">
        <v>3095</v>
      </c>
      <c r="C576">
        <v>542</v>
      </c>
      <c r="D576">
        <v>7</v>
      </c>
      <c r="E576" t="s">
        <v>1094</v>
      </c>
      <c r="F576" t="s">
        <v>3145</v>
      </c>
    </row>
    <row r="577" spans="1:6" x14ac:dyDescent="0.25">
      <c r="A577" t="str">
        <f t="shared" si="8"/>
        <v>543+1+207NI0002X</v>
      </c>
      <c r="B577">
        <v>3096</v>
      </c>
      <c r="C577">
        <v>543</v>
      </c>
      <c r="D577">
        <v>1</v>
      </c>
      <c r="E577" t="s">
        <v>1094</v>
      </c>
      <c r="F577" t="s">
        <v>3145</v>
      </c>
    </row>
    <row r="578" spans="1:6" x14ac:dyDescent="0.25">
      <c r="A578" t="str">
        <f t="shared" ref="A578:A641" si="9">C578 &amp; "+" &amp; D578 &amp; "+" &amp; E578</f>
        <v>544+7+207NS0135X</v>
      </c>
      <c r="B578">
        <v>3097</v>
      </c>
      <c r="C578">
        <v>544</v>
      </c>
      <c r="D578">
        <v>7</v>
      </c>
      <c r="E578" t="s">
        <v>1098</v>
      </c>
      <c r="F578" t="s">
        <v>3146</v>
      </c>
    </row>
    <row r="579" spans="1:6" x14ac:dyDescent="0.25">
      <c r="A579" t="str">
        <f t="shared" si="9"/>
        <v>545+1+207NS0135X</v>
      </c>
      <c r="B579">
        <v>3098</v>
      </c>
      <c r="C579">
        <v>545</v>
      </c>
      <c r="D579">
        <v>1</v>
      </c>
      <c r="E579" t="s">
        <v>1098</v>
      </c>
      <c r="F579" t="s">
        <v>3146</v>
      </c>
    </row>
    <row r="580" spans="1:6" x14ac:dyDescent="0.25">
      <c r="A580" t="str">
        <f t="shared" si="9"/>
        <v>546+7+207ND0900X</v>
      </c>
      <c r="B580">
        <v>3099</v>
      </c>
      <c r="C580">
        <v>546</v>
      </c>
      <c r="D580">
        <v>7</v>
      </c>
      <c r="E580" t="s">
        <v>1092</v>
      </c>
      <c r="F580" t="s">
        <v>3147</v>
      </c>
    </row>
    <row r="581" spans="1:6" x14ac:dyDescent="0.25">
      <c r="A581" t="str">
        <f t="shared" si="9"/>
        <v>547+1+207ND0900X</v>
      </c>
      <c r="B581">
        <v>3100</v>
      </c>
      <c r="C581">
        <v>547</v>
      </c>
      <c r="D581">
        <v>1</v>
      </c>
      <c r="E581" t="s">
        <v>1092</v>
      </c>
      <c r="F581" t="s">
        <v>3147</v>
      </c>
    </row>
    <row r="582" spans="1:6" x14ac:dyDescent="0.25">
      <c r="A582" t="str">
        <f t="shared" si="9"/>
        <v>548+7+207ND0101X</v>
      </c>
      <c r="B582">
        <v>3101</v>
      </c>
      <c r="C582">
        <v>548</v>
      </c>
      <c r="D582">
        <v>7</v>
      </c>
      <c r="E582" t="s">
        <v>1090</v>
      </c>
      <c r="F582" t="s">
        <v>3148</v>
      </c>
    </row>
    <row r="583" spans="1:6" x14ac:dyDescent="0.25">
      <c r="A583" t="str">
        <f t="shared" si="9"/>
        <v>549+1+207ND0101X</v>
      </c>
      <c r="B583">
        <v>3102</v>
      </c>
      <c r="C583">
        <v>549</v>
      </c>
      <c r="D583">
        <v>1</v>
      </c>
      <c r="E583" t="s">
        <v>1090</v>
      </c>
      <c r="F583" t="s">
        <v>3148</v>
      </c>
    </row>
    <row r="584" spans="1:6" x14ac:dyDescent="0.25">
      <c r="A584" t="str">
        <f t="shared" si="9"/>
        <v>550+7+207NP0225X</v>
      </c>
      <c r="B584">
        <v>3103</v>
      </c>
      <c r="C584">
        <v>550</v>
      </c>
      <c r="D584">
        <v>7</v>
      </c>
      <c r="E584" t="s">
        <v>1096</v>
      </c>
      <c r="F584" t="s">
        <v>3149</v>
      </c>
    </row>
    <row r="585" spans="1:6" x14ac:dyDescent="0.25">
      <c r="A585" t="str">
        <f t="shared" si="9"/>
        <v>551+1+207NP0225X</v>
      </c>
      <c r="B585">
        <v>3104</v>
      </c>
      <c r="C585">
        <v>551</v>
      </c>
      <c r="D585">
        <v>1</v>
      </c>
      <c r="E585" t="s">
        <v>1096</v>
      </c>
      <c r="F585" t="s">
        <v>3149</v>
      </c>
    </row>
    <row r="586" spans="1:6" x14ac:dyDescent="0.25">
      <c r="A586" t="str">
        <f t="shared" si="9"/>
        <v>552+7+207PE0004X</v>
      </c>
      <c r="B586">
        <v>3105</v>
      </c>
      <c r="C586">
        <v>552</v>
      </c>
      <c r="D586">
        <v>7</v>
      </c>
      <c r="E586" t="s">
        <v>1103</v>
      </c>
      <c r="F586" t="s">
        <v>3150</v>
      </c>
    </row>
    <row r="587" spans="1:6" x14ac:dyDescent="0.25">
      <c r="A587" t="str">
        <f t="shared" si="9"/>
        <v>553+1+207PE0004X</v>
      </c>
      <c r="B587">
        <v>3106</v>
      </c>
      <c r="C587">
        <v>553</v>
      </c>
      <c r="D587">
        <v>1</v>
      </c>
      <c r="E587" t="s">
        <v>1103</v>
      </c>
      <c r="F587" t="s">
        <v>3150</v>
      </c>
    </row>
    <row r="588" spans="1:6" x14ac:dyDescent="0.25">
      <c r="A588" t="str">
        <f t="shared" si="9"/>
        <v>554+7+207PT0002X</v>
      </c>
      <c r="B588">
        <v>3107</v>
      </c>
      <c r="C588">
        <v>554</v>
      </c>
      <c r="D588">
        <v>7</v>
      </c>
      <c r="E588" t="s">
        <v>1113</v>
      </c>
      <c r="F588" t="s">
        <v>3151</v>
      </c>
    </row>
    <row r="589" spans="1:6" x14ac:dyDescent="0.25">
      <c r="A589" t="str">
        <f t="shared" si="9"/>
        <v>555+1+207PT0002X</v>
      </c>
      <c r="B589">
        <v>3108</v>
      </c>
      <c r="C589">
        <v>555</v>
      </c>
      <c r="D589">
        <v>1</v>
      </c>
      <c r="E589" t="s">
        <v>1113</v>
      </c>
      <c r="F589" t="s">
        <v>3151</v>
      </c>
    </row>
    <row r="590" spans="1:6" x14ac:dyDescent="0.25">
      <c r="A590" t="str">
        <f t="shared" si="9"/>
        <v>556+7+207PP0204X</v>
      </c>
      <c r="B590">
        <v>3109</v>
      </c>
      <c r="C590">
        <v>556</v>
      </c>
      <c r="D590">
        <v>7</v>
      </c>
      <c r="E590" t="s">
        <v>1109</v>
      </c>
      <c r="F590" t="s">
        <v>3152</v>
      </c>
    </row>
    <row r="591" spans="1:6" x14ac:dyDescent="0.25">
      <c r="A591" t="str">
        <f t="shared" si="9"/>
        <v>557+1+207PP0204X</v>
      </c>
      <c r="B591">
        <v>3110</v>
      </c>
      <c r="C591">
        <v>557</v>
      </c>
      <c r="D591">
        <v>1</v>
      </c>
      <c r="E591" t="s">
        <v>1109</v>
      </c>
      <c r="F591" t="s">
        <v>3152</v>
      </c>
    </row>
    <row r="592" spans="1:6" x14ac:dyDescent="0.25">
      <c r="A592" t="str">
        <f t="shared" si="9"/>
        <v>558+7+207PS0010X</v>
      </c>
      <c r="B592">
        <v>3111</v>
      </c>
      <c r="C592">
        <v>558</v>
      </c>
      <c r="D592">
        <v>7</v>
      </c>
      <c r="E592" t="s">
        <v>1111</v>
      </c>
      <c r="F592" t="s">
        <v>3153</v>
      </c>
    </row>
    <row r="593" spans="1:6" x14ac:dyDescent="0.25">
      <c r="A593" t="str">
        <f t="shared" si="9"/>
        <v>559+1+207PS0010X</v>
      </c>
      <c r="B593">
        <v>3112</v>
      </c>
      <c r="C593">
        <v>559</v>
      </c>
      <c r="D593">
        <v>1</v>
      </c>
      <c r="E593" t="s">
        <v>1111</v>
      </c>
      <c r="F593" t="s">
        <v>3153</v>
      </c>
    </row>
    <row r="594" spans="1:6" x14ac:dyDescent="0.25">
      <c r="A594" t="str">
        <f t="shared" si="9"/>
        <v>560+7+207PE0005X</v>
      </c>
      <c r="B594">
        <v>3113</v>
      </c>
      <c r="C594">
        <v>560</v>
      </c>
      <c r="D594">
        <v>7</v>
      </c>
      <c r="E594" t="s">
        <v>1105</v>
      </c>
      <c r="F594" t="s">
        <v>3154</v>
      </c>
    </row>
    <row r="595" spans="1:6" x14ac:dyDescent="0.25">
      <c r="A595" t="str">
        <f t="shared" si="9"/>
        <v>561+1+207PE0005X</v>
      </c>
      <c r="B595">
        <v>3114</v>
      </c>
      <c r="C595">
        <v>561</v>
      </c>
      <c r="D595">
        <v>1</v>
      </c>
      <c r="E595" t="s">
        <v>1105</v>
      </c>
      <c r="F595" t="s">
        <v>3154</v>
      </c>
    </row>
    <row r="596" spans="1:6" x14ac:dyDescent="0.25">
      <c r="A596" t="str">
        <f t="shared" si="9"/>
        <v>562+7+207YS0123X</v>
      </c>
      <c r="B596">
        <v>3115</v>
      </c>
      <c r="C596">
        <v>562</v>
      </c>
      <c r="D596">
        <v>7</v>
      </c>
      <c r="E596" t="s">
        <v>1220</v>
      </c>
      <c r="F596" t="s">
        <v>3155</v>
      </c>
    </row>
    <row r="597" spans="1:6" x14ac:dyDescent="0.25">
      <c r="A597" t="str">
        <f t="shared" si="9"/>
        <v>563+1+207YS0123X</v>
      </c>
      <c r="B597">
        <v>3116</v>
      </c>
      <c r="C597">
        <v>563</v>
      </c>
      <c r="D597">
        <v>1</v>
      </c>
      <c r="E597" t="s">
        <v>1220</v>
      </c>
      <c r="F597" t="s">
        <v>3155</v>
      </c>
    </row>
    <row r="598" spans="1:6" x14ac:dyDescent="0.25">
      <c r="A598" t="str">
        <f t="shared" si="9"/>
        <v>564+7+207QA0401X</v>
      </c>
      <c r="B598">
        <v>3117</v>
      </c>
      <c r="C598">
        <v>564</v>
      </c>
      <c r="D598">
        <v>7</v>
      </c>
      <c r="E598" t="s">
        <v>995</v>
      </c>
      <c r="F598" t="s">
        <v>3156</v>
      </c>
    </row>
    <row r="599" spans="1:6" x14ac:dyDescent="0.25">
      <c r="A599" t="str">
        <f t="shared" si="9"/>
        <v>565+1+207QA0401X</v>
      </c>
      <c r="B599">
        <v>3118</v>
      </c>
      <c r="C599">
        <v>565</v>
      </c>
      <c r="D599">
        <v>1</v>
      </c>
      <c r="E599" t="s">
        <v>995</v>
      </c>
      <c r="F599" t="s">
        <v>3156</v>
      </c>
    </row>
    <row r="600" spans="1:6" x14ac:dyDescent="0.25">
      <c r="A600" t="str">
        <f t="shared" si="9"/>
        <v>566+7+207QA0000X</v>
      </c>
      <c r="B600">
        <v>3119</v>
      </c>
      <c r="C600">
        <v>566</v>
      </c>
      <c r="D600">
        <v>7</v>
      </c>
      <c r="E600" t="s">
        <v>1117</v>
      </c>
      <c r="F600" t="s">
        <v>3157</v>
      </c>
    </row>
    <row r="601" spans="1:6" x14ac:dyDescent="0.25">
      <c r="A601" t="str">
        <f t="shared" si="9"/>
        <v>568+1+207QA0000X</v>
      </c>
      <c r="B601">
        <v>3120</v>
      </c>
      <c r="C601">
        <v>568</v>
      </c>
      <c r="D601">
        <v>1</v>
      </c>
      <c r="E601" t="s">
        <v>1117</v>
      </c>
      <c r="F601" t="s">
        <v>3157</v>
      </c>
    </row>
    <row r="602" spans="1:6" x14ac:dyDescent="0.25">
      <c r="A602" t="str">
        <f t="shared" si="9"/>
        <v>570+7+207QA0505X</v>
      </c>
      <c r="B602">
        <v>3121</v>
      </c>
      <c r="C602">
        <v>570</v>
      </c>
      <c r="D602">
        <v>7</v>
      </c>
      <c r="E602" t="s">
        <v>1119</v>
      </c>
      <c r="F602" t="s">
        <v>3158</v>
      </c>
    </row>
    <row r="603" spans="1:6" x14ac:dyDescent="0.25">
      <c r="A603" t="str">
        <f t="shared" si="9"/>
        <v>571+1+207QA0505X</v>
      </c>
      <c r="B603">
        <v>3122</v>
      </c>
      <c r="C603">
        <v>571</v>
      </c>
      <c r="D603">
        <v>1</v>
      </c>
      <c r="E603" t="s">
        <v>1119</v>
      </c>
      <c r="F603" t="s">
        <v>3158</v>
      </c>
    </row>
    <row r="604" spans="1:6" x14ac:dyDescent="0.25">
      <c r="A604" t="str">
        <f t="shared" si="9"/>
        <v>572+7+207QG0300X</v>
      </c>
      <c r="B604">
        <v>3123</v>
      </c>
      <c r="C604">
        <v>572</v>
      </c>
      <c r="D604">
        <v>7</v>
      </c>
      <c r="E604" t="s">
        <v>997</v>
      </c>
      <c r="F604" t="s">
        <v>3159</v>
      </c>
    </row>
    <row r="605" spans="1:6" x14ac:dyDescent="0.25">
      <c r="A605" t="str">
        <f t="shared" si="9"/>
        <v>573+1+207QG0300X</v>
      </c>
      <c r="B605">
        <v>3124</v>
      </c>
      <c r="C605">
        <v>573</v>
      </c>
      <c r="D605">
        <v>1</v>
      </c>
      <c r="E605" t="s">
        <v>997</v>
      </c>
      <c r="F605" t="s">
        <v>3159</v>
      </c>
    </row>
    <row r="606" spans="1:6" x14ac:dyDescent="0.25">
      <c r="A606" t="str">
        <f t="shared" si="9"/>
        <v>574+7+207QS0010X</v>
      </c>
      <c r="B606">
        <v>3125</v>
      </c>
      <c r="C606">
        <v>574</v>
      </c>
      <c r="D606">
        <v>7</v>
      </c>
      <c r="E606" t="s">
        <v>1124</v>
      </c>
      <c r="F606" t="s">
        <v>3160</v>
      </c>
    </row>
    <row r="607" spans="1:6" x14ac:dyDescent="0.25">
      <c r="A607" t="str">
        <f t="shared" si="9"/>
        <v>575+1+207QS0010X</v>
      </c>
      <c r="B607">
        <v>3126</v>
      </c>
      <c r="C607">
        <v>575</v>
      </c>
      <c r="D607">
        <v>1</v>
      </c>
      <c r="E607" t="s">
        <v>1124</v>
      </c>
      <c r="F607" t="s">
        <v>3160</v>
      </c>
    </row>
    <row r="608" spans="1:6" x14ac:dyDescent="0.25">
      <c r="A608" t="str">
        <f t="shared" si="9"/>
        <v>576+7+208M00000X</v>
      </c>
      <c r="B608">
        <v>3127</v>
      </c>
      <c r="C608">
        <v>576</v>
      </c>
      <c r="D608">
        <v>7</v>
      </c>
      <c r="E608" t="s">
        <v>1414</v>
      </c>
      <c r="F608" t="s">
        <v>3161</v>
      </c>
    </row>
    <row r="609" spans="1:6" x14ac:dyDescent="0.25">
      <c r="A609" t="str">
        <f t="shared" si="9"/>
        <v>577+1+208M00000X</v>
      </c>
      <c r="B609">
        <v>3128</v>
      </c>
      <c r="C609">
        <v>577</v>
      </c>
      <c r="D609">
        <v>1</v>
      </c>
      <c r="E609" t="s">
        <v>1414</v>
      </c>
      <c r="F609" t="s">
        <v>3161</v>
      </c>
    </row>
    <row r="610" spans="1:6" x14ac:dyDescent="0.25">
      <c r="A610" t="str">
        <f t="shared" si="9"/>
        <v>578+7+207RA0401X</v>
      </c>
      <c r="B610">
        <v>3129</v>
      </c>
      <c r="C610">
        <v>578</v>
      </c>
      <c r="D610">
        <v>7</v>
      </c>
      <c r="E610" t="s">
        <v>1001</v>
      </c>
      <c r="F610" t="s">
        <v>3162</v>
      </c>
    </row>
    <row r="611" spans="1:6" x14ac:dyDescent="0.25">
      <c r="A611" t="str">
        <f t="shared" si="9"/>
        <v>579+1+207RA0401X</v>
      </c>
      <c r="B611">
        <v>3130</v>
      </c>
      <c r="C611">
        <v>579</v>
      </c>
      <c r="D611">
        <v>1</v>
      </c>
      <c r="E611" t="s">
        <v>1001</v>
      </c>
      <c r="F611" t="s">
        <v>3162</v>
      </c>
    </row>
    <row r="612" spans="1:6" x14ac:dyDescent="0.25">
      <c r="A612" t="str">
        <f t="shared" si="9"/>
        <v>580+7+207RA0000X</v>
      </c>
      <c r="B612">
        <v>3131</v>
      </c>
      <c r="C612">
        <v>580</v>
      </c>
      <c r="D612">
        <v>7</v>
      </c>
      <c r="E612" t="s">
        <v>1128</v>
      </c>
      <c r="F612" t="s">
        <v>3163</v>
      </c>
    </row>
    <row r="613" spans="1:6" x14ac:dyDescent="0.25">
      <c r="A613" t="str">
        <f t="shared" si="9"/>
        <v>581+1+207RA0000X</v>
      </c>
      <c r="B613">
        <v>3132</v>
      </c>
      <c r="C613">
        <v>581</v>
      </c>
      <c r="D613">
        <v>1</v>
      </c>
      <c r="E613" t="s">
        <v>1128</v>
      </c>
      <c r="F613" t="s">
        <v>3163</v>
      </c>
    </row>
    <row r="614" spans="1:6" x14ac:dyDescent="0.25">
      <c r="A614" t="str">
        <f t="shared" si="9"/>
        <v>582+7+207RA0201X</v>
      </c>
      <c r="B614">
        <v>3133</v>
      </c>
      <c r="C614">
        <v>582</v>
      </c>
      <c r="D614">
        <v>7</v>
      </c>
      <c r="E614" t="s">
        <v>1130</v>
      </c>
      <c r="F614" t="s">
        <v>3164</v>
      </c>
    </row>
    <row r="615" spans="1:6" x14ac:dyDescent="0.25">
      <c r="A615" t="str">
        <f t="shared" si="9"/>
        <v>583+1+207RA0201X</v>
      </c>
      <c r="B615">
        <v>3134</v>
      </c>
      <c r="C615">
        <v>583</v>
      </c>
      <c r="D615">
        <v>1</v>
      </c>
      <c r="E615" t="s">
        <v>1130</v>
      </c>
      <c r="F615" t="s">
        <v>3164</v>
      </c>
    </row>
    <row r="616" spans="1:6" x14ac:dyDescent="0.25">
      <c r="A616" t="str">
        <f t="shared" si="9"/>
        <v>584+7+207RC0000X</v>
      </c>
      <c r="B616">
        <v>3135</v>
      </c>
      <c r="C616">
        <v>584</v>
      </c>
      <c r="D616">
        <v>7</v>
      </c>
      <c r="E616" t="s">
        <v>1134</v>
      </c>
      <c r="F616" t="s">
        <v>3165</v>
      </c>
    </row>
    <row r="617" spans="1:6" x14ac:dyDescent="0.25">
      <c r="A617" t="str">
        <f t="shared" si="9"/>
        <v>585+1+207RC0000X</v>
      </c>
      <c r="B617">
        <v>3136</v>
      </c>
      <c r="C617">
        <v>585</v>
      </c>
      <c r="D617">
        <v>1</v>
      </c>
      <c r="E617" t="s">
        <v>1134</v>
      </c>
      <c r="F617" t="s">
        <v>3165</v>
      </c>
    </row>
    <row r="618" spans="1:6" x14ac:dyDescent="0.25">
      <c r="A618" t="str">
        <f t="shared" si="9"/>
        <v>586+7+207RI0001X</v>
      </c>
      <c r="B618">
        <v>3137</v>
      </c>
      <c r="C618">
        <v>586</v>
      </c>
      <c r="D618">
        <v>7</v>
      </c>
      <c r="E618" t="s">
        <v>1146</v>
      </c>
      <c r="F618" t="s">
        <v>3166</v>
      </c>
    </row>
    <row r="619" spans="1:6" x14ac:dyDescent="0.25">
      <c r="A619" t="str">
        <f t="shared" si="9"/>
        <v>587+1+207RI0001X</v>
      </c>
      <c r="B619">
        <v>3138</v>
      </c>
      <c r="C619">
        <v>587</v>
      </c>
      <c r="D619">
        <v>1</v>
      </c>
      <c r="E619" t="s">
        <v>1146</v>
      </c>
      <c r="F619" t="s">
        <v>3166</v>
      </c>
    </row>
    <row r="620" spans="1:6" x14ac:dyDescent="0.25">
      <c r="A620" t="str">
        <f t="shared" si="9"/>
        <v>588+7+207RC0001X</v>
      </c>
      <c r="B620">
        <v>3139</v>
      </c>
      <c r="C620">
        <v>588</v>
      </c>
      <c r="D620">
        <v>7</v>
      </c>
      <c r="E620" t="s">
        <v>1137</v>
      </c>
      <c r="F620" t="s">
        <v>3167</v>
      </c>
    </row>
    <row r="621" spans="1:6" x14ac:dyDescent="0.25">
      <c r="A621" t="str">
        <f t="shared" si="9"/>
        <v>589+1+207RC0001X</v>
      </c>
      <c r="B621">
        <v>3140</v>
      </c>
      <c r="C621">
        <v>589</v>
      </c>
      <c r="D621">
        <v>1</v>
      </c>
      <c r="E621" t="s">
        <v>1137</v>
      </c>
      <c r="F621" t="s">
        <v>3167</v>
      </c>
    </row>
    <row r="622" spans="1:6" x14ac:dyDescent="0.25">
      <c r="A622" t="str">
        <f t="shared" si="9"/>
        <v>590+7+207RC0200X</v>
      </c>
      <c r="B622">
        <v>3141</v>
      </c>
      <c r="C622">
        <v>590</v>
      </c>
      <c r="D622">
        <v>7</v>
      </c>
      <c r="E622" t="s">
        <v>1138</v>
      </c>
      <c r="F622" t="s">
        <v>3168</v>
      </c>
    </row>
    <row r="623" spans="1:6" x14ac:dyDescent="0.25">
      <c r="A623" t="str">
        <f t="shared" si="9"/>
        <v>591+1+207RC0200X</v>
      </c>
      <c r="B623">
        <v>3142</v>
      </c>
      <c r="C623">
        <v>591</v>
      </c>
      <c r="D623">
        <v>1</v>
      </c>
      <c r="E623" t="s">
        <v>1138</v>
      </c>
      <c r="F623" t="s">
        <v>3168</v>
      </c>
    </row>
    <row r="624" spans="1:6" x14ac:dyDescent="0.25">
      <c r="A624" t="str">
        <f t="shared" si="9"/>
        <v>592+7+207RE0101X</v>
      </c>
      <c r="B624">
        <v>3143</v>
      </c>
      <c r="C624">
        <v>592</v>
      </c>
      <c r="D624">
        <v>7</v>
      </c>
      <c r="E624" t="s">
        <v>1003</v>
      </c>
      <c r="F624" t="s">
        <v>3169</v>
      </c>
    </row>
    <row r="625" spans="1:6" x14ac:dyDescent="0.25">
      <c r="A625" t="str">
        <f t="shared" si="9"/>
        <v>593+1+207RE0101X</v>
      </c>
      <c r="B625">
        <v>3144</v>
      </c>
      <c r="C625">
        <v>593</v>
      </c>
      <c r="D625">
        <v>1</v>
      </c>
      <c r="E625" t="s">
        <v>1003</v>
      </c>
      <c r="F625" t="s">
        <v>3169</v>
      </c>
    </row>
    <row r="626" spans="1:6" x14ac:dyDescent="0.25">
      <c r="A626" t="str">
        <f t="shared" si="9"/>
        <v>594+7+207RG0100X</v>
      </c>
      <c r="B626">
        <v>3145</v>
      </c>
      <c r="C626">
        <v>594</v>
      </c>
      <c r="D626">
        <v>7</v>
      </c>
      <c r="E626" t="s">
        <v>1140</v>
      </c>
      <c r="F626" t="s">
        <v>3170</v>
      </c>
    </row>
    <row r="627" spans="1:6" x14ac:dyDescent="0.25">
      <c r="A627" t="str">
        <f t="shared" si="9"/>
        <v>595+1+207RG0100X</v>
      </c>
      <c r="B627">
        <v>3146</v>
      </c>
      <c r="C627">
        <v>595</v>
      </c>
      <c r="D627">
        <v>1</v>
      </c>
      <c r="E627" t="s">
        <v>1140</v>
      </c>
      <c r="F627" t="s">
        <v>3170</v>
      </c>
    </row>
    <row r="628" spans="1:6" x14ac:dyDescent="0.25">
      <c r="A628" t="str">
        <f t="shared" si="9"/>
        <v>596+7+207RG0300X</v>
      </c>
      <c r="B628">
        <v>3147</v>
      </c>
      <c r="C628">
        <v>596</v>
      </c>
      <c r="D628">
        <v>7</v>
      </c>
      <c r="E628" t="s">
        <v>1143</v>
      </c>
      <c r="F628" t="s">
        <v>3171</v>
      </c>
    </row>
    <row r="629" spans="1:6" x14ac:dyDescent="0.25">
      <c r="A629" t="str">
        <f t="shared" si="9"/>
        <v>597+1+207RG0300X</v>
      </c>
      <c r="B629">
        <v>3148</v>
      </c>
      <c r="C629">
        <v>597</v>
      </c>
      <c r="D629">
        <v>1</v>
      </c>
      <c r="E629" t="s">
        <v>1143</v>
      </c>
      <c r="F629" t="s">
        <v>3171</v>
      </c>
    </row>
    <row r="630" spans="1:6" x14ac:dyDescent="0.25">
      <c r="A630" t="str">
        <f t="shared" si="9"/>
        <v>598+7+207RH0000X</v>
      </c>
      <c r="B630">
        <v>3149</v>
      </c>
      <c r="C630">
        <v>598</v>
      </c>
      <c r="D630">
        <v>7</v>
      </c>
      <c r="E630" t="s">
        <v>1006</v>
      </c>
      <c r="F630" t="s">
        <v>3172</v>
      </c>
    </row>
    <row r="631" spans="1:6" x14ac:dyDescent="0.25">
      <c r="A631" t="str">
        <f t="shared" si="9"/>
        <v>599+1+207RH0000X</v>
      </c>
      <c r="B631">
        <v>3150</v>
      </c>
      <c r="C631">
        <v>599</v>
      </c>
      <c r="D631">
        <v>1</v>
      </c>
      <c r="E631" t="s">
        <v>1006</v>
      </c>
      <c r="F631" t="s">
        <v>3172</v>
      </c>
    </row>
    <row r="632" spans="1:6" x14ac:dyDescent="0.25">
      <c r="A632" t="str">
        <f t="shared" si="9"/>
        <v>600+7+207RH0003X</v>
      </c>
      <c r="B632">
        <v>3151</v>
      </c>
      <c r="C632">
        <v>600</v>
      </c>
      <c r="D632">
        <v>7</v>
      </c>
      <c r="E632" t="s">
        <v>1008</v>
      </c>
      <c r="F632" t="s">
        <v>3173</v>
      </c>
    </row>
    <row r="633" spans="1:6" x14ac:dyDescent="0.25">
      <c r="A633" t="str">
        <f t="shared" si="9"/>
        <v>601+1+207RH0003X</v>
      </c>
      <c r="B633">
        <v>3152</v>
      </c>
      <c r="C633">
        <v>601</v>
      </c>
      <c r="D633">
        <v>1</v>
      </c>
      <c r="E633" t="s">
        <v>1008</v>
      </c>
      <c r="F633" t="s">
        <v>3173</v>
      </c>
    </row>
    <row r="634" spans="1:6" x14ac:dyDescent="0.25">
      <c r="A634" t="str">
        <f t="shared" si="9"/>
        <v>602+7+207RI0008X</v>
      </c>
      <c r="B634">
        <v>3153</v>
      </c>
      <c r="C634">
        <v>602</v>
      </c>
      <c r="D634">
        <v>7</v>
      </c>
      <c r="E634" t="s">
        <v>1148</v>
      </c>
      <c r="F634" t="s">
        <v>3174</v>
      </c>
    </row>
    <row r="635" spans="1:6" x14ac:dyDescent="0.25">
      <c r="A635" t="str">
        <f t="shared" si="9"/>
        <v>603+1+207RI0008X</v>
      </c>
      <c r="B635">
        <v>3154</v>
      </c>
      <c r="C635">
        <v>603</v>
      </c>
      <c r="D635">
        <v>1</v>
      </c>
      <c r="E635" t="s">
        <v>1148</v>
      </c>
      <c r="F635" t="s">
        <v>3174</v>
      </c>
    </row>
    <row r="636" spans="1:6" x14ac:dyDescent="0.25">
      <c r="A636" t="str">
        <f t="shared" si="9"/>
        <v>604+7+207RI0200X</v>
      </c>
      <c r="B636">
        <v>3155</v>
      </c>
      <c r="C636">
        <v>604</v>
      </c>
      <c r="D636">
        <v>7</v>
      </c>
      <c r="E636" t="s">
        <v>1011</v>
      </c>
      <c r="F636" t="s">
        <v>3175</v>
      </c>
    </row>
    <row r="637" spans="1:6" x14ac:dyDescent="0.25">
      <c r="A637" t="str">
        <f t="shared" si="9"/>
        <v>605+1+207RI0200X</v>
      </c>
      <c r="B637">
        <v>3156</v>
      </c>
      <c r="C637">
        <v>605</v>
      </c>
      <c r="D637">
        <v>1</v>
      </c>
      <c r="E637" t="s">
        <v>1011</v>
      </c>
      <c r="F637" t="s">
        <v>3175</v>
      </c>
    </row>
    <row r="638" spans="1:6" x14ac:dyDescent="0.25">
      <c r="A638" t="str">
        <f t="shared" si="9"/>
        <v>606+7+207RI0011X</v>
      </c>
      <c r="B638">
        <v>3157</v>
      </c>
      <c r="C638">
        <v>606</v>
      </c>
      <c r="D638">
        <v>7</v>
      </c>
      <c r="E638" t="s">
        <v>1150</v>
      </c>
      <c r="F638" t="s">
        <v>3176</v>
      </c>
    </row>
    <row r="639" spans="1:6" x14ac:dyDescent="0.25">
      <c r="A639" t="str">
        <f t="shared" si="9"/>
        <v>607+1+207RI0011X</v>
      </c>
      <c r="B639">
        <v>3158</v>
      </c>
      <c r="C639">
        <v>607</v>
      </c>
      <c r="D639">
        <v>1</v>
      </c>
      <c r="E639" t="s">
        <v>1150</v>
      </c>
      <c r="F639" t="s">
        <v>3176</v>
      </c>
    </row>
    <row r="640" spans="1:6" x14ac:dyDescent="0.25">
      <c r="A640" t="str">
        <f t="shared" si="9"/>
        <v>608+7+207RM1200X</v>
      </c>
      <c r="B640">
        <v>3159</v>
      </c>
      <c r="C640">
        <v>608</v>
      </c>
      <c r="D640">
        <v>7</v>
      </c>
      <c r="E640" t="s">
        <v>1152</v>
      </c>
      <c r="F640" t="s">
        <v>3177</v>
      </c>
    </row>
    <row r="641" spans="1:6" x14ac:dyDescent="0.25">
      <c r="A641" t="str">
        <f t="shared" si="9"/>
        <v>609+1+207RM1200X</v>
      </c>
      <c r="B641">
        <v>3160</v>
      </c>
      <c r="C641">
        <v>609</v>
      </c>
      <c r="D641">
        <v>1</v>
      </c>
      <c r="E641" t="s">
        <v>1152</v>
      </c>
      <c r="F641" t="s">
        <v>3177</v>
      </c>
    </row>
    <row r="642" spans="1:6" x14ac:dyDescent="0.25">
      <c r="A642" t="str">
        <f t="shared" ref="A642:A705" si="10">C642 &amp; "+" &amp; D642 &amp; "+" &amp; E642</f>
        <v>610+7+207RX0202X</v>
      </c>
      <c r="B642">
        <v>3161</v>
      </c>
      <c r="C642">
        <v>610</v>
      </c>
      <c r="D642">
        <v>7</v>
      </c>
      <c r="E642" t="s">
        <v>1017</v>
      </c>
      <c r="F642" t="s">
        <v>3178</v>
      </c>
    </row>
    <row r="643" spans="1:6" x14ac:dyDescent="0.25">
      <c r="A643" t="str">
        <f t="shared" si="10"/>
        <v>611+1+207RX0202X</v>
      </c>
      <c r="B643">
        <v>3162</v>
      </c>
      <c r="C643">
        <v>611</v>
      </c>
      <c r="D643">
        <v>1</v>
      </c>
      <c r="E643" t="s">
        <v>1017</v>
      </c>
      <c r="F643" t="s">
        <v>3178</v>
      </c>
    </row>
    <row r="644" spans="1:6" x14ac:dyDescent="0.25">
      <c r="A644" t="str">
        <f t="shared" si="10"/>
        <v>612+7+207RN0300X</v>
      </c>
      <c r="B644">
        <v>3163</v>
      </c>
      <c r="C644">
        <v>612</v>
      </c>
      <c r="D644">
        <v>7</v>
      </c>
      <c r="E644" t="s">
        <v>1154</v>
      </c>
      <c r="F644" t="s">
        <v>3179</v>
      </c>
    </row>
    <row r="645" spans="1:6" x14ac:dyDescent="0.25">
      <c r="A645" t="str">
        <f t="shared" si="10"/>
        <v>613+1+207RN0300X</v>
      </c>
      <c r="B645">
        <v>3164</v>
      </c>
      <c r="C645">
        <v>613</v>
      </c>
      <c r="D645">
        <v>1</v>
      </c>
      <c r="E645" t="s">
        <v>1154</v>
      </c>
      <c r="F645" t="s">
        <v>3179</v>
      </c>
    </row>
    <row r="646" spans="1:6" x14ac:dyDescent="0.25">
      <c r="A646" t="str">
        <f t="shared" si="10"/>
        <v>614+7+207RP1001X</v>
      </c>
      <c r="B646">
        <v>3165</v>
      </c>
      <c r="C646">
        <v>614</v>
      </c>
      <c r="D646">
        <v>7</v>
      </c>
      <c r="E646" t="s">
        <v>1157</v>
      </c>
      <c r="F646" t="s">
        <v>3180</v>
      </c>
    </row>
    <row r="647" spans="1:6" x14ac:dyDescent="0.25">
      <c r="A647" t="str">
        <f t="shared" si="10"/>
        <v>615+1+207RP1001X</v>
      </c>
      <c r="B647">
        <v>3166</v>
      </c>
      <c r="C647">
        <v>615</v>
      </c>
      <c r="D647">
        <v>1</v>
      </c>
      <c r="E647" t="s">
        <v>1157</v>
      </c>
      <c r="F647" t="s">
        <v>3180</v>
      </c>
    </row>
    <row r="648" spans="1:6" x14ac:dyDescent="0.25">
      <c r="A648" t="str">
        <f t="shared" si="10"/>
        <v>616+7+207RR0500X</v>
      </c>
      <c r="B648">
        <v>3167</v>
      </c>
      <c r="C648">
        <v>616</v>
      </c>
      <c r="D648">
        <v>7</v>
      </c>
      <c r="E648" t="s">
        <v>1014</v>
      </c>
      <c r="F648" t="s">
        <v>3181</v>
      </c>
    </row>
    <row r="649" spans="1:6" x14ac:dyDescent="0.25">
      <c r="A649" t="str">
        <f t="shared" si="10"/>
        <v>617+1+207RR0500X</v>
      </c>
      <c r="B649">
        <v>3168</v>
      </c>
      <c r="C649">
        <v>617</v>
      </c>
      <c r="D649">
        <v>1</v>
      </c>
      <c r="E649" t="s">
        <v>1014</v>
      </c>
      <c r="F649" t="s">
        <v>3181</v>
      </c>
    </row>
    <row r="650" spans="1:6" x14ac:dyDescent="0.25">
      <c r="A650" t="str">
        <f t="shared" si="10"/>
        <v>618+7+207RS0010X</v>
      </c>
      <c r="B650">
        <v>3169</v>
      </c>
      <c r="C650">
        <v>618</v>
      </c>
      <c r="D650">
        <v>7</v>
      </c>
      <c r="E650" t="s">
        <v>1160</v>
      </c>
      <c r="F650" t="s">
        <v>3182</v>
      </c>
    </row>
    <row r="651" spans="1:6" x14ac:dyDescent="0.25">
      <c r="A651" t="str">
        <f t="shared" si="10"/>
        <v>619+1+207RS0010X</v>
      </c>
      <c r="B651">
        <v>3170</v>
      </c>
      <c r="C651">
        <v>619</v>
      </c>
      <c r="D651">
        <v>1</v>
      </c>
      <c r="E651" t="s">
        <v>1160</v>
      </c>
      <c r="F651" t="s">
        <v>3182</v>
      </c>
    </row>
    <row r="652" spans="1:6" x14ac:dyDescent="0.25">
      <c r="A652" t="str">
        <f t="shared" si="10"/>
        <v>620+7+291U00000X</v>
      </c>
      <c r="B652">
        <v>3171</v>
      </c>
      <c r="C652">
        <v>620</v>
      </c>
      <c r="D652">
        <v>7</v>
      </c>
      <c r="E652" t="s">
        <v>970</v>
      </c>
      <c r="F652" t="s">
        <v>3183</v>
      </c>
    </row>
    <row r="653" spans="1:6" x14ac:dyDescent="0.25">
      <c r="A653" t="str">
        <f t="shared" si="10"/>
        <v>621+1+291U00000X</v>
      </c>
      <c r="B653">
        <v>3172</v>
      </c>
      <c r="C653">
        <v>621</v>
      </c>
      <c r="D653">
        <v>1</v>
      </c>
      <c r="E653" t="s">
        <v>970</v>
      </c>
      <c r="F653" t="s">
        <v>3183</v>
      </c>
    </row>
    <row r="654" spans="1:6" x14ac:dyDescent="0.25">
      <c r="A654" t="str">
        <f t="shared" si="10"/>
        <v>622+7+209800000X</v>
      </c>
      <c r="B654">
        <v>3173</v>
      </c>
      <c r="C654">
        <v>622</v>
      </c>
      <c r="D654">
        <v>7</v>
      </c>
      <c r="E654" t="s">
        <v>1436</v>
      </c>
      <c r="F654" t="s">
        <v>1421</v>
      </c>
    </row>
    <row r="655" spans="1:6" x14ac:dyDescent="0.25">
      <c r="A655" t="str">
        <f t="shared" si="10"/>
        <v>622+50+173000000X</v>
      </c>
      <c r="B655">
        <v>10031</v>
      </c>
      <c r="C655">
        <v>622</v>
      </c>
      <c r="D655">
        <v>50</v>
      </c>
      <c r="E655" t="s">
        <v>1420</v>
      </c>
      <c r="F655" t="s">
        <v>3715</v>
      </c>
    </row>
    <row r="656" spans="1:6" x14ac:dyDescent="0.25">
      <c r="A656" t="str">
        <f t="shared" si="10"/>
        <v>622+50+209800000X</v>
      </c>
      <c r="B656">
        <v>10034</v>
      </c>
      <c r="C656">
        <v>622</v>
      </c>
      <c r="D656">
        <v>50</v>
      </c>
      <c r="E656" t="s">
        <v>1436</v>
      </c>
      <c r="F656" t="s">
        <v>3715</v>
      </c>
    </row>
    <row r="657" spans="1:6" x14ac:dyDescent="0.25">
      <c r="A657" t="str">
        <f t="shared" si="10"/>
        <v>622+51+173000000X</v>
      </c>
      <c r="B657">
        <v>10032</v>
      </c>
      <c r="C657">
        <v>622</v>
      </c>
      <c r="D657">
        <v>51</v>
      </c>
      <c r="E657" t="s">
        <v>1420</v>
      </c>
      <c r="F657" t="s">
        <v>3715</v>
      </c>
    </row>
    <row r="658" spans="1:6" x14ac:dyDescent="0.25">
      <c r="A658" t="str">
        <f t="shared" si="10"/>
        <v>622+51+193400000X</v>
      </c>
      <c r="B658">
        <v>4462</v>
      </c>
      <c r="C658">
        <v>622</v>
      </c>
      <c r="D658">
        <v>51</v>
      </c>
      <c r="E658" t="s">
        <v>1447</v>
      </c>
      <c r="F658" t="s">
        <v>3680</v>
      </c>
    </row>
    <row r="659" spans="1:6" x14ac:dyDescent="0.25">
      <c r="A659" t="str">
        <f t="shared" si="10"/>
        <v>622+51+209800000X</v>
      </c>
      <c r="B659">
        <v>10035</v>
      </c>
      <c r="C659">
        <v>622</v>
      </c>
      <c r="D659">
        <v>51</v>
      </c>
      <c r="E659" t="s">
        <v>1436</v>
      </c>
      <c r="F659" t="s">
        <v>3715</v>
      </c>
    </row>
    <row r="660" spans="1:6" x14ac:dyDescent="0.25">
      <c r="A660" t="str">
        <f t="shared" si="10"/>
        <v>622+114+173000000X</v>
      </c>
      <c r="B660">
        <v>10030</v>
      </c>
      <c r="C660">
        <v>622</v>
      </c>
      <c r="D660">
        <v>114</v>
      </c>
      <c r="E660" t="s">
        <v>1420</v>
      </c>
      <c r="F660" t="s">
        <v>3715</v>
      </c>
    </row>
    <row r="661" spans="1:6" x14ac:dyDescent="0.25">
      <c r="A661" t="str">
        <f t="shared" si="10"/>
        <v>622+114+209800000X</v>
      </c>
      <c r="B661">
        <v>10033</v>
      </c>
      <c r="C661">
        <v>622</v>
      </c>
      <c r="D661">
        <v>114</v>
      </c>
      <c r="E661" t="s">
        <v>1436</v>
      </c>
      <c r="F661" t="s">
        <v>3715</v>
      </c>
    </row>
    <row r="662" spans="1:6" x14ac:dyDescent="0.25">
      <c r="A662" t="str">
        <f t="shared" si="10"/>
        <v>623+1+209800000X</v>
      </c>
      <c r="B662">
        <v>3174</v>
      </c>
      <c r="C662">
        <v>623</v>
      </c>
      <c r="D662">
        <v>1</v>
      </c>
      <c r="E662" t="s">
        <v>1436</v>
      </c>
      <c r="F662" t="s">
        <v>1421</v>
      </c>
    </row>
    <row r="663" spans="1:6" x14ac:dyDescent="0.25">
      <c r="A663" t="str">
        <f t="shared" si="10"/>
        <v>623+51+193400000X</v>
      </c>
      <c r="B663">
        <v>4463</v>
      </c>
      <c r="C663">
        <v>623</v>
      </c>
      <c r="D663">
        <v>51</v>
      </c>
      <c r="E663" t="s">
        <v>1447</v>
      </c>
      <c r="F663" t="s">
        <v>1953</v>
      </c>
    </row>
    <row r="664" spans="1:6" x14ac:dyDescent="0.25">
      <c r="A664" t="str">
        <f t="shared" si="10"/>
        <v>624+7+207SG0202X</v>
      </c>
      <c r="B664">
        <v>3175</v>
      </c>
      <c r="C664">
        <v>624</v>
      </c>
      <c r="D664">
        <v>7</v>
      </c>
      <c r="E664" t="s">
        <v>1025</v>
      </c>
      <c r="F664" t="s">
        <v>3184</v>
      </c>
    </row>
    <row r="665" spans="1:6" x14ac:dyDescent="0.25">
      <c r="A665" t="str">
        <f t="shared" si="10"/>
        <v>625+1+207SG0202X</v>
      </c>
      <c r="B665">
        <v>3176</v>
      </c>
      <c r="C665">
        <v>625</v>
      </c>
      <c r="D665">
        <v>1</v>
      </c>
      <c r="E665" t="s">
        <v>1025</v>
      </c>
      <c r="F665" t="s">
        <v>3184</v>
      </c>
    </row>
    <row r="666" spans="1:6" x14ac:dyDescent="0.25">
      <c r="A666" t="str">
        <f t="shared" si="10"/>
        <v>626+7+207SC0300X</v>
      </c>
      <c r="B666">
        <v>3177</v>
      </c>
      <c r="C666">
        <v>626</v>
      </c>
      <c r="D666">
        <v>7</v>
      </c>
      <c r="E666" t="s">
        <v>1021</v>
      </c>
      <c r="F666" t="s">
        <v>3185</v>
      </c>
    </row>
    <row r="667" spans="1:6" x14ac:dyDescent="0.25">
      <c r="A667" t="str">
        <f t="shared" si="10"/>
        <v>627+1+207SC0300X</v>
      </c>
      <c r="B667">
        <v>3178</v>
      </c>
      <c r="C667">
        <v>627</v>
      </c>
      <c r="D667">
        <v>1</v>
      </c>
      <c r="E667" t="s">
        <v>1021</v>
      </c>
      <c r="F667" t="s">
        <v>3185</v>
      </c>
    </row>
    <row r="668" spans="1:6" x14ac:dyDescent="0.25">
      <c r="A668" t="str">
        <f t="shared" si="10"/>
        <v>628+7+207SG0201X</v>
      </c>
      <c r="B668">
        <v>3179</v>
      </c>
      <c r="C668">
        <v>628</v>
      </c>
      <c r="D668">
        <v>7</v>
      </c>
      <c r="E668" t="s">
        <v>1023</v>
      </c>
      <c r="F668" t="s">
        <v>3186</v>
      </c>
    </row>
    <row r="669" spans="1:6" x14ac:dyDescent="0.25">
      <c r="A669" t="str">
        <f t="shared" si="10"/>
        <v>629+1+207SG0201X</v>
      </c>
      <c r="B669">
        <v>3180</v>
      </c>
      <c r="C669">
        <v>629</v>
      </c>
      <c r="D669">
        <v>1</v>
      </c>
      <c r="E669" t="s">
        <v>1023</v>
      </c>
      <c r="F669" t="s">
        <v>3186</v>
      </c>
    </row>
    <row r="670" spans="1:6" x14ac:dyDescent="0.25">
      <c r="A670" t="str">
        <f t="shared" si="10"/>
        <v>630+7+207SG0203X</v>
      </c>
      <c r="B670">
        <v>3181</v>
      </c>
      <c r="C670">
        <v>630</v>
      </c>
      <c r="D670">
        <v>7</v>
      </c>
      <c r="E670" t="s">
        <v>1027</v>
      </c>
      <c r="F670" t="s">
        <v>3187</v>
      </c>
    </row>
    <row r="671" spans="1:6" x14ac:dyDescent="0.25">
      <c r="A671" t="str">
        <f t="shared" si="10"/>
        <v>631+1+207SG0203X</v>
      </c>
      <c r="B671">
        <v>3182</v>
      </c>
      <c r="C671">
        <v>631</v>
      </c>
      <c r="D671">
        <v>1</v>
      </c>
      <c r="E671" t="s">
        <v>1027</v>
      </c>
      <c r="F671" t="s">
        <v>3187</v>
      </c>
    </row>
    <row r="672" spans="1:6" x14ac:dyDescent="0.25">
      <c r="A672" t="str">
        <f t="shared" si="10"/>
        <v>632+7+207SM0001X</v>
      </c>
      <c r="B672">
        <v>3183</v>
      </c>
      <c r="C672">
        <v>632</v>
      </c>
      <c r="D672">
        <v>7</v>
      </c>
      <c r="E672" t="s">
        <v>1031</v>
      </c>
      <c r="F672" t="s">
        <v>3188</v>
      </c>
    </row>
    <row r="673" spans="1:6" x14ac:dyDescent="0.25">
      <c r="A673" t="str">
        <f t="shared" si="10"/>
        <v>633+1+207SM0001X</v>
      </c>
      <c r="B673">
        <v>3184</v>
      </c>
      <c r="C673">
        <v>633</v>
      </c>
      <c r="D673">
        <v>1</v>
      </c>
      <c r="E673" t="s">
        <v>1031</v>
      </c>
      <c r="F673" t="s">
        <v>3188</v>
      </c>
    </row>
    <row r="674" spans="1:6" x14ac:dyDescent="0.25">
      <c r="A674" t="str">
        <f t="shared" si="10"/>
        <v>634+7+207SG0205X</v>
      </c>
      <c r="B674">
        <v>3185</v>
      </c>
      <c r="C674">
        <v>634</v>
      </c>
      <c r="D674">
        <v>7</v>
      </c>
      <c r="E674" t="s">
        <v>1029</v>
      </c>
      <c r="F674" t="s">
        <v>3189</v>
      </c>
    </row>
    <row r="675" spans="1:6" x14ac:dyDescent="0.25">
      <c r="A675" t="str">
        <f t="shared" si="10"/>
        <v>635+1+207SG0205X</v>
      </c>
      <c r="B675">
        <v>3186</v>
      </c>
      <c r="C675">
        <v>635</v>
      </c>
      <c r="D675">
        <v>1</v>
      </c>
      <c r="E675" t="s">
        <v>1029</v>
      </c>
      <c r="F675" t="s">
        <v>3189</v>
      </c>
    </row>
    <row r="676" spans="1:6" x14ac:dyDescent="0.25">
      <c r="A676" t="str">
        <f t="shared" si="10"/>
        <v>636+7+2080N0001X</v>
      </c>
      <c r="B676">
        <v>3187</v>
      </c>
      <c r="C676">
        <v>636</v>
      </c>
      <c r="D676">
        <v>7</v>
      </c>
      <c r="E676" t="s">
        <v>1040</v>
      </c>
      <c r="F676" t="s">
        <v>3190</v>
      </c>
    </row>
    <row r="677" spans="1:6" x14ac:dyDescent="0.25">
      <c r="A677" t="str">
        <f t="shared" si="10"/>
        <v>637+1+2080N0001X</v>
      </c>
      <c r="B677">
        <v>3188</v>
      </c>
      <c r="C677">
        <v>637</v>
      </c>
      <c r="D677">
        <v>1</v>
      </c>
      <c r="E677" t="s">
        <v>1040</v>
      </c>
      <c r="F677" t="s">
        <v>3190</v>
      </c>
    </row>
    <row r="678" spans="1:6" x14ac:dyDescent="0.25">
      <c r="A678" t="str">
        <f t="shared" si="10"/>
        <v>638+7+207T00000X</v>
      </c>
      <c r="B678">
        <v>3189</v>
      </c>
      <c r="C678">
        <v>638</v>
      </c>
      <c r="D678">
        <v>7</v>
      </c>
      <c r="E678" t="s">
        <v>1166</v>
      </c>
      <c r="F678" t="s">
        <v>1165</v>
      </c>
    </row>
    <row r="679" spans="1:6" x14ac:dyDescent="0.25">
      <c r="A679" t="str">
        <f t="shared" si="10"/>
        <v>639+1+207T00000X</v>
      </c>
      <c r="B679">
        <v>3190</v>
      </c>
      <c r="C679">
        <v>639</v>
      </c>
      <c r="D679">
        <v>1</v>
      </c>
      <c r="E679" t="s">
        <v>1166</v>
      </c>
      <c r="F679" t="s">
        <v>1165</v>
      </c>
    </row>
    <row r="680" spans="1:6" x14ac:dyDescent="0.25">
      <c r="A680" t="str">
        <f t="shared" si="10"/>
        <v>640+7+2084N0400X</v>
      </c>
      <c r="B680">
        <v>3191</v>
      </c>
      <c r="C680">
        <v>640</v>
      </c>
      <c r="D680">
        <v>7</v>
      </c>
      <c r="E680" t="s">
        <v>1343</v>
      </c>
      <c r="F680" t="s">
        <v>3191</v>
      </c>
    </row>
    <row r="681" spans="1:6" x14ac:dyDescent="0.25">
      <c r="A681" t="str">
        <f t="shared" si="10"/>
        <v>641+1+2084N0400X</v>
      </c>
      <c r="B681">
        <v>3192</v>
      </c>
      <c r="C681">
        <v>641</v>
      </c>
      <c r="D681">
        <v>1</v>
      </c>
      <c r="E681" t="s">
        <v>1343</v>
      </c>
      <c r="F681" t="s">
        <v>3191</v>
      </c>
    </row>
    <row r="682" spans="1:6" x14ac:dyDescent="0.25">
      <c r="A682" t="str">
        <f t="shared" si="10"/>
        <v>642+7+204D00000X</v>
      </c>
      <c r="B682">
        <v>3193</v>
      </c>
      <c r="C682">
        <v>642</v>
      </c>
      <c r="D682">
        <v>7</v>
      </c>
      <c r="E682" t="s">
        <v>1062</v>
      </c>
      <c r="F682" t="s">
        <v>1061</v>
      </c>
    </row>
    <row r="683" spans="1:6" x14ac:dyDescent="0.25">
      <c r="A683" t="str">
        <f t="shared" si="10"/>
        <v>643+1+204D00000X</v>
      </c>
      <c r="B683">
        <v>3194</v>
      </c>
      <c r="C683">
        <v>643</v>
      </c>
      <c r="D683">
        <v>1</v>
      </c>
      <c r="E683" t="s">
        <v>1062</v>
      </c>
      <c r="F683" t="s">
        <v>1061</v>
      </c>
    </row>
    <row r="684" spans="1:6" x14ac:dyDescent="0.25">
      <c r="A684" t="str">
        <f t="shared" si="10"/>
        <v>644+7+204C00000X</v>
      </c>
      <c r="B684">
        <v>3195</v>
      </c>
      <c r="C684">
        <v>644</v>
      </c>
      <c r="D684">
        <v>7</v>
      </c>
      <c r="E684" t="s">
        <v>1059</v>
      </c>
      <c r="F684" t="s">
        <v>1058</v>
      </c>
    </row>
    <row r="685" spans="1:6" x14ac:dyDescent="0.25">
      <c r="A685" t="str">
        <f t="shared" si="10"/>
        <v>645+1+204C00000X</v>
      </c>
      <c r="B685">
        <v>3196</v>
      </c>
      <c r="C685">
        <v>645</v>
      </c>
      <c r="D685">
        <v>1</v>
      </c>
      <c r="E685" t="s">
        <v>1059</v>
      </c>
      <c r="F685" t="s">
        <v>1058</v>
      </c>
    </row>
    <row r="686" spans="1:6" x14ac:dyDescent="0.25">
      <c r="A686" t="str">
        <f t="shared" si="10"/>
        <v>646+7+207UN0903X</v>
      </c>
      <c r="B686">
        <v>3197</v>
      </c>
      <c r="C686">
        <v>646</v>
      </c>
      <c r="D686">
        <v>7</v>
      </c>
      <c r="E686" t="s">
        <v>1175</v>
      </c>
      <c r="F686" t="s">
        <v>3192</v>
      </c>
    </row>
    <row r="687" spans="1:6" x14ac:dyDescent="0.25">
      <c r="A687" t="str">
        <f t="shared" si="10"/>
        <v>647+1+207UN0903X</v>
      </c>
      <c r="B687">
        <v>3198</v>
      </c>
      <c r="C687">
        <v>647</v>
      </c>
      <c r="D687">
        <v>1</v>
      </c>
      <c r="E687" t="s">
        <v>1175</v>
      </c>
      <c r="F687" t="s">
        <v>3192</v>
      </c>
    </row>
    <row r="688" spans="1:6" x14ac:dyDescent="0.25">
      <c r="A688" t="str">
        <f t="shared" si="10"/>
        <v>648+7+207UN0901X</v>
      </c>
      <c r="B688">
        <v>3199</v>
      </c>
      <c r="C688">
        <v>648</v>
      </c>
      <c r="D688">
        <v>7</v>
      </c>
      <c r="E688" t="s">
        <v>1171</v>
      </c>
      <c r="F688" t="s">
        <v>3193</v>
      </c>
    </row>
    <row r="689" spans="1:6" x14ac:dyDescent="0.25">
      <c r="A689" t="str">
        <f t="shared" si="10"/>
        <v>649+1+207UN0901X</v>
      </c>
      <c r="B689">
        <v>3200</v>
      </c>
      <c r="C689">
        <v>649</v>
      </c>
      <c r="D689">
        <v>1</v>
      </c>
      <c r="E689" t="s">
        <v>1171</v>
      </c>
      <c r="F689" t="s">
        <v>3193</v>
      </c>
    </row>
    <row r="690" spans="1:6" x14ac:dyDescent="0.25">
      <c r="A690" t="str">
        <f t="shared" si="10"/>
        <v>650+7+207UN0902X</v>
      </c>
      <c r="B690">
        <v>3201</v>
      </c>
      <c r="C690">
        <v>650</v>
      </c>
      <c r="D690">
        <v>7</v>
      </c>
      <c r="E690" t="s">
        <v>1173</v>
      </c>
      <c r="F690" t="s">
        <v>3194</v>
      </c>
    </row>
    <row r="691" spans="1:6" x14ac:dyDescent="0.25">
      <c r="A691" t="str">
        <f t="shared" si="10"/>
        <v>651+1+207UN0902X</v>
      </c>
      <c r="B691">
        <v>3202</v>
      </c>
      <c r="C691">
        <v>651</v>
      </c>
      <c r="D691">
        <v>1</v>
      </c>
      <c r="E691" t="s">
        <v>1173</v>
      </c>
      <c r="F691" t="s">
        <v>3194</v>
      </c>
    </row>
    <row r="692" spans="1:6" x14ac:dyDescent="0.25">
      <c r="A692" t="str">
        <f t="shared" si="10"/>
        <v>652+7+207VC0200X</v>
      </c>
      <c r="B692">
        <v>3203</v>
      </c>
      <c r="C692">
        <v>652</v>
      </c>
      <c r="D692">
        <v>7</v>
      </c>
      <c r="E692" t="s">
        <v>1180</v>
      </c>
      <c r="F692" t="s">
        <v>3195</v>
      </c>
    </row>
    <row r="693" spans="1:6" x14ac:dyDescent="0.25">
      <c r="A693" t="str">
        <f t="shared" si="10"/>
        <v>653+1+207VC0200X</v>
      </c>
      <c r="B693">
        <v>3204</v>
      </c>
      <c r="C693">
        <v>653</v>
      </c>
      <c r="D693">
        <v>1</v>
      </c>
      <c r="E693" t="s">
        <v>1180</v>
      </c>
      <c r="F693" t="s">
        <v>3195</v>
      </c>
    </row>
    <row r="694" spans="1:6" x14ac:dyDescent="0.25">
      <c r="A694" t="str">
        <f t="shared" si="10"/>
        <v>654+7+207VX0201X</v>
      </c>
      <c r="B694">
        <v>3205</v>
      </c>
      <c r="C694">
        <v>654</v>
      </c>
      <c r="D694">
        <v>7</v>
      </c>
      <c r="E694" t="s">
        <v>1191</v>
      </c>
      <c r="F694" t="s">
        <v>3196</v>
      </c>
    </row>
    <row r="695" spans="1:6" x14ac:dyDescent="0.25">
      <c r="A695" t="str">
        <f t="shared" si="10"/>
        <v>655+1+207VX0201X</v>
      </c>
      <c r="B695">
        <v>3206</v>
      </c>
      <c r="C695">
        <v>655</v>
      </c>
      <c r="D695">
        <v>1</v>
      </c>
      <c r="E695" t="s">
        <v>1191</v>
      </c>
      <c r="F695" t="s">
        <v>3196</v>
      </c>
    </row>
    <row r="696" spans="1:6" x14ac:dyDescent="0.25">
      <c r="A696" t="str">
        <f t="shared" si="10"/>
        <v>656+7+207VG0400X</v>
      </c>
      <c r="B696">
        <v>3207</v>
      </c>
      <c r="C696">
        <v>656</v>
      </c>
      <c r="D696">
        <v>7</v>
      </c>
      <c r="E696" t="s">
        <v>1184</v>
      </c>
      <c r="F696" t="s">
        <v>3197</v>
      </c>
    </row>
    <row r="697" spans="1:6" x14ac:dyDescent="0.25">
      <c r="A697" t="str">
        <f t="shared" si="10"/>
        <v>657+1+207VG0400X</v>
      </c>
      <c r="B697">
        <v>3208</v>
      </c>
      <c r="C697">
        <v>657</v>
      </c>
      <c r="D697">
        <v>1</v>
      </c>
      <c r="E697" t="s">
        <v>1184</v>
      </c>
      <c r="F697" t="s">
        <v>3197</v>
      </c>
    </row>
    <row r="698" spans="1:6" x14ac:dyDescent="0.25">
      <c r="A698" t="str">
        <f t="shared" si="10"/>
        <v>658+7+207VM0101X</v>
      </c>
      <c r="B698">
        <v>3209</v>
      </c>
      <c r="C698">
        <v>658</v>
      </c>
      <c r="D698">
        <v>7</v>
      </c>
      <c r="E698" t="s">
        <v>1034</v>
      </c>
      <c r="F698" t="s">
        <v>3198</v>
      </c>
    </row>
    <row r="699" spans="1:6" x14ac:dyDescent="0.25">
      <c r="A699" t="str">
        <f t="shared" si="10"/>
        <v>659+1+207VM0101X</v>
      </c>
      <c r="B699">
        <v>3210</v>
      </c>
      <c r="C699">
        <v>659</v>
      </c>
      <c r="D699">
        <v>1</v>
      </c>
      <c r="E699" t="s">
        <v>1034</v>
      </c>
      <c r="F699" t="s">
        <v>3198</v>
      </c>
    </row>
    <row r="700" spans="1:6" x14ac:dyDescent="0.25">
      <c r="A700" t="str">
        <f t="shared" si="10"/>
        <v>660+7+207VX0000X</v>
      </c>
      <c r="B700">
        <v>3211</v>
      </c>
      <c r="C700">
        <v>660</v>
      </c>
      <c r="D700">
        <v>7</v>
      </c>
      <c r="E700" t="s">
        <v>1188</v>
      </c>
      <c r="F700" t="s">
        <v>3199</v>
      </c>
    </row>
    <row r="701" spans="1:6" x14ac:dyDescent="0.25">
      <c r="A701" t="str">
        <f t="shared" si="10"/>
        <v>661+1+207VX0000X</v>
      </c>
      <c r="B701">
        <v>3212</v>
      </c>
      <c r="C701">
        <v>661</v>
      </c>
      <c r="D701">
        <v>1</v>
      </c>
      <c r="E701" t="s">
        <v>1188</v>
      </c>
      <c r="F701" t="s">
        <v>3199</v>
      </c>
    </row>
    <row r="702" spans="1:6" x14ac:dyDescent="0.25">
      <c r="A702" t="str">
        <f t="shared" si="10"/>
        <v>662+7+207VE0102X</v>
      </c>
      <c r="B702">
        <v>3213</v>
      </c>
      <c r="C702">
        <v>662</v>
      </c>
      <c r="D702">
        <v>7</v>
      </c>
      <c r="E702" t="s">
        <v>1182</v>
      </c>
      <c r="F702" t="s">
        <v>3200</v>
      </c>
    </row>
    <row r="703" spans="1:6" x14ac:dyDescent="0.25">
      <c r="A703" t="str">
        <f t="shared" si="10"/>
        <v>663+1+207VE0102X</v>
      </c>
      <c r="B703">
        <v>3214</v>
      </c>
      <c r="C703">
        <v>663</v>
      </c>
      <c r="D703">
        <v>1</v>
      </c>
      <c r="E703" t="s">
        <v>1182</v>
      </c>
      <c r="F703" t="s">
        <v>3200</v>
      </c>
    </row>
    <row r="704" spans="1:6" x14ac:dyDescent="0.25">
      <c r="A704" t="str">
        <f t="shared" si="10"/>
        <v>664+7+204E00000X</v>
      </c>
      <c r="B704">
        <v>3215</v>
      </c>
      <c r="C704">
        <v>664</v>
      </c>
      <c r="D704">
        <v>7</v>
      </c>
      <c r="E704" t="s">
        <v>1065</v>
      </c>
      <c r="F704" t="s">
        <v>1064</v>
      </c>
    </row>
    <row r="705" spans="1:6" x14ac:dyDescent="0.25">
      <c r="A705" t="str">
        <f t="shared" si="10"/>
        <v>665+1+204E00000X</v>
      </c>
      <c r="B705">
        <v>3216</v>
      </c>
      <c r="C705">
        <v>665</v>
      </c>
      <c r="D705">
        <v>1</v>
      </c>
      <c r="E705" t="s">
        <v>1065</v>
      </c>
      <c r="F705" t="s">
        <v>1064</v>
      </c>
    </row>
    <row r="706" spans="1:6" x14ac:dyDescent="0.25">
      <c r="A706" t="str">
        <f t="shared" ref="A706:A769" si="11">C706 &amp; "+" &amp; D706 &amp; "+" &amp; E706</f>
        <v>666+7+207X00000X</v>
      </c>
      <c r="B706">
        <v>3217</v>
      </c>
      <c r="C706">
        <v>666</v>
      </c>
      <c r="D706">
        <v>7</v>
      </c>
      <c r="E706" t="s">
        <v>1196</v>
      </c>
      <c r="F706" t="s">
        <v>1195</v>
      </c>
    </row>
    <row r="707" spans="1:6" x14ac:dyDescent="0.25">
      <c r="A707" t="str">
        <f t="shared" si="11"/>
        <v>667+1+207X00000X</v>
      </c>
      <c r="B707">
        <v>3218</v>
      </c>
      <c r="C707">
        <v>667</v>
      </c>
      <c r="D707">
        <v>1</v>
      </c>
      <c r="E707" t="s">
        <v>1196</v>
      </c>
      <c r="F707" t="s">
        <v>1195</v>
      </c>
    </row>
    <row r="708" spans="1:6" x14ac:dyDescent="0.25">
      <c r="A708" t="str">
        <f t="shared" si="11"/>
        <v>668+7+207XS0114X</v>
      </c>
      <c r="B708">
        <v>3219</v>
      </c>
      <c r="C708">
        <v>668</v>
      </c>
      <c r="D708">
        <v>7</v>
      </c>
      <c r="E708" t="s">
        <v>1204</v>
      </c>
      <c r="F708" t="s">
        <v>3201</v>
      </c>
    </row>
    <row r="709" spans="1:6" x14ac:dyDescent="0.25">
      <c r="A709" t="str">
        <f t="shared" si="11"/>
        <v>669+1+207XS0114X</v>
      </c>
      <c r="B709">
        <v>3220</v>
      </c>
      <c r="C709">
        <v>669</v>
      </c>
      <c r="D709">
        <v>1</v>
      </c>
      <c r="E709" t="s">
        <v>1204</v>
      </c>
      <c r="F709" t="s">
        <v>3201</v>
      </c>
    </row>
    <row r="710" spans="1:6" x14ac:dyDescent="0.25">
      <c r="A710" t="str">
        <f t="shared" si="11"/>
        <v>670+7+207XX0004X</v>
      </c>
      <c r="B710">
        <v>3221</v>
      </c>
      <c r="C710">
        <v>670</v>
      </c>
      <c r="D710">
        <v>7</v>
      </c>
      <c r="E710" t="s">
        <v>1208</v>
      </c>
      <c r="F710" t="s">
        <v>3202</v>
      </c>
    </row>
    <row r="711" spans="1:6" x14ac:dyDescent="0.25">
      <c r="A711" t="str">
        <f t="shared" si="11"/>
        <v>671+1+207XX0004X</v>
      </c>
      <c r="B711">
        <v>3222</v>
      </c>
      <c r="C711">
        <v>671</v>
      </c>
      <c r="D711">
        <v>1</v>
      </c>
      <c r="E711" t="s">
        <v>1208</v>
      </c>
      <c r="F711" t="s">
        <v>3202</v>
      </c>
    </row>
    <row r="712" spans="1:6" x14ac:dyDescent="0.25">
      <c r="A712" t="str">
        <f t="shared" si="11"/>
        <v>672+7+207XS0106X</v>
      </c>
      <c r="B712">
        <v>3223</v>
      </c>
      <c r="C712">
        <v>672</v>
      </c>
      <c r="D712">
        <v>7</v>
      </c>
      <c r="E712" t="s">
        <v>1201</v>
      </c>
      <c r="F712" t="s">
        <v>3203</v>
      </c>
    </row>
    <row r="713" spans="1:6" x14ac:dyDescent="0.25">
      <c r="A713" t="str">
        <f t="shared" si="11"/>
        <v>673+1+207XS0106X</v>
      </c>
      <c r="B713">
        <v>3224</v>
      </c>
      <c r="C713">
        <v>673</v>
      </c>
      <c r="D713">
        <v>1</v>
      </c>
      <c r="E713" t="s">
        <v>1201</v>
      </c>
      <c r="F713" t="s">
        <v>3203</v>
      </c>
    </row>
    <row r="714" spans="1:6" x14ac:dyDescent="0.25">
      <c r="A714" t="str">
        <f t="shared" si="11"/>
        <v>674+7+207XS0117X</v>
      </c>
      <c r="B714">
        <v>3225</v>
      </c>
      <c r="C714">
        <v>674</v>
      </c>
      <c r="D714">
        <v>7</v>
      </c>
      <c r="E714" t="s">
        <v>1206</v>
      </c>
      <c r="F714" t="s">
        <v>3204</v>
      </c>
    </row>
    <row r="715" spans="1:6" x14ac:dyDescent="0.25">
      <c r="A715" t="str">
        <f t="shared" si="11"/>
        <v>675+1+207XS0117X</v>
      </c>
      <c r="B715">
        <v>3226</v>
      </c>
      <c r="C715">
        <v>675</v>
      </c>
      <c r="D715">
        <v>1</v>
      </c>
      <c r="E715" t="s">
        <v>1206</v>
      </c>
      <c r="F715" t="s">
        <v>3204</v>
      </c>
    </row>
    <row r="716" spans="1:6" x14ac:dyDescent="0.25">
      <c r="A716" t="str">
        <f t="shared" si="11"/>
        <v>676+7+207XX0801X</v>
      </c>
      <c r="B716">
        <v>3227</v>
      </c>
      <c r="C716">
        <v>676</v>
      </c>
      <c r="D716">
        <v>7</v>
      </c>
      <c r="E716" t="s">
        <v>1211</v>
      </c>
      <c r="F716" t="s">
        <v>3205</v>
      </c>
    </row>
    <row r="717" spans="1:6" x14ac:dyDescent="0.25">
      <c r="A717" t="str">
        <f t="shared" si="11"/>
        <v>677+1+207XX0801X</v>
      </c>
      <c r="B717">
        <v>3228</v>
      </c>
      <c r="C717">
        <v>677</v>
      </c>
      <c r="D717">
        <v>1</v>
      </c>
      <c r="E717" t="s">
        <v>1211</v>
      </c>
      <c r="F717" t="s">
        <v>3205</v>
      </c>
    </row>
    <row r="718" spans="1:6" x14ac:dyDescent="0.25">
      <c r="A718" t="str">
        <f t="shared" si="11"/>
        <v>678+7+207XX0005X</v>
      </c>
      <c r="B718">
        <v>3229</v>
      </c>
      <c r="C718">
        <v>678</v>
      </c>
      <c r="D718">
        <v>7</v>
      </c>
      <c r="E718" t="s">
        <v>1209</v>
      </c>
      <c r="F718" t="s">
        <v>3206</v>
      </c>
    </row>
    <row r="719" spans="1:6" x14ac:dyDescent="0.25">
      <c r="A719" t="str">
        <f t="shared" si="11"/>
        <v>679+1+207XX0005X</v>
      </c>
      <c r="B719">
        <v>3230</v>
      </c>
      <c r="C719">
        <v>679</v>
      </c>
      <c r="D719">
        <v>1</v>
      </c>
      <c r="E719" t="s">
        <v>1209</v>
      </c>
      <c r="F719" t="s">
        <v>3206</v>
      </c>
    </row>
    <row r="720" spans="1:6" x14ac:dyDescent="0.25">
      <c r="A720" t="str">
        <f t="shared" si="11"/>
        <v>680+7+207YX0602X</v>
      </c>
      <c r="B720">
        <v>3231</v>
      </c>
      <c r="C720">
        <v>680</v>
      </c>
      <c r="D720">
        <v>7</v>
      </c>
      <c r="E720" t="s">
        <v>1225</v>
      </c>
      <c r="F720" t="s">
        <v>3207</v>
      </c>
    </row>
    <row r="721" spans="1:6" x14ac:dyDescent="0.25">
      <c r="A721" t="str">
        <f t="shared" si="11"/>
        <v>681+1+207YX0602X</v>
      </c>
      <c r="B721">
        <v>3232</v>
      </c>
      <c r="C721">
        <v>681</v>
      </c>
      <c r="D721">
        <v>1</v>
      </c>
      <c r="E721" t="s">
        <v>1225</v>
      </c>
      <c r="F721" t="s">
        <v>3207</v>
      </c>
    </row>
    <row r="722" spans="1:6" x14ac:dyDescent="0.25">
      <c r="A722" t="str">
        <f t="shared" si="11"/>
        <v>682+7+207YX0905X</v>
      </c>
      <c r="B722">
        <v>3233</v>
      </c>
      <c r="C722">
        <v>682</v>
      </c>
      <c r="D722">
        <v>7</v>
      </c>
      <c r="E722" t="s">
        <v>1229</v>
      </c>
      <c r="F722" t="s">
        <v>3208</v>
      </c>
    </row>
    <row r="723" spans="1:6" x14ac:dyDescent="0.25">
      <c r="A723" t="str">
        <f t="shared" si="11"/>
        <v>683+1+207YX0905X</v>
      </c>
      <c r="B723">
        <v>3234</v>
      </c>
      <c r="C723">
        <v>683</v>
      </c>
      <c r="D723">
        <v>1</v>
      </c>
      <c r="E723" t="s">
        <v>1229</v>
      </c>
      <c r="F723" t="s">
        <v>3208</v>
      </c>
    </row>
    <row r="724" spans="1:6" x14ac:dyDescent="0.25">
      <c r="A724" t="str">
        <f t="shared" si="11"/>
        <v>684+7+207YX0901X</v>
      </c>
      <c r="B724">
        <v>3235</v>
      </c>
      <c r="C724">
        <v>684</v>
      </c>
      <c r="D724">
        <v>7</v>
      </c>
      <c r="E724" t="s">
        <v>1227</v>
      </c>
      <c r="F724" t="s">
        <v>3209</v>
      </c>
    </row>
    <row r="725" spans="1:6" x14ac:dyDescent="0.25">
      <c r="A725" t="str">
        <f t="shared" si="11"/>
        <v>685+1+207YX0901X</v>
      </c>
      <c r="B725">
        <v>3236</v>
      </c>
      <c r="C725">
        <v>685</v>
      </c>
      <c r="D725">
        <v>1</v>
      </c>
      <c r="E725" t="s">
        <v>1227</v>
      </c>
      <c r="F725" t="s">
        <v>3209</v>
      </c>
    </row>
    <row r="726" spans="1:6" x14ac:dyDescent="0.25">
      <c r="A726" t="str">
        <f t="shared" si="11"/>
        <v>686+7+207YP0228X</v>
      </c>
      <c r="B726">
        <v>3237</v>
      </c>
      <c r="C726">
        <v>686</v>
      </c>
      <c r="D726">
        <v>7</v>
      </c>
      <c r="E726" t="s">
        <v>1216</v>
      </c>
      <c r="F726" t="s">
        <v>3210</v>
      </c>
    </row>
    <row r="727" spans="1:6" x14ac:dyDescent="0.25">
      <c r="A727" t="str">
        <f t="shared" si="11"/>
        <v>687+1+207YP0228X</v>
      </c>
      <c r="B727">
        <v>3238</v>
      </c>
      <c r="C727">
        <v>687</v>
      </c>
      <c r="D727">
        <v>1</v>
      </c>
      <c r="E727" t="s">
        <v>1216</v>
      </c>
      <c r="F727" t="s">
        <v>3210</v>
      </c>
    </row>
    <row r="728" spans="1:6" x14ac:dyDescent="0.25">
      <c r="A728" t="str">
        <f t="shared" si="11"/>
        <v>688+7+207YX0007X</v>
      </c>
      <c r="B728">
        <v>3239</v>
      </c>
      <c r="C728">
        <v>688</v>
      </c>
      <c r="D728">
        <v>7</v>
      </c>
      <c r="E728" t="s">
        <v>1223</v>
      </c>
      <c r="F728" t="s">
        <v>3211</v>
      </c>
    </row>
    <row r="729" spans="1:6" x14ac:dyDescent="0.25">
      <c r="A729" t="str">
        <f t="shared" si="11"/>
        <v>689+1+207YX0007X</v>
      </c>
      <c r="B729">
        <v>3240</v>
      </c>
      <c r="C729">
        <v>689</v>
      </c>
      <c r="D729">
        <v>1</v>
      </c>
      <c r="E729" t="s">
        <v>1223</v>
      </c>
      <c r="F729" t="s">
        <v>3211</v>
      </c>
    </row>
    <row r="730" spans="1:6" x14ac:dyDescent="0.25">
      <c r="A730" t="str">
        <f t="shared" si="11"/>
        <v>690+7+208VP0014X</v>
      </c>
      <c r="B730">
        <v>3241</v>
      </c>
      <c r="C730">
        <v>690</v>
      </c>
      <c r="D730">
        <v>7</v>
      </c>
      <c r="E730" t="s">
        <v>1418</v>
      </c>
      <c r="F730" t="s">
        <v>3212</v>
      </c>
    </row>
    <row r="731" spans="1:6" x14ac:dyDescent="0.25">
      <c r="A731" t="str">
        <f t="shared" si="11"/>
        <v>691+1+208VP0014X</v>
      </c>
      <c r="B731">
        <v>3242</v>
      </c>
      <c r="C731">
        <v>691</v>
      </c>
      <c r="D731">
        <v>1</v>
      </c>
      <c r="E731" t="s">
        <v>1418</v>
      </c>
      <c r="F731" t="s">
        <v>3212</v>
      </c>
    </row>
    <row r="732" spans="1:6" x14ac:dyDescent="0.25">
      <c r="A732" t="str">
        <f t="shared" si="11"/>
        <v>692+7+208VP0000X</v>
      </c>
      <c r="B732">
        <v>3243</v>
      </c>
      <c r="C732">
        <v>692</v>
      </c>
      <c r="D732">
        <v>7</v>
      </c>
      <c r="E732" t="s">
        <v>1416</v>
      </c>
      <c r="F732" t="s">
        <v>1082</v>
      </c>
    </row>
    <row r="733" spans="1:6" x14ac:dyDescent="0.25">
      <c r="A733" t="str">
        <f t="shared" si="11"/>
        <v>693+1+208VP0000X</v>
      </c>
      <c r="B733">
        <v>3244</v>
      </c>
      <c r="C733">
        <v>693</v>
      </c>
      <c r="D733">
        <v>1</v>
      </c>
      <c r="E733" t="s">
        <v>1416</v>
      </c>
      <c r="F733" t="s">
        <v>1082</v>
      </c>
    </row>
    <row r="734" spans="1:6" x14ac:dyDescent="0.25">
      <c r="A734" t="str">
        <f t="shared" si="11"/>
        <v>694+7+207ZP0101X</v>
      </c>
      <c r="B734">
        <v>3245</v>
      </c>
      <c r="C734">
        <v>694</v>
      </c>
      <c r="D734">
        <v>7</v>
      </c>
      <c r="E734" t="s">
        <v>1250</v>
      </c>
      <c r="F734" t="s">
        <v>3213</v>
      </c>
    </row>
    <row r="735" spans="1:6" x14ac:dyDescent="0.25">
      <c r="A735" t="str">
        <f t="shared" si="11"/>
        <v>695+1+207ZP0101X</v>
      </c>
      <c r="B735">
        <v>3246</v>
      </c>
      <c r="C735">
        <v>695</v>
      </c>
      <c r="D735">
        <v>1</v>
      </c>
      <c r="E735" t="s">
        <v>1250</v>
      </c>
      <c r="F735" t="s">
        <v>3213</v>
      </c>
    </row>
    <row r="736" spans="1:6" x14ac:dyDescent="0.25">
      <c r="A736" t="str">
        <f t="shared" si="11"/>
        <v>696+7+207ZP0102X</v>
      </c>
      <c r="B736">
        <v>3247</v>
      </c>
      <c r="C736">
        <v>696</v>
      </c>
      <c r="D736">
        <v>7</v>
      </c>
      <c r="E736" t="s">
        <v>1252</v>
      </c>
      <c r="F736" t="s">
        <v>3214</v>
      </c>
    </row>
    <row r="737" spans="1:6" x14ac:dyDescent="0.25">
      <c r="A737" t="str">
        <f t="shared" si="11"/>
        <v>697+1+207ZP0102X</v>
      </c>
      <c r="B737">
        <v>3248</v>
      </c>
      <c r="C737">
        <v>697</v>
      </c>
      <c r="D737">
        <v>1</v>
      </c>
      <c r="E737" t="s">
        <v>1252</v>
      </c>
      <c r="F737" t="s">
        <v>3214</v>
      </c>
    </row>
    <row r="738" spans="1:6" x14ac:dyDescent="0.25">
      <c r="A738" t="str">
        <f t="shared" si="11"/>
        <v>698+7+207ZB0001X</v>
      </c>
      <c r="B738">
        <v>3249</v>
      </c>
      <c r="C738">
        <v>698</v>
      </c>
      <c r="D738">
        <v>7</v>
      </c>
      <c r="E738" t="s">
        <v>1231</v>
      </c>
      <c r="F738" t="s">
        <v>3215</v>
      </c>
    </row>
    <row r="739" spans="1:6" x14ac:dyDescent="0.25">
      <c r="A739" t="str">
        <f t="shared" si="11"/>
        <v>699+1+207ZB0001X</v>
      </c>
      <c r="B739">
        <v>3250</v>
      </c>
      <c r="C739">
        <v>699</v>
      </c>
      <c r="D739">
        <v>1</v>
      </c>
      <c r="E739" t="s">
        <v>1231</v>
      </c>
      <c r="F739" t="s">
        <v>3215</v>
      </c>
    </row>
    <row r="740" spans="1:6" x14ac:dyDescent="0.25">
      <c r="A740" t="str">
        <f t="shared" si="11"/>
        <v>700+7+207ZP0104X</v>
      </c>
      <c r="B740">
        <v>3251</v>
      </c>
      <c r="C740">
        <v>700</v>
      </c>
      <c r="D740">
        <v>7</v>
      </c>
      <c r="E740" t="s">
        <v>1254</v>
      </c>
      <c r="F740" t="s">
        <v>3216</v>
      </c>
    </row>
    <row r="741" spans="1:6" x14ac:dyDescent="0.25">
      <c r="A741" t="str">
        <f t="shared" si="11"/>
        <v>701+1+207ZP0104X</v>
      </c>
      <c r="B741">
        <v>3252</v>
      </c>
      <c r="C741">
        <v>701</v>
      </c>
      <c r="D741">
        <v>1</v>
      </c>
      <c r="E741" t="s">
        <v>1254</v>
      </c>
      <c r="F741" t="s">
        <v>3216</v>
      </c>
    </row>
    <row r="742" spans="1:6" x14ac:dyDescent="0.25">
      <c r="A742" t="str">
        <f t="shared" si="11"/>
        <v>702+7+207ZP0105X</v>
      </c>
      <c r="B742">
        <v>3253</v>
      </c>
      <c r="C742">
        <v>702</v>
      </c>
      <c r="D742">
        <v>7</v>
      </c>
      <c r="E742" t="s">
        <v>1256</v>
      </c>
      <c r="F742" t="s">
        <v>3217</v>
      </c>
    </row>
    <row r="743" spans="1:6" x14ac:dyDescent="0.25">
      <c r="A743" t="str">
        <f t="shared" si="11"/>
        <v>703+1+207ZP0105X</v>
      </c>
      <c r="B743">
        <v>3254</v>
      </c>
      <c r="C743">
        <v>703</v>
      </c>
      <c r="D743">
        <v>1</v>
      </c>
      <c r="E743" t="s">
        <v>1256</v>
      </c>
      <c r="F743" t="s">
        <v>3217</v>
      </c>
    </row>
    <row r="744" spans="1:6" x14ac:dyDescent="0.25">
      <c r="A744" t="str">
        <f t="shared" si="11"/>
        <v>704+7+207ZC0500X</v>
      </c>
      <c r="B744">
        <v>3255</v>
      </c>
      <c r="C744">
        <v>704</v>
      </c>
      <c r="D744">
        <v>7</v>
      </c>
      <c r="E744" t="s">
        <v>1236</v>
      </c>
      <c r="F744" t="s">
        <v>3218</v>
      </c>
    </row>
    <row r="745" spans="1:6" x14ac:dyDescent="0.25">
      <c r="A745" t="str">
        <f t="shared" si="11"/>
        <v>705+1+207ZC0500X</v>
      </c>
      <c r="B745">
        <v>3256</v>
      </c>
      <c r="C745">
        <v>705</v>
      </c>
      <c r="D745">
        <v>1</v>
      </c>
      <c r="E745" t="s">
        <v>1236</v>
      </c>
      <c r="F745" t="s">
        <v>3218</v>
      </c>
    </row>
    <row r="746" spans="1:6" x14ac:dyDescent="0.25">
      <c r="A746" t="str">
        <f t="shared" si="11"/>
        <v>706+7+207ZD0900X</v>
      </c>
      <c r="B746">
        <v>3257</v>
      </c>
      <c r="C746">
        <v>706</v>
      </c>
      <c r="D746">
        <v>7</v>
      </c>
      <c r="E746" t="s">
        <v>1238</v>
      </c>
      <c r="F746" t="s">
        <v>3219</v>
      </c>
    </row>
    <row r="747" spans="1:6" x14ac:dyDescent="0.25">
      <c r="A747" t="str">
        <f t="shared" si="11"/>
        <v>707+1+207ZD0900X</v>
      </c>
      <c r="B747">
        <v>3258</v>
      </c>
      <c r="C747">
        <v>707</v>
      </c>
      <c r="D747">
        <v>1</v>
      </c>
      <c r="E747" t="s">
        <v>1238</v>
      </c>
      <c r="F747" t="s">
        <v>3219</v>
      </c>
    </row>
    <row r="748" spans="1:6" x14ac:dyDescent="0.25">
      <c r="A748" t="str">
        <f t="shared" si="11"/>
        <v>708+7+207ZF0201X</v>
      </c>
      <c r="B748">
        <v>3259</v>
      </c>
      <c r="C748">
        <v>708</v>
      </c>
      <c r="D748">
        <v>7</v>
      </c>
      <c r="E748" t="s">
        <v>1240</v>
      </c>
      <c r="F748" t="s">
        <v>3220</v>
      </c>
    </row>
    <row r="749" spans="1:6" x14ac:dyDescent="0.25">
      <c r="A749" t="str">
        <f t="shared" si="11"/>
        <v>709+1+207ZF0201X</v>
      </c>
      <c r="B749">
        <v>3260</v>
      </c>
      <c r="C749">
        <v>709</v>
      </c>
      <c r="D749">
        <v>1</v>
      </c>
      <c r="E749" t="s">
        <v>1240</v>
      </c>
      <c r="F749" t="s">
        <v>3220</v>
      </c>
    </row>
    <row r="750" spans="1:6" x14ac:dyDescent="0.25">
      <c r="A750" t="str">
        <f t="shared" si="11"/>
        <v>710+7+207ZH0000X</v>
      </c>
      <c r="B750">
        <v>3261</v>
      </c>
      <c r="C750">
        <v>710</v>
      </c>
      <c r="D750">
        <v>7</v>
      </c>
      <c r="E750" t="s">
        <v>1038</v>
      </c>
      <c r="F750" t="s">
        <v>3221</v>
      </c>
    </row>
    <row r="751" spans="1:6" x14ac:dyDescent="0.25">
      <c r="A751" t="str">
        <f t="shared" si="11"/>
        <v>711+1+207ZH0000X</v>
      </c>
      <c r="B751">
        <v>3262</v>
      </c>
      <c r="C751">
        <v>711</v>
      </c>
      <c r="D751">
        <v>1</v>
      </c>
      <c r="E751" t="s">
        <v>1038</v>
      </c>
      <c r="F751" t="s">
        <v>3221</v>
      </c>
    </row>
    <row r="752" spans="1:6" x14ac:dyDescent="0.25">
      <c r="A752" t="str">
        <f t="shared" si="11"/>
        <v>712+7+207ZI0100X</v>
      </c>
      <c r="B752">
        <v>3263</v>
      </c>
      <c r="C752">
        <v>712</v>
      </c>
      <c r="D752">
        <v>7</v>
      </c>
      <c r="E752" t="s">
        <v>1242</v>
      </c>
      <c r="F752" t="s">
        <v>3222</v>
      </c>
    </row>
    <row r="753" spans="1:6" x14ac:dyDescent="0.25">
      <c r="A753" t="str">
        <f t="shared" si="11"/>
        <v>713+1+207ZI0100X</v>
      </c>
      <c r="B753">
        <v>3264</v>
      </c>
      <c r="C753">
        <v>713</v>
      </c>
      <c r="D753">
        <v>1</v>
      </c>
      <c r="E753" t="s">
        <v>1242</v>
      </c>
      <c r="F753" t="s">
        <v>3222</v>
      </c>
    </row>
    <row r="754" spans="1:6" x14ac:dyDescent="0.25">
      <c r="A754" t="str">
        <f t="shared" si="11"/>
        <v>714+7+207ZM0300X</v>
      </c>
      <c r="B754">
        <v>3265</v>
      </c>
      <c r="C754">
        <v>714</v>
      </c>
      <c r="D754">
        <v>7</v>
      </c>
      <c r="E754" t="s">
        <v>1244</v>
      </c>
      <c r="F754" t="s">
        <v>3223</v>
      </c>
    </row>
    <row r="755" spans="1:6" x14ac:dyDescent="0.25">
      <c r="A755" t="str">
        <f t="shared" si="11"/>
        <v>715+1+207ZM0300X</v>
      </c>
      <c r="B755">
        <v>3266</v>
      </c>
      <c r="C755">
        <v>715</v>
      </c>
      <c r="D755">
        <v>1</v>
      </c>
      <c r="E755" t="s">
        <v>1244</v>
      </c>
      <c r="F755" t="s">
        <v>3223</v>
      </c>
    </row>
    <row r="756" spans="1:6" x14ac:dyDescent="0.25">
      <c r="A756" t="str">
        <f t="shared" si="11"/>
        <v>716+7+207ZP0007X</v>
      </c>
      <c r="B756">
        <v>3267</v>
      </c>
      <c r="C756">
        <v>716</v>
      </c>
      <c r="D756">
        <v>7</v>
      </c>
      <c r="E756" t="s">
        <v>1248</v>
      </c>
      <c r="F756" t="s">
        <v>3224</v>
      </c>
    </row>
    <row r="757" spans="1:6" x14ac:dyDescent="0.25">
      <c r="A757" t="str">
        <f t="shared" si="11"/>
        <v>717+1+207ZP0007X</v>
      </c>
      <c r="B757">
        <v>3268</v>
      </c>
      <c r="C757">
        <v>717</v>
      </c>
      <c r="D757">
        <v>1</v>
      </c>
      <c r="E757" t="s">
        <v>1248</v>
      </c>
      <c r="F757" t="s">
        <v>3224</v>
      </c>
    </row>
    <row r="758" spans="1:6" x14ac:dyDescent="0.25">
      <c r="A758" t="str">
        <f t="shared" si="11"/>
        <v>718+7+207ZN0500X</v>
      </c>
      <c r="B758">
        <v>3269</v>
      </c>
      <c r="C758">
        <v>718</v>
      </c>
      <c r="D758">
        <v>7</v>
      </c>
      <c r="E758" t="s">
        <v>1246</v>
      </c>
      <c r="F758" t="s">
        <v>3225</v>
      </c>
    </row>
    <row r="759" spans="1:6" x14ac:dyDescent="0.25">
      <c r="A759" t="str">
        <f t="shared" si="11"/>
        <v>719+1+207ZN0500X</v>
      </c>
      <c r="B759">
        <v>3270</v>
      </c>
      <c r="C759">
        <v>719</v>
      </c>
      <c r="D759">
        <v>1</v>
      </c>
      <c r="E759" t="s">
        <v>1246</v>
      </c>
      <c r="F759" t="s">
        <v>3225</v>
      </c>
    </row>
    <row r="760" spans="1:6" x14ac:dyDescent="0.25">
      <c r="A760" t="str">
        <f t="shared" si="11"/>
        <v>720+7+207ZP0213X</v>
      </c>
      <c r="B760">
        <v>3271</v>
      </c>
      <c r="C760">
        <v>720</v>
      </c>
      <c r="D760">
        <v>7</v>
      </c>
      <c r="E760" t="s">
        <v>1258</v>
      </c>
      <c r="F760" t="s">
        <v>3226</v>
      </c>
    </row>
    <row r="761" spans="1:6" x14ac:dyDescent="0.25">
      <c r="A761" t="str">
        <f t="shared" si="11"/>
        <v>721+1+207ZP0213X</v>
      </c>
      <c r="B761">
        <v>3272</v>
      </c>
      <c r="C761">
        <v>721</v>
      </c>
      <c r="D761">
        <v>1</v>
      </c>
      <c r="E761" t="s">
        <v>1258</v>
      </c>
      <c r="F761" t="s">
        <v>3226</v>
      </c>
    </row>
    <row r="762" spans="1:6" x14ac:dyDescent="0.25">
      <c r="A762" t="str">
        <f t="shared" si="11"/>
        <v>722+7+2080A0000X</v>
      </c>
      <c r="B762">
        <v>3273</v>
      </c>
      <c r="C762">
        <v>722</v>
      </c>
      <c r="D762">
        <v>7</v>
      </c>
      <c r="E762" t="s">
        <v>1261</v>
      </c>
      <c r="F762" t="s">
        <v>3227</v>
      </c>
    </row>
    <row r="763" spans="1:6" x14ac:dyDescent="0.25">
      <c r="A763" t="str">
        <f t="shared" si="11"/>
        <v>723+1+2080A0000X</v>
      </c>
      <c r="B763">
        <v>3274</v>
      </c>
      <c r="C763">
        <v>723</v>
      </c>
      <c r="D763">
        <v>1</v>
      </c>
      <c r="E763" t="s">
        <v>1261</v>
      </c>
      <c r="F763" t="s">
        <v>3227</v>
      </c>
    </row>
    <row r="764" spans="1:6" x14ac:dyDescent="0.25">
      <c r="A764" t="str">
        <f t="shared" si="11"/>
        <v>724+7+2080I0007X</v>
      </c>
      <c r="B764">
        <v>3275</v>
      </c>
      <c r="C764">
        <v>724</v>
      </c>
      <c r="D764">
        <v>7</v>
      </c>
      <c r="E764" t="s">
        <v>1269</v>
      </c>
      <c r="F764" t="s">
        <v>3228</v>
      </c>
    </row>
    <row r="765" spans="1:6" x14ac:dyDescent="0.25">
      <c r="A765" t="str">
        <f t="shared" si="11"/>
        <v>725+1+2080I0007X</v>
      </c>
      <c r="B765">
        <v>3276</v>
      </c>
      <c r="C765">
        <v>725</v>
      </c>
      <c r="D765">
        <v>1</v>
      </c>
      <c r="E765" t="s">
        <v>1269</v>
      </c>
      <c r="F765" t="s">
        <v>3228</v>
      </c>
    </row>
    <row r="766" spans="1:6" x14ac:dyDescent="0.25">
      <c r="A766" t="str">
        <f t="shared" si="11"/>
        <v>726+7+2080P0006X</v>
      </c>
      <c r="B766">
        <v>3277</v>
      </c>
      <c r="C766">
        <v>726</v>
      </c>
      <c r="D766">
        <v>7</v>
      </c>
      <c r="E766" t="s">
        <v>1271</v>
      </c>
      <c r="F766" t="s">
        <v>3229</v>
      </c>
    </row>
    <row r="767" spans="1:6" x14ac:dyDescent="0.25">
      <c r="A767" t="str">
        <f t="shared" si="11"/>
        <v>727+1+2080P0006X</v>
      </c>
      <c r="B767">
        <v>3278</v>
      </c>
      <c r="C767">
        <v>727</v>
      </c>
      <c r="D767">
        <v>1</v>
      </c>
      <c r="E767" t="s">
        <v>1271</v>
      </c>
      <c r="F767" t="s">
        <v>3229</v>
      </c>
    </row>
    <row r="768" spans="1:6" x14ac:dyDescent="0.25">
      <c r="A768" t="str">
        <f t="shared" si="11"/>
        <v>728+7+2080T0002X</v>
      </c>
      <c r="B768">
        <v>3279</v>
      </c>
      <c r="C768">
        <v>728</v>
      </c>
      <c r="D768">
        <v>7</v>
      </c>
      <c r="E768" t="s">
        <v>1298</v>
      </c>
      <c r="F768" t="s">
        <v>3230</v>
      </c>
    </row>
    <row r="769" spans="1:6" x14ac:dyDescent="0.25">
      <c r="A769" t="str">
        <f t="shared" si="11"/>
        <v>729+1+2080T0002X</v>
      </c>
      <c r="B769">
        <v>3280</v>
      </c>
      <c r="C769">
        <v>729</v>
      </c>
      <c r="D769">
        <v>1</v>
      </c>
      <c r="E769" t="s">
        <v>1298</v>
      </c>
      <c r="F769" t="s">
        <v>3230</v>
      </c>
    </row>
    <row r="770" spans="1:6" x14ac:dyDescent="0.25">
      <c r="A770" t="str">
        <f t="shared" ref="A770:A833" si="12">C770 &amp; "+" &amp; D770 &amp; "+" &amp; E770</f>
        <v>730+7+2080P0008X</v>
      </c>
      <c r="B770">
        <v>3281</v>
      </c>
      <c r="C770">
        <v>730</v>
      </c>
      <c r="D770">
        <v>7</v>
      </c>
      <c r="E770" t="s">
        <v>1273</v>
      </c>
      <c r="F770" t="s">
        <v>3231</v>
      </c>
    </row>
    <row r="771" spans="1:6" x14ac:dyDescent="0.25">
      <c r="A771" t="str">
        <f t="shared" si="12"/>
        <v>731+1+2080P0008X</v>
      </c>
      <c r="B771">
        <v>3282</v>
      </c>
      <c r="C771">
        <v>731</v>
      </c>
      <c r="D771">
        <v>1</v>
      </c>
      <c r="E771" t="s">
        <v>1273</v>
      </c>
      <c r="F771" t="s">
        <v>3231</v>
      </c>
    </row>
    <row r="772" spans="1:6" x14ac:dyDescent="0.25">
      <c r="A772" t="str">
        <f t="shared" si="12"/>
        <v>732+7+2080P0201X</v>
      </c>
      <c r="B772">
        <v>3283</v>
      </c>
      <c r="C772">
        <v>732</v>
      </c>
      <c r="D772">
        <v>7</v>
      </c>
      <c r="E772" t="s">
        <v>1275</v>
      </c>
      <c r="F772" t="s">
        <v>3232</v>
      </c>
    </row>
    <row r="773" spans="1:6" x14ac:dyDescent="0.25">
      <c r="A773" t="str">
        <f t="shared" si="12"/>
        <v>733+1+2080P0201X</v>
      </c>
      <c r="B773">
        <v>3284</v>
      </c>
      <c r="C773">
        <v>733</v>
      </c>
      <c r="D773">
        <v>1</v>
      </c>
      <c r="E773" t="s">
        <v>1275</v>
      </c>
      <c r="F773" t="s">
        <v>3232</v>
      </c>
    </row>
    <row r="774" spans="1:6" x14ac:dyDescent="0.25">
      <c r="A774" t="str">
        <f t="shared" si="12"/>
        <v>734+7+2080P0202X</v>
      </c>
      <c r="B774">
        <v>3285</v>
      </c>
      <c r="C774">
        <v>734</v>
      </c>
      <c r="D774">
        <v>7</v>
      </c>
      <c r="E774" t="s">
        <v>1277</v>
      </c>
      <c r="F774" t="s">
        <v>3233</v>
      </c>
    </row>
    <row r="775" spans="1:6" x14ac:dyDescent="0.25">
      <c r="A775" t="str">
        <f t="shared" si="12"/>
        <v>735+1+2080P0202X</v>
      </c>
      <c r="B775">
        <v>3286</v>
      </c>
      <c r="C775">
        <v>735</v>
      </c>
      <c r="D775">
        <v>1</v>
      </c>
      <c r="E775" t="s">
        <v>1277</v>
      </c>
      <c r="F775" t="s">
        <v>3233</v>
      </c>
    </row>
    <row r="776" spans="1:6" x14ac:dyDescent="0.25">
      <c r="A776" t="str">
        <f t="shared" si="12"/>
        <v>736+7+2080P0203X</v>
      </c>
      <c r="B776">
        <v>3287</v>
      </c>
      <c r="C776">
        <v>736</v>
      </c>
      <c r="D776">
        <v>7</v>
      </c>
      <c r="E776" t="s">
        <v>1279</v>
      </c>
      <c r="F776" t="s">
        <v>3234</v>
      </c>
    </row>
    <row r="777" spans="1:6" x14ac:dyDescent="0.25">
      <c r="A777" t="str">
        <f t="shared" si="12"/>
        <v>737+1+2080P0203X</v>
      </c>
      <c r="B777">
        <v>3288</v>
      </c>
      <c r="C777">
        <v>737</v>
      </c>
      <c r="D777">
        <v>1</v>
      </c>
      <c r="E777" t="s">
        <v>1279</v>
      </c>
      <c r="F777" t="s">
        <v>3234</v>
      </c>
    </row>
    <row r="778" spans="1:6" x14ac:dyDescent="0.25">
      <c r="A778" t="str">
        <f t="shared" si="12"/>
        <v>738+7+2080P0204X</v>
      </c>
      <c r="B778">
        <v>3289</v>
      </c>
      <c r="C778">
        <v>738</v>
      </c>
      <c r="D778">
        <v>7</v>
      </c>
      <c r="E778" t="s">
        <v>1281</v>
      </c>
      <c r="F778" t="s">
        <v>3235</v>
      </c>
    </row>
    <row r="779" spans="1:6" x14ac:dyDescent="0.25">
      <c r="A779" t="str">
        <f t="shared" si="12"/>
        <v>739+1+2080P0204X</v>
      </c>
      <c r="B779">
        <v>3290</v>
      </c>
      <c r="C779">
        <v>739</v>
      </c>
      <c r="D779">
        <v>1</v>
      </c>
      <c r="E779" t="s">
        <v>1281</v>
      </c>
      <c r="F779" t="s">
        <v>3235</v>
      </c>
    </row>
    <row r="780" spans="1:6" x14ac:dyDescent="0.25">
      <c r="A780" t="str">
        <f t="shared" si="12"/>
        <v>740+7+2080P0205X</v>
      </c>
      <c r="B780">
        <v>3291</v>
      </c>
      <c r="C780">
        <v>740</v>
      </c>
      <c r="D780">
        <v>7</v>
      </c>
      <c r="E780" t="s">
        <v>1283</v>
      </c>
      <c r="F780" t="s">
        <v>3236</v>
      </c>
    </row>
    <row r="781" spans="1:6" x14ac:dyDescent="0.25">
      <c r="A781" t="str">
        <f t="shared" si="12"/>
        <v>741+1+2080P0205X</v>
      </c>
      <c r="B781">
        <v>3292</v>
      </c>
      <c r="C781">
        <v>741</v>
      </c>
      <c r="D781">
        <v>1</v>
      </c>
      <c r="E781" t="s">
        <v>1283</v>
      </c>
      <c r="F781" t="s">
        <v>3236</v>
      </c>
    </row>
    <row r="782" spans="1:6" x14ac:dyDescent="0.25">
      <c r="A782" t="str">
        <f t="shared" si="12"/>
        <v>742+7+2080P0206X</v>
      </c>
      <c r="B782">
        <v>3293</v>
      </c>
      <c r="C782">
        <v>742</v>
      </c>
      <c r="D782">
        <v>7</v>
      </c>
      <c r="E782" t="s">
        <v>1285</v>
      </c>
      <c r="F782" t="s">
        <v>3237</v>
      </c>
    </row>
    <row r="783" spans="1:6" x14ac:dyDescent="0.25">
      <c r="A783" t="str">
        <f t="shared" si="12"/>
        <v>743+1+2080P0206X</v>
      </c>
      <c r="B783">
        <v>3294</v>
      </c>
      <c r="C783">
        <v>743</v>
      </c>
      <c r="D783">
        <v>1</v>
      </c>
      <c r="E783" t="s">
        <v>1285</v>
      </c>
      <c r="F783" t="s">
        <v>3237</v>
      </c>
    </row>
    <row r="784" spans="1:6" x14ac:dyDescent="0.25">
      <c r="A784" t="str">
        <f t="shared" si="12"/>
        <v>744+7+2080P0207X</v>
      </c>
      <c r="B784">
        <v>3295</v>
      </c>
      <c r="C784">
        <v>744</v>
      </c>
      <c r="D784">
        <v>7</v>
      </c>
      <c r="E784" t="s">
        <v>1043</v>
      </c>
      <c r="F784" t="s">
        <v>3238</v>
      </c>
    </row>
    <row r="785" spans="1:6" x14ac:dyDescent="0.25">
      <c r="A785" t="str">
        <f t="shared" si="12"/>
        <v>745+1+2080P0207X</v>
      </c>
      <c r="B785">
        <v>3296</v>
      </c>
      <c r="C785">
        <v>745</v>
      </c>
      <c r="D785">
        <v>1</v>
      </c>
      <c r="E785" t="s">
        <v>1043</v>
      </c>
      <c r="F785" t="s">
        <v>3238</v>
      </c>
    </row>
    <row r="786" spans="1:6" x14ac:dyDescent="0.25">
      <c r="A786" t="str">
        <f t="shared" si="12"/>
        <v>746+7+2080P0208X</v>
      </c>
      <c r="B786">
        <v>3297</v>
      </c>
      <c r="C786">
        <v>746</v>
      </c>
      <c r="D786">
        <v>7</v>
      </c>
      <c r="E786" t="s">
        <v>1287</v>
      </c>
      <c r="F786" t="s">
        <v>3239</v>
      </c>
    </row>
    <row r="787" spans="1:6" x14ac:dyDescent="0.25">
      <c r="A787" t="str">
        <f t="shared" si="12"/>
        <v>747+1+2080P0208X</v>
      </c>
      <c r="B787">
        <v>3298</v>
      </c>
      <c r="C787">
        <v>747</v>
      </c>
      <c r="D787">
        <v>1</v>
      </c>
      <c r="E787" t="s">
        <v>1287</v>
      </c>
      <c r="F787" t="s">
        <v>3239</v>
      </c>
    </row>
    <row r="788" spans="1:6" x14ac:dyDescent="0.25">
      <c r="A788" t="str">
        <f t="shared" si="12"/>
        <v>748+7+2080P0210X</v>
      </c>
      <c r="B788">
        <v>3299</v>
      </c>
      <c r="C788">
        <v>748</v>
      </c>
      <c r="D788">
        <v>7</v>
      </c>
      <c r="E788" t="s">
        <v>1289</v>
      </c>
      <c r="F788" t="s">
        <v>3240</v>
      </c>
    </row>
    <row r="789" spans="1:6" x14ac:dyDescent="0.25">
      <c r="A789" t="str">
        <f t="shared" si="12"/>
        <v>749+1+2080P0210X</v>
      </c>
      <c r="B789">
        <v>3300</v>
      </c>
      <c r="C789">
        <v>749</v>
      </c>
      <c r="D789">
        <v>1</v>
      </c>
      <c r="E789" t="s">
        <v>1289</v>
      </c>
      <c r="F789" t="s">
        <v>3240</v>
      </c>
    </row>
    <row r="790" spans="1:6" x14ac:dyDescent="0.25">
      <c r="A790" t="str">
        <f t="shared" si="12"/>
        <v>750+7+2080P0214X</v>
      </c>
      <c r="B790">
        <v>3301</v>
      </c>
      <c r="C790">
        <v>750</v>
      </c>
      <c r="D790">
        <v>7</v>
      </c>
      <c r="E790" t="s">
        <v>1291</v>
      </c>
      <c r="F790" t="s">
        <v>3241</v>
      </c>
    </row>
    <row r="791" spans="1:6" x14ac:dyDescent="0.25">
      <c r="A791" t="str">
        <f t="shared" si="12"/>
        <v>751+1+2080P0214X</v>
      </c>
      <c r="B791">
        <v>3302</v>
      </c>
      <c r="C791">
        <v>751</v>
      </c>
      <c r="D791">
        <v>1</v>
      </c>
      <c r="E791" t="s">
        <v>1291</v>
      </c>
      <c r="F791" t="s">
        <v>3241</v>
      </c>
    </row>
    <row r="792" spans="1:6" x14ac:dyDescent="0.25">
      <c r="A792" t="str">
        <f t="shared" si="12"/>
        <v>752+7+2080P0216X</v>
      </c>
      <c r="B792">
        <v>3303</v>
      </c>
      <c r="C792">
        <v>752</v>
      </c>
      <c r="D792">
        <v>7</v>
      </c>
      <c r="E792" t="s">
        <v>1293</v>
      </c>
      <c r="F792" t="s">
        <v>3242</v>
      </c>
    </row>
    <row r="793" spans="1:6" x14ac:dyDescent="0.25">
      <c r="A793" t="str">
        <f t="shared" si="12"/>
        <v>753+1+2080P0216X</v>
      </c>
      <c r="B793">
        <v>3304</v>
      </c>
      <c r="C793">
        <v>753</v>
      </c>
      <c r="D793">
        <v>1</v>
      </c>
      <c r="E793" t="s">
        <v>1293</v>
      </c>
      <c r="F793" t="s">
        <v>3242</v>
      </c>
    </row>
    <row r="794" spans="1:6" x14ac:dyDescent="0.25">
      <c r="A794" t="str">
        <f t="shared" si="12"/>
        <v>754+7+2080S0010X</v>
      </c>
      <c r="B794">
        <v>3305</v>
      </c>
      <c r="C794">
        <v>754</v>
      </c>
      <c r="D794">
        <v>7</v>
      </c>
      <c r="E794" t="s">
        <v>1294</v>
      </c>
      <c r="F794" t="s">
        <v>3243</v>
      </c>
    </row>
    <row r="795" spans="1:6" x14ac:dyDescent="0.25">
      <c r="A795" t="str">
        <f t="shared" si="12"/>
        <v>755+1+2080S0010X</v>
      </c>
      <c r="B795">
        <v>3306</v>
      </c>
      <c r="C795">
        <v>755</v>
      </c>
      <c r="D795">
        <v>1</v>
      </c>
      <c r="E795" t="s">
        <v>1294</v>
      </c>
      <c r="F795" t="s">
        <v>3243</v>
      </c>
    </row>
    <row r="796" spans="1:6" x14ac:dyDescent="0.25">
      <c r="A796" t="str">
        <f t="shared" si="12"/>
        <v>756+7+2081P2900X</v>
      </c>
      <c r="B796">
        <v>3307</v>
      </c>
      <c r="C796">
        <v>756</v>
      </c>
      <c r="D796">
        <v>7</v>
      </c>
      <c r="E796" t="s">
        <v>1312</v>
      </c>
      <c r="F796" t="s">
        <v>3244</v>
      </c>
    </row>
    <row r="797" spans="1:6" x14ac:dyDescent="0.25">
      <c r="A797" t="str">
        <f t="shared" si="12"/>
        <v>757+1+2081P2900X</v>
      </c>
      <c r="B797">
        <v>3308</v>
      </c>
      <c r="C797">
        <v>757</v>
      </c>
      <c r="D797">
        <v>1</v>
      </c>
      <c r="E797" t="s">
        <v>1312</v>
      </c>
      <c r="F797" t="s">
        <v>3244</v>
      </c>
    </row>
    <row r="798" spans="1:6" x14ac:dyDescent="0.25">
      <c r="A798" t="str">
        <f t="shared" si="12"/>
        <v>758+7+2081P0010X</v>
      </c>
      <c r="B798">
        <v>3309</v>
      </c>
      <c r="C798">
        <v>758</v>
      </c>
      <c r="D798">
        <v>7</v>
      </c>
      <c r="E798" t="s">
        <v>1310</v>
      </c>
      <c r="F798" t="s">
        <v>3245</v>
      </c>
    </row>
    <row r="799" spans="1:6" x14ac:dyDescent="0.25">
      <c r="A799" t="str">
        <f t="shared" si="12"/>
        <v>759+1+2081P0010X</v>
      </c>
      <c r="B799">
        <v>3310</v>
      </c>
      <c r="C799">
        <v>759</v>
      </c>
      <c r="D799">
        <v>1</v>
      </c>
      <c r="E799" t="s">
        <v>1310</v>
      </c>
      <c r="F799" t="s">
        <v>3245</v>
      </c>
    </row>
    <row r="800" spans="1:6" x14ac:dyDescent="0.25">
      <c r="A800" t="str">
        <f t="shared" si="12"/>
        <v>760+7+2081P0004X</v>
      </c>
      <c r="B800">
        <v>3311</v>
      </c>
      <c r="C800">
        <v>760</v>
      </c>
      <c r="D800">
        <v>7</v>
      </c>
      <c r="E800" t="s">
        <v>1308</v>
      </c>
      <c r="F800" t="s">
        <v>3246</v>
      </c>
    </row>
    <row r="801" spans="1:6" x14ac:dyDescent="0.25">
      <c r="A801" t="str">
        <f t="shared" si="12"/>
        <v>761+1+2081P0004X</v>
      </c>
      <c r="B801">
        <v>3312</v>
      </c>
      <c r="C801">
        <v>761</v>
      </c>
      <c r="D801">
        <v>1</v>
      </c>
      <c r="E801" t="s">
        <v>1308</v>
      </c>
      <c r="F801" t="s">
        <v>3246</v>
      </c>
    </row>
    <row r="802" spans="1:6" x14ac:dyDescent="0.25">
      <c r="A802" t="str">
        <f t="shared" si="12"/>
        <v>762+7+2081S0010X</v>
      </c>
      <c r="B802">
        <v>3313</v>
      </c>
      <c r="C802">
        <v>762</v>
      </c>
      <c r="D802">
        <v>7</v>
      </c>
      <c r="E802" t="s">
        <v>1313</v>
      </c>
      <c r="F802" t="s">
        <v>3247</v>
      </c>
    </row>
    <row r="803" spans="1:6" x14ac:dyDescent="0.25">
      <c r="A803" t="str">
        <f t="shared" si="12"/>
        <v>763+1+2081S0010X</v>
      </c>
      <c r="B803">
        <v>3314</v>
      </c>
      <c r="C803">
        <v>763</v>
      </c>
      <c r="D803">
        <v>1</v>
      </c>
      <c r="E803" t="s">
        <v>1313</v>
      </c>
      <c r="F803" t="s">
        <v>3247</v>
      </c>
    </row>
    <row r="804" spans="1:6" x14ac:dyDescent="0.25">
      <c r="A804" t="str">
        <f t="shared" si="12"/>
        <v>764+7+208200000X</v>
      </c>
      <c r="B804">
        <v>3315</v>
      </c>
      <c r="C804">
        <v>764</v>
      </c>
      <c r="D804">
        <v>7</v>
      </c>
      <c r="E804" t="s">
        <v>1314</v>
      </c>
      <c r="F804" t="s">
        <v>3248</v>
      </c>
    </row>
    <row r="805" spans="1:6" x14ac:dyDescent="0.25">
      <c r="A805" t="str">
        <f t="shared" si="12"/>
        <v>765+1+208200000X</v>
      </c>
      <c r="B805">
        <v>3316</v>
      </c>
      <c r="C805">
        <v>765</v>
      </c>
      <c r="D805">
        <v>1</v>
      </c>
      <c r="E805" t="s">
        <v>1314</v>
      </c>
      <c r="F805" t="s">
        <v>3248</v>
      </c>
    </row>
    <row r="806" spans="1:6" x14ac:dyDescent="0.25">
      <c r="A806" t="str">
        <f t="shared" si="12"/>
        <v>766+7+2082S0099X</v>
      </c>
      <c r="B806">
        <v>3317</v>
      </c>
      <c r="C806">
        <v>766</v>
      </c>
      <c r="D806">
        <v>7</v>
      </c>
      <c r="E806" t="s">
        <v>1316</v>
      </c>
      <c r="F806" t="s">
        <v>3249</v>
      </c>
    </row>
    <row r="807" spans="1:6" x14ac:dyDescent="0.25">
      <c r="A807" t="str">
        <f t="shared" si="12"/>
        <v>767+1+2082S0099X</v>
      </c>
      <c r="B807">
        <v>3318</v>
      </c>
      <c r="C807">
        <v>767</v>
      </c>
      <c r="D807">
        <v>1</v>
      </c>
      <c r="E807" t="s">
        <v>1316</v>
      </c>
      <c r="F807" t="s">
        <v>3249</v>
      </c>
    </row>
    <row r="808" spans="1:6" x14ac:dyDescent="0.25">
      <c r="A808" t="str">
        <f t="shared" si="12"/>
        <v>768+7+2082S0105X</v>
      </c>
      <c r="B808">
        <v>3319</v>
      </c>
      <c r="C808">
        <v>768</v>
      </c>
      <c r="D808">
        <v>7</v>
      </c>
      <c r="E808" t="s">
        <v>1318</v>
      </c>
      <c r="F808" t="s">
        <v>3250</v>
      </c>
    </row>
    <row r="809" spans="1:6" x14ac:dyDescent="0.25">
      <c r="A809" t="str">
        <f t="shared" si="12"/>
        <v>769+1+2082S0105X</v>
      </c>
      <c r="B809">
        <v>3320</v>
      </c>
      <c r="C809">
        <v>769</v>
      </c>
      <c r="D809">
        <v>1</v>
      </c>
      <c r="E809" t="s">
        <v>1318</v>
      </c>
      <c r="F809" t="s">
        <v>3250</v>
      </c>
    </row>
    <row r="810" spans="1:6" x14ac:dyDescent="0.25">
      <c r="A810" t="str">
        <f t="shared" si="12"/>
        <v>770+4+213ES0103X</v>
      </c>
      <c r="B810">
        <v>3321</v>
      </c>
      <c r="C810">
        <v>770</v>
      </c>
      <c r="D810">
        <v>4</v>
      </c>
      <c r="E810" t="s">
        <v>569</v>
      </c>
      <c r="F810" t="s">
        <v>3251</v>
      </c>
    </row>
    <row r="811" spans="1:6" x14ac:dyDescent="0.25">
      <c r="A811" t="str">
        <f t="shared" si="12"/>
        <v>771+4+213ES0131X</v>
      </c>
      <c r="B811">
        <v>3322</v>
      </c>
      <c r="C811">
        <v>771</v>
      </c>
      <c r="D811">
        <v>4</v>
      </c>
      <c r="E811" t="s">
        <v>571</v>
      </c>
      <c r="F811" t="s">
        <v>3252</v>
      </c>
    </row>
    <row r="812" spans="1:6" x14ac:dyDescent="0.25">
      <c r="A812" t="str">
        <f t="shared" si="12"/>
        <v>772+4+213EG0000X</v>
      </c>
      <c r="B812">
        <v>3323</v>
      </c>
      <c r="C812">
        <v>772</v>
      </c>
      <c r="D812">
        <v>4</v>
      </c>
      <c r="E812" t="s">
        <v>559</v>
      </c>
      <c r="F812" t="s">
        <v>3253</v>
      </c>
    </row>
    <row r="813" spans="1:6" x14ac:dyDescent="0.25">
      <c r="A813" t="str">
        <f t="shared" si="12"/>
        <v>773+4+213EP1101X</v>
      </c>
      <c r="B813">
        <v>3324</v>
      </c>
      <c r="C813">
        <v>773</v>
      </c>
      <c r="D813">
        <v>4</v>
      </c>
      <c r="E813" t="s">
        <v>563</v>
      </c>
      <c r="F813" t="s">
        <v>3254</v>
      </c>
    </row>
    <row r="814" spans="1:6" x14ac:dyDescent="0.25">
      <c r="A814" t="str">
        <f t="shared" si="12"/>
        <v>774+4+213EP0504X</v>
      </c>
      <c r="B814">
        <v>3325</v>
      </c>
      <c r="C814">
        <v>774</v>
      </c>
      <c r="D814">
        <v>4</v>
      </c>
      <c r="E814" t="s">
        <v>561</v>
      </c>
      <c r="F814" t="s">
        <v>3255</v>
      </c>
    </row>
    <row r="815" spans="1:6" x14ac:dyDescent="0.25">
      <c r="A815" t="str">
        <f t="shared" si="12"/>
        <v>775+4+213ER0200X</v>
      </c>
      <c r="B815">
        <v>3326</v>
      </c>
      <c r="C815">
        <v>775</v>
      </c>
      <c r="D815">
        <v>4</v>
      </c>
      <c r="E815" t="s">
        <v>565</v>
      </c>
      <c r="F815" t="s">
        <v>3256</v>
      </c>
    </row>
    <row r="816" spans="1:6" x14ac:dyDescent="0.25">
      <c r="A816" t="str">
        <f t="shared" si="12"/>
        <v>776+4+213ES0000X</v>
      </c>
      <c r="B816">
        <v>3327</v>
      </c>
      <c r="C816">
        <v>776</v>
      </c>
      <c r="D816">
        <v>4</v>
      </c>
      <c r="E816" t="s">
        <v>567</v>
      </c>
      <c r="F816" t="s">
        <v>3257</v>
      </c>
    </row>
    <row r="817" spans="1:6" x14ac:dyDescent="0.25">
      <c r="A817" t="str">
        <f t="shared" si="12"/>
        <v>777+7+2083A0100X</v>
      </c>
      <c r="B817">
        <v>3328</v>
      </c>
      <c r="C817">
        <v>777</v>
      </c>
      <c r="D817">
        <v>7</v>
      </c>
      <c r="E817" t="s">
        <v>1321</v>
      </c>
      <c r="F817" t="s">
        <v>3258</v>
      </c>
    </row>
    <row r="818" spans="1:6" x14ac:dyDescent="0.25">
      <c r="A818" t="str">
        <f t="shared" si="12"/>
        <v>778+1+2083A0100X</v>
      </c>
      <c r="B818">
        <v>3329</v>
      </c>
      <c r="C818">
        <v>778</v>
      </c>
      <c r="D818">
        <v>1</v>
      </c>
      <c r="E818" t="s">
        <v>1321</v>
      </c>
      <c r="F818" t="s">
        <v>3258</v>
      </c>
    </row>
    <row r="819" spans="1:6" x14ac:dyDescent="0.25">
      <c r="A819" t="str">
        <f t="shared" si="12"/>
        <v>779+7+2083T0002X</v>
      </c>
      <c r="B819">
        <v>3330</v>
      </c>
      <c r="C819">
        <v>779</v>
      </c>
      <c r="D819">
        <v>7</v>
      </c>
      <c r="E819" t="s">
        <v>1330</v>
      </c>
      <c r="F819" t="s">
        <v>3259</v>
      </c>
    </row>
    <row r="820" spans="1:6" x14ac:dyDescent="0.25">
      <c r="A820" t="str">
        <f t="shared" si="12"/>
        <v>780+1+2083T0002X</v>
      </c>
      <c r="B820">
        <v>3331</v>
      </c>
      <c r="C820">
        <v>780</v>
      </c>
      <c r="D820">
        <v>1</v>
      </c>
      <c r="E820" t="s">
        <v>1330</v>
      </c>
      <c r="F820" t="s">
        <v>3259</v>
      </c>
    </row>
    <row r="821" spans="1:6" x14ac:dyDescent="0.25">
      <c r="A821" t="str">
        <f t="shared" si="12"/>
        <v>781+7+2083X0100X</v>
      </c>
      <c r="B821">
        <v>3332</v>
      </c>
      <c r="C821">
        <v>781</v>
      </c>
      <c r="D821">
        <v>7</v>
      </c>
      <c r="E821" t="s">
        <v>1331</v>
      </c>
      <c r="F821" t="s">
        <v>3260</v>
      </c>
    </row>
    <row r="822" spans="1:6" x14ac:dyDescent="0.25">
      <c r="A822" t="str">
        <f t="shared" si="12"/>
        <v>782+1+2083X0100X</v>
      </c>
      <c r="B822">
        <v>3333</v>
      </c>
      <c r="C822">
        <v>782</v>
      </c>
      <c r="D822">
        <v>1</v>
      </c>
      <c r="E822" t="s">
        <v>1331</v>
      </c>
      <c r="F822" t="s">
        <v>3260</v>
      </c>
    </row>
    <row r="823" spans="1:6" x14ac:dyDescent="0.25">
      <c r="A823" t="str">
        <f t="shared" si="12"/>
        <v>783+7+2083S0010X</v>
      </c>
      <c r="B823">
        <v>3334</v>
      </c>
      <c r="C823">
        <v>783</v>
      </c>
      <c r="D823">
        <v>7</v>
      </c>
      <c r="E823" t="s">
        <v>1329</v>
      </c>
      <c r="F823" t="s">
        <v>3261</v>
      </c>
    </row>
    <row r="824" spans="1:6" x14ac:dyDescent="0.25">
      <c r="A824" t="str">
        <f t="shared" si="12"/>
        <v>784+1+2083S0010X</v>
      </c>
      <c r="B824">
        <v>3335</v>
      </c>
      <c r="C824">
        <v>784</v>
      </c>
      <c r="D824">
        <v>1</v>
      </c>
      <c r="E824" t="s">
        <v>1329</v>
      </c>
      <c r="F824" t="s">
        <v>3261</v>
      </c>
    </row>
    <row r="825" spans="1:6" x14ac:dyDescent="0.25">
      <c r="A825" t="str">
        <f t="shared" si="12"/>
        <v>785+7+2083P0011X</v>
      </c>
      <c r="B825">
        <v>3336</v>
      </c>
      <c r="C825">
        <v>785</v>
      </c>
      <c r="D825">
        <v>7</v>
      </c>
      <c r="E825" t="s">
        <v>1324</v>
      </c>
      <c r="F825" t="s">
        <v>3262</v>
      </c>
    </row>
    <row r="826" spans="1:6" x14ac:dyDescent="0.25">
      <c r="A826" t="str">
        <f t="shared" si="12"/>
        <v>786+1+2083P0011X</v>
      </c>
      <c r="B826">
        <v>3337</v>
      </c>
      <c r="C826">
        <v>786</v>
      </c>
      <c r="D826">
        <v>1</v>
      </c>
      <c r="E826" t="s">
        <v>1324</v>
      </c>
      <c r="F826" t="s">
        <v>3262</v>
      </c>
    </row>
    <row r="827" spans="1:6" x14ac:dyDescent="0.25">
      <c r="A827" t="str">
        <f t="shared" si="12"/>
        <v>787+7+2083P0500X</v>
      </c>
      <c r="B827">
        <v>3338</v>
      </c>
      <c r="C827">
        <v>787</v>
      </c>
      <c r="D827">
        <v>7</v>
      </c>
      <c r="E827" t="s">
        <v>1326</v>
      </c>
      <c r="F827" t="s">
        <v>3263</v>
      </c>
    </row>
    <row r="828" spans="1:6" x14ac:dyDescent="0.25">
      <c r="A828" t="str">
        <f t="shared" si="12"/>
        <v>788+1+2083P0500X</v>
      </c>
      <c r="B828">
        <v>3339</v>
      </c>
      <c r="C828">
        <v>788</v>
      </c>
      <c r="D828">
        <v>1</v>
      </c>
      <c r="E828" t="s">
        <v>1326</v>
      </c>
      <c r="F828" t="s">
        <v>3263</v>
      </c>
    </row>
    <row r="829" spans="1:6" x14ac:dyDescent="0.25">
      <c r="A829" t="str">
        <f t="shared" si="12"/>
        <v>789+7+2084A0401X</v>
      </c>
      <c r="B829">
        <v>3340</v>
      </c>
      <c r="C829">
        <v>789</v>
      </c>
      <c r="D829">
        <v>7</v>
      </c>
      <c r="E829" t="s">
        <v>1047</v>
      </c>
      <c r="F829" t="s">
        <v>3264</v>
      </c>
    </row>
    <row r="830" spans="1:6" x14ac:dyDescent="0.25">
      <c r="A830" t="str">
        <f t="shared" si="12"/>
        <v>790+1+2084A0401X</v>
      </c>
      <c r="B830">
        <v>3341</v>
      </c>
      <c r="C830">
        <v>790</v>
      </c>
      <c r="D830">
        <v>1</v>
      </c>
      <c r="E830" t="s">
        <v>1047</v>
      </c>
      <c r="F830" t="s">
        <v>3264</v>
      </c>
    </row>
    <row r="831" spans="1:6" x14ac:dyDescent="0.25">
      <c r="A831" t="str">
        <f t="shared" si="12"/>
        <v>791+7+2084P0802X</v>
      </c>
      <c r="B831">
        <v>3342</v>
      </c>
      <c r="C831">
        <v>791</v>
      </c>
      <c r="D831">
        <v>7</v>
      </c>
      <c r="E831" t="s">
        <v>1354</v>
      </c>
      <c r="F831" t="s">
        <v>3265</v>
      </c>
    </row>
    <row r="832" spans="1:6" x14ac:dyDescent="0.25">
      <c r="A832" t="str">
        <f t="shared" si="12"/>
        <v>792+1+2084P0802X</v>
      </c>
      <c r="B832">
        <v>3343</v>
      </c>
      <c r="C832">
        <v>792</v>
      </c>
      <c r="D832">
        <v>1</v>
      </c>
      <c r="E832" t="s">
        <v>1354</v>
      </c>
      <c r="F832" t="s">
        <v>3265</v>
      </c>
    </row>
    <row r="833" spans="1:6" x14ac:dyDescent="0.25">
      <c r="A833" t="str">
        <f t="shared" si="12"/>
        <v>793+7+2084P0804X</v>
      </c>
      <c r="B833">
        <v>3344</v>
      </c>
      <c r="C833">
        <v>793</v>
      </c>
      <c r="D833">
        <v>7</v>
      </c>
      <c r="E833" t="s">
        <v>1356</v>
      </c>
      <c r="F833" t="s">
        <v>3266</v>
      </c>
    </row>
    <row r="834" spans="1:6" x14ac:dyDescent="0.25">
      <c r="A834" t="str">
        <f t="shared" ref="A834:A897" si="13">C834 &amp; "+" &amp; D834 &amp; "+" &amp; E834</f>
        <v>794+1+2084P0804X</v>
      </c>
      <c r="B834">
        <v>3345</v>
      </c>
      <c r="C834">
        <v>794</v>
      </c>
      <c r="D834">
        <v>1</v>
      </c>
      <c r="E834" t="s">
        <v>1356</v>
      </c>
      <c r="F834" t="s">
        <v>3266</v>
      </c>
    </row>
    <row r="835" spans="1:6" x14ac:dyDescent="0.25">
      <c r="A835" t="str">
        <f t="shared" si="13"/>
        <v>795+7+2084N0600X</v>
      </c>
      <c r="B835">
        <v>3346</v>
      </c>
      <c r="C835">
        <v>795</v>
      </c>
      <c r="D835">
        <v>7</v>
      </c>
      <c r="E835" t="s">
        <v>1347</v>
      </c>
      <c r="F835" t="s">
        <v>3267</v>
      </c>
    </row>
    <row r="836" spans="1:6" x14ac:dyDescent="0.25">
      <c r="A836" t="str">
        <f t="shared" si="13"/>
        <v>796+1+2084N0600X</v>
      </c>
      <c r="B836">
        <v>3347</v>
      </c>
      <c r="C836">
        <v>796</v>
      </c>
      <c r="D836">
        <v>1</v>
      </c>
      <c r="E836" t="s">
        <v>1347</v>
      </c>
      <c r="F836" t="s">
        <v>3267</v>
      </c>
    </row>
    <row r="837" spans="1:6" x14ac:dyDescent="0.25">
      <c r="A837" t="str">
        <f t="shared" si="13"/>
        <v>797+7+2084F0202X</v>
      </c>
      <c r="B837">
        <v>3348</v>
      </c>
      <c r="C837">
        <v>797</v>
      </c>
      <c r="D837">
        <v>7</v>
      </c>
      <c r="E837" t="s">
        <v>1337</v>
      </c>
      <c r="F837" t="s">
        <v>3268</v>
      </c>
    </row>
    <row r="838" spans="1:6" x14ac:dyDescent="0.25">
      <c r="A838" t="str">
        <f t="shared" si="13"/>
        <v>798+1+2084F0202X</v>
      </c>
      <c r="B838">
        <v>3349</v>
      </c>
      <c r="C838">
        <v>798</v>
      </c>
      <c r="D838">
        <v>1</v>
      </c>
      <c r="E838" t="s">
        <v>1337</v>
      </c>
      <c r="F838" t="s">
        <v>3268</v>
      </c>
    </row>
    <row r="839" spans="1:6" x14ac:dyDescent="0.25">
      <c r="A839" t="str">
        <f t="shared" si="13"/>
        <v>799+7+2084P0805X</v>
      </c>
      <c r="B839">
        <v>3350</v>
      </c>
      <c r="C839">
        <v>799</v>
      </c>
      <c r="D839">
        <v>7</v>
      </c>
      <c r="E839" t="s">
        <v>1358</v>
      </c>
      <c r="F839" t="s">
        <v>3269</v>
      </c>
    </row>
    <row r="840" spans="1:6" x14ac:dyDescent="0.25">
      <c r="A840" t="str">
        <f t="shared" si="13"/>
        <v>800+1+2084P0805X</v>
      </c>
      <c r="B840">
        <v>3351</v>
      </c>
      <c r="C840">
        <v>800</v>
      </c>
      <c r="D840">
        <v>1</v>
      </c>
      <c r="E840" t="s">
        <v>1358</v>
      </c>
      <c r="F840" t="s">
        <v>3269</v>
      </c>
    </row>
    <row r="841" spans="1:6" x14ac:dyDescent="0.25">
      <c r="A841" t="str">
        <f t="shared" si="13"/>
        <v>801+7+2084P0005X</v>
      </c>
      <c r="B841">
        <v>3352</v>
      </c>
      <c r="C841">
        <v>801</v>
      </c>
      <c r="D841">
        <v>7</v>
      </c>
      <c r="E841" t="s">
        <v>1348</v>
      </c>
      <c r="F841" t="s">
        <v>3270</v>
      </c>
    </row>
    <row r="842" spans="1:6" x14ac:dyDescent="0.25">
      <c r="A842" t="str">
        <f t="shared" si="13"/>
        <v>802+1+2084P0005X</v>
      </c>
      <c r="B842">
        <v>3353</v>
      </c>
      <c r="C842">
        <v>802</v>
      </c>
      <c r="D842">
        <v>1</v>
      </c>
      <c r="E842" t="s">
        <v>1348</v>
      </c>
      <c r="F842" t="s">
        <v>3270</v>
      </c>
    </row>
    <row r="843" spans="1:6" x14ac:dyDescent="0.25">
      <c r="A843" t="str">
        <f t="shared" si="13"/>
        <v>803+7+2084N0402X</v>
      </c>
      <c r="B843">
        <v>3354</v>
      </c>
      <c r="C843">
        <v>803</v>
      </c>
      <c r="D843">
        <v>7</v>
      </c>
      <c r="E843" t="s">
        <v>1345</v>
      </c>
      <c r="F843" t="s">
        <v>3271</v>
      </c>
    </row>
    <row r="844" spans="1:6" x14ac:dyDescent="0.25">
      <c r="A844" t="str">
        <f t="shared" si="13"/>
        <v>804+1+2084N0402X</v>
      </c>
      <c r="B844">
        <v>3355</v>
      </c>
      <c r="C844">
        <v>804</v>
      </c>
      <c r="D844">
        <v>1</v>
      </c>
      <c r="E844" t="s">
        <v>1345</v>
      </c>
      <c r="F844" t="s">
        <v>3271</v>
      </c>
    </row>
    <row r="845" spans="1:6" x14ac:dyDescent="0.25">
      <c r="A845" t="str">
        <f t="shared" si="13"/>
        <v>805+7+2084P2900X</v>
      </c>
      <c r="B845">
        <v>3356</v>
      </c>
      <c r="C845">
        <v>805</v>
      </c>
      <c r="D845">
        <v>7</v>
      </c>
      <c r="E845" t="s">
        <v>1359</v>
      </c>
      <c r="F845" t="s">
        <v>3272</v>
      </c>
    </row>
    <row r="846" spans="1:6" x14ac:dyDescent="0.25">
      <c r="A846" t="str">
        <f t="shared" si="13"/>
        <v>806+1+2084P2900X</v>
      </c>
      <c r="B846">
        <v>3357</v>
      </c>
      <c r="C846">
        <v>806</v>
      </c>
      <c r="D846">
        <v>1</v>
      </c>
      <c r="E846" t="s">
        <v>1359</v>
      </c>
      <c r="F846" t="s">
        <v>3272</v>
      </c>
    </row>
    <row r="847" spans="1:6" x14ac:dyDescent="0.25">
      <c r="A847" t="str">
        <f t="shared" si="13"/>
        <v>807+7+2084P0800X</v>
      </c>
      <c r="B847">
        <v>3358</v>
      </c>
      <c r="C847">
        <v>807</v>
      </c>
      <c r="D847">
        <v>7</v>
      </c>
      <c r="E847" t="s">
        <v>1352</v>
      </c>
      <c r="F847" t="s">
        <v>3273</v>
      </c>
    </row>
    <row r="848" spans="1:6" x14ac:dyDescent="0.25">
      <c r="A848" t="str">
        <f t="shared" si="13"/>
        <v>808+1+2084P0800X</v>
      </c>
      <c r="B848">
        <v>3359</v>
      </c>
      <c r="C848">
        <v>808</v>
      </c>
      <c r="D848">
        <v>1</v>
      </c>
      <c r="E848" t="s">
        <v>1352</v>
      </c>
      <c r="F848" t="s">
        <v>3273</v>
      </c>
    </row>
    <row r="849" spans="1:6" x14ac:dyDescent="0.25">
      <c r="A849" t="str">
        <f t="shared" si="13"/>
        <v>809+7+2084S0010X</v>
      </c>
      <c r="B849">
        <v>3360</v>
      </c>
      <c r="C849">
        <v>809</v>
      </c>
      <c r="D849">
        <v>7</v>
      </c>
      <c r="E849" t="s">
        <v>1360</v>
      </c>
      <c r="F849" t="s">
        <v>3274</v>
      </c>
    </row>
    <row r="850" spans="1:6" x14ac:dyDescent="0.25">
      <c r="A850" t="str">
        <f t="shared" si="13"/>
        <v>810+1+2084S0010X</v>
      </c>
      <c r="B850">
        <v>3361</v>
      </c>
      <c r="C850">
        <v>810</v>
      </c>
      <c r="D850">
        <v>1</v>
      </c>
      <c r="E850" t="s">
        <v>1360</v>
      </c>
      <c r="F850" t="s">
        <v>3274</v>
      </c>
    </row>
    <row r="851" spans="1:6" x14ac:dyDescent="0.25">
      <c r="A851" t="str">
        <f t="shared" si="13"/>
        <v>811+7+2084V0102X</v>
      </c>
      <c r="B851">
        <v>3362</v>
      </c>
      <c r="C851">
        <v>811</v>
      </c>
      <c r="D851">
        <v>7</v>
      </c>
      <c r="E851" t="s">
        <v>1363</v>
      </c>
      <c r="F851" t="s">
        <v>3275</v>
      </c>
    </row>
    <row r="852" spans="1:6" x14ac:dyDescent="0.25">
      <c r="A852" t="str">
        <f t="shared" si="13"/>
        <v>812+1+2084V0102X</v>
      </c>
      <c r="B852">
        <v>3363</v>
      </c>
      <c r="C852">
        <v>812</v>
      </c>
      <c r="D852">
        <v>1</v>
      </c>
      <c r="E852" t="s">
        <v>1363</v>
      </c>
      <c r="F852" t="s">
        <v>3275</v>
      </c>
    </row>
    <row r="853" spans="1:6" x14ac:dyDescent="0.25">
      <c r="A853" t="str">
        <f t="shared" si="13"/>
        <v>815+7+2085B0100X</v>
      </c>
      <c r="B853">
        <v>3364</v>
      </c>
      <c r="C853">
        <v>815</v>
      </c>
      <c r="D853">
        <v>7</v>
      </c>
      <c r="E853" t="s">
        <v>1366</v>
      </c>
      <c r="F853" t="s">
        <v>3276</v>
      </c>
    </row>
    <row r="854" spans="1:6" x14ac:dyDescent="0.25">
      <c r="A854" t="str">
        <f t="shared" si="13"/>
        <v>816+1+2085B0100X</v>
      </c>
      <c r="B854">
        <v>3365</v>
      </c>
      <c r="C854">
        <v>816</v>
      </c>
      <c r="D854">
        <v>1</v>
      </c>
      <c r="E854" t="s">
        <v>1366</v>
      </c>
      <c r="F854" t="s">
        <v>3276</v>
      </c>
    </row>
    <row r="855" spans="1:6" x14ac:dyDescent="0.25">
      <c r="A855" t="str">
        <f t="shared" si="13"/>
        <v>817+7+2085R0202X</v>
      </c>
      <c r="B855">
        <v>3366</v>
      </c>
      <c r="C855">
        <v>817</v>
      </c>
      <c r="D855">
        <v>7</v>
      </c>
      <c r="E855" t="s">
        <v>1379</v>
      </c>
      <c r="F855" t="s">
        <v>3277</v>
      </c>
    </row>
    <row r="856" spans="1:6" x14ac:dyDescent="0.25">
      <c r="A856" t="str">
        <f t="shared" si="13"/>
        <v>818+1+2085R0202X</v>
      </c>
      <c r="B856">
        <v>3367</v>
      </c>
      <c r="C856">
        <v>818</v>
      </c>
      <c r="D856">
        <v>1</v>
      </c>
      <c r="E856" t="s">
        <v>1379</v>
      </c>
      <c r="F856" t="s">
        <v>3277</v>
      </c>
    </row>
    <row r="857" spans="1:6" x14ac:dyDescent="0.25">
      <c r="A857" t="str">
        <f t="shared" si="13"/>
        <v>819+7+2085U0001X</v>
      </c>
      <c r="B857">
        <v>3368</v>
      </c>
      <c r="C857">
        <v>819</v>
      </c>
      <c r="D857">
        <v>7</v>
      </c>
      <c r="E857" t="s">
        <v>1388</v>
      </c>
      <c r="F857" t="s">
        <v>3278</v>
      </c>
    </row>
    <row r="858" spans="1:6" x14ac:dyDescent="0.25">
      <c r="A858" t="str">
        <f t="shared" si="13"/>
        <v>820+1+2085U0001X</v>
      </c>
      <c r="B858">
        <v>3369</v>
      </c>
      <c r="C858">
        <v>820</v>
      </c>
      <c r="D858">
        <v>1</v>
      </c>
      <c r="E858" t="s">
        <v>1388</v>
      </c>
      <c r="F858" t="s">
        <v>3278</v>
      </c>
    </row>
    <row r="859" spans="1:6" x14ac:dyDescent="0.25">
      <c r="A859" t="str">
        <f t="shared" si="13"/>
        <v>821+7+2085N0700X</v>
      </c>
      <c r="B859">
        <v>3370</v>
      </c>
      <c r="C859">
        <v>821</v>
      </c>
      <c r="D859">
        <v>7</v>
      </c>
      <c r="E859" t="s">
        <v>1370</v>
      </c>
      <c r="F859" t="s">
        <v>3279</v>
      </c>
    </row>
    <row r="860" spans="1:6" x14ac:dyDescent="0.25">
      <c r="A860" t="str">
        <f t="shared" si="13"/>
        <v>822+1+2085N0700X</v>
      </c>
      <c r="B860">
        <v>3371</v>
      </c>
      <c r="C860">
        <v>822</v>
      </c>
      <c r="D860">
        <v>1</v>
      </c>
      <c r="E860" t="s">
        <v>1370</v>
      </c>
      <c r="F860" t="s">
        <v>3279</v>
      </c>
    </row>
    <row r="861" spans="1:6" x14ac:dyDescent="0.25">
      <c r="A861" t="str">
        <f t="shared" si="13"/>
        <v>823+7+2085N0904X</v>
      </c>
      <c r="B861">
        <v>3372</v>
      </c>
      <c r="C861">
        <v>823</v>
      </c>
      <c r="D861">
        <v>7</v>
      </c>
      <c r="E861" t="s">
        <v>1372</v>
      </c>
      <c r="F861" t="s">
        <v>3280</v>
      </c>
    </row>
    <row r="862" spans="1:6" x14ac:dyDescent="0.25">
      <c r="A862" t="str">
        <f t="shared" si="13"/>
        <v>824+1+2085N0904X</v>
      </c>
      <c r="B862">
        <v>3373</v>
      </c>
      <c r="C862">
        <v>824</v>
      </c>
      <c r="D862">
        <v>1</v>
      </c>
      <c r="E862" t="s">
        <v>1372</v>
      </c>
      <c r="F862" t="s">
        <v>3280</v>
      </c>
    </row>
    <row r="863" spans="1:6" x14ac:dyDescent="0.25">
      <c r="A863" t="str">
        <f t="shared" si="13"/>
        <v>825+7+2085P0229X</v>
      </c>
      <c r="B863">
        <v>3374</v>
      </c>
      <c r="C863">
        <v>825</v>
      </c>
      <c r="D863">
        <v>7</v>
      </c>
      <c r="E863" t="s">
        <v>1374</v>
      </c>
      <c r="F863" t="s">
        <v>3281</v>
      </c>
    </row>
    <row r="864" spans="1:6" x14ac:dyDescent="0.25">
      <c r="A864" t="str">
        <f t="shared" si="13"/>
        <v>826+1+2085P0229X</v>
      </c>
      <c r="B864">
        <v>3375</v>
      </c>
      <c r="C864">
        <v>826</v>
      </c>
      <c r="D864">
        <v>1</v>
      </c>
      <c r="E864" t="s">
        <v>1374</v>
      </c>
      <c r="F864" t="s">
        <v>3281</v>
      </c>
    </row>
    <row r="865" spans="1:6" x14ac:dyDescent="0.25">
      <c r="A865" t="str">
        <f t="shared" si="13"/>
        <v>827+7+2085R0001X</v>
      </c>
      <c r="B865">
        <v>3376</v>
      </c>
      <c r="C865">
        <v>827</v>
      </c>
      <c r="D865">
        <v>7</v>
      </c>
      <c r="E865" t="s">
        <v>1376</v>
      </c>
      <c r="F865" t="s">
        <v>3282</v>
      </c>
    </row>
    <row r="866" spans="1:6" x14ac:dyDescent="0.25">
      <c r="A866" t="str">
        <f t="shared" si="13"/>
        <v>828+1+2085R0001X</v>
      </c>
      <c r="B866">
        <v>3377</v>
      </c>
      <c r="C866">
        <v>828</v>
      </c>
      <c r="D866">
        <v>1</v>
      </c>
      <c r="E866" t="s">
        <v>1376</v>
      </c>
      <c r="F866" t="s">
        <v>3282</v>
      </c>
    </row>
    <row r="867" spans="1:6" x14ac:dyDescent="0.25">
      <c r="A867" t="str">
        <f t="shared" si="13"/>
        <v>829+7+2085R0205X</v>
      </c>
      <c r="B867">
        <v>3378</v>
      </c>
      <c r="C867">
        <v>829</v>
      </c>
      <c r="D867">
        <v>7</v>
      </c>
      <c r="E867" t="s">
        <v>1386</v>
      </c>
      <c r="F867" t="s">
        <v>3283</v>
      </c>
    </row>
    <row r="868" spans="1:6" x14ac:dyDescent="0.25">
      <c r="A868" t="str">
        <f t="shared" si="13"/>
        <v>830+1+2085R0205X</v>
      </c>
      <c r="B868">
        <v>3379</v>
      </c>
      <c r="C868">
        <v>830</v>
      </c>
      <c r="D868">
        <v>1</v>
      </c>
      <c r="E868" t="s">
        <v>1386</v>
      </c>
      <c r="F868" t="s">
        <v>3283</v>
      </c>
    </row>
    <row r="869" spans="1:6" x14ac:dyDescent="0.25">
      <c r="A869" t="str">
        <f t="shared" si="13"/>
        <v>831+7+2085R0203X</v>
      </c>
      <c r="B869">
        <v>3380</v>
      </c>
      <c r="C869">
        <v>831</v>
      </c>
      <c r="D869">
        <v>7</v>
      </c>
      <c r="E869" t="s">
        <v>1381</v>
      </c>
      <c r="F869" t="s">
        <v>3284</v>
      </c>
    </row>
    <row r="870" spans="1:6" x14ac:dyDescent="0.25">
      <c r="A870" t="str">
        <f t="shared" si="13"/>
        <v>832+1+2085R0203X</v>
      </c>
      <c r="B870">
        <v>3381</v>
      </c>
      <c r="C870">
        <v>832</v>
      </c>
      <c r="D870">
        <v>1</v>
      </c>
      <c r="E870" t="s">
        <v>1381</v>
      </c>
      <c r="F870" t="s">
        <v>3284</v>
      </c>
    </row>
    <row r="871" spans="1:6" x14ac:dyDescent="0.25">
      <c r="A871" t="str">
        <f t="shared" si="13"/>
        <v>833+7+2085R0204X</v>
      </c>
      <c r="B871">
        <v>3382</v>
      </c>
      <c r="C871">
        <v>833</v>
      </c>
      <c r="D871">
        <v>7</v>
      </c>
      <c r="E871" t="s">
        <v>1384</v>
      </c>
      <c r="F871" t="s">
        <v>3285</v>
      </c>
    </row>
    <row r="872" spans="1:6" x14ac:dyDescent="0.25">
      <c r="A872" t="str">
        <f t="shared" si="13"/>
        <v>834+1+2085R0204X</v>
      </c>
      <c r="B872">
        <v>3383</v>
      </c>
      <c r="C872">
        <v>834</v>
      </c>
      <c r="D872">
        <v>1</v>
      </c>
      <c r="E872" t="s">
        <v>1384</v>
      </c>
      <c r="F872" t="s">
        <v>3285</v>
      </c>
    </row>
    <row r="873" spans="1:6" x14ac:dyDescent="0.25">
      <c r="A873" t="str">
        <f t="shared" si="13"/>
        <v>835+7+208600000X</v>
      </c>
      <c r="B873">
        <v>3384</v>
      </c>
      <c r="C873">
        <v>835</v>
      </c>
      <c r="D873">
        <v>7</v>
      </c>
      <c r="E873" t="s">
        <v>1389</v>
      </c>
      <c r="F873" t="s">
        <v>3286</v>
      </c>
    </row>
    <row r="874" spans="1:6" x14ac:dyDescent="0.25">
      <c r="A874" t="str">
        <f t="shared" si="13"/>
        <v>836+1+208600000X</v>
      </c>
      <c r="B874">
        <v>3385</v>
      </c>
      <c r="C874">
        <v>836</v>
      </c>
      <c r="D874">
        <v>1</v>
      </c>
      <c r="E874" t="s">
        <v>1389</v>
      </c>
      <c r="F874" t="s">
        <v>3286</v>
      </c>
    </row>
    <row r="875" spans="1:6" x14ac:dyDescent="0.25">
      <c r="A875" t="str">
        <f t="shared" si="13"/>
        <v>837+7+2086S0120X</v>
      </c>
      <c r="B875">
        <v>3386</v>
      </c>
      <c r="C875">
        <v>837</v>
      </c>
      <c r="D875">
        <v>7</v>
      </c>
      <c r="E875" t="s">
        <v>1050</v>
      </c>
      <c r="F875" t="s">
        <v>3287</v>
      </c>
    </row>
    <row r="876" spans="1:6" x14ac:dyDescent="0.25">
      <c r="A876" t="str">
        <f t="shared" si="13"/>
        <v>838+1+2086S0120X</v>
      </c>
      <c r="B876">
        <v>3387</v>
      </c>
      <c r="C876">
        <v>838</v>
      </c>
      <c r="D876">
        <v>1</v>
      </c>
      <c r="E876" t="s">
        <v>1050</v>
      </c>
      <c r="F876" t="s">
        <v>3287</v>
      </c>
    </row>
    <row r="877" spans="1:6" x14ac:dyDescent="0.25">
      <c r="A877" t="str">
        <f t="shared" si="13"/>
        <v>839+7+2086S0122X</v>
      </c>
      <c r="B877">
        <v>3388</v>
      </c>
      <c r="C877">
        <v>839</v>
      </c>
      <c r="D877">
        <v>7</v>
      </c>
      <c r="E877" t="s">
        <v>1395</v>
      </c>
      <c r="F877" t="s">
        <v>3288</v>
      </c>
    </row>
    <row r="878" spans="1:6" x14ac:dyDescent="0.25">
      <c r="A878" t="str">
        <f t="shared" si="13"/>
        <v>840+1+2086S0122X</v>
      </c>
      <c r="B878">
        <v>3389</v>
      </c>
      <c r="C878">
        <v>840</v>
      </c>
      <c r="D878">
        <v>1</v>
      </c>
      <c r="E878" t="s">
        <v>1395</v>
      </c>
      <c r="F878" t="s">
        <v>3288</v>
      </c>
    </row>
    <row r="879" spans="1:6" x14ac:dyDescent="0.25">
      <c r="A879" t="str">
        <f t="shared" si="13"/>
        <v>841+7+2086S0105X</v>
      </c>
      <c r="B879">
        <v>3390</v>
      </c>
      <c r="C879">
        <v>841</v>
      </c>
      <c r="D879">
        <v>7</v>
      </c>
      <c r="E879" t="s">
        <v>1393</v>
      </c>
      <c r="F879" t="s">
        <v>3289</v>
      </c>
    </row>
    <row r="880" spans="1:6" x14ac:dyDescent="0.25">
      <c r="A880" t="str">
        <f t="shared" si="13"/>
        <v>842+1+2086S0105X</v>
      </c>
      <c r="B880">
        <v>3391</v>
      </c>
      <c r="C880">
        <v>842</v>
      </c>
      <c r="D880">
        <v>1</v>
      </c>
      <c r="E880" t="s">
        <v>1393</v>
      </c>
      <c r="F880" t="s">
        <v>3289</v>
      </c>
    </row>
    <row r="881" spans="1:6" x14ac:dyDescent="0.25">
      <c r="A881" t="str">
        <f t="shared" si="13"/>
        <v>843+7+2086S0102X</v>
      </c>
      <c r="B881">
        <v>3392</v>
      </c>
      <c r="C881">
        <v>843</v>
      </c>
      <c r="D881">
        <v>7</v>
      </c>
      <c r="E881" t="s">
        <v>1392</v>
      </c>
      <c r="F881" t="s">
        <v>3290</v>
      </c>
    </row>
    <row r="882" spans="1:6" x14ac:dyDescent="0.25">
      <c r="A882" t="str">
        <f t="shared" si="13"/>
        <v>844+1+2086S0102X</v>
      </c>
      <c r="B882">
        <v>3393</v>
      </c>
      <c r="C882">
        <v>844</v>
      </c>
      <c r="D882">
        <v>1</v>
      </c>
      <c r="E882" t="s">
        <v>1392</v>
      </c>
      <c r="F882" t="s">
        <v>3290</v>
      </c>
    </row>
    <row r="883" spans="1:6" x14ac:dyDescent="0.25">
      <c r="A883" t="str">
        <f t="shared" si="13"/>
        <v>845+7+2086X0206X</v>
      </c>
      <c r="B883">
        <v>3394</v>
      </c>
      <c r="C883">
        <v>845</v>
      </c>
      <c r="D883">
        <v>7</v>
      </c>
      <c r="E883" t="s">
        <v>1053</v>
      </c>
      <c r="F883" t="s">
        <v>3291</v>
      </c>
    </row>
    <row r="884" spans="1:6" x14ac:dyDescent="0.25">
      <c r="A884" t="str">
        <f t="shared" si="13"/>
        <v>846+1+2086X0206X</v>
      </c>
      <c r="B884">
        <v>3395</v>
      </c>
      <c r="C884">
        <v>846</v>
      </c>
      <c r="D884">
        <v>1</v>
      </c>
      <c r="E884" t="s">
        <v>1053</v>
      </c>
      <c r="F884" t="s">
        <v>3291</v>
      </c>
    </row>
    <row r="885" spans="1:6" x14ac:dyDescent="0.25">
      <c r="A885" t="str">
        <f t="shared" si="13"/>
        <v>847+7+2086S0127X</v>
      </c>
      <c r="B885">
        <v>3396</v>
      </c>
      <c r="C885">
        <v>847</v>
      </c>
      <c r="D885">
        <v>7</v>
      </c>
      <c r="E885" t="s">
        <v>1397</v>
      </c>
      <c r="F885" t="s">
        <v>3292</v>
      </c>
    </row>
    <row r="886" spans="1:6" x14ac:dyDescent="0.25">
      <c r="A886" t="str">
        <f t="shared" si="13"/>
        <v>848+1+2086S0127X</v>
      </c>
      <c r="B886">
        <v>3397</v>
      </c>
      <c r="C886">
        <v>848</v>
      </c>
      <c r="D886">
        <v>1</v>
      </c>
      <c r="E886" t="s">
        <v>1397</v>
      </c>
      <c r="F886" t="s">
        <v>3292</v>
      </c>
    </row>
    <row r="887" spans="1:6" x14ac:dyDescent="0.25">
      <c r="A887" t="str">
        <f t="shared" si="13"/>
        <v>849+7+2086S0129X</v>
      </c>
      <c r="B887">
        <v>3398</v>
      </c>
      <c r="C887">
        <v>849</v>
      </c>
      <c r="D887">
        <v>7</v>
      </c>
      <c r="E887" t="s">
        <v>1399</v>
      </c>
      <c r="F887" t="s">
        <v>3293</v>
      </c>
    </row>
    <row r="888" spans="1:6" x14ac:dyDescent="0.25">
      <c r="A888" t="str">
        <f t="shared" si="13"/>
        <v>850+1+2086S0129X</v>
      </c>
      <c r="B888">
        <v>3399</v>
      </c>
      <c r="C888">
        <v>850</v>
      </c>
      <c r="D888">
        <v>1</v>
      </c>
      <c r="E888" t="s">
        <v>1399</v>
      </c>
      <c r="F888" t="s">
        <v>3293</v>
      </c>
    </row>
    <row r="889" spans="1:6" x14ac:dyDescent="0.25">
      <c r="A889" t="str">
        <f t="shared" si="13"/>
        <v>851+7+208G00000X</v>
      </c>
      <c r="B889">
        <v>3400</v>
      </c>
      <c r="C889">
        <v>851</v>
      </c>
      <c r="D889">
        <v>7</v>
      </c>
      <c r="E889" t="s">
        <v>1411</v>
      </c>
      <c r="F889" t="s">
        <v>3294</v>
      </c>
    </row>
    <row r="890" spans="1:6" x14ac:dyDescent="0.25">
      <c r="A890" t="str">
        <f t="shared" si="13"/>
        <v>852+1+208G00000X</v>
      </c>
      <c r="B890">
        <v>3401</v>
      </c>
      <c r="C890">
        <v>852</v>
      </c>
      <c r="D890">
        <v>1</v>
      </c>
      <c r="E890" t="s">
        <v>1411</v>
      </c>
      <c r="F890" t="s">
        <v>3294</v>
      </c>
    </row>
    <row r="891" spans="1:6" x14ac:dyDescent="0.25">
      <c r="A891" t="str">
        <f t="shared" si="13"/>
        <v>853+7+204F00000X</v>
      </c>
      <c r="B891">
        <v>3402</v>
      </c>
      <c r="C891">
        <v>853</v>
      </c>
      <c r="D891">
        <v>7</v>
      </c>
      <c r="E891" t="s">
        <v>1068</v>
      </c>
      <c r="F891" t="s">
        <v>3295</v>
      </c>
    </row>
    <row r="892" spans="1:6" x14ac:dyDescent="0.25">
      <c r="A892" t="str">
        <f t="shared" si="13"/>
        <v>854+1+204F00000X</v>
      </c>
      <c r="B892">
        <v>3403</v>
      </c>
      <c r="C892">
        <v>854</v>
      </c>
      <c r="D892">
        <v>1</v>
      </c>
      <c r="E892" t="s">
        <v>1068</v>
      </c>
      <c r="F892" t="s">
        <v>3295</v>
      </c>
    </row>
    <row r="893" spans="1:6" x14ac:dyDescent="0.25">
      <c r="A893" t="str">
        <f t="shared" si="13"/>
        <v>1001+20+171100000X</v>
      </c>
      <c r="B893">
        <v>3404</v>
      </c>
      <c r="C893">
        <v>1001</v>
      </c>
      <c r="D893">
        <v>20</v>
      </c>
      <c r="E893" t="s">
        <v>712</v>
      </c>
      <c r="F893" t="s">
        <v>3296</v>
      </c>
    </row>
    <row r="894" spans="1:6" x14ac:dyDescent="0.25">
      <c r="A894" t="str">
        <f t="shared" si="13"/>
        <v>1003+22+231H00000X</v>
      </c>
      <c r="B894">
        <v>3405</v>
      </c>
      <c r="C894">
        <v>1003</v>
      </c>
      <c r="D894">
        <v>22</v>
      </c>
      <c r="E894" t="s">
        <v>816</v>
      </c>
      <c r="F894" t="s">
        <v>817</v>
      </c>
    </row>
    <row r="895" spans="1:6" x14ac:dyDescent="0.25">
      <c r="A895" t="str">
        <f t="shared" si="13"/>
        <v>1004+22+231HA2400X</v>
      </c>
      <c r="B895">
        <v>3406</v>
      </c>
      <c r="C895">
        <v>1004</v>
      </c>
      <c r="D895">
        <v>22</v>
      </c>
      <c r="E895" t="s">
        <v>819</v>
      </c>
      <c r="F895" t="s">
        <v>3297</v>
      </c>
    </row>
    <row r="896" spans="1:6" x14ac:dyDescent="0.25">
      <c r="A896" t="str">
        <f t="shared" si="13"/>
        <v>1005+22+231HA2500X</v>
      </c>
      <c r="B896">
        <v>3407</v>
      </c>
      <c r="C896">
        <v>1005</v>
      </c>
      <c r="D896">
        <v>22</v>
      </c>
      <c r="E896" t="s">
        <v>822</v>
      </c>
      <c r="F896" t="s">
        <v>3298</v>
      </c>
    </row>
    <row r="897" spans="1:6" x14ac:dyDescent="0.25">
      <c r="A897" t="str">
        <f t="shared" si="13"/>
        <v>1006+22+235Z00000X</v>
      </c>
      <c r="B897">
        <v>3408</v>
      </c>
      <c r="C897">
        <v>1006</v>
      </c>
      <c r="D897">
        <v>22</v>
      </c>
      <c r="E897" t="s">
        <v>750</v>
      </c>
      <c r="F897" t="s">
        <v>3299</v>
      </c>
    </row>
    <row r="898" spans="1:6" x14ac:dyDescent="0.25">
      <c r="A898" t="str">
        <f t="shared" ref="A898:A961" si="14">C898 &amp; "+" &amp; D898 &amp; "+" &amp; E898</f>
        <v>1008+49+231H00000X</v>
      </c>
      <c r="B898">
        <v>3409</v>
      </c>
      <c r="C898">
        <v>1008</v>
      </c>
      <c r="D898">
        <v>49</v>
      </c>
      <c r="E898" t="s">
        <v>816</v>
      </c>
      <c r="F898" t="s">
        <v>817</v>
      </c>
    </row>
    <row r="899" spans="1:6" x14ac:dyDescent="0.25">
      <c r="A899" t="str">
        <f t="shared" si="14"/>
        <v>1009+49+231HA2400X</v>
      </c>
      <c r="B899">
        <v>3410</v>
      </c>
      <c r="C899">
        <v>1009</v>
      </c>
      <c r="D899">
        <v>49</v>
      </c>
      <c r="E899" t="s">
        <v>819</v>
      </c>
      <c r="F899" t="s">
        <v>3297</v>
      </c>
    </row>
    <row r="900" spans="1:6" x14ac:dyDescent="0.25">
      <c r="A900" t="str">
        <f t="shared" si="14"/>
        <v>1010+49+231HA2500X</v>
      </c>
      <c r="B900">
        <v>3411</v>
      </c>
      <c r="C900">
        <v>1010</v>
      </c>
      <c r="D900">
        <v>49</v>
      </c>
      <c r="E900" t="s">
        <v>822</v>
      </c>
      <c r="F900" t="s">
        <v>3298</v>
      </c>
    </row>
    <row r="901" spans="1:6" x14ac:dyDescent="0.25">
      <c r="A901" t="str">
        <f t="shared" si="14"/>
        <v>1011+49+235Z00000X</v>
      </c>
      <c r="B901">
        <v>3412</v>
      </c>
      <c r="C901">
        <v>1011</v>
      </c>
      <c r="D901">
        <v>49</v>
      </c>
      <c r="E901" t="s">
        <v>750</v>
      </c>
      <c r="F901" t="s">
        <v>3299</v>
      </c>
    </row>
    <row r="902" spans="1:6" x14ac:dyDescent="0.25">
      <c r="A902" t="str">
        <f t="shared" si="14"/>
        <v>1013+21+101Y00000X</v>
      </c>
      <c r="B902">
        <v>3413</v>
      </c>
      <c r="C902">
        <v>1013</v>
      </c>
      <c r="D902">
        <v>21</v>
      </c>
      <c r="E902" t="s">
        <v>445</v>
      </c>
      <c r="F902" t="s">
        <v>1818</v>
      </c>
    </row>
    <row r="903" spans="1:6" x14ac:dyDescent="0.25">
      <c r="A903" t="str">
        <f t="shared" si="14"/>
        <v>1014+21+101YA0400X</v>
      </c>
      <c r="B903">
        <v>3414</v>
      </c>
      <c r="C903">
        <v>1014</v>
      </c>
      <c r="D903">
        <v>21</v>
      </c>
      <c r="E903" t="s">
        <v>449</v>
      </c>
      <c r="F903" t="s">
        <v>3300</v>
      </c>
    </row>
    <row r="904" spans="1:6" x14ac:dyDescent="0.25">
      <c r="A904" t="str">
        <f t="shared" si="14"/>
        <v>1015+21+101YM0800X</v>
      </c>
      <c r="B904">
        <v>3415</v>
      </c>
      <c r="C904">
        <v>1015</v>
      </c>
      <c r="D904">
        <v>21</v>
      </c>
      <c r="E904" t="s">
        <v>452</v>
      </c>
      <c r="F904" t="s">
        <v>3301</v>
      </c>
    </row>
    <row r="905" spans="1:6" x14ac:dyDescent="0.25">
      <c r="A905" t="str">
        <f t="shared" si="14"/>
        <v>1016+21+101YP2500X</v>
      </c>
      <c r="B905">
        <v>3416</v>
      </c>
      <c r="C905">
        <v>1016</v>
      </c>
      <c r="D905">
        <v>21</v>
      </c>
      <c r="E905" t="s">
        <v>456</v>
      </c>
      <c r="F905" t="s">
        <v>3302</v>
      </c>
    </row>
    <row r="906" spans="1:6" x14ac:dyDescent="0.25">
      <c r="A906" t="str">
        <f t="shared" si="14"/>
        <v>1017+21+106H00000X</v>
      </c>
      <c r="B906">
        <v>3417</v>
      </c>
      <c r="C906">
        <v>1017</v>
      </c>
      <c r="D906">
        <v>21</v>
      </c>
      <c r="E906" t="s">
        <v>466</v>
      </c>
      <c r="F906" t="s">
        <v>3303</v>
      </c>
    </row>
    <row r="907" spans="1:6" x14ac:dyDescent="0.25">
      <c r="A907" t="str">
        <f t="shared" si="14"/>
        <v>1019+45+101Y00000X</v>
      </c>
      <c r="B907">
        <v>3418</v>
      </c>
      <c r="C907">
        <v>1019</v>
      </c>
      <c r="D907">
        <v>45</v>
      </c>
      <c r="E907" t="s">
        <v>445</v>
      </c>
      <c r="F907" t="s">
        <v>1818</v>
      </c>
    </row>
    <row r="908" spans="1:6" x14ac:dyDescent="0.25">
      <c r="A908" t="str">
        <f t="shared" si="14"/>
        <v>1020+45+101YA0400X</v>
      </c>
      <c r="B908">
        <v>3419</v>
      </c>
      <c r="C908">
        <v>1020</v>
      </c>
      <c r="D908">
        <v>45</v>
      </c>
      <c r="E908" t="s">
        <v>449</v>
      </c>
      <c r="F908" t="s">
        <v>3300</v>
      </c>
    </row>
    <row r="909" spans="1:6" x14ac:dyDescent="0.25">
      <c r="A909" t="str">
        <f t="shared" si="14"/>
        <v>1021+45+101YM0800X</v>
      </c>
      <c r="B909">
        <v>3420</v>
      </c>
      <c r="C909">
        <v>1021</v>
      </c>
      <c r="D909">
        <v>45</v>
      </c>
      <c r="E909" t="s">
        <v>452</v>
      </c>
      <c r="F909" t="s">
        <v>3301</v>
      </c>
    </row>
    <row r="910" spans="1:6" x14ac:dyDescent="0.25">
      <c r="A910" t="str">
        <f t="shared" si="14"/>
        <v>1022+45+101YP2500X</v>
      </c>
      <c r="B910">
        <v>3421</v>
      </c>
      <c r="C910">
        <v>1022</v>
      </c>
      <c r="D910">
        <v>45</v>
      </c>
      <c r="E910" t="s">
        <v>456</v>
      </c>
      <c r="F910" t="s">
        <v>3302</v>
      </c>
    </row>
    <row r="911" spans="1:6" x14ac:dyDescent="0.25">
      <c r="A911" t="str">
        <f t="shared" si="14"/>
        <v>1023+45+106H00000X</v>
      </c>
      <c r="B911">
        <v>3422</v>
      </c>
      <c r="C911">
        <v>1023</v>
      </c>
      <c r="D911">
        <v>45</v>
      </c>
      <c r="E911" t="s">
        <v>466</v>
      </c>
      <c r="F911" t="s">
        <v>3303</v>
      </c>
    </row>
    <row r="912" spans="1:6" x14ac:dyDescent="0.25">
      <c r="A912" t="str">
        <f t="shared" si="14"/>
        <v>1025+31+101Y00000X</v>
      </c>
      <c r="B912">
        <v>3423</v>
      </c>
      <c r="C912">
        <v>1025</v>
      </c>
      <c r="D912">
        <v>31</v>
      </c>
      <c r="E912" t="s">
        <v>445</v>
      </c>
      <c r="F912" t="s">
        <v>1818</v>
      </c>
    </row>
    <row r="913" spans="1:6" x14ac:dyDescent="0.25">
      <c r="A913" t="str">
        <f t="shared" si="14"/>
        <v>1026+31+101YA0400X</v>
      </c>
      <c r="B913">
        <v>3424</v>
      </c>
      <c r="C913">
        <v>1026</v>
      </c>
      <c r="D913">
        <v>31</v>
      </c>
      <c r="E913" t="s">
        <v>449</v>
      </c>
      <c r="F913" t="s">
        <v>3300</v>
      </c>
    </row>
    <row r="914" spans="1:6" x14ac:dyDescent="0.25">
      <c r="A914" t="str">
        <f t="shared" si="14"/>
        <v>1027+31+101YM0800X</v>
      </c>
      <c r="B914">
        <v>3425</v>
      </c>
      <c r="C914">
        <v>1027</v>
      </c>
      <c r="D914">
        <v>31</v>
      </c>
      <c r="E914" t="s">
        <v>452</v>
      </c>
      <c r="F914" t="s">
        <v>3301</v>
      </c>
    </row>
    <row r="915" spans="1:6" x14ac:dyDescent="0.25">
      <c r="A915" t="str">
        <f t="shared" si="14"/>
        <v>1028+31+101YP2500X</v>
      </c>
      <c r="B915">
        <v>3426</v>
      </c>
      <c r="C915">
        <v>1028</v>
      </c>
      <c r="D915">
        <v>31</v>
      </c>
      <c r="E915" t="s">
        <v>456</v>
      </c>
      <c r="F915" t="s">
        <v>3302</v>
      </c>
    </row>
    <row r="916" spans="1:6" x14ac:dyDescent="0.25">
      <c r="A916" t="str">
        <f t="shared" si="14"/>
        <v>1029+31+106H00000X</v>
      </c>
      <c r="B916">
        <v>3427</v>
      </c>
      <c r="C916">
        <v>1029</v>
      </c>
      <c r="D916">
        <v>31</v>
      </c>
      <c r="E916" t="s">
        <v>466</v>
      </c>
      <c r="F916" t="s">
        <v>3303</v>
      </c>
    </row>
    <row r="917" spans="1:6" x14ac:dyDescent="0.25">
      <c r="A917" t="str">
        <f t="shared" si="14"/>
        <v>1031+25+374T00000X</v>
      </c>
      <c r="B917">
        <v>3428</v>
      </c>
      <c r="C917">
        <v>1031</v>
      </c>
      <c r="D917">
        <v>25</v>
      </c>
      <c r="E917" t="s">
        <v>660</v>
      </c>
      <c r="F917" t="s">
        <v>3304</v>
      </c>
    </row>
    <row r="918" spans="1:6" x14ac:dyDescent="0.25">
      <c r="A918" t="str">
        <f t="shared" si="14"/>
        <v>1033+29+133V00000X</v>
      </c>
      <c r="B918">
        <v>3429</v>
      </c>
      <c r="C918">
        <v>1033</v>
      </c>
      <c r="D918">
        <v>29</v>
      </c>
      <c r="E918" t="s">
        <v>839</v>
      </c>
      <c r="F918" t="s">
        <v>3305</v>
      </c>
    </row>
    <row r="919" spans="1:6" x14ac:dyDescent="0.25">
      <c r="A919" t="str">
        <f t="shared" si="14"/>
        <v>1034+29+133VN1004X</v>
      </c>
      <c r="B919">
        <v>3430</v>
      </c>
      <c r="C919">
        <v>1034</v>
      </c>
      <c r="D919">
        <v>29</v>
      </c>
      <c r="E919" t="s">
        <v>841</v>
      </c>
      <c r="F919" t="s">
        <v>3306</v>
      </c>
    </row>
    <row r="920" spans="1:6" x14ac:dyDescent="0.25">
      <c r="A920" t="str">
        <f t="shared" si="14"/>
        <v>1035+29+133VN1005X</v>
      </c>
      <c r="B920">
        <v>3431</v>
      </c>
      <c r="C920">
        <v>1035</v>
      </c>
      <c r="D920">
        <v>29</v>
      </c>
      <c r="E920" t="s">
        <v>843</v>
      </c>
      <c r="F920" t="s">
        <v>3307</v>
      </c>
    </row>
    <row r="921" spans="1:6" x14ac:dyDescent="0.25">
      <c r="A921" t="str">
        <f t="shared" si="14"/>
        <v>1036+29+133VN1006X</v>
      </c>
      <c r="B921">
        <v>3432</v>
      </c>
      <c r="C921">
        <v>1036</v>
      </c>
      <c r="D921">
        <v>29</v>
      </c>
      <c r="E921" t="s">
        <v>845</v>
      </c>
      <c r="F921" t="s">
        <v>3308</v>
      </c>
    </row>
    <row r="922" spans="1:6" x14ac:dyDescent="0.25">
      <c r="A922" t="str">
        <f t="shared" si="14"/>
        <v>1037+29+133N00000X</v>
      </c>
      <c r="B922">
        <v>3433</v>
      </c>
      <c r="C922">
        <v>1037</v>
      </c>
      <c r="D922">
        <v>29</v>
      </c>
      <c r="E922" t="s">
        <v>835</v>
      </c>
      <c r="F922" t="s">
        <v>833</v>
      </c>
    </row>
    <row r="923" spans="1:6" x14ac:dyDescent="0.25">
      <c r="A923" t="str">
        <f t="shared" si="14"/>
        <v>1038+29+133NN1002X</v>
      </c>
      <c r="B923">
        <v>3434</v>
      </c>
      <c r="C923">
        <v>1038</v>
      </c>
      <c r="D923">
        <v>29</v>
      </c>
      <c r="E923" t="s">
        <v>837</v>
      </c>
      <c r="F923" t="s">
        <v>3309</v>
      </c>
    </row>
    <row r="924" spans="1:6" x14ac:dyDescent="0.25">
      <c r="A924" t="str">
        <f t="shared" si="14"/>
        <v>1040+38+133V00000X</v>
      </c>
      <c r="B924">
        <v>3435</v>
      </c>
      <c r="C924">
        <v>1040</v>
      </c>
      <c r="D924">
        <v>38</v>
      </c>
      <c r="E924" t="s">
        <v>839</v>
      </c>
      <c r="F924" t="s">
        <v>3305</v>
      </c>
    </row>
    <row r="925" spans="1:6" x14ac:dyDescent="0.25">
      <c r="A925" t="str">
        <f t="shared" si="14"/>
        <v>1041+38+133VN1004X</v>
      </c>
      <c r="B925">
        <v>3436</v>
      </c>
      <c r="C925">
        <v>1041</v>
      </c>
      <c r="D925">
        <v>38</v>
      </c>
      <c r="E925" t="s">
        <v>841</v>
      </c>
      <c r="F925" t="s">
        <v>3306</v>
      </c>
    </row>
    <row r="926" spans="1:6" x14ac:dyDescent="0.25">
      <c r="A926" t="str">
        <f t="shared" si="14"/>
        <v>1042+38+133VN1005X</v>
      </c>
      <c r="B926">
        <v>3437</v>
      </c>
      <c r="C926">
        <v>1042</v>
      </c>
      <c r="D926">
        <v>38</v>
      </c>
      <c r="E926" t="s">
        <v>843</v>
      </c>
      <c r="F926" t="s">
        <v>3307</v>
      </c>
    </row>
    <row r="927" spans="1:6" x14ac:dyDescent="0.25">
      <c r="A927" t="str">
        <f t="shared" si="14"/>
        <v>1043+38+133VN1006X</v>
      </c>
      <c r="B927">
        <v>3438</v>
      </c>
      <c r="C927">
        <v>1043</v>
      </c>
      <c r="D927">
        <v>38</v>
      </c>
      <c r="E927" t="s">
        <v>845</v>
      </c>
      <c r="F927" t="s">
        <v>3308</v>
      </c>
    </row>
    <row r="928" spans="1:6" x14ac:dyDescent="0.25">
      <c r="A928" t="str">
        <f t="shared" si="14"/>
        <v>1044+38+133N00000X</v>
      </c>
      <c r="B928">
        <v>3439</v>
      </c>
      <c r="C928">
        <v>1044</v>
      </c>
      <c r="D928">
        <v>38</v>
      </c>
      <c r="E928" t="s">
        <v>835</v>
      </c>
      <c r="F928" t="s">
        <v>833</v>
      </c>
    </row>
    <row r="929" spans="1:6" x14ac:dyDescent="0.25">
      <c r="A929" t="str">
        <f t="shared" si="14"/>
        <v>1045+38+133NN1002X</v>
      </c>
      <c r="B929">
        <v>3440</v>
      </c>
      <c r="C929">
        <v>1045</v>
      </c>
      <c r="D929">
        <v>38</v>
      </c>
      <c r="E929" t="s">
        <v>837</v>
      </c>
      <c r="F929" t="s">
        <v>3309</v>
      </c>
    </row>
    <row r="930" spans="1:6" x14ac:dyDescent="0.25">
      <c r="A930" t="str">
        <f t="shared" si="14"/>
        <v>1047+32+225700000X</v>
      </c>
      <c r="B930">
        <v>3441</v>
      </c>
      <c r="C930">
        <v>1047</v>
      </c>
      <c r="D930">
        <v>32</v>
      </c>
      <c r="E930" t="s">
        <v>1800</v>
      </c>
      <c r="F930" t="s">
        <v>2669</v>
      </c>
    </row>
    <row r="931" spans="1:6" x14ac:dyDescent="0.25">
      <c r="A931" t="str">
        <f t="shared" si="14"/>
        <v>1049+35+176B00000X</v>
      </c>
      <c r="B931">
        <v>3442</v>
      </c>
      <c r="C931">
        <v>1049</v>
      </c>
      <c r="D931">
        <v>35</v>
      </c>
      <c r="E931" t="s">
        <v>339</v>
      </c>
      <c r="F931" t="s">
        <v>3310</v>
      </c>
    </row>
    <row r="932" spans="1:6" x14ac:dyDescent="0.25">
      <c r="A932" t="str">
        <f t="shared" si="14"/>
        <v>1051+33+175F00000X</v>
      </c>
      <c r="B932">
        <v>3443</v>
      </c>
      <c r="C932">
        <v>1051</v>
      </c>
      <c r="D932">
        <v>33</v>
      </c>
      <c r="E932" t="s">
        <v>1678</v>
      </c>
      <c r="F932" t="s">
        <v>1679</v>
      </c>
    </row>
    <row r="933" spans="1:6" x14ac:dyDescent="0.25">
      <c r="A933" t="str">
        <f t="shared" si="14"/>
        <v>1053+34+103G00000X</v>
      </c>
      <c r="B933">
        <v>3444</v>
      </c>
      <c r="C933">
        <v>1053</v>
      </c>
      <c r="D933">
        <v>34</v>
      </c>
      <c r="E933" t="s">
        <v>479</v>
      </c>
      <c r="F933" t="s">
        <v>3311</v>
      </c>
    </row>
    <row r="934" spans="1:6" x14ac:dyDescent="0.25">
      <c r="A934" t="str">
        <f t="shared" si="14"/>
        <v>1055+39+225X00000X</v>
      </c>
      <c r="B934">
        <v>3445</v>
      </c>
      <c r="C934">
        <v>1055</v>
      </c>
      <c r="D934">
        <v>39</v>
      </c>
      <c r="E934" t="s">
        <v>738</v>
      </c>
      <c r="F934" t="s">
        <v>739</v>
      </c>
    </row>
    <row r="935" spans="1:6" x14ac:dyDescent="0.25">
      <c r="A935" t="str">
        <f t="shared" si="14"/>
        <v>1056+39+225XE1200X</v>
      </c>
      <c r="B935">
        <v>3446</v>
      </c>
      <c r="C935">
        <v>1056</v>
      </c>
      <c r="D935">
        <v>39</v>
      </c>
      <c r="E935" t="s">
        <v>740</v>
      </c>
      <c r="F935" t="s">
        <v>3312</v>
      </c>
    </row>
    <row r="936" spans="1:6" x14ac:dyDescent="0.25">
      <c r="A936" t="str">
        <f t="shared" si="14"/>
        <v>1057+39+225XH1200X</v>
      </c>
      <c r="B936">
        <v>3447</v>
      </c>
      <c r="C936">
        <v>1057</v>
      </c>
      <c r="D936">
        <v>39</v>
      </c>
      <c r="E936" t="s">
        <v>741</v>
      </c>
      <c r="F936" t="s">
        <v>3313</v>
      </c>
    </row>
    <row r="937" spans="1:6" x14ac:dyDescent="0.25">
      <c r="A937" t="str">
        <f t="shared" si="14"/>
        <v>1058+39+225XH1300X</v>
      </c>
      <c r="B937">
        <v>3448</v>
      </c>
      <c r="C937">
        <v>1058</v>
      </c>
      <c r="D937">
        <v>39</v>
      </c>
      <c r="E937" t="s">
        <v>742</v>
      </c>
      <c r="F937" t="s">
        <v>3314</v>
      </c>
    </row>
    <row r="938" spans="1:6" x14ac:dyDescent="0.25">
      <c r="A938" t="str">
        <f t="shared" si="14"/>
        <v>1059+39+225XN1300X</v>
      </c>
      <c r="B938">
        <v>3449</v>
      </c>
      <c r="C938">
        <v>1059</v>
      </c>
      <c r="D938">
        <v>39</v>
      </c>
      <c r="E938" t="s">
        <v>744</v>
      </c>
      <c r="F938" t="s">
        <v>3315</v>
      </c>
    </row>
    <row r="939" spans="1:6" x14ac:dyDescent="0.25">
      <c r="A939" t="str">
        <f t="shared" si="14"/>
        <v>1060+39+225XP0200X</v>
      </c>
      <c r="B939">
        <v>3450</v>
      </c>
      <c r="C939">
        <v>1060</v>
      </c>
      <c r="D939">
        <v>39</v>
      </c>
      <c r="E939" t="s">
        <v>745</v>
      </c>
      <c r="F939" t="s">
        <v>3316</v>
      </c>
    </row>
    <row r="940" spans="1:6" x14ac:dyDescent="0.25">
      <c r="A940" t="str">
        <f t="shared" si="14"/>
        <v>1061+39+225XR0403X</v>
      </c>
      <c r="B940">
        <v>3451</v>
      </c>
      <c r="C940">
        <v>1061</v>
      </c>
      <c r="D940">
        <v>39</v>
      </c>
      <c r="E940" t="s">
        <v>747</v>
      </c>
      <c r="F940" t="s">
        <v>3317</v>
      </c>
    </row>
    <row r="941" spans="1:6" x14ac:dyDescent="0.25">
      <c r="A941" t="str">
        <f t="shared" si="14"/>
        <v>1063+40+156F00000X</v>
      </c>
      <c r="B941">
        <v>9343</v>
      </c>
      <c r="C941">
        <v>1063</v>
      </c>
      <c r="D941">
        <v>40</v>
      </c>
      <c r="E941" t="s">
        <v>796</v>
      </c>
      <c r="F941" t="s">
        <v>3716</v>
      </c>
    </row>
    <row r="942" spans="1:6" x14ac:dyDescent="0.25">
      <c r="A942" t="str">
        <f t="shared" si="14"/>
        <v>1063+40+156FC0800X</v>
      </c>
      <c r="B942">
        <v>9344</v>
      </c>
      <c r="C942">
        <v>1063</v>
      </c>
      <c r="D942">
        <v>40</v>
      </c>
      <c r="E942" t="s">
        <v>799</v>
      </c>
      <c r="F942" t="s">
        <v>3717</v>
      </c>
    </row>
    <row r="943" spans="1:6" x14ac:dyDescent="0.25">
      <c r="A943" t="str">
        <f t="shared" si="14"/>
        <v>1063+40+156FC0801X</v>
      </c>
      <c r="B943">
        <v>9345</v>
      </c>
      <c r="C943">
        <v>1063</v>
      </c>
      <c r="D943">
        <v>40</v>
      </c>
      <c r="E943" t="s">
        <v>801</v>
      </c>
      <c r="F943" t="s">
        <v>3718</v>
      </c>
    </row>
    <row r="944" spans="1:6" x14ac:dyDescent="0.25">
      <c r="A944" t="str">
        <f t="shared" si="14"/>
        <v>1063+40+156FX1100X</v>
      </c>
      <c r="B944">
        <v>9346</v>
      </c>
      <c r="C944">
        <v>1063</v>
      </c>
      <c r="D944">
        <v>40</v>
      </c>
      <c r="E944" t="s">
        <v>802</v>
      </c>
      <c r="F944" t="s">
        <v>3719</v>
      </c>
    </row>
    <row r="945" spans="1:6" x14ac:dyDescent="0.25">
      <c r="A945" t="str">
        <f t="shared" si="14"/>
        <v>1063+40+156FX1101X</v>
      </c>
      <c r="B945">
        <v>9347</v>
      </c>
      <c r="C945">
        <v>1063</v>
      </c>
      <c r="D945">
        <v>40</v>
      </c>
      <c r="E945" t="s">
        <v>804</v>
      </c>
      <c r="F945" t="s">
        <v>3720</v>
      </c>
    </row>
    <row r="946" spans="1:6" x14ac:dyDescent="0.25">
      <c r="A946" t="str">
        <f t="shared" si="14"/>
        <v>1063+40+156FX1201X</v>
      </c>
      <c r="B946">
        <v>9348</v>
      </c>
      <c r="C946">
        <v>1063</v>
      </c>
      <c r="D946">
        <v>40</v>
      </c>
      <c r="E946" t="s">
        <v>806</v>
      </c>
      <c r="F946" t="s">
        <v>3721</v>
      </c>
    </row>
    <row r="947" spans="1:6" x14ac:dyDescent="0.25">
      <c r="A947" t="str">
        <f t="shared" si="14"/>
        <v>1063+40+156FX1202X</v>
      </c>
      <c r="B947">
        <v>9349</v>
      </c>
      <c r="C947">
        <v>1063</v>
      </c>
      <c r="D947">
        <v>40</v>
      </c>
      <c r="E947" t="s">
        <v>808</v>
      </c>
      <c r="F947" t="s">
        <v>3722</v>
      </c>
    </row>
    <row r="948" spans="1:6" x14ac:dyDescent="0.25">
      <c r="A948" t="str">
        <f t="shared" si="14"/>
        <v>1063+40+156FX1700X</v>
      </c>
      <c r="B948">
        <v>9350</v>
      </c>
      <c r="C948">
        <v>1063</v>
      </c>
      <c r="D948">
        <v>40</v>
      </c>
      <c r="E948" t="s">
        <v>810</v>
      </c>
      <c r="F948" t="s">
        <v>3723</v>
      </c>
    </row>
    <row r="949" spans="1:6" x14ac:dyDescent="0.25">
      <c r="A949" t="str">
        <f t="shared" si="14"/>
        <v>1063+40+156FX1800X</v>
      </c>
      <c r="B949">
        <v>3452</v>
      </c>
      <c r="C949">
        <v>1063</v>
      </c>
      <c r="D949">
        <v>40</v>
      </c>
      <c r="E949" t="s">
        <v>812</v>
      </c>
      <c r="F949" t="s">
        <v>3724</v>
      </c>
    </row>
    <row r="950" spans="1:6" x14ac:dyDescent="0.25">
      <c r="A950" t="str">
        <f t="shared" si="14"/>
        <v>1063+40+156FX1900X</v>
      </c>
      <c r="B950">
        <v>9351</v>
      </c>
      <c r="C950">
        <v>1063</v>
      </c>
      <c r="D950">
        <v>40</v>
      </c>
      <c r="E950" t="s">
        <v>814</v>
      </c>
      <c r="F950" t="s">
        <v>3725</v>
      </c>
    </row>
    <row r="951" spans="1:6" x14ac:dyDescent="0.25">
      <c r="A951" t="str">
        <f t="shared" si="14"/>
        <v>1063+50+156FX1800X</v>
      </c>
      <c r="B951">
        <v>9394</v>
      </c>
      <c r="C951">
        <v>1063</v>
      </c>
      <c r="D951">
        <v>50</v>
      </c>
      <c r="E951" t="s">
        <v>812</v>
      </c>
      <c r="F951" t="s">
        <v>3724</v>
      </c>
    </row>
    <row r="952" spans="1:6" x14ac:dyDescent="0.25">
      <c r="A952" t="str">
        <f t="shared" si="14"/>
        <v>1063+51+156FX1800X</v>
      </c>
      <c r="B952">
        <v>9395</v>
      </c>
      <c r="C952">
        <v>1063</v>
      </c>
      <c r="D952">
        <v>51</v>
      </c>
      <c r="E952" t="s">
        <v>812</v>
      </c>
      <c r="F952" t="s">
        <v>3724</v>
      </c>
    </row>
    <row r="953" spans="1:6" x14ac:dyDescent="0.25">
      <c r="A953" t="str">
        <f t="shared" si="14"/>
        <v>1063+51+193400000X</v>
      </c>
      <c r="B953">
        <v>4464</v>
      </c>
      <c r="C953">
        <v>1063</v>
      </c>
      <c r="D953">
        <v>51</v>
      </c>
      <c r="E953" t="s">
        <v>1447</v>
      </c>
      <c r="F953" t="s">
        <v>3680</v>
      </c>
    </row>
    <row r="954" spans="1:6" x14ac:dyDescent="0.25">
      <c r="A954" t="str">
        <f t="shared" si="14"/>
        <v>1063+114+156FX1800X</v>
      </c>
      <c r="B954">
        <v>9393</v>
      </c>
      <c r="C954">
        <v>1063</v>
      </c>
      <c r="D954">
        <v>114</v>
      </c>
      <c r="E954" t="s">
        <v>812</v>
      </c>
      <c r="F954" t="s">
        <v>3724</v>
      </c>
    </row>
    <row r="955" spans="1:6" x14ac:dyDescent="0.25">
      <c r="A955" t="str">
        <f t="shared" si="14"/>
        <v>1065+41+152W00000X</v>
      </c>
      <c r="B955">
        <v>3453</v>
      </c>
      <c r="C955">
        <v>1065</v>
      </c>
      <c r="D955">
        <v>41</v>
      </c>
      <c r="E955" t="s">
        <v>782</v>
      </c>
      <c r="F955" t="s">
        <v>783</v>
      </c>
    </row>
    <row r="956" spans="1:6" x14ac:dyDescent="0.25">
      <c r="A956" t="str">
        <f t="shared" si="14"/>
        <v>1066+41+152WC0802X</v>
      </c>
      <c r="B956">
        <v>3454</v>
      </c>
      <c r="C956">
        <v>1066</v>
      </c>
      <c r="D956">
        <v>41</v>
      </c>
      <c r="E956" t="s">
        <v>785</v>
      </c>
      <c r="F956" t="s">
        <v>3318</v>
      </c>
    </row>
    <row r="957" spans="1:6" x14ac:dyDescent="0.25">
      <c r="A957" t="str">
        <f t="shared" si="14"/>
        <v>1067+41+152WL0500X</v>
      </c>
      <c r="B957">
        <v>3455</v>
      </c>
      <c r="C957">
        <v>1067</v>
      </c>
      <c r="D957">
        <v>41</v>
      </c>
      <c r="E957" t="s">
        <v>787</v>
      </c>
      <c r="F957" t="s">
        <v>3319</v>
      </c>
    </row>
    <row r="958" spans="1:6" x14ac:dyDescent="0.25">
      <c r="A958" t="str">
        <f t="shared" si="14"/>
        <v>1068+41+152WP0200X</v>
      </c>
      <c r="B958">
        <v>3456</v>
      </c>
      <c r="C958">
        <v>1068</v>
      </c>
      <c r="D958">
        <v>41</v>
      </c>
      <c r="E958" t="s">
        <v>788</v>
      </c>
      <c r="F958" t="s">
        <v>3320</v>
      </c>
    </row>
    <row r="959" spans="1:6" x14ac:dyDescent="0.25">
      <c r="A959" t="str">
        <f t="shared" si="14"/>
        <v>1069+41+152WS0006X</v>
      </c>
      <c r="B959">
        <v>3457</v>
      </c>
      <c r="C959">
        <v>1069</v>
      </c>
      <c r="D959">
        <v>41</v>
      </c>
      <c r="E959" t="s">
        <v>790</v>
      </c>
      <c r="F959" t="s">
        <v>3321</v>
      </c>
    </row>
    <row r="960" spans="1:6" x14ac:dyDescent="0.25">
      <c r="A960" t="str">
        <f t="shared" si="14"/>
        <v>1070+41+152WV0400X</v>
      </c>
      <c r="B960">
        <v>3458</v>
      </c>
      <c r="C960">
        <v>1070</v>
      </c>
      <c r="D960">
        <v>41</v>
      </c>
      <c r="E960" t="s">
        <v>792</v>
      </c>
      <c r="F960" t="s">
        <v>3322</v>
      </c>
    </row>
    <row r="961" spans="1:6" x14ac:dyDescent="0.25">
      <c r="A961" t="str">
        <f t="shared" si="14"/>
        <v>1071+41+152WX0102X</v>
      </c>
      <c r="B961">
        <v>3459</v>
      </c>
      <c r="C961">
        <v>1071</v>
      </c>
      <c r="D961">
        <v>41</v>
      </c>
      <c r="E961" t="s">
        <v>794</v>
      </c>
      <c r="F961" t="s">
        <v>3323</v>
      </c>
    </row>
    <row r="962" spans="1:6" x14ac:dyDescent="0.25">
      <c r="A962" t="str">
        <f t="shared" ref="A962:A1025" si="15">C962 &amp; "+" &amp; D962 &amp; "+" &amp; E962</f>
        <v>1073+42+183500000X</v>
      </c>
      <c r="B962">
        <v>3460</v>
      </c>
      <c r="C962">
        <v>1073</v>
      </c>
      <c r="D962">
        <v>42</v>
      </c>
      <c r="E962" t="s">
        <v>1763</v>
      </c>
      <c r="F962" t="s">
        <v>1764</v>
      </c>
    </row>
    <row r="963" spans="1:6" x14ac:dyDescent="0.25">
      <c r="A963" t="str">
        <f t="shared" si="15"/>
        <v>1074+42+1835G0000X</v>
      </c>
      <c r="B963">
        <v>3461</v>
      </c>
      <c r="C963">
        <v>1074</v>
      </c>
      <c r="D963">
        <v>42</v>
      </c>
      <c r="E963" t="s">
        <v>1766</v>
      </c>
      <c r="F963" t="s">
        <v>3324</v>
      </c>
    </row>
    <row r="964" spans="1:6" x14ac:dyDescent="0.25">
      <c r="A964" t="str">
        <f t="shared" si="15"/>
        <v>1075+42+1835N0905X</v>
      </c>
      <c r="B964">
        <v>3462</v>
      </c>
      <c r="C964">
        <v>1075</v>
      </c>
      <c r="D964">
        <v>42</v>
      </c>
      <c r="E964" t="s">
        <v>1771</v>
      </c>
      <c r="F964" t="s">
        <v>3325</v>
      </c>
    </row>
    <row r="965" spans="1:6" x14ac:dyDescent="0.25">
      <c r="A965" t="str">
        <f t="shared" si="15"/>
        <v>1076+42+1835N1003X</v>
      </c>
      <c r="B965">
        <v>3463</v>
      </c>
      <c r="C965">
        <v>1076</v>
      </c>
      <c r="D965">
        <v>42</v>
      </c>
      <c r="E965" t="s">
        <v>1773</v>
      </c>
      <c r="F965" t="s">
        <v>3326</v>
      </c>
    </row>
    <row r="966" spans="1:6" x14ac:dyDescent="0.25">
      <c r="A966" t="str">
        <f t="shared" si="15"/>
        <v>1077+42+1835P1200X</v>
      </c>
      <c r="B966">
        <v>3464</v>
      </c>
      <c r="C966">
        <v>1077</v>
      </c>
      <c r="D966">
        <v>42</v>
      </c>
      <c r="E966" t="s">
        <v>1778</v>
      </c>
      <c r="F966" t="s">
        <v>3327</v>
      </c>
    </row>
    <row r="967" spans="1:6" x14ac:dyDescent="0.25">
      <c r="A967" t="str">
        <f t="shared" si="15"/>
        <v>1078+42+1835P1300X</v>
      </c>
      <c r="B967">
        <v>3465</v>
      </c>
      <c r="C967">
        <v>1078</v>
      </c>
      <c r="D967">
        <v>42</v>
      </c>
      <c r="E967" t="s">
        <v>1781</v>
      </c>
      <c r="F967" t="s">
        <v>3328</v>
      </c>
    </row>
    <row r="968" spans="1:6" x14ac:dyDescent="0.25">
      <c r="A968" t="str">
        <f t="shared" si="15"/>
        <v>1080+43+225100000X</v>
      </c>
      <c r="B968">
        <v>3466</v>
      </c>
      <c r="C968">
        <v>1080</v>
      </c>
      <c r="D968">
        <v>43</v>
      </c>
      <c r="E968" t="s">
        <v>717</v>
      </c>
      <c r="F968" t="s">
        <v>713</v>
      </c>
    </row>
    <row r="969" spans="1:6" x14ac:dyDescent="0.25">
      <c r="A969" t="str">
        <f t="shared" si="15"/>
        <v>1081+43+2251C2600X</v>
      </c>
      <c r="B969">
        <v>3467</v>
      </c>
      <c r="C969">
        <v>1081</v>
      </c>
      <c r="D969">
        <v>43</v>
      </c>
      <c r="E969" t="s">
        <v>719</v>
      </c>
      <c r="F969" t="s">
        <v>3329</v>
      </c>
    </row>
    <row r="970" spans="1:6" x14ac:dyDescent="0.25">
      <c r="A970" t="str">
        <f t="shared" si="15"/>
        <v>1082+43+2251E1200X</v>
      </c>
      <c r="B970">
        <v>3468</v>
      </c>
      <c r="C970">
        <v>1082</v>
      </c>
      <c r="D970">
        <v>43</v>
      </c>
      <c r="E970" s="43" t="s">
        <v>721</v>
      </c>
      <c r="F970" t="s">
        <v>3330</v>
      </c>
    </row>
    <row r="971" spans="1:6" x14ac:dyDescent="0.25">
      <c r="A971" t="str">
        <f t="shared" si="15"/>
        <v>1083+43+2251E1300X</v>
      </c>
      <c r="B971">
        <v>3469</v>
      </c>
      <c r="C971">
        <v>1083</v>
      </c>
      <c r="D971">
        <v>43</v>
      </c>
      <c r="E971" s="43" t="s">
        <v>723</v>
      </c>
      <c r="F971" t="s">
        <v>3331</v>
      </c>
    </row>
    <row r="972" spans="1:6" x14ac:dyDescent="0.25">
      <c r="A972" t="str">
        <f t="shared" si="15"/>
        <v>1084+43+2251G0304X</v>
      </c>
      <c r="B972">
        <v>3470</v>
      </c>
      <c r="C972">
        <v>1084</v>
      </c>
      <c r="D972">
        <v>43</v>
      </c>
      <c r="E972" t="s">
        <v>725</v>
      </c>
      <c r="F972" t="s">
        <v>3332</v>
      </c>
    </row>
    <row r="973" spans="1:6" x14ac:dyDescent="0.25">
      <c r="A973" t="str">
        <f t="shared" si="15"/>
        <v>1085+43+2251H1200X</v>
      </c>
      <c r="B973">
        <v>3471</v>
      </c>
      <c r="C973">
        <v>1085</v>
      </c>
      <c r="D973">
        <v>43</v>
      </c>
      <c r="E973" t="s">
        <v>727</v>
      </c>
      <c r="F973" t="s">
        <v>3333</v>
      </c>
    </row>
    <row r="974" spans="1:6" x14ac:dyDescent="0.25">
      <c r="A974" t="str">
        <f t="shared" si="15"/>
        <v>1086+43+2251H1300X</v>
      </c>
      <c r="B974">
        <v>3472</v>
      </c>
      <c r="C974">
        <v>1086</v>
      </c>
      <c r="D974">
        <v>43</v>
      </c>
      <c r="E974" t="s">
        <v>729</v>
      </c>
      <c r="F974" t="s">
        <v>3334</v>
      </c>
    </row>
    <row r="975" spans="1:6" x14ac:dyDescent="0.25">
      <c r="A975" t="str">
        <f t="shared" si="15"/>
        <v>1087+43+2251N0400X</v>
      </c>
      <c r="B975">
        <v>3473</v>
      </c>
      <c r="C975">
        <v>1087</v>
      </c>
      <c r="D975">
        <v>43</v>
      </c>
      <c r="E975" t="s">
        <v>730</v>
      </c>
      <c r="F975" t="s">
        <v>3335</v>
      </c>
    </row>
    <row r="976" spans="1:6" x14ac:dyDescent="0.25">
      <c r="A976" t="str">
        <f t="shared" si="15"/>
        <v>1088+43+2251P0200X</v>
      </c>
      <c r="B976">
        <v>3474</v>
      </c>
      <c r="C976">
        <v>1088</v>
      </c>
      <c r="D976">
        <v>43</v>
      </c>
      <c r="E976" t="s">
        <v>731</v>
      </c>
      <c r="F976" t="s">
        <v>3336</v>
      </c>
    </row>
    <row r="977" spans="1:6" x14ac:dyDescent="0.25">
      <c r="A977" t="str">
        <f t="shared" si="15"/>
        <v>1089+43+2251S0007X</v>
      </c>
      <c r="B977">
        <v>3475</v>
      </c>
      <c r="C977">
        <v>1089</v>
      </c>
      <c r="D977">
        <v>43</v>
      </c>
      <c r="E977" t="s">
        <v>733</v>
      </c>
      <c r="F977" t="s">
        <v>3337</v>
      </c>
    </row>
    <row r="978" spans="1:6" x14ac:dyDescent="0.25">
      <c r="A978" t="str">
        <f t="shared" si="15"/>
        <v>1090+43+2251X0800X</v>
      </c>
      <c r="B978">
        <v>3476</v>
      </c>
      <c r="C978">
        <v>1090</v>
      </c>
      <c r="D978">
        <v>43</v>
      </c>
      <c r="E978" t="s">
        <v>734</v>
      </c>
      <c r="F978" t="s">
        <v>3338</v>
      </c>
    </row>
    <row r="979" spans="1:6" x14ac:dyDescent="0.25">
      <c r="A979" t="str">
        <f t="shared" si="15"/>
        <v>1092+44+363A00000X</v>
      </c>
      <c r="B979">
        <v>3477</v>
      </c>
      <c r="C979">
        <v>1092</v>
      </c>
      <c r="D979">
        <v>44</v>
      </c>
      <c r="E979" t="s">
        <v>435</v>
      </c>
      <c r="F979" t="s">
        <v>433</v>
      </c>
    </row>
    <row r="980" spans="1:6" x14ac:dyDescent="0.25">
      <c r="A980" t="str">
        <f t="shared" si="15"/>
        <v>1093+44+363AM0700X</v>
      </c>
      <c r="B980">
        <v>3478</v>
      </c>
      <c r="C980">
        <v>1093</v>
      </c>
      <c r="D980">
        <v>44</v>
      </c>
      <c r="E980" t="s">
        <v>437</v>
      </c>
      <c r="F980" t="s">
        <v>3339</v>
      </c>
    </row>
    <row r="981" spans="1:6" x14ac:dyDescent="0.25">
      <c r="A981" t="str">
        <f t="shared" si="15"/>
        <v>1094+44+363AS0400X</v>
      </c>
      <c r="B981">
        <v>3479</v>
      </c>
      <c r="C981">
        <v>1094</v>
      </c>
      <c r="D981">
        <v>44</v>
      </c>
      <c r="E981" t="s">
        <v>439</v>
      </c>
      <c r="F981" t="s">
        <v>3340</v>
      </c>
    </row>
    <row r="982" spans="1:6" x14ac:dyDescent="0.25">
      <c r="A982" t="str">
        <f t="shared" si="15"/>
        <v>1096+27+103T00000X</v>
      </c>
      <c r="B982">
        <v>3480</v>
      </c>
      <c r="C982">
        <v>1096</v>
      </c>
      <c r="D982">
        <v>27</v>
      </c>
      <c r="E982" t="s">
        <v>463</v>
      </c>
      <c r="F982" t="s">
        <v>477</v>
      </c>
    </row>
    <row r="983" spans="1:6" x14ac:dyDescent="0.25">
      <c r="A983" t="str">
        <f t="shared" si="15"/>
        <v>1097+27+103TA0400X</v>
      </c>
      <c r="B983">
        <v>3481</v>
      </c>
      <c r="C983">
        <v>1097</v>
      </c>
      <c r="D983">
        <v>27</v>
      </c>
      <c r="E983" t="s">
        <v>483</v>
      </c>
      <c r="F983" t="s">
        <v>3341</v>
      </c>
    </row>
    <row r="984" spans="1:6" x14ac:dyDescent="0.25">
      <c r="A984" t="str">
        <f t="shared" si="15"/>
        <v>1098+27+103TA0700X</v>
      </c>
      <c r="B984">
        <v>3482</v>
      </c>
      <c r="C984">
        <v>1098</v>
      </c>
      <c r="D984">
        <v>27</v>
      </c>
      <c r="E984" t="s">
        <v>485</v>
      </c>
      <c r="F984" t="s">
        <v>3342</v>
      </c>
    </row>
    <row r="985" spans="1:6" x14ac:dyDescent="0.25">
      <c r="A985" t="str">
        <f t="shared" si="15"/>
        <v>1099+27+103TB0200X</v>
      </c>
      <c r="B985">
        <v>3483</v>
      </c>
      <c r="C985">
        <v>1099</v>
      </c>
      <c r="D985">
        <v>27</v>
      </c>
      <c r="E985" t="s">
        <v>487</v>
      </c>
      <c r="F985" t="s">
        <v>3343</v>
      </c>
    </row>
    <row r="986" spans="1:6" x14ac:dyDescent="0.25">
      <c r="A986" t="str">
        <f t="shared" si="15"/>
        <v>1100+27+103TC0700X</v>
      </c>
      <c r="B986">
        <v>3484</v>
      </c>
      <c r="C986">
        <v>1100</v>
      </c>
      <c r="D986">
        <v>27</v>
      </c>
      <c r="E986" t="s">
        <v>489</v>
      </c>
      <c r="F986" t="s">
        <v>3344</v>
      </c>
    </row>
    <row r="987" spans="1:6" x14ac:dyDescent="0.25">
      <c r="A987" t="str">
        <f t="shared" si="15"/>
        <v>1101+27+103TC1900X</v>
      </c>
      <c r="B987">
        <v>3485</v>
      </c>
      <c r="C987">
        <v>1101</v>
      </c>
      <c r="D987">
        <v>27</v>
      </c>
      <c r="E987" t="s">
        <v>491</v>
      </c>
      <c r="F987" t="s">
        <v>3345</v>
      </c>
    </row>
    <row r="988" spans="1:6" x14ac:dyDescent="0.25">
      <c r="A988" t="str">
        <f t="shared" si="15"/>
        <v>1102+27+103TC2200X</v>
      </c>
      <c r="B988">
        <v>3486</v>
      </c>
      <c r="C988">
        <v>1102</v>
      </c>
      <c r="D988">
        <v>27</v>
      </c>
      <c r="E988" t="s">
        <v>493</v>
      </c>
      <c r="F988" t="s">
        <v>3346</v>
      </c>
    </row>
    <row r="989" spans="1:6" x14ac:dyDescent="0.25">
      <c r="A989" t="str">
        <f t="shared" si="15"/>
        <v>1103+27+103TE1000X</v>
      </c>
      <c r="B989">
        <v>3487</v>
      </c>
      <c r="C989">
        <v>1103</v>
      </c>
      <c r="D989">
        <v>27</v>
      </c>
      <c r="E989" t="s">
        <v>495</v>
      </c>
      <c r="F989" t="s">
        <v>3347</v>
      </c>
    </row>
    <row r="990" spans="1:6" x14ac:dyDescent="0.25">
      <c r="A990" t="str">
        <f t="shared" si="15"/>
        <v>1104+27+103TE1100X</v>
      </c>
      <c r="B990">
        <v>3488</v>
      </c>
      <c r="C990">
        <v>1104</v>
      </c>
      <c r="D990">
        <v>27</v>
      </c>
      <c r="E990" t="s">
        <v>497</v>
      </c>
      <c r="F990" t="s">
        <v>3348</v>
      </c>
    </row>
    <row r="991" spans="1:6" x14ac:dyDescent="0.25">
      <c r="A991" t="str">
        <f t="shared" si="15"/>
        <v>1105+27+103TF0000X</v>
      </c>
      <c r="B991">
        <v>3489</v>
      </c>
      <c r="C991">
        <v>1105</v>
      </c>
      <c r="D991">
        <v>27</v>
      </c>
      <c r="E991" t="s">
        <v>498</v>
      </c>
      <c r="F991" t="s">
        <v>3349</v>
      </c>
    </row>
    <row r="992" spans="1:6" x14ac:dyDescent="0.25">
      <c r="A992" t="str">
        <f t="shared" si="15"/>
        <v>1106+27+103TF0200X</v>
      </c>
      <c r="B992">
        <v>3490</v>
      </c>
      <c r="C992">
        <v>1106</v>
      </c>
      <c r="D992">
        <v>27</v>
      </c>
      <c r="E992" t="s">
        <v>500</v>
      </c>
      <c r="F992" t="s">
        <v>3350</v>
      </c>
    </row>
    <row r="993" spans="1:6" x14ac:dyDescent="0.25">
      <c r="A993" t="str">
        <f t="shared" si="15"/>
        <v>1107+27+103TH0004X</v>
      </c>
      <c r="B993">
        <v>3491</v>
      </c>
      <c r="C993">
        <v>1107</v>
      </c>
      <c r="D993">
        <v>27</v>
      </c>
      <c r="E993" t="s">
        <v>502</v>
      </c>
      <c r="F993" t="s">
        <v>3351</v>
      </c>
    </row>
    <row r="994" spans="1:6" x14ac:dyDescent="0.25">
      <c r="A994" t="str">
        <f t="shared" si="15"/>
        <v>1108+27+103TM1700X</v>
      </c>
      <c r="B994">
        <v>3492</v>
      </c>
      <c r="C994">
        <v>1108</v>
      </c>
      <c r="D994">
        <v>27</v>
      </c>
      <c r="E994" t="s">
        <v>505</v>
      </c>
      <c r="F994" t="s">
        <v>3352</v>
      </c>
    </row>
    <row r="995" spans="1:6" x14ac:dyDescent="0.25">
      <c r="A995" t="str">
        <f t="shared" si="15"/>
        <v>1109+27+103TM1800X</v>
      </c>
      <c r="B995">
        <v>3493</v>
      </c>
      <c r="C995">
        <v>1109</v>
      </c>
      <c r="D995">
        <v>27</v>
      </c>
      <c r="E995" t="s">
        <v>507</v>
      </c>
      <c r="F995" t="s">
        <v>3353</v>
      </c>
    </row>
    <row r="996" spans="1:6" x14ac:dyDescent="0.25">
      <c r="A996" t="str">
        <f t="shared" si="15"/>
        <v>1110+27+103TP0814X</v>
      </c>
      <c r="B996">
        <v>3494</v>
      </c>
      <c r="C996">
        <v>1110</v>
      </c>
      <c r="D996">
        <v>27</v>
      </c>
      <c r="E996" t="s">
        <v>511</v>
      </c>
      <c r="F996" t="s">
        <v>3354</v>
      </c>
    </row>
    <row r="997" spans="1:6" x14ac:dyDescent="0.25">
      <c r="A997" t="str">
        <f t="shared" si="15"/>
        <v>1111+27+103TP2700X</v>
      </c>
      <c r="B997">
        <v>3495</v>
      </c>
      <c r="C997">
        <v>1111</v>
      </c>
      <c r="D997">
        <v>27</v>
      </c>
      <c r="E997" t="s">
        <v>513</v>
      </c>
      <c r="F997" t="s">
        <v>3355</v>
      </c>
    </row>
    <row r="998" spans="1:6" x14ac:dyDescent="0.25">
      <c r="A998" t="str">
        <f t="shared" si="15"/>
        <v>1112+27+103TP2701X</v>
      </c>
      <c r="B998">
        <v>3496</v>
      </c>
      <c r="C998">
        <v>1112</v>
      </c>
      <c r="D998">
        <v>27</v>
      </c>
      <c r="E998" t="s">
        <v>515</v>
      </c>
      <c r="F998" t="s">
        <v>3356</v>
      </c>
    </row>
    <row r="999" spans="1:6" x14ac:dyDescent="0.25">
      <c r="A999" t="str">
        <f t="shared" si="15"/>
        <v>1113+27+103TR0400X</v>
      </c>
      <c r="B999">
        <v>3497</v>
      </c>
      <c r="C999">
        <v>1113</v>
      </c>
      <c r="D999">
        <v>27</v>
      </c>
      <c r="E999" t="s">
        <v>516</v>
      </c>
      <c r="F999" t="s">
        <v>3357</v>
      </c>
    </row>
    <row r="1000" spans="1:6" x14ac:dyDescent="0.25">
      <c r="A1000" t="str">
        <f t="shared" si="15"/>
        <v>1114+27+103TS0200X</v>
      </c>
      <c r="B1000">
        <v>3498</v>
      </c>
      <c r="C1000">
        <v>1114</v>
      </c>
      <c r="D1000">
        <v>27</v>
      </c>
      <c r="E1000" t="s">
        <v>517</v>
      </c>
      <c r="F1000" t="s">
        <v>3358</v>
      </c>
    </row>
    <row r="1001" spans="1:6" x14ac:dyDescent="0.25">
      <c r="A1001" t="str">
        <f t="shared" si="15"/>
        <v>1115+27+103TW0100X</v>
      </c>
      <c r="B1001">
        <v>3499</v>
      </c>
      <c r="C1001">
        <v>1115</v>
      </c>
      <c r="D1001">
        <v>27</v>
      </c>
      <c r="E1001" t="s">
        <v>519</v>
      </c>
      <c r="F1001" t="s">
        <v>3359</v>
      </c>
    </row>
    <row r="1002" spans="1:6" x14ac:dyDescent="0.25">
      <c r="A1002" t="str">
        <f t="shared" si="15"/>
        <v>1117+48+227800000X</v>
      </c>
      <c r="B1002">
        <v>3500</v>
      </c>
      <c r="C1002">
        <v>1117</v>
      </c>
      <c r="D1002">
        <v>48</v>
      </c>
      <c r="E1002" t="s">
        <v>670</v>
      </c>
      <c r="F1002" t="s">
        <v>3360</v>
      </c>
    </row>
    <row r="1003" spans="1:6" x14ac:dyDescent="0.25">
      <c r="A1003" t="str">
        <f t="shared" si="15"/>
        <v>1118+48+2278C0205X</v>
      </c>
      <c r="B1003">
        <v>3501</v>
      </c>
      <c r="C1003">
        <v>1118</v>
      </c>
      <c r="D1003">
        <v>48</v>
      </c>
      <c r="E1003" t="s">
        <v>673</v>
      </c>
      <c r="F1003" t="s">
        <v>3361</v>
      </c>
    </row>
    <row r="1004" spans="1:6" x14ac:dyDescent="0.25">
      <c r="A1004" t="str">
        <f t="shared" si="15"/>
        <v>1119+48+2278E0002X</v>
      </c>
      <c r="B1004">
        <v>3502</v>
      </c>
      <c r="C1004">
        <v>1119</v>
      </c>
      <c r="D1004">
        <v>48</v>
      </c>
      <c r="E1004" t="s">
        <v>674</v>
      </c>
      <c r="F1004" t="s">
        <v>3362</v>
      </c>
    </row>
    <row r="1005" spans="1:6" x14ac:dyDescent="0.25">
      <c r="A1005" t="str">
        <f t="shared" si="15"/>
        <v>1120+48+2278E1000X</v>
      </c>
      <c r="B1005">
        <v>3503</v>
      </c>
      <c r="C1005">
        <v>1120</v>
      </c>
      <c r="D1005">
        <v>48</v>
      </c>
      <c r="E1005" s="43" t="s">
        <v>676</v>
      </c>
      <c r="F1005" t="s">
        <v>3363</v>
      </c>
    </row>
    <row r="1006" spans="1:6" x14ac:dyDescent="0.25">
      <c r="A1006" t="str">
        <f t="shared" si="15"/>
        <v>1121+48+2278G0305X</v>
      </c>
      <c r="B1006">
        <v>3504</v>
      </c>
      <c r="C1006">
        <v>1121</v>
      </c>
      <c r="D1006">
        <v>48</v>
      </c>
      <c r="E1006" t="s">
        <v>678</v>
      </c>
      <c r="F1006" t="s">
        <v>3364</v>
      </c>
    </row>
    <row r="1007" spans="1:6" x14ac:dyDescent="0.25">
      <c r="A1007" t="str">
        <f t="shared" si="15"/>
        <v>1122+48+2278G1100X</v>
      </c>
      <c r="B1007">
        <v>3505</v>
      </c>
      <c r="C1007">
        <v>1122</v>
      </c>
      <c r="D1007">
        <v>48</v>
      </c>
      <c r="E1007" t="s">
        <v>680</v>
      </c>
      <c r="F1007" t="s">
        <v>3365</v>
      </c>
    </row>
    <row r="1008" spans="1:6" x14ac:dyDescent="0.25">
      <c r="A1008" t="str">
        <f t="shared" si="15"/>
        <v>1123+48+2278H0200X</v>
      </c>
      <c r="B1008">
        <v>3506</v>
      </c>
      <c r="C1008">
        <v>1123</v>
      </c>
      <c r="D1008">
        <v>48</v>
      </c>
      <c r="E1008" t="s">
        <v>681</v>
      </c>
      <c r="F1008" t="s">
        <v>3366</v>
      </c>
    </row>
    <row r="1009" spans="1:6" x14ac:dyDescent="0.25">
      <c r="A1009" t="str">
        <f t="shared" si="15"/>
        <v>1124+48+2278P1004X</v>
      </c>
      <c r="B1009">
        <v>3507</v>
      </c>
      <c r="C1009">
        <v>1124</v>
      </c>
      <c r="D1009">
        <v>48</v>
      </c>
      <c r="E1009" t="s">
        <v>683</v>
      </c>
      <c r="F1009" t="s">
        <v>3367</v>
      </c>
    </row>
    <row r="1010" spans="1:6" x14ac:dyDescent="0.25">
      <c r="A1010" t="str">
        <f t="shared" si="15"/>
        <v>1125+48+2278P1005X</v>
      </c>
      <c r="B1010">
        <v>3508</v>
      </c>
      <c r="C1010">
        <v>1125</v>
      </c>
      <c r="D1010">
        <v>48</v>
      </c>
      <c r="E1010" t="s">
        <v>685</v>
      </c>
      <c r="F1010" t="s">
        <v>3368</v>
      </c>
    </row>
    <row r="1011" spans="1:6" x14ac:dyDescent="0.25">
      <c r="A1011" t="str">
        <f t="shared" si="15"/>
        <v>1126+48+2278P1006X</v>
      </c>
      <c r="B1011">
        <v>3509</v>
      </c>
      <c r="C1011">
        <v>1126</v>
      </c>
      <c r="D1011">
        <v>48</v>
      </c>
      <c r="E1011" t="s">
        <v>687</v>
      </c>
      <c r="F1011" t="s">
        <v>3369</v>
      </c>
    </row>
    <row r="1012" spans="1:6" x14ac:dyDescent="0.25">
      <c r="A1012" t="str">
        <f t="shared" si="15"/>
        <v>1127+48+2278P3800X</v>
      </c>
      <c r="B1012">
        <v>3510</v>
      </c>
      <c r="C1012">
        <v>1127</v>
      </c>
      <c r="D1012">
        <v>48</v>
      </c>
      <c r="E1012" t="s">
        <v>689</v>
      </c>
      <c r="F1012" t="s">
        <v>3370</v>
      </c>
    </row>
    <row r="1013" spans="1:6" x14ac:dyDescent="0.25">
      <c r="A1013" t="str">
        <f t="shared" si="15"/>
        <v>1128+48+2278P3900X</v>
      </c>
      <c r="B1013">
        <v>3511</v>
      </c>
      <c r="C1013">
        <v>1128</v>
      </c>
      <c r="D1013">
        <v>48</v>
      </c>
      <c r="E1013" t="s">
        <v>691</v>
      </c>
      <c r="F1013" t="s">
        <v>3371</v>
      </c>
    </row>
    <row r="1014" spans="1:6" x14ac:dyDescent="0.25">
      <c r="A1014" t="str">
        <f t="shared" si="15"/>
        <v>1129+48+2278P4000X</v>
      </c>
      <c r="B1014">
        <v>3512</v>
      </c>
      <c r="C1014">
        <v>1129</v>
      </c>
      <c r="D1014">
        <v>48</v>
      </c>
      <c r="E1014" t="s">
        <v>693</v>
      </c>
      <c r="F1014" t="s">
        <v>3372</v>
      </c>
    </row>
    <row r="1015" spans="1:6" x14ac:dyDescent="0.25">
      <c r="A1015" t="str">
        <f t="shared" si="15"/>
        <v>1130+48+2278S1500X</v>
      </c>
      <c r="B1015">
        <v>3513</v>
      </c>
      <c r="C1015">
        <v>1130</v>
      </c>
      <c r="D1015">
        <v>48</v>
      </c>
      <c r="E1015" t="s">
        <v>695</v>
      </c>
      <c r="F1015" t="s">
        <v>3373</v>
      </c>
    </row>
    <row r="1016" spans="1:6" x14ac:dyDescent="0.25">
      <c r="A1016" t="str">
        <f t="shared" si="15"/>
        <v>1131+48+227900000X</v>
      </c>
      <c r="B1016">
        <v>3514</v>
      </c>
      <c r="C1016">
        <v>1131</v>
      </c>
      <c r="D1016">
        <v>48</v>
      </c>
      <c r="E1016" t="s">
        <v>697</v>
      </c>
      <c r="F1016" t="s">
        <v>3374</v>
      </c>
    </row>
    <row r="1017" spans="1:6" x14ac:dyDescent="0.25">
      <c r="A1017" t="str">
        <f t="shared" si="15"/>
        <v>1132+48+2279C0205X</v>
      </c>
      <c r="B1017">
        <v>3515</v>
      </c>
      <c r="C1017">
        <v>1132</v>
      </c>
      <c r="D1017">
        <v>48</v>
      </c>
      <c r="E1017" t="s">
        <v>698</v>
      </c>
      <c r="F1017" t="s">
        <v>3375</v>
      </c>
    </row>
    <row r="1018" spans="1:6" x14ac:dyDescent="0.25">
      <c r="A1018" t="str">
        <f t="shared" si="15"/>
        <v>1133+48+2279E0002X</v>
      </c>
      <c r="B1018">
        <v>3516</v>
      </c>
      <c r="C1018">
        <v>1133</v>
      </c>
      <c r="D1018">
        <v>48</v>
      </c>
      <c r="E1018" t="s">
        <v>699</v>
      </c>
      <c r="F1018" t="s">
        <v>3376</v>
      </c>
    </row>
    <row r="1019" spans="1:6" x14ac:dyDescent="0.25">
      <c r="A1019" t="str">
        <f t="shared" si="15"/>
        <v>1134+48+2279E1000X</v>
      </c>
      <c r="B1019">
        <v>3517</v>
      </c>
      <c r="C1019">
        <v>1134</v>
      </c>
      <c r="D1019">
        <v>48</v>
      </c>
      <c r="E1019" s="43" t="s">
        <v>700</v>
      </c>
      <c r="F1019" t="s">
        <v>3377</v>
      </c>
    </row>
    <row r="1020" spans="1:6" x14ac:dyDescent="0.25">
      <c r="A1020" t="str">
        <f t="shared" si="15"/>
        <v>1135+48+2279G0305X</v>
      </c>
      <c r="B1020">
        <v>3518</v>
      </c>
      <c r="C1020">
        <v>1135</v>
      </c>
      <c r="D1020">
        <v>48</v>
      </c>
      <c r="E1020" t="s">
        <v>701</v>
      </c>
      <c r="F1020" t="s">
        <v>3378</v>
      </c>
    </row>
    <row r="1021" spans="1:6" x14ac:dyDescent="0.25">
      <c r="A1021" t="str">
        <f t="shared" si="15"/>
        <v>1136+48+2279G1100X</v>
      </c>
      <c r="B1021">
        <v>3519</v>
      </c>
      <c r="C1021">
        <v>1136</v>
      </c>
      <c r="D1021">
        <v>48</v>
      </c>
      <c r="E1021" t="s">
        <v>702</v>
      </c>
      <c r="F1021" t="s">
        <v>3379</v>
      </c>
    </row>
    <row r="1022" spans="1:6" x14ac:dyDescent="0.25">
      <c r="A1022" t="str">
        <f t="shared" si="15"/>
        <v>1137+48+2279H0200X</v>
      </c>
      <c r="B1022">
        <v>3520</v>
      </c>
      <c r="C1022">
        <v>1137</v>
      </c>
      <c r="D1022">
        <v>48</v>
      </c>
      <c r="E1022" t="s">
        <v>703</v>
      </c>
      <c r="F1022" t="s">
        <v>3380</v>
      </c>
    </row>
    <row r="1023" spans="1:6" x14ac:dyDescent="0.25">
      <c r="A1023" t="str">
        <f t="shared" si="15"/>
        <v>1138+48+2279P1004X</v>
      </c>
      <c r="B1023">
        <v>3521</v>
      </c>
      <c r="C1023">
        <v>1138</v>
      </c>
      <c r="D1023">
        <v>48</v>
      </c>
      <c r="E1023" t="s">
        <v>704</v>
      </c>
      <c r="F1023" t="s">
        <v>3381</v>
      </c>
    </row>
    <row r="1024" spans="1:6" x14ac:dyDescent="0.25">
      <c r="A1024" t="str">
        <f t="shared" si="15"/>
        <v>1139+48+2279P1005X</v>
      </c>
      <c r="B1024">
        <v>3522</v>
      </c>
      <c r="C1024">
        <v>1139</v>
      </c>
      <c r="D1024">
        <v>48</v>
      </c>
      <c r="E1024" t="s">
        <v>705</v>
      </c>
      <c r="F1024" t="s">
        <v>3382</v>
      </c>
    </row>
    <row r="1025" spans="1:6" x14ac:dyDescent="0.25">
      <c r="A1025" t="str">
        <f t="shared" si="15"/>
        <v>1140+48+2279P1006X</v>
      </c>
      <c r="B1025">
        <v>3523</v>
      </c>
      <c r="C1025">
        <v>1140</v>
      </c>
      <c r="D1025">
        <v>48</v>
      </c>
      <c r="E1025" t="s">
        <v>706</v>
      </c>
      <c r="F1025" t="s">
        <v>3383</v>
      </c>
    </row>
    <row r="1026" spans="1:6" x14ac:dyDescent="0.25">
      <c r="A1026" t="str">
        <f t="shared" ref="A1026:A1089" si="16">C1026 &amp; "+" &amp; D1026 &amp; "+" &amp; E1026</f>
        <v>1141+48+2279P3800X</v>
      </c>
      <c r="B1026">
        <v>3524</v>
      </c>
      <c r="C1026">
        <v>1141</v>
      </c>
      <c r="D1026">
        <v>48</v>
      </c>
      <c r="E1026" t="s">
        <v>707</v>
      </c>
      <c r="F1026" t="s">
        <v>3384</v>
      </c>
    </row>
    <row r="1027" spans="1:6" x14ac:dyDescent="0.25">
      <c r="A1027" t="str">
        <f t="shared" si="16"/>
        <v>1142+48+2279P3900X</v>
      </c>
      <c r="B1027">
        <v>3525</v>
      </c>
      <c r="C1027">
        <v>1142</v>
      </c>
      <c r="D1027">
        <v>48</v>
      </c>
      <c r="E1027" t="s">
        <v>708</v>
      </c>
      <c r="F1027" t="s">
        <v>3385</v>
      </c>
    </row>
    <row r="1028" spans="1:6" x14ac:dyDescent="0.25">
      <c r="A1028" t="str">
        <f t="shared" si="16"/>
        <v>1143+48+2279P4000X</v>
      </c>
      <c r="B1028">
        <v>3526</v>
      </c>
      <c r="C1028">
        <v>1143</v>
      </c>
      <c r="D1028">
        <v>48</v>
      </c>
      <c r="E1028" t="s">
        <v>709</v>
      </c>
      <c r="F1028" t="s">
        <v>3386</v>
      </c>
    </row>
    <row r="1029" spans="1:6" x14ac:dyDescent="0.25">
      <c r="A1029" t="str">
        <f t="shared" si="16"/>
        <v>1144+48+2279S1500X</v>
      </c>
      <c r="B1029">
        <v>3527</v>
      </c>
      <c r="C1029">
        <v>1144</v>
      </c>
      <c r="D1029">
        <v>48</v>
      </c>
      <c r="E1029" t="s">
        <v>710</v>
      </c>
      <c r="F1029" t="s">
        <v>3387</v>
      </c>
    </row>
    <row r="1030" spans="1:6" x14ac:dyDescent="0.25">
      <c r="A1030" t="str">
        <f t="shared" si="16"/>
        <v>1146+28+1041C0700X</v>
      </c>
      <c r="B1030">
        <v>3528</v>
      </c>
      <c r="C1030">
        <v>1146</v>
      </c>
      <c r="D1030">
        <v>28</v>
      </c>
      <c r="E1030" t="s">
        <v>523</v>
      </c>
      <c r="F1030" t="s">
        <v>3388</v>
      </c>
    </row>
    <row r="1031" spans="1:6" x14ac:dyDescent="0.25">
      <c r="A1031" t="str">
        <f t="shared" si="16"/>
        <v>1148+23+246ZB0301X</v>
      </c>
      <c r="B1031">
        <v>3529</v>
      </c>
      <c r="C1031">
        <v>1148</v>
      </c>
      <c r="D1031">
        <v>23</v>
      </c>
      <c r="E1031" t="s">
        <v>1745</v>
      </c>
      <c r="F1031" t="s">
        <v>3389</v>
      </c>
    </row>
    <row r="1032" spans="1:6" x14ac:dyDescent="0.25">
      <c r="A1032" t="str">
        <f t="shared" si="16"/>
        <v>1149+23+2472B0301X</v>
      </c>
      <c r="B1032">
        <v>3530</v>
      </c>
      <c r="C1032">
        <v>1149</v>
      </c>
      <c r="D1032">
        <v>23</v>
      </c>
      <c r="E1032" t="s">
        <v>1577</v>
      </c>
      <c r="F1032" t="s">
        <v>3390</v>
      </c>
    </row>
    <row r="1033" spans="1:6" x14ac:dyDescent="0.25">
      <c r="A1033" t="str">
        <f t="shared" si="16"/>
        <v>1151+30+164W00000X</v>
      </c>
      <c r="B1033">
        <v>3531</v>
      </c>
      <c r="C1033">
        <v>1151</v>
      </c>
      <c r="D1033">
        <v>30</v>
      </c>
      <c r="E1033" t="s">
        <v>600</v>
      </c>
      <c r="F1033" t="s">
        <v>3391</v>
      </c>
    </row>
    <row r="1034" spans="1:6" x14ac:dyDescent="0.25">
      <c r="A1034" t="str">
        <f t="shared" si="16"/>
        <v>1152+30+367A00000X</v>
      </c>
      <c r="B1034">
        <v>3532</v>
      </c>
      <c r="C1034">
        <v>1152</v>
      </c>
      <c r="D1034">
        <v>30</v>
      </c>
      <c r="E1034" t="s">
        <v>428</v>
      </c>
      <c r="F1034" t="s">
        <v>3392</v>
      </c>
    </row>
    <row r="1035" spans="1:6" x14ac:dyDescent="0.25">
      <c r="A1035" t="str">
        <f t="shared" si="16"/>
        <v>1153+30+367500000X</v>
      </c>
      <c r="B1035">
        <v>3533</v>
      </c>
      <c r="C1035">
        <v>1153</v>
      </c>
      <c r="D1035">
        <v>30</v>
      </c>
      <c r="E1035" t="s">
        <v>424</v>
      </c>
      <c r="F1035" t="s">
        <v>3393</v>
      </c>
    </row>
    <row r="1036" spans="1:6" x14ac:dyDescent="0.25">
      <c r="A1036" t="str">
        <f t="shared" si="16"/>
        <v>1154+30+363L00000X</v>
      </c>
      <c r="B1036">
        <v>3534</v>
      </c>
      <c r="C1036">
        <v>1154</v>
      </c>
      <c r="D1036">
        <v>30</v>
      </c>
      <c r="E1036" t="s">
        <v>230</v>
      </c>
      <c r="F1036" t="s">
        <v>3394</v>
      </c>
    </row>
    <row r="1037" spans="1:6" x14ac:dyDescent="0.25">
      <c r="A1037" t="str">
        <f t="shared" si="16"/>
        <v>1155+30+363LA2100X</v>
      </c>
      <c r="B1037">
        <v>3535</v>
      </c>
      <c r="C1037">
        <v>1155</v>
      </c>
      <c r="D1037">
        <v>30</v>
      </c>
      <c r="E1037" t="s">
        <v>344</v>
      </c>
      <c r="F1037" t="s">
        <v>3395</v>
      </c>
    </row>
    <row r="1038" spans="1:6" x14ac:dyDescent="0.25">
      <c r="A1038" t="str">
        <f t="shared" si="16"/>
        <v>1156+30+363LA2200X</v>
      </c>
      <c r="B1038">
        <v>3536</v>
      </c>
      <c r="C1038">
        <v>1156</v>
      </c>
      <c r="D1038">
        <v>30</v>
      </c>
      <c r="E1038" t="s">
        <v>346</v>
      </c>
      <c r="F1038" t="s">
        <v>3396</v>
      </c>
    </row>
    <row r="1039" spans="1:6" x14ac:dyDescent="0.25">
      <c r="A1039" t="str">
        <f t="shared" si="16"/>
        <v>1157+30+363LC0200X</v>
      </c>
      <c r="B1039">
        <v>3537</v>
      </c>
      <c r="C1039">
        <v>1157</v>
      </c>
      <c r="D1039">
        <v>30</v>
      </c>
      <c r="E1039" t="s">
        <v>348</v>
      </c>
      <c r="F1039" t="s">
        <v>3397</v>
      </c>
    </row>
    <row r="1040" spans="1:6" x14ac:dyDescent="0.25">
      <c r="A1040" t="str">
        <f t="shared" si="16"/>
        <v>1158+30+363LC1500X</v>
      </c>
      <c r="B1040">
        <v>3538</v>
      </c>
      <c r="C1040">
        <v>1158</v>
      </c>
      <c r="D1040">
        <v>30</v>
      </c>
      <c r="E1040" t="s">
        <v>349</v>
      </c>
      <c r="F1040" t="s">
        <v>3398</v>
      </c>
    </row>
    <row r="1041" spans="1:6" x14ac:dyDescent="0.25">
      <c r="A1041" t="str">
        <f t="shared" si="16"/>
        <v>1159+30+363LF0000X</v>
      </c>
      <c r="B1041">
        <v>3539</v>
      </c>
      <c r="C1041">
        <v>1159</v>
      </c>
      <c r="D1041">
        <v>30</v>
      </c>
      <c r="E1041" t="s">
        <v>351</v>
      </c>
      <c r="F1041" t="s">
        <v>3399</v>
      </c>
    </row>
    <row r="1042" spans="1:6" x14ac:dyDescent="0.25">
      <c r="A1042" t="str">
        <f t="shared" si="16"/>
        <v>1160+30+363LG0600X</v>
      </c>
      <c r="B1042">
        <v>3540</v>
      </c>
      <c r="C1042">
        <v>1160</v>
      </c>
      <c r="D1042">
        <v>30</v>
      </c>
      <c r="E1042" t="s">
        <v>355</v>
      </c>
      <c r="F1042" t="s">
        <v>3400</v>
      </c>
    </row>
    <row r="1043" spans="1:6" x14ac:dyDescent="0.25">
      <c r="A1043" t="str">
        <f t="shared" si="16"/>
        <v>1161+30+363LN0000X</v>
      </c>
      <c r="B1043">
        <v>3541</v>
      </c>
      <c r="C1043">
        <v>1161</v>
      </c>
      <c r="D1043">
        <v>30</v>
      </c>
      <c r="E1043" t="s">
        <v>357</v>
      </c>
      <c r="F1043" t="s">
        <v>3401</v>
      </c>
    </row>
    <row r="1044" spans="1:6" x14ac:dyDescent="0.25">
      <c r="A1044" t="str">
        <f t="shared" si="16"/>
        <v>1162+30+363LN0005X</v>
      </c>
      <c r="B1044">
        <v>3542</v>
      </c>
      <c r="C1044">
        <v>1162</v>
      </c>
      <c r="D1044">
        <v>30</v>
      </c>
      <c r="E1044" t="s">
        <v>359</v>
      </c>
      <c r="F1044" t="s">
        <v>3402</v>
      </c>
    </row>
    <row r="1045" spans="1:6" x14ac:dyDescent="0.25">
      <c r="A1045" t="str">
        <f t="shared" si="16"/>
        <v>1163+30+363LP0200X</v>
      </c>
      <c r="B1045">
        <v>3543</v>
      </c>
      <c r="C1045">
        <v>1163</v>
      </c>
      <c r="D1045">
        <v>30</v>
      </c>
      <c r="E1045" t="s">
        <v>326</v>
      </c>
      <c r="F1045" t="s">
        <v>3403</v>
      </c>
    </row>
    <row r="1046" spans="1:6" x14ac:dyDescent="0.25">
      <c r="A1046" t="str">
        <f t="shared" si="16"/>
        <v>1164+30+363LP0222X</v>
      </c>
      <c r="B1046">
        <v>3544</v>
      </c>
      <c r="C1046">
        <v>1164</v>
      </c>
      <c r="D1046">
        <v>30</v>
      </c>
      <c r="E1046" t="s">
        <v>330</v>
      </c>
      <c r="F1046" t="s">
        <v>3404</v>
      </c>
    </row>
    <row r="1047" spans="1:6" x14ac:dyDescent="0.25">
      <c r="A1047" t="str">
        <f t="shared" si="16"/>
        <v>1165+30+363LP0808X</v>
      </c>
      <c r="B1047">
        <v>3545</v>
      </c>
      <c r="C1047">
        <v>1165</v>
      </c>
      <c r="D1047">
        <v>30</v>
      </c>
      <c r="E1047" t="s">
        <v>361</v>
      </c>
      <c r="F1047" t="s">
        <v>3405</v>
      </c>
    </row>
    <row r="1048" spans="1:6" x14ac:dyDescent="0.25">
      <c r="A1048" t="str">
        <f t="shared" si="16"/>
        <v>1166+30+363LP1700X</v>
      </c>
      <c r="B1048">
        <v>3546</v>
      </c>
      <c r="C1048">
        <v>1166</v>
      </c>
      <c r="D1048">
        <v>30</v>
      </c>
      <c r="E1048" t="s">
        <v>363</v>
      </c>
      <c r="F1048" t="s">
        <v>3406</v>
      </c>
    </row>
    <row r="1049" spans="1:6" x14ac:dyDescent="0.25">
      <c r="A1049" t="str">
        <f t="shared" si="16"/>
        <v>1167+30+363LP2300X</v>
      </c>
      <c r="B1049">
        <v>3547</v>
      </c>
      <c r="C1049">
        <v>1167</v>
      </c>
      <c r="D1049">
        <v>30</v>
      </c>
      <c r="E1049" t="s">
        <v>364</v>
      </c>
      <c r="F1049" t="s">
        <v>3407</v>
      </c>
    </row>
    <row r="1050" spans="1:6" x14ac:dyDescent="0.25">
      <c r="A1050" t="str">
        <f t="shared" si="16"/>
        <v>1168+30+363LS0200X</v>
      </c>
      <c r="B1050">
        <v>3548</v>
      </c>
      <c r="C1050">
        <v>1168</v>
      </c>
      <c r="D1050">
        <v>30</v>
      </c>
      <c r="E1050" t="s">
        <v>366</v>
      </c>
      <c r="F1050" t="s">
        <v>3408</v>
      </c>
    </row>
    <row r="1051" spans="1:6" x14ac:dyDescent="0.25">
      <c r="A1051" t="str">
        <f t="shared" si="16"/>
        <v>1169+30+363LW0102X</v>
      </c>
      <c r="B1051">
        <v>3549</v>
      </c>
      <c r="C1051">
        <v>1169</v>
      </c>
      <c r="D1051">
        <v>30</v>
      </c>
      <c r="E1051" t="s">
        <v>368</v>
      </c>
      <c r="F1051" t="s">
        <v>3409</v>
      </c>
    </row>
    <row r="1052" spans="1:6" x14ac:dyDescent="0.25">
      <c r="A1052" t="str">
        <f t="shared" si="16"/>
        <v>1170+30+363LX0001X</v>
      </c>
      <c r="B1052">
        <v>3550</v>
      </c>
      <c r="C1052">
        <v>1170</v>
      </c>
      <c r="D1052">
        <v>30</v>
      </c>
      <c r="E1052" t="s">
        <v>332</v>
      </c>
      <c r="F1052" t="s">
        <v>3410</v>
      </c>
    </row>
    <row r="1053" spans="1:6" x14ac:dyDescent="0.25">
      <c r="A1053" t="str">
        <f t="shared" si="16"/>
        <v>1171+30+363LX0106X</v>
      </c>
      <c r="B1053">
        <v>3551</v>
      </c>
      <c r="C1053">
        <v>1171</v>
      </c>
      <c r="D1053">
        <v>30</v>
      </c>
      <c r="E1053" t="s">
        <v>370</v>
      </c>
      <c r="F1053" t="s">
        <v>3411</v>
      </c>
    </row>
    <row r="1054" spans="1:6" x14ac:dyDescent="0.25">
      <c r="A1054" t="str">
        <f t="shared" si="16"/>
        <v>1172+30+163W00000X</v>
      </c>
      <c r="B1054">
        <v>3552</v>
      </c>
      <c r="C1054">
        <v>1172</v>
      </c>
      <c r="D1054">
        <v>30</v>
      </c>
      <c r="E1054" t="s">
        <v>595</v>
      </c>
      <c r="F1054" t="s">
        <v>3412</v>
      </c>
    </row>
    <row r="1055" spans="1:6" x14ac:dyDescent="0.25">
      <c r="A1055" t="str">
        <f t="shared" si="16"/>
        <v>1173+30+163WA0400X</v>
      </c>
      <c r="B1055">
        <v>3553</v>
      </c>
      <c r="C1055">
        <v>1173</v>
      </c>
      <c r="D1055">
        <v>30</v>
      </c>
      <c r="E1055" t="s">
        <v>603</v>
      </c>
      <c r="F1055" t="s">
        <v>3413</v>
      </c>
    </row>
    <row r="1056" spans="1:6" x14ac:dyDescent="0.25">
      <c r="A1056" t="str">
        <f t="shared" si="16"/>
        <v>1174+30+163WA2000X</v>
      </c>
      <c r="B1056">
        <v>3554</v>
      </c>
      <c r="C1056">
        <v>1174</v>
      </c>
      <c r="D1056">
        <v>30</v>
      </c>
      <c r="E1056" t="s">
        <v>604</v>
      </c>
      <c r="F1056" t="s">
        <v>3414</v>
      </c>
    </row>
    <row r="1057" spans="1:6" x14ac:dyDescent="0.25">
      <c r="A1057" t="str">
        <f t="shared" si="16"/>
        <v>1175+30+163WC0200X</v>
      </c>
      <c r="B1057">
        <v>3555</v>
      </c>
      <c r="C1057">
        <v>1175</v>
      </c>
      <c r="D1057">
        <v>30</v>
      </c>
      <c r="E1057" t="s">
        <v>605</v>
      </c>
      <c r="F1057" t="s">
        <v>3415</v>
      </c>
    </row>
    <row r="1058" spans="1:6" x14ac:dyDescent="0.25">
      <c r="A1058" t="str">
        <f t="shared" si="16"/>
        <v>1176+30+163WC0400X</v>
      </c>
      <c r="B1058">
        <v>3556</v>
      </c>
      <c r="C1058">
        <v>1176</v>
      </c>
      <c r="D1058">
        <v>30</v>
      </c>
      <c r="E1058" t="s">
        <v>606</v>
      </c>
      <c r="F1058" t="s">
        <v>3416</v>
      </c>
    </row>
    <row r="1059" spans="1:6" x14ac:dyDescent="0.25">
      <c r="A1059" t="str">
        <f t="shared" si="16"/>
        <v>1177+30+163WC1400X</v>
      </c>
      <c r="B1059">
        <v>3557</v>
      </c>
      <c r="C1059">
        <v>1177</v>
      </c>
      <c r="D1059">
        <v>30</v>
      </c>
      <c r="E1059" t="s">
        <v>607</v>
      </c>
      <c r="F1059" t="s">
        <v>3417</v>
      </c>
    </row>
    <row r="1060" spans="1:6" x14ac:dyDescent="0.25">
      <c r="A1060" t="str">
        <f t="shared" si="16"/>
        <v>1178+30+163WC1500X</v>
      </c>
      <c r="B1060">
        <v>3558</v>
      </c>
      <c r="C1060">
        <v>1178</v>
      </c>
      <c r="D1060">
        <v>30</v>
      </c>
      <c r="E1060" t="s">
        <v>608</v>
      </c>
      <c r="F1060" t="s">
        <v>3418</v>
      </c>
    </row>
    <row r="1061" spans="1:6" x14ac:dyDescent="0.25">
      <c r="A1061" t="str">
        <f t="shared" si="16"/>
        <v>1179+30+163WC1600X</v>
      </c>
      <c r="B1061">
        <v>3559</v>
      </c>
      <c r="C1061">
        <v>1179</v>
      </c>
      <c r="D1061">
        <v>30</v>
      </c>
      <c r="E1061" t="s">
        <v>609</v>
      </c>
      <c r="F1061" t="s">
        <v>3419</v>
      </c>
    </row>
    <row r="1062" spans="1:6" x14ac:dyDescent="0.25">
      <c r="A1062" t="str">
        <f t="shared" si="16"/>
        <v>1180+30+163WC2100X</v>
      </c>
      <c r="B1062">
        <v>3560</v>
      </c>
      <c r="C1062">
        <v>1180</v>
      </c>
      <c r="D1062">
        <v>30</v>
      </c>
      <c r="E1062" t="s">
        <v>610</v>
      </c>
      <c r="F1062" t="s">
        <v>3420</v>
      </c>
    </row>
    <row r="1063" spans="1:6" x14ac:dyDescent="0.25">
      <c r="A1063" t="str">
        <f t="shared" si="16"/>
        <v>1181+30+163WC3500X</v>
      </c>
      <c r="B1063">
        <v>3561</v>
      </c>
      <c r="C1063">
        <v>1181</v>
      </c>
      <c r="D1063">
        <v>30</v>
      </c>
      <c r="E1063" t="s">
        <v>611</v>
      </c>
      <c r="F1063" t="s">
        <v>3421</v>
      </c>
    </row>
    <row r="1064" spans="1:6" x14ac:dyDescent="0.25">
      <c r="A1064" t="str">
        <f t="shared" si="16"/>
        <v>1182+30+163WD0400X</v>
      </c>
      <c r="B1064">
        <v>3562</v>
      </c>
      <c r="C1064">
        <v>1182</v>
      </c>
      <c r="D1064">
        <v>30</v>
      </c>
      <c r="E1064" t="s">
        <v>612</v>
      </c>
      <c r="F1064" t="s">
        <v>3422</v>
      </c>
    </row>
    <row r="1065" spans="1:6" x14ac:dyDescent="0.25">
      <c r="A1065" t="str">
        <f t="shared" si="16"/>
        <v>1183+30+163WD1100X</v>
      </c>
      <c r="B1065">
        <v>3563</v>
      </c>
      <c r="C1065">
        <v>1183</v>
      </c>
      <c r="D1065">
        <v>30</v>
      </c>
      <c r="E1065" t="s">
        <v>613</v>
      </c>
      <c r="F1065" t="s">
        <v>3423</v>
      </c>
    </row>
    <row r="1066" spans="1:6" x14ac:dyDescent="0.25">
      <c r="A1066" t="str">
        <f t="shared" si="16"/>
        <v>1184+30+163WE0003X</v>
      </c>
      <c r="B1066">
        <v>3564</v>
      </c>
      <c r="C1066">
        <v>1184</v>
      </c>
      <c r="D1066">
        <v>30</v>
      </c>
      <c r="E1066" t="s">
        <v>614</v>
      </c>
      <c r="F1066" t="s">
        <v>3424</v>
      </c>
    </row>
    <row r="1067" spans="1:6" x14ac:dyDescent="0.25">
      <c r="A1067" t="str">
        <f t="shared" si="16"/>
        <v>1185+30+163WE0900X</v>
      </c>
      <c r="B1067">
        <v>3565</v>
      </c>
      <c r="C1067">
        <v>1185</v>
      </c>
      <c r="D1067">
        <v>30</v>
      </c>
      <c r="E1067" t="s">
        <v>615</v>
      </c>
      <c r="F1067" t="s">
        <v>3425</v>
      </c>
    </row>
    <row r="1068" spans="1:6" x14ac:dyDescent="0.25">
      <c r="A1068" t="str">
        <f t="shared" si="16"/>
        <v>1186+30+163WF0300X</v>
      </c>
      <c r="B1068">
        <v>3566</v>
      </c>
      <c r="C1068">
        <v>1186</v>
      </c>
      <c r="D1068">
        <v>30</v>
      </c>
      <c r="E1068" t="s">
        <v>616</v>
      </c>
      <c r="F1068" t="s">
        <v>3426</v>
      </c>
    </row>
    <row r="1069" spans="1:6" x14ac:dyDescent="0.25">
      <c r="A1069" t="str">
        <f t="shared" si="16"/>
        <v>1187+30+163WG0000X</v>
      </c>
      <c r="B1069">
        <v>3567</v>
      </c>
      <c r="C1069">
        <v>1187</v>
      </c>
      <c r="D1069">
        <v>30</v>
      </c>
      <c r="E1069" t="s">
        <v>618</v>
      </c>
      <c r="F1069" t="s">
        <v>3427</v>
      </c>
    </row>
    <row r="1070" spans="1:6" x14ac:dyDescent="0.25">
      <c r="A1070" t="str">
        <f t="shared" si="16"/>
        <v>1188+30+163WG0100X</v>
      </c>
      <c r="B1070">
        <v>3568</v>
      </c>
      <c r="C1070">
        <v>1188</v>
      </c>
      <c r="D1070">
        <v>30</v>
      </c>
      <c r="E1070" t="s">
        <v>619</v>
      </c>
      <c r="F1070" t="s">
        <v>3428</v>
      </c>
    </row>
    <row r="1071" spans="1:6" x14ac:dyDescent="0.25">
      <c r="A1071" t="str">
        <f t="shared" si="16"/>
        <v>1189+30+163WG0600X</v>
      </c>
      <c r="B1071">
        <v>3569</v>
      </c>
      <c r="C1071">
        <v>1189</v>
      </c>
      <c r="D1071">
        <v>30</v>
      </c>
      <c r="E1071" t="s">
        <v>620</v>
      </c>
      <c r="F1071" t="s">
        <v>3429</v>
      </c>
    </row>
    <row r="1072" spans="1:6" x14ac:dyDescent="0.25">
      <c r="A1072" t="str">
        <f t="shared" si="16"/>
        <v>1190+30+163WH0200X</v>
      </c>
      <c r="B1072">
        <v>3570</v>
      </c>
      <c r="C1072">
        <v>1190</v>
      </c>
      <c r="D1072">
        <v>30</v>
      </c>
      <c r="E1072" t="s">
        <v>621</v>
      </c>
      <c r="F1072" t="s">
        <v>3430</v>
      </c>
    </row>
    <row r="1073" spans="1:6" x14ac:dyDescent="0.25">
      <c r="A1073" t="str">
        <f t="shared" si="16"/>
        <v>1191+30+163WH0500X</v>
      </c>
      <c r="B1073">
        <v>3571</v>
      </c>
      <c r="C1073">
        <v>1191</v>
      </c>
      <c r="D1073">
        <v>30</v>
      </c>
      <c r="E1073" t="s">
        <v>622</v>
      </c>
      <c r="F1073" t="s">
        <v>3431</v>
      </c>
    </row>
    <row r="1074" spans="1:6" x14ac:dyDescent="0.25">
      <c r="A1074" t="str">
        <f t="shared" si="16"/>
        <v>1192+30+163WH1000X</v>
      </c>
      <c r="B1074">
        <v>3572</v>
      </c>
      <c r="C1074">
        <v>1192</v>
      </c>
      <c r="D1074">
        <v>30</v>
      </c>
      <c r="E1074" t="s">
        <v>623</v>
      </c>
      <c r="F1074" t="s">
        <v>3432</v>
      </c>
    </row>
    <row r="1075" spans="1:6" x14ac:dyDescent="0.25">
      <c r="A1075" t="str">
        <f t="shared" si="16"/>
        <v>1193+30+163WI0500X</v>
      </c>
      <c r="B1075">
        <v>3573</v>
      </c>
      <c r="C1075">
        <v>1193</v>
      </c>
      <c r="D1075">
        <v>30</v>
      </c>
      <c r="E1075" t="s">
        <v>624</v>
      </c>
      <c r="F1075" t="s">
        <v>3433</v>
      </c>
    </row>
    <row r="1076" spans="1:6" x14ac:dyDescent="0.25">
      <c r="A1076" t="str">
        <f t="shared" si="16"/>
        <v>1194+30+163WI0600X</v>
      </c>
      <c r="B1076">
        <v>3574</v>
      </c>
      <c r="C1076">
        <v>1194</v>
      </c>
      <c r="D1076">
        <v>30</v>
      </c>
      <c r="E1076" t="s">
        <v>596</v>
      </c>
      <c r="F1076" t="s">
        <v>3434</v>
      </c>
    </row>
    <row r="1077" spans="1:6" x14ac:dyDescent="0.25">
      <c r="A1077" t="str">
        <f t="shared" si="16"/>
        <v>1195+30+163WL0100X</v>
      </c>
      <c r="B1077">
        <v>3575</v>
      </c>
      <c r="C1077">
        <v>1195</v>
      </c>
      <c r="D1077">
        <v>30</v>
      </c>
      <c r="E1077" t="s">
        <v>625</v>
      </c>
      <c r="F1077" t="s">
        <v>3435</v>
      </c>
    </row>
    <row r="1078" spans="1:6" x14ac:dyDescent="0.25">
      <c r="A1078" t="str">
        <f t="shared" si="16"/>
        <v>1196+30+163WM0102X</v>
      </c>
      <c r="B1078">
        <v>3576</v>
      </c>
      <c r="C1078">
        <v>1196</v>
      </c>
      <c r="D1078">
        <v>30</v>
      </c>
      <c r="E1078" t="s">
        <v>626</v>
      </c>
      <c r="F1078" t="s">
        <v>3436</v>
      </c>
    </row>
    <row r="1079" spans="1:6" x14ac:dyDescent="0.25">
      <c r="A1079" t="str">
        <f t="shared" si="16"/>
        <v>1197+30+163WM0705X</v>
      </c>
      <c r="B1079">
        <v>3577</v>
      </c>
      <c r="C1079">
        <v>1197</v>
      </c>
      <c r="D1079">
        <v>30</v>
      </c>
      <c r="E1079" t="s">
        <v>627</v>
      </c>
      <c r="F1079" t="s">
        <v>3437</v>
      </c>
    </row>
    <row r="1080" spans="1:6" x14ac:dyDescent="0.25">
      <c r="A1080" t="str">
        <f t="shared" si="16"/>
        <v>1198+30+163WM1400X</v>
      </c>
      <c r="B1080">
        <v>3578</v>
      </c>
      <c r="C1080">
        <v>1198</v>
      </c>
      <c r="D1080">
        <v>30</v>
      </c>
      <c r="E1080" t="s">
        <v>628</v>
      </c>
      <c r="F1080" t="s">
        <v>3438</v>
      </c>
    </row>
    <row r="1081" spans="1:6" x14ac:dyDescent="0.25">
      <c r="A1081" t="str">
        <f t="shared" si="16"/>
        <v>1199+30+163WN0002X</v>
      </c>
      <c r="B1081">
        <v>3579</v>
      </c>
      <c r="C1081">
        <v>1199</v>
      </c>
      <c r="D1081">
        <v>30</v>
      </c>
      <c r="E1081" t="s">
        <v>629</v>
      </c>
      <c r="F1081" t="s">
        <v>3439</v>
      </c>
    </row>
    <row r="1082" spans="1:6" x14ac:dyDescent="0.25">
      <c r="A1082" t="str">
        <f t="shared" si="16"/>
        <v>1200+30+163WN0003X</v>
      </c>
      <c r="B1082">
        <v>3580</v>
      </c>
      <c r="C1082">
        <v>1200</v>
      </c>
      <c r="D1082">
        <v>30</v>
      </c>
      <c r="E1082" t="s">
        <v>630</v>
      </c>
      <c r="F1082" t="s">
        <v>3440</v>
      </c>
    </row>
    <row r="1083" spans="1:6" x14ac:dyDescent="0.25">
      <c r="A1083" t="str">
        <f t="shared" si="16"/>
        <v>1201+30+163WN0300X</v>
      </c>
      <c r="B1083">
        <v>3581</v>
      </c>
      <c r="C1083">
        <v>1201</v>
      </c>
      <c r="D1083">
        <v>30</v>
      </c>
      <c r="E1083" t="s">
        <v>632</v>
      </c>
      <c r="F1083" t="s">
        <v>3441</v>
      </c>
    </row>
    <row r="1084" spans="1:6" x14ac:dyDescent="0.25">
      <c r="A1084" t="str">
        <f t="shared" si="16"/>
        <v>1202+30+163WN0800X</v>
      </c>
      <c r="B1084">
        <v>3582</v>
      </c>
      <c r="C1084">
        <v>1202</v>
      </c>
      <c r="D1084">
        <v>30</v>
      </c>
      <c r="E1084" t="s">
        <v>633</v>
      </c>
      <c r="F1084" t="s">
        <v>3442</v>
      </c>
    </row>
    <row r="1085" spans="1:6" x14ac:dyDescent="0.25">
      <c r="A1085" t="str">
        <f t="shared" si="16"/>
        <v>1203+30+163WN1003X</v>
      </c>
      <c r="B1085">
        <v>3583</v>
      </c>
      <c r="C1085">
        <v>1203</v>
      </c>
      <c r="D1085">
        <v>30</v>
      </c>
      <c r="E1085" t="s">
        <v>635</v>
      </c>
      <c r="F1085" t="s">
        <v>3443</v>
      </c>
    </row>
    <row r="1086" spans="1:6" x14ac:dyDescent="0.25">
      <c r="A1086" t="str">
        <f t="shared" si="16"/>
        <v>1204+30+163WP0000X</v>
      </c>
      <c r="B1086">
        <v>3584</v>
      </c>
      <c r="C1086">
        <v>1204</v>
      </c>
      <c r="D1086">
        <v>30</v>
      </c>
      <c r="E1086" t="s">
        <v>636</v>
      </c>
      <c r="F1086" t="s">
        <v>3444</v>
      </c>
    </row>
    <row r="1087" spans="1:6" x14ac:dyDescent="0.25">
      <c r="A1087" t="str">
        <f t="shared" si="16"/>
        <v>1205+30+163WP0200X</v>
      </c>
      <c r="B1087">
        <v>3585</v>
      </c>
      <c r="C1087">
        <v>1205</v>
      </c>
      <c r="D1087">
        <v>30</v>
      </c>
      <c r="E1087" t="s">
        <v>637</v>
      </c>
      <c r="F1087" t="s">
        <v>3445</v>
      </c>
    </row>
    <row r="1088" spans="1:6" x14ac:dyDescent="0.25">
      <c r="A1088" t="str">
        <f t="shared" si="16"/>
        <v>1206+30+163WP0218X</v>
      </c>
      <c r="B1088">
        <v>3586</v>
      </c>
      <c r="C1088">
        <v>1206</v>
      </c>
      <c r="D1088">
        <v>30</v>
      </c>
      <c r="E1088" t="s">
        <v>638</v>
      </c>
      <c r="F1088" t="s">
        <v>3446</v>
      </c>
    </row>
    <row r="1089" spans="1:6" x14ac:dyDescent="0.25">
      <c r="A1089" t="str">
        <f t="shared" si="16"/>
        <v>1207+30+163WP0807X</v>
      </c>
      <c r="B1089">
        <v>3587</v>
      </c>
      <c r="C1089">
        <v>1207</v>
      </c>
      <c r="D1089">
        <v>30</v>
      </c>
      <c r="E1089" t="s">
        <v>597</v>
      </c>
      <c r="F1089" t="s">
        <v>3447</v>
      </c>
    </row>
    <row r="1090" spans="1:6" x14ac:dyDescent="0.25">
      <c r="A1090" t="str">
        <f t="shared" ref="A1090:A1153" si="17">C1090 &amp; "+" &amp; D1090 &amp; "+" &amp; E1090</f>
        <v>1208+30+163WP0808X</v>
      </c>
      <c r="B1090">
        <v>3588</v>
      </c>
      <c r="C1090">
        <v>1208</v>
      </c>
      <c r="D1090">
        <v>30</v>
      </c>
      <c r="E1090" t="s">
        <v>470</v>
      </c>
      <c r="F1090" t="s">
        <v>3448</v>
      </c>
    </row>
    <row r="1091" spans="1:6" x14ac:dyDescent="0.25">
      <c r="A1091" t="str">
        <f t="shared" si="17"/>
        <v>1209+30+163WP0809X</v>
      </c>
      <c r="B1091">
        <v>3589</v>
      </c>
      <c r="C1091">
        <v>1209</v>
      </c>
      <c r="D1091">
        <v>30</v>
      </c>
      <c r="E1091" t="s">
        <v>598</v>
      </c>
      <c r="F1091" t="s">
        <v>3449</v>
      </c>
    </row>
    <row r="1092" spans="1:6" x14ac:dyDescent="0.25">
      <c r="A1092" t="str">
        <f t="shared" si="17"/>
        <v>1210+30+163WP1700X</v>
      </c>
      <c r="B1092">
        <v>3590</v>
      </c>
      <c r="C1092">
        <v>1210</v>
      </c>
      <c r="D1092">
        <v>30</v>
      </c>
      <c r="E1092" t="s">
        <v>599</v>
      </c>
      <c r="F1092" t="s">
        <v>3450</v>
      </c>
    </row>
    <row r="1093" spans="1:6" x14ac:dyDescent="0.25">
      <c r="A1093" t="str">
        <f t="shared" si="17"/>
        <v>1211+30+163WP2201X</v>
      </c>
      <c r="B1093">
        <v>3591</v>
      </c>
      <c r="C1093">
        <v>1211</v>
      </c>
      <c r="D1093">
        <v>30</v>
      </c>
      <c r="E1093" t="s">
        <v>639</v>
      </c>
      <c r="F1093" t="s">
        <v>3451</v>
      </c>
    </row>
    <row r="1094" spans="1:6" x14ac:dyDescent="0.25">
      <c r="A1094" t="str">
        <f t="shared" si="17"/>
        <v>1212+30+163WR0400X</v>
      </c>
      <c r="B1094">
        <v>3592</v>
      </c>
      <c r="C1094">
        <v>1212</v>
      </c>
      <c r="D1094">
        <v>30</v>
      </c>
      <c r="E1094" t="s">
        <v>641</v>
      </c>
      <c r="F1094" t="s">
        <v>3452</v>
      </c>
    </row>
    <row r="1095" spans="1:6" x14ac:dyDescent="0.25">
      <c r="A1095" t="str">
        <f t="shared" si="17"/>
        <v>1213+30+163WR1000X</v>
      </c>
      <c r="B1095">
        <v>3593</v>
      </c>
      <c r="C1095">
        <v>1213</v>
      </c>
      <c r="D1095">
        <v>30</v>
      </c>
      <c r="E1095" t="s">
        <v>642</v>
      </c>
      <c r="F1095" t="s">
        <v>3453</v>
      </c>
    </row>
    <row r="1096" spans="1:6" x14ac:dyDescent="0.25">
      <c r="A1096" t="str">
        <f t="shared" si="17"/>
        <v>1214+30+163WS0121X</v>
      </c>
      <c r="B1096">
        <v>3594</v>
      </c>
      <c r="C1096">
        <v>1214</v>
      </c>
      <c r="D1096">
        <v>30</v>
      </c>
      <c r="E1096" t="s">
        <v>644</v>
      </c>
      <c r="F1096" t="s">
        <v>3454</v>
      </c>
    </row>
    <row r="1097" spans="1:6" x14ac:dyDescent="0.25">
      <c r="A1097" t="str">
        <f t="shared" si="17"/>
        <v>1215+30+163WS0200X</v>
      </c>
      <c r="B1097">
        <v>3595</v>
      </c>
      <c r="C1097">
        <v>1215</v>
      </c>
      <c r="D1097">
        <v>30</v>
      </c>
      <c r="E1097" t="s">
        <v>645</v>
      </c>
      <c r="F1097" t="s">
        <v>3455</v>
      </c>
    </row>
    <row r="1098" spans="1:6" x14ac:dyDescent="0.25">
      <c r="A1098" t="str">
        <f t="shared" si="17"/>
        <v>1216+30+163WU0100X</v>
      </c>
      <c r="B1098">
        <v>3596</v>
      </c>
      <c r="C1098">
        <v>1216</v>
      </c>
      <c r="D1098">
        <v>30</v>
      </c>
      <c r="E1098" t="s">
        <v>647</v>
      </c>
      <c r="F1098" t="s">
        <v>3456</v>
      </c>
    </row>
    <row r="1099" spans="1:6" x14ac:dyDescent="0.25">
      <c r="A1099" t="str">
        <f t="shared" si="17"/>
        <v>1217+30+163WW0000X</v>
      </c>
      <c r="B1099">
        <v>3597</v>
      </c>
      <c r="C1099">
        <v>1217</v>
      </c>
      <c r="D1099">
        <v>30</v>
      </c>
      <c r="E1099" t="s">
        <v>648</v>
      </c>
      <c r="F1099" t="s">
        <v>3457</v>
      </c>
    </row>
    <row r="1100" spans="1:6" x14ac:dyDescent="0.25">
      <c r="A1100" t="str">
        <f t="shared" si="17"/>
        <v>1218+30+163WW0101X</v>
      </c>
      <c r="B1100">
        <v>3598</v>
      </c>
      <c r="C1100">
        <v>1218</v>
      </c>
      <c r="D1100">
        <v>30</v>
      </c>
      <c r="E1100" t="s">
        <v>649</v>
      </c>
      <c r="F1100" t="s">
        <v>3458</v>
      </c>
    </row>
    <row r="1101" spans="1:6" x14ac:dyDescent="0.25">
      <c r="A1101" t="str">
        <f t="shared" si="17"/>
        <v>1219+30+163WX0002X</v>
      </c>
      <c r="B1101">
        <v>3599</v>
      </c>
      <c r="C1101">
        <v>1219</v>
      </c>
      <c r="D1101">
        <v>30</v>
      </c>
      <c r="E1101" t="s">
        <v>650</v>
      </c>
      <c r="F1101" t="s">
        <v>3459</v>
      </c>
    </row>
    <row r="1102" spans="1:6" x14ac:dyDescent="0.25">
      <c r="A1102" t="str">
        <f t="shared" si="17"/>
        <v>1220+30+163WX0003X</v>
      </c>
      <c r="B1102">
        <v>3600</v>
      </c>
      <c r="C1102">
        <v>1220</v>
      </c>
      <c r="D1102">
        <v>30</v>
      </c>
      <c r="E1102" t="s">
        <v>651</v>
      </c>
      <c r="F1102" t="s">
        <v>3460</v>
      </c>
    </row>
    <row r="1103" spans="1:6" x14ac:dyDescent="0.25">
      <c r="A1103" t="str">
        <f t="shared" si="17"/>
        <v>1221+30+163WX0106X</v>
      </c>
      <c r="B1103">
        <v>3601</v>
      </c>
      <c r="C1103">
        <v>1221</v>
      </c>
      <c r="D1103">
        <v>30</v>
      </c>
      <c r="E1103" t="s">
        <v>652</v>
      </c>
      <c r="F1103" t="s">
        <v>3461</v>
      </c>
    </row>
    <row r="1104" spans="1:6" x14ac:dyDescent="0.25">
      <c r="A1104" t="str">
        <f t="shared" si="17"/>
        <v>1222+30+163WX0200X</v>
      </c>
      <c r="B1104">
        <v>3602</v>
      </c>
      <c r="C1104">
        <v>1222</v>
      </c>
      <c r="D1104">
        <v>30</v>
      </c>
      <c r="E1104" t="s">
        <v>653</v>
      </c>
      <c r="F1104" t="s">
        <v>3462</v>
      </c>
    </row>
    <row r="1105" spans="1:6" x14ac:dyDescent="0.25">
      <c r="A1105" t="str">
        <f t="shared" si="17"/>
        <v>1223+30+163WX0601X</v>
      </c>
      <c r="B1105">
        <v>3603</v>
      </c>
      <c r="C1105">
        <v>1223</v>
      </c>
      <c r="D1105">
        <v>30</v>
      </c>
      <c r="E1105" t="s">
        <v>654</v>
      </c>
      <c r="F1105" t="s">
        <v>3463</v>
      </c>
    </row>
    <row r="1106" spans="1:6" x14ac:dyDescent="0.25">
      <c r="A1106" t="str">
        <f t="shared" si="17"/>
        <v>1224+30+163WX0800X</v>
      </c>
      <c r="B1106">
        <v>3604</v>
      </c>
      <c r="C1106">
        <v>1224</v>
      </c>
      <c r="D1106">
        <v>30</v>
      </c>
      <c r="E1106" t="s">
        <v>655</v>
      </c>
      <c r="F1106" t="s">
        <v>3464</v>
      </c>
    </row>
    <row r="1107" spans="1:6" x14ac:dyDescent="0.25">
      <c r="A1107" t="str">
        <f t="shared" si="17"/>
        <v>1225+30+163WX1100X</v>
      </c>
      <c r="B1107">
        <v>3605</v>
      </c>
      <c r="C1107">
        <v>1225</v>
      </c>
      <c r="D1107">
        <v>30</v>
      </c>
      <c r="E1107" t="s">
        <v>657</v>
      </c>
      <c r="F1107" t="s">
        <v>3465</v>
      </c>
    </row>
    <row r="1108" spans="1:6" x14ac:dyDescent="0.25">
      <c r="A1108" t="str">
        <f t="shared" si="17"/>
        <v>1226+30+163WX1500X</v>
      </c>
      <c r="B1108">
        <v>3606</v>
      </c>
      <c r="C1108">
        <v>1226</v>
      </c>
      <c r="D1108">
        <v>30</v>
      </c>
      <c r="E1108" t="s">
        <v>658</v>
      </c>
      <c r="F1108" t="s">
        <v>3466</v>
      </c>
    </row>
    <row r="1109" spans="1:6" x14ac:dyDescent="0.25">
      <c r="A1109" t="str">
        <f t="shared" si="17"/>
        <v>1227+30+364S00000X</v>
      </c>
      <c r="B1109">
        <v>3607</v>
      </c>
      <c r="C1109">
        <v>1227</v>
      </c>
      <c r="D1109">
        <v>30</v>
      </c>
      <c r="E1109" t="s">
        <v>371</v>
      </c>
      <c r="F1109" t="s">
        <v>3467</v>
      </c>
    </row>
    <row r="1110" spans="1:6" x14ac:dyDescent="0.25">
      <c r="A1110" t="str">
        <f t="shared" si="17"/>
        <v>1228+30+364SA2100X</v>
      </c>
      <c r="B1110">
        <v>3608</v>
      </c>
      <c r="C1110">
        <v>1228</v>
      </c>
      <c r="D1110">
        <v>30</v>
      </c>
      <c r="E1110" t="s">
        <v>372</v>
      </c>
      <c r="F1110" t="s">
        <v>3468</v>
      </c>
    </row>
    <row r="1111" spans="1:6" x14ac:dyDescent="0.25">
      <c r="A1111" t="str">
        <f t="shared" si="17"/>
        <v>1229+30+364SA2200X</v>
      </c>
      <c r="B1111">
        <v>3609</v>
      </c>
      <c r="C1111">
        <v>1229</v>
      </c>
      <c r="D1111">
        <v>30</v>
      </c>
      <c r="E1111" t="s">
        <v>373</v>
      </c>
      <c r="F1111" t="s">
        <v>3469</v>
      </c>
    </row>
    <row r="1112" spans="1:6" x14ac:dyDescent="0.25">
      <c r="A1112" t="str">
        <f t="shared" si="17"/>
        <v>1230+30+364SC2300X</v>
      </c>
      <c r="B1112">
        <v>3610</v>
      </c>
      <c r="C1112">
        <v>1230</v>
      </c>
      <c r="D1112">
        <v>30</v>
      </c>
      <c r="E1112" t="s">
        <v>378</v>
      </c>
      <c r="F1112" t="s">
        <v>3470</v>
      </c>
    </row>
    <row r="1113" spans="1:6" x14ac:dyDescent="0.25">
      <c r="A1113" t="str">
        <f t="shared" si="17"/>
        <v>1231+30+364SC1501X</v>
      </c>
      <c r="B1113">
        <v>3611</v>
      </c>
      <c r="C1113">
        <v>1231</v>
      </c>
      <c r="D1113">
        <v>30</v>
      </c>
      <c r="E1113" t="s">
        <v>376</v>
      </c>
      <c r="F1113" t="s">
        <v>3471</v>
      </c>
    </row>
    <row r="1114" spans="1:6" x14ac:dyDescent="0.25">
      <c r="A1114" t="str">
        <f t="shared" si="17"/>
        <v>1232+30+364SC0200X</v>
      </c>
      <c r="B1114">
        <v>3612</v>
      </c>
      <c r="C1114">
        <v>1232</v>
      </c>
      <c r="D1114">
        <v>30</v>
      </c>
      <c r="E1114" t="s">
        <v>374</v>
      </c>
      <c r="F1114" t="s">
        <v>3472</v>
      </c>
    </row>
    <row r="1115" spans="1:6" x14ac:dyDescent="0.25">
      <c r="A1115" t="str">
        <f t="shared" si="17"/>
        <v>1233+30+364SE0003X</v>
      </c>
      <c r="B1115">
        <v>3613</v>
      </c>
      <c r="C1115">
        <v>1233</v>
      </c>
      <c r="D1115">
        <v>30</v>
      </c>
      <c r="E1115" t="s">
        <v>380</v>
      </c>
      <c r="F1115" t="s">
        <v>3473</v>
      </c>
    </row>
    <row r="1116" spans="1:6" x14ac:dyDescent="0.25">
      <c r="A1116" t="str">
        <f t="shared" si="17"/>
        <v>1234+30+364SE1400X</v>
      </c>
      <c r="B1116">
        <v>3614</v>
      </c>
      <c r="C1116">
        <v>1234</v>
      </c>
      <c r="D1116">
        <v>30</v>
      </c>
      <c r="E1116" t="s">
        <v>382</v>
      </c>
      <c r="F1116" t="s">
        <v>3474</v>
      </c>
    </row>
    <row r="1117" spans="1:6" x14ac:dyDescent="0.25">
      <c r="A1117" t="str">
        <f t="shared" si="17"/>
        <v>1235+30+364SF0001X</v>
      </c>
      <c r="B1117">
        <v>3615</v>
      </c>
      <c r="C1117">
        <v>1235</v>
      </c>
      <c r="D1117">
        <v>30</v>
      </c>
      <c r="E1117" t="s">
        <v>384</v>
      </c>
      <c r="F1117" t="s">
        <v>3475</v>
      </c>
    </row>
    <row r="1118" spans="1:6" x14ac:dyDescent="0.25">
      <c r="A1118" t="str">
        <f t="shared" si="17"/>
        <v>1236+30+364SG0600X</v>
      </c>
      <c r="B1118">
        <v>3616</v>
      </c>
      <c r="C1118">
        <v>1236</v>
      </c>
      <c r="D1118">
        <v>30</v>
      </c>
      <c r="E1118" t="s">
        <v>385</v>
      </c>
      <c r="F1118" t="s">
        <v>3476</v>
      </c>
    </row>
    <row r="1119" spans="1:6" x14ac:dyDescent="0.25">
      <c r="A1119" t="str">
        <f t="shared" si="17"/>
        <v>1237+30+364SH1100X</v>
      </c>
      <c r="B1119">
        <v>3617</v>
      </c>
      <c r="C1119">
        <v>1237</v>
      </c>
      <c r="D1119">
        <v>30</v>
      </c>
      <c r="E1119" t="s">
        <v>388</v>
      </c>
      <c r="F1119" t="s">
        <v>3477</v>
      </c>
    </row>
    <row r="1120" spans="1:6" x14ac:dyDescent="0.25">
      <c r="A1120" t="str">
        <f t="shared" si="17"/>
        <v>1238+30+364SH0200X</v>
      </c>
      <c r="B1120">
        <v>3618</v>
      </c>
      <c r="C1120">
        <v>1238</v>
      </c>
      <c r="D1120">
        <v>30</v>
      </c>
      <c r="E1120" t="s">
        <v>386</v>
      </c>
      <c r="F1120" t="s">
        <v>3478</v>
      </c>
    </row>
    <row r="1121" spans="1:6" x14ac:dyDescent="0.25">
      <c r="A1121" t="str">
        <f t="shared" si="17"/>
        <v>1239+30+364SI0800X</v>
      </c>
      <c r="B1121">
        <v>3619</v>
      </c>
      <c r="C1121">
        <v>1239</v>
      </c>
      <c r="D1121">
        <v>30</v>
      </c>
      <c r="E1121" t="s">
        <v>390</v>
      </c>
      <c r="F1121" t="s">
        <v>3479</v>
      </c>
    </row>
    <row r="1122" spans="1:6" x14ac:dyDescent="0.25">
      <c r="A1122" t="str">
        <f t="shared" si="17"/>
        <v>1240+30+364SL0600X</v>
      </c>
      <c r="B1122">
        <v>3620</v>
      </c>
      <c r="C1122">
        <v>1240</v>
      </c>
      <c r="D1122">
        <v>30</v>
      </c>
      <c r="E1122" t="s">
        <v>392</v>
      </c>
      <c r="F1122" t="s">
        <v>3480</v>
      </c>
    </row>
    <row r="1123" spans="1:6" x14ac:dyDescent="0.25">
      <c r="A1123" t="str">
        <f t="shared" si="17"/>
        <v>1241+30+364SM0705X</v>
      </c>
      <c r="B1123">
        <v>3621</v>
      </c>
      <c r="C1123">
        <v>1241</v>
      </c>
      <c r="D1123">
        <v>30</v>
      </c>
      <c r="E1123" t="s">
        <v>394</v>
      </c>
      <c r="F1123" t="s">
        <v>3481</v>
      </c>
    </row>
    <row r="1124" spans="1:6" x14ac:dyDescent="0.25">
      <c r="A1124" t="str">
        <f t="shared" si="17"/>
        <v>1242+30+364SN0000X</v>
      </c>
      <c r="B1124">
        <v>3622</v>
      </c>
      <c r="C1124">
        <v>1242</v>
      </c>
      <c r="D1124">
        <v>30</v>
      </c>
      <c r="E1124" t="s">
        <v>395</v>
      </c>
      <c r="F1124" t="s">
        <v>3482</v>
      </c>
    </row>
    <row r="1125" spans="1:6" x14ac:dyDescent="0.25">
      <c r="A1125" t="str">
        <f t="shared" si="17"/>
        <v>1243+30+364SN0800X</v>
      </c>
      <c r="B1125">
        <v>3623</v>
      </c>
      <c r="C1125">
        <v>1243</v>
      </c>
      <c r="D1125">
        <v>30</v>
      </c>
      <c r="E1125" t="s">
        <v>397</v>
      </c>
      <c r="F1125" t="s">
        <v>3483</v>
      </c>
    </row>
    <row r="1126" spans="1:6" x14ac:dyDescent="0.25">
      <c r="A1126" t="str">
        <f t="shared" si="17"/>
        <v>1244+30+364SX0106X</v>
      </c>
      <c r="B1126">
        <v>3624</v>
      </c>
      <c r="C1126">
        <v>1244</v>
      </c>
      <c r="D1126">
        <v>30</v>
      </c>
      <c r="E1126" t="s">
        <v>419</v>
      </c>
      <c r="F1126" t="s">
        <v>3484</v>
      </c>
    </row>
    <row r="1127" spans="1:6" x14ac:dyDescent="0.25">
      <c r="A1127" t="str">
        <f t="shared" si="17"/>
        <v>1245+30+364SX0200X</v>
      </c>
      <c r="B1127">
        <v>3625</v>
      </c>
      <c r="C1127">
        <v>1245</v>
      </c>
      <c r="D1127">
        <v>30</v>
      </c>
      <c r="E1127" t="s">
        <v>420</v>
      </c>
      <c r="F1127" t="s">
        <v>3485</v>
      </c>
    </row>
    <row r="1128" spans="1:6" x14ac:dyDescent="0.25">
      <c r="A1128" t="str">
        <f t="shared" si="17"/>
        <v>1246+30+364SX0204X</v>
      </c>
      <c r="B1128">
        <v>3626</v>
      </c>
      <c r="C1128">
        <v>1246</v>
      </c>
      <c r="D1128">
        <v>30</v>
      </c>
      <c r="E1128" t="s">
        <v>422</v>
      </c>
      <c r="F1128" t="s">
        <v>3486</v>
      </c>
    </row>
    <row r="1129" spans="1:6" x14ac:dyDescent="0.25">
      <c r="A1129" t="str">
        <f t="shared" si="17"/>
        <v>1247+30+364SP0200X</v>
      </c>
      <c r="B1129">
        <v>3627</v>
      </c>
      <c r="C1129">
        <v>1247</v>
      </c>
      <c r="D1129">
        <v>30</v>
      </c>
      <c r="E1129" t="s">
        <v>336</v>
      </c>
      <c r="F1129" t="s">
        <v>3487</v>
      </c>
    </row>
    <row r="1130" spans="1:6" x14ac:dyDescent="0.25">
      <c r="A1130" t="str">
        <f t="shared" si="17"/>
        <v>1248+30+364SP1700X</v>
      </c>
      <c r="B1130">
        <v>3628</v>
      </c>
      <c r="C1130">
        <v>1248</v>
      </c>
      <c r="D1130">
        <v>30</v>
      </c>
      <c r="E1130" t="s">
        <v>411</v>
      </c>
      <c r="F1130" t="s">
        <v>3488</v>
      </c>
    </row>
    <row r="1131" spans="1:6" x14ac:dyDescent="0.25">
      <c r="A1131" t="str">
        <f t="shared" si="17"/>
        <v>1249+30+364SP2800X</v>
      </c>
      <c r="B1131">
        <v>3629</v>
      </c>
      <c r="C1131">
        <v>1249</v>
      </c>
      <c r="D1131">
        <v>30</v>
      </c>
      <c r="E1131" t="s">
        <v>413</v>
      </c>
      <c r="F1131" t="s">
        <v>3489</v>
      </c>
    </row>
    <row r="1132" spans="1:6" x14ac:dyDescent="0.25">
      <c r="A1132" t="str">
        <f t="shared" si="17"/>
        <v>1250+30+364SP0808X</v>
      </c>
      <c r="B1132">
        <v>3630</v>
      </c>
      <c r="C1132">
        <v>1250</v>
      </c>
      <c r="D1132">
        <v>30</v>
      </c>
      <c r="E1132" t="s">
        <v>400</v>
      </c>
      <c r="F1132" t="s">
        <v>3490</v>
      </c>
    </row>
    <row r="1133" spans="1:6" x14ac:dyDescent="0.25">
      <c r="A1133" t="str">
        <f t="shared" si="17"/>
        <v>1251+30+364SP0809X</v>
      </c>
      <c r="B1133">
        <v>3631</v>
      </c>
      <c r="C1133">
        <v>1251</v>
      </c>
      <c r="D1133">
        <v>30</v>
      </c>
      <c r="E1133" t="s">
        <v>402</v>
      </c>
      <c r="F1133" t="s">
        <v>3491</v>
      </c>
    </row>
    <row r="1134" spans="1:6" x14ac:dyDescent="0.25">
      <c r="A1134" t="str">
        <f t="shared" si="17"/>
        <v>1252+30+364SP0807X</v>
      </c>
      <c r="B1134">
        <v>3632</v>
      </c>
      <c r="C1134">
        <v>1252</v>
      </c>
      <c r="D1134">
        <v>30</v>
      </c>
      <c r="E1134" t="s">
        <v>399</v>
      </c>
      <c r="F1134" t="s">
        <v>3492</v>
      </c>
    </row>
    <row r="1135" spans="1:6" x14ac:dyDescent="0.25">
      <c r="A1135" t="str">
        <f t="shared" si="17"/>
        <v>1253+30+364SP0810X</v>
      </c>
      <c r="B1135">
        <v>3633</v>
      </c>
      <c r="C1135">
        <v>1253</v>
      </c>
      <c r="D1135">
        <v>30</v>
      </c>
      <c r="E1135" t="s">
        <v>404</v>
      </c>
      <c r="F1135" t="s">
        <v>3493</v>
      </c>
    </row>
    <row r="1136" spans="1:6" x14ac:dyDescent="0.25">
      <c r="A1136" t="str">
        <f t="shared" si="17"/>
        <v>1254+30+364SP0811X</v>
      </c>
      <c r="B1136">
        <v>3634</v>
      </c>
      <c r="C1136">
        <v>1254</v>
      </c>
      <c r="D1136">
        <v>30</v>
      </c>
      <c r="E1136" t="s">
        <v>406</v>
      </c>
      <c r="F1136" t="s">
        <v>3494</v>
      </c>
    </row>
    <row r="1137" spans="1:6" x14ac:dyDescent="0.25">
      <c r="A1137" t="str">
        <f t="shared" si="17"/>
        <v>1255+30+364SP0812X</v>
      </c>
      <c r="B1137">
        <v>3635</v>
      </c>
      <c r="C1137">
        <v>1255</v>
      </c>
      <c r="D1137">
        <v>30</v>
      </c>
      <c r="E1137" t="s">
        <v>408</v>
      </c>
      <c r="F1137" t="s">
        <v>3495</v>
      </c>
    </row>
    <row r="1138" spans="1:6" x14ac:dyDescent="0.25">
      <c r="A1138" t="str">
        <f t="shared" si="17"/>
        <v>1256+30+364SP0813X</v>
      </c>
      <c r="B1138">
        <v>3636</v>
      </c>
      <c r="C1138">
        <v>1256</v>
      </c>
      <c r="D1138">
        <v>30</v>
      </c>
      <c r="E1138" t="s">
        <v>410</v>
      </c>
      <c r="F1138" t="s">
        <v>3496</v>
      </c>
    </row>
    <row r="1139" spans="1:6" x14ac:dyDescent="0.25">
      <c r="A1139" t="str">
        <f t="shared" si="17"/>
        <v>1257+30+364SR0400X</v>
      </c>
      <c r="B1139">
        <v>3637</v>
      </c>
      <c r="C1139">
        <v>1257</v>
      </c>
      <c r="D1139">
        <v>30</v>
      </c>
      <c r="E1139" t="s">
        <v>414</v>
      </c>
      <c r="F1139" t="s">
        <v>3497</v>
      </c>
    </row>
    <row r="1140" spans="1:6" x14ac:dyDescent="0.25">
      <c r="A1140" t="str">
        <f t="shared" si="17"/>
        <v>1258+30+364ST0500X</v>
      </c>
      <c r="B1140">
        <v>3638</v>
      </c>
      <c r="C1140">
        <v>1258</v>
      </c>
      <c r="D1140">
        <v>30</v>
      </c>
      <c r="E1140" t="s">
        <v>417</v>
      </c>
      <c r="F1140" t="s">
        <v>3498</v>
      </c>
    </row>
    <row r="1141" spans="1:6" x14ac:dyDescent="0.25">
      <c r="A1141" t="str">
        <f t="shared" si="17"/>
        <v>1259+30+364SS0200X</v>
      </c>
      <c r="B1141">
        <v>3639</v>
      </c>
      <c r="C1141">
        <v>1259</v>
      </c>
      <c r="D1141">
        <v>30</v>
      </c>
      <c r="E1141" t="s">
        <v>415</v>
      </c>
      <c r="F1141" t="s">
        <v>3499</v>
      </c>
    </row>
    <row r="1142" spans="1:6" x14ac:dyDescent="0.25">
      <c r="A1142" t="str">
        <f t="shared" si="17"/>
        <v>1260+30+364SW0102X</v>
      </c>
      <c r="B1142">
        <v>3640</v>
      </c>
      <c r="C1142">
        <v>1260</v>
      </c>
      <c r="D1142">
        <v>30</v>
      </c>
      <c r="E1142" t="s">
        <v>418</v>
      </c>
      <c r="F1142" t="s">
        <v>3500</v>
      </c>
    </row>
    <row r="1143" spans="1:6" x14ac:dyDescent="0.25">
      <c r="A1143" t="str">
        <f t="shared" si="17"/>
        <v>1262+36+164W00000X</v>
      </c>
      <c r="B1143">
        <v>3641</v>
      </c>
      <c r="C1143">
        <v>1262</v>
      </c>
      <c r="D1143">
        <v>36</v>
      </c>
      <c r="E1143" t="s">
        <v>600</v>
      </c>
      <c r="F1143" t="s">
        <v>3391</v>
      </c>
    </row>
    <row r="1144" spans="1:6" x14ac:dyDescent="0.25">
      <c r="A1144" t="str">
        <f t="shared" si="17"/>
        <v>1263+36+367A00000X</v>
      </c>
      <c r="B1144">
        <v>3642</v>
      </c>
      <c r="C1144">
        <v>1263</v>
      </c>
      <c r="D1144">
        <v>36</v>
      </c>
      <c r="E1144" t="s">
        <v>428</v>
      </c>
      <c r="F1144" t="s">
        <v>3392</v>
      </c>
    </row>
    <row r="1145" spans="1:6" x14ac:dyDescent="0.25">
      <c r="A1145" t="str">
        <f t="shared" si="17"/>
        <v>1264+36+367500000X</v>
      </c>
      <c r="B1145">
        <v>3643</v>
      </c>
      <c r="C1145">
        <v>1264</v>
      </c>
      <c r="D1145">
        <v>36</v>
      </c>
      <c r="E1145" t="s">
        <v>424</v>
      </c>
      <c r="F1145" t="s">
        <v>3393</v>
      </c>
    </row>
    <row r="1146" spans="1:6" x14ac:dyDescent="0.25">
      <c r="A1146" t="str">
        <f t="shared" si="17"/>
        <v>1265+36+363L00000X</v>
      </c>
      <c r="B1146">
        <v>3644</v>
      </c>
      <c r="C1146">
        <v>1265</v>
      </c>
      <c r="D1146">
        <v>36</v>
      </c>
      <c r="E1146" t="s">
        <v>230</v>
      </c>
      <c r="F1146" t="s">
        <v>3394</v>
      </c>
    </row>
    <row r="1147" spans="1:6" x14ac:dyDescent="0.25">
      <c r="A1147" t="str">
        <f t="shared" si="17"/>
        <v>1266+36+363LA2100X</v>
      </c>
      <c r="B1147">
        <v>3645</v>
      </c>
      <c r="C1147">
        <v>1266</v>
      </c>
      <c r="D1147">
        <v>36</v>
      </c>
      <c r="E1147" t="s">
        <v>344</v>
      </c>
      <c r="F1147" t="s">
        <v>3395</v>
      </c>
    </row>
    <row r="1148" spans="1:6" x14ac:dyDescent="0.25">
      <c r="A1148" t="str">
        <f t="shared" si="17"/>
        <v>1267+36+363LA2200X</v>
      </c>
      <c r="B1148">
        <v>3646</v>
      </c>
      <c r="C1148">
        <v>1267</v>
      </c>
      <c r="D1148">
        <v>36</v>
      </c>
      <c r="E1148" t="s">
        <v>346</v>
      </c>
      <c r="F1148" t="s">
        <v>3396</v>
      </c>
    </row>
    <row r="1149" spans="1:6" x14ac:dyDescent="0.25">
      <c r="A1149" t="str">
        <f t="shared" si="17"/>
        <v>1268+36+363LC0200X</v>
      </c>
      <c r="B1149">
        <v>3647</v>
      </c>
      <c r="C1149">
        <v>1268</v>
      </c>
      <c r="D1149">
        <v>36</v>
      </c>
      <c r="E1149" t="s">
        <v>348</v>
      </c>
      <c r="F1149" t="s">
        <v>3397</v>
      </c>
    </row>
    <row r="1150" spans="1:6" x14ac:dyDescent="0.25">
      <c r="A1150" t="str">
        <f t="shared" si="17"/>
        <v>1269+36+363LC1500X</v>
      </c>
      <c r="B1150">
        <v>3648</v>
      </c>
      <c r="C1150">
        <v>1269</v>
      </c>
      <c r="D1150">
        <v>36</v>
      </c>
      <c r="E1150" t="s">
        <v>349</v>
      </c>
      <c r="F1150" t="s">
        <v>3398</v>
      </c>
    </row>
    <row r="1151" spans="1:6" x14ac:dyDescent="0.25">
      <c r="A1151" t="str">
        <f t="shared" si="17"/>
        <v>1270+36+363LF0000X</v>
      </c>
      <c r="B1151">
        <v>3649</v>
      </c>
      <c r="C1151">
        <v>1270</v>
      </c>
      <c r="D1151">
        <v>36</v>
      </c>
      <c r="E1151" t="s">
        <v>351</v>
      </c>
      <c r="F1151" t="s">
        <v>3399</v>
      </c>
    </row>
    <row r="1152" spans="1:6" x14ac:dyDescent="0.25">
      <c r="A1152" t="str">
        <f t="shared" si="17"/>
        <v>1271+36+363LG0600X</v>
      </c>
      <c r="B1152">
        <v>3650</v>
      </c>
      <c r="C1152">
        <v>1271</v>
      </c>
      <c r="D1152">
        <v>36</v>
      </c>
      <c r="E1152" t="s">
        <v>355</v>
      </c>
      <c r="F1152" t="s">
        <v>3400</v>
      </c>
    </row>
    <row r="1153" spans="1:6" x14ac:dyDescent="0.25">
      <c r="A1153" t="str">
        <f t="shared" si="17"/>
        <v>1272+36+363LN0000X</v>
      </c>
      <c r="B1153">
        <v>3651</v>
      </c>
      <c r="C1153">
        <v>1272</v>
      </c>
      <c r="D1153">
        <v>36</v>
      </c>
      <c r="E1153" t="s">
        <v>357</v>
      </c>
      <c r="F1153" t="s">
        <v>3401</v>
      </c>
    </row>
    <row r="1154" spans="1:6" x14ac:dyDescent="0.25">
      <c r="A1154" t="str">
        <f t="shared" ref="A1154:A1217" si="18">C1154 &amp; "+" &amp; D1154 &amp; "+" &amp; E1154</f>
        <v>1273+36+363LN0005X</v>
      </c>
      <c r="B1154">
        <v>3652</v>
      </c>
      <c r="C1154">
        <v>1273</v>
      </c>
      <c r="D1154">
        <v>36</v>
      </c>
      <c r="E1154" t="s">
        <v>359</v>
      </c>
      <c r="F1154" t="s">
        <v>3402</v>
      </c>
    </row>
    <row r="1155" spans="1:6" x14ac:dyDescent="0.25">
      <c r="A1155" t="str">
        <f t="shared" si="18"/>
        <v>1274+36+363LP0200X</v>
      </c>
      <c r="B1155">
        <v>3653</v>
      </c>
      <c r="C1155">
        <v>1274</v>
      </c>
      <c r="D1155">
        <v>36</v>
      </c>
      <c r="E1155" t="s">
        <v>326</v>
      </c>
      <c r="F1155" t="s">
        <v>3403</v>
      </c>
    </row>
    <row r="1156" spans="1:6" x14ac:dyDescent="0.25">
      <c r="A1156" t="str">
        <f t="shared" si="18"/>
        <v>1275+36+363LP0222X</v>
      </c>
      <c r="B1156">
        <v>3654</v>
      </c>
      <c r="C1156">
        <v>1275</v>
      </c>
      <c r="D1156">
        <v>36</v>
      </c>
      <c r="E1156" t="s">
        <v>330</v>
      </c>
      <c r="F1156" t="s">
        <v>3404</v>
      </c>
    </row>
    <row r="1157" spans="1:6" x14ac:dyDescent="0.25">
      <c r="A1157" t="str">
        <f t="shared" si="18"/>
        <v>1276+36+363LP0808X</v>
      </c>
      <c r="B1157">
        <v>3655</v>
      </c>
      <c r="C1157">
        <v>1276</v>
      </c>
      <c r="D1157">
        <v>36</v>
      </c>
      <c r="E1157" t="s">
        <v>361</v>
      </c>
      <c r="F1157" t="s">
        <v>3405</v>
      </c>
    </row>
    <row r="1158" spans="1:6" x14ac:dyDescent="0.25">
      <c r="A1158" t="str">
        <f t="shared" si="18"/>
        <v>1277+36+363LP1700X</v>
      </c>
      <c r="B1158">
        <v>3656</v>
      </c>
      <c r="C1158">
        <v>1277</v>
      </c>
      <c r="D1158">
        <v>36</v>
      </c>
      <c r="E1158" t="s">
        <v>363</v>
      </c>
      <c r="F1158" t="s">
        <v>3406</v>
      </c>
    </row>
    <row r="1159" spans="1:6" x14ac:dyDescent="0.25">
      <c r="A1159" t="str">
        <f t="shared" si="18"/>
        <v>1278+36+363LP2300X</v>
      </c>
      <c r="B1159">
        <v>3657</v>
      </c>
      <c r="C1159">
        <v>1278</v>
      </c>
      <c r="D1159">
        <v>36</v>
      </c>
      <c r="E1159" t="s">
        <v>364</v>
      </c>
      <c r="F1159" t="s">
        <v>3407</v>
      </c>
    </row>
    <row r="1160" spans="1:6" x14ac:dyDescent="0.25">
      <c r="A1160" t="str">
        <f t="shared" si="18"/>
        <v>1279+36+363LS0200X</v>
      </c>
      <c r="B1160">
        <v>3658</v>
      </c>
      <c r="C1160">
        <v>1279</v>
      </c>
      <c r="D1160">
        <v>36</v>
      </c>
      <c r="E1160" t="s">
        <v>366</v>
      </c>
      <c r="F1160" t="s">
        <v>3408</v>
      </c>
    </row>
    <row r="1161" spans="1:6" x14ac:dyDescent="0.25">
      <c r="A1161" t="str">
        <f t="shared" si="18"/>
        <v>1280+36+363LW0102X</v>
      </c>
      <c r="B1161">
        <v>3659</v>
      </c>
      <c r="C1161">
        <v>1280</v>
      </c>
      <c r="D1161">
        <v>36</v>
      </c>
      <c r="E1161" t="s">
        <v>368</v>
      </c>
      <c r="F1161" t="s">
        <v>3409</v>
      </c>
    </row>
    <row r="1162" spans="1:6" x14ac:dyDescent="0.25">
      <c r="A1162" t="str">
        <f t="shared" si="18"/>
        <v>1281+36+363LX0001X</v>
      </c>
      <c r="B1162">
        <v>3660</v>
      </c>
      <c r="C1162">
        <v>1281</v>
      </c>
      <c r="D1162">
        <v>36</v>
      </c>
      <c r="E1162" t="s">
        <v>332</v>
      </c>
      <c r="F1162" t="s">
        <v>3410</v>
      </c>
    </row>
    <row r="1163" spans="1:6" x14ac:dyDescent="0.25">
      <c r="A1163" t="str">
        <f t="shared" si="18"/>
        <v>1282+36+363LX0106X</v>
      </c>
      <c r="B1163">
        <v>3661</v>
      </c>
      <c r="C1163">
        <v>1282</v>
      </c>
      <c r="D1163">
        <v>36</v>
      </c>
      <c r="E1163" t="s">
        <v>370</v>
      </c>
      <c r="F1163" t="s">
        <v>3411</v>
      </c>
    </row>
    <row r="1164" spans="1:6" x14ac:dyDescent="0.25">
      <c r="A1164" t="str">
        <f t="shared" si="18"/>
        <v>1283+36+163W00000X</v>
      </c>
      <c r="B1164">
        <v>3662</v>
      </c>
      <c r="C1164">
        <v>1283</v>
      </c>
      <c r="D1164">
        <v>36</v>
      </c>
      <c r="E1164" t="s">
        <v>595</v>
      </c>
      <c r="F1164" t="s">
        <v>3412</v>
      </c>
    </row>
    <row r="1165" spans="1:6" x14ac:dyDescent="0.25">
      <c r="A1165" t="str">
        <f t="shared" si="18"/>
        <v>1284+36+163WA0400X</v>
      </c>
      <c r="B1165">
        <v>3663</v>
      </c>
      <c r="C1165">
        <v>1284</v>
      </c>
      <c r="D1165">
        <v>36</v>
      </c>
      <c r="E1165" t="s">
        <v>603</v>
      </c>
      <c r="F1165" t="s">
        <v>3413</v>
      </c>
    </row>
    <row r="1166" spans="1:6" x14ac:dyDescent="0.25">
      <c r="A1166" t="str">
        <f t="shared" si="18"/>
        <v>1285+36+163WA2000X</v>
      </c>
      <c r="B1166">
        <v>3664</v>
      </c>
      <c r="C1166">
        <v>1285</v>
      </c>
      <c r="D1166">
        <v>36</v>
      </c>
      <c r="E1166" t="s">
        <v>604</v>
      </c>
      <c r="F1166" t="s">
        <v>3414</v>
      </c>
    </row>
    <row r="1167" spans="1:6" x14ac:dyDescent="0.25">
      <c r="A1167" t="str">
        <f t="shared" si="18"/>
        <v>1286+36+163WC0200X</v>
      </c>
      <c r="B1167">
        <v>3665</v>
      </c>
      <c r="C1167">
        <v>1286</v>
      </c>
      <c r="D1167">
        <v>36</v>
      </c>
      <c r="E1167" t="s">
        <v>605</v>
      </c>
      <c r="F1167" t="s">
        <v>3415</v>
      </c>
    </row>
    <row r="1168" spans="1:6" x14ac:dyDescent="0.25">
      <c r="A1168" t="str">
        <f t="shared" si="18"/>
        <v>1287+36+163WC0400X</v>
      </c>
      <c r="B1168">
        <v>3666</v>
      </c>
      <c r="C1168">
        <v>1287</v>
      </c>
      <c r="D1168">
        <v>36</v>
      </c>
      <c r="E1168" t="s">
        <v>606</v>
      </c>
      <c r="F1168" t="s">
        <v>3416</v>
      </c>
    </row>
    <row r="1169" spans="1:6" x14ac:dyDescent="0.25">
      <c r="A1169" t="str">
        <f t="shared" si="18"/>
        <v>1288+36+163WC1400X</v>
      </c>
      <c r="B1169">
        <v>3667</v>
      </c>
      <c r="C1169">
        <v>1288</v>
      </c>
      <c r="D1169">
        <v>36</v>
      </c>
      <c r="E1169" t="s">
        <v>607</v>
      </c>
      <c r="F1169" t="s">
        <v>3417</v>
      </c>
    </row>
    <row r="1170" spans="1:6" x14ac:dyDescent="0.25">
      <c r="A1170" t="str">
        <f t="shared" si="18"/>
        <v>1289+36+163WC1500X</v>
      </c>
      <c r="B1170">
        <v>3668</v>
      </c>
      <c r="C1170">
        <v>1289</v>
      </c>
      <c r="D1170">
        <v>36</v>
      </c>
      <c r="E1170" t="s">
        <v>608</v>
      </c>
      <c r="F1170" t="s">
        <v>3418</v>
      </c>
    </row>
    <row r="1171" spans="1:6" x14ac:dyDescent="0.25">
      <c r="A1171" t="str">
        <f t="shared" si="18"/>
        <v>1290+36+163WC1600X</v>
      </c>
      <c r="B1171">
        <v>3669</v>
      </c>
      <c r="C1171">
        <v>1290</v>
      </c>
      <c r="D1171">
        <v>36</v>
      </c>
      <c r="E1171" t="s">
        <v>609</v>
      </c>
      <c r="F1171" t="s">
        <v>3419</v>
      </c>
    </row>
    <row r="1172" spans="1:6" x14ac:dyDescent="0.25">
      <c r="A1172" t="str">
        <f t="shared" si="18"/>
        <v>1291+36+163WC2100X</v>
      </c>
      <c r="B1172">
        <v>3670</v>
      </c>
      <c r="C1172">
        <v>1291</v>
      </c>
      <c r="D1172">
        <v>36</v>
      </c>
      <c r="E1172" t="s">
        <v>610</v>
      </c>
      <c r="F1172" t="s">
        <v>3420</v>
      </c>
    </row>
    <row r="1173" spans="1:6" x14ac:dyDescent="0.25">
      <c r="A1173" t="str">
        <f t="shared" si="18"/>
        <v>1292+36+163WC3500X</v>
      </c>
      <c r="B1173">
        <v>3671</v>
      </c>
      <c r="C1173">
        <v>1292</v>
      </c>
      <c r="D1173">
        <v>36</v>
      </c>
      <c r="E1173" t="s">
        <v>611</v>
      </c>
      <c r="F1173" t="s">
        <v>3421</v>
      </c>
    </row>
    <row r="1174" spans="1:6" x14ac:dyDescent="0.25">
      <c r="A1174" t="str">
        <f t="shared" si="18"/>
        <v>1293+36+163WD0400X</v>
      </c>
      <c r="B1174">
        <v>3672</v>
      </c>
      <c r="C1174">
        <v>1293</v>
      </c>
      <c r="D1174">
        <v>36</v>
      </c>
      <c r="E1174" t="s">
        <v>612</v>
      </c>
      <c r="F1174" t="s">
        <v>3422</v>
      </c>
    </row>
    <row r="1175" spans="1:6" x14ac:dyDescent="0.25">
      <c r="A1175" t="str">
        <f t="shared" si="18"/>
        <v>1294+36+163WD1100X</v>
      </c>
      <c r="B1175">
        <v>3673</v>
      </c>
      <c r="C1175">
        <v>1294</v>
      </c>
      <c r="D1175">
        <v>36</v>
      </c>
      <c r="E1175" t="s">
        <v>613</v>
      </c>
      <c r="F1175" t="s">
        <v>3423</v>
      </c>
    </row>
    <row r="1176" spans="1:6" x14ac:dyDescent="0.25">
      <c r="A1176" t="str">
        <f t="shared" si="18"/>
        <v>1295+36+163WE0003X</v>
      </c>
      <c r="B1176">
        <v>3674</v>
      </c>
      <c r="C1176">
        <v>1295</v>
      </c>
      <c r="D1176">
        <v>36</v>
      </c>
      <c r="E1176" t="s">
        <v>614</v>
      </c>
      <c r="F1176" t="s">
        <v>3424</v>
      </c>
    </row>
    <row r="1177" spans="1:6" x14ac:dyDescent="0.25">
      <c r="A1177" t="str">
        <f t="shared" si="18"/>
        <v>1296+36+163WE0900X</v>
      </c>
      <c r="B1177">
        <v>3675</v>
      </c>
      <c r="C1177">
        <v>1296</v>
      </c>
      <c r="D1177">
        <v>36</v>
      </c>
      <c r="E1177" t="s">
        <v>615</v>
      </c>
      <c r="F1177" t="s">
        <v>3425</v>
      </c>
    </row>
    <row r="1178" spans="1:6" x14ac:dyDescent="0.25">
      <c r="A1178" t="str">
        <f t="shared" si="18"/>
        <v>1297+36+163WF0300X</v>
      </c>
      <c r="B1178">
        <v>3676</v>
      </c>
      <c r="C1178">
        <v>1297</v>
      </c>
      <c r="D1178">
        <v>36</v>
      </c>
      <c r="E1178" t="s">
        <v>616</v>
      </c>
      <c r="F1178" t="s">
        <v>3426</v>
      </c>
    </row>
    <row r="1179" spans="1:6" x14ac:dyDescent="0.25">
      <c r="A1179" t="str">
        <f t="shared" si="18"/>
        <v>1298+36+163WG0000X</v>
      </c>
      <c r="B1179">
        <v>3677</v>
      </c>
      <c r="C1179">
        <v>1298</v>
      </c>
      <c r="D1179">
        <v>36</v>
      </c>
      <c r="E1179" t="s">
        <v>618</v>
      </c>
      <c r="F1179" t="s">
        <v>3427</v>
      </c>
    </row>
    <row r="1180" spans="1:6" x14ac:dyDescent="0.25">
      <c r="A1180" t="str">
        <f t="shared" si="18"/>
        <v>1299+36+163WG0100X</v>
      </c>
      <c r="B1180">
        <v>3678</v>
      </c>
      <c r="C1180">
        <v>1299</v>
      </c>
      <c r="D1180">
        <v>36</v>
      </c>
      <c r="E1180" t="s">
        <v>619</v>
      </c>
      <c r="F1180" t="s">
        <v>3428</v>
      </c>
    </row>
    <row r="1181" spans="1:6" x14ac:dyDescent="0.25">
      <c r="A1181" t="str">
        <f t="shared" si="18"/>
        <v>1300+36+163WG0600X</v>
      </c>
      <c r="B1181">
        <v>3679</v>
      </c>
      <c r="C1181">
        <v>1300</v>
      </c>
      <c r="D1181">
        <v>36</v>
      </c>
      <c r="E1181" t="s">
        <v>620</v>
      </c>
      <c r="F1181" t="s">
        <v>3429</v>
      </c>
    </row>
    <row r="1182" spans="1:6" x14ac:dyDescent="0.25">
      <c r="A1182" t="str">
        <f t="shared" si="18"/>
        <v>1301+36+163WH0200X</v>
      </c>
      <c r="B1182">
        <v>3680</v>
      </c>
      <c r="C1182">
        <v>1301</v>
      </c>
      <c r="D1182">
        <v>36</v>
      </c>
      <c r="E1182" t="s">
        <v>621</v>
      </c>
      <c r="F1182" t="s">
        <v>3430</v>
      </c>
    </row>
    <row r="1183" spans="1:6" x14ac:dyDescent="0.25">
      <c r="A1183" t="str">
        <f t="shared" si="18"/>
        <v>1302+36+163WH0500X</v>
      </c>
      <c r="B1183">
        <v>3681</v>
      </c>
      <c r="C1183">
        <v>1302</v>
      </c>
      <c r="D1183">
        <v>36</v>
      </c>
      <c r="E1183" t="s">
        <v>622</v>
      </c>
      <c r="F1183" t="s">
        <v>3431</v>
      </c>
    </row>
    <row r="1184" spans="1:6" x14ac:dyDescent="0.25">
      <c r="A1184" t="str">
        <f t="shared" si="18"/>
        <v>1303+36+163WH1000X</v>
      </c>
      <c r="B1184">
        <v>3682</v>
      </c>
      <c r="C1184">
        <v>1303</v>
      </c>
      <c r="D1184">
        <v>36</v>
      </c>
      <c r="E1184" t="s">
        <v>623</v>
      </c>
      <c r="F1184" t="s">
        <v>3432</v>
      </c>
    </row>
    <row r="1185" spans="1:6" x14ac:dyDescent="0.25">
      <c r="A1185" t="str">
        <f t="shared" si="18"/>
        <v>1304+36+163WI0500X</v>
      </c>
      <c r="B1185">
        <v>3683</v>
      </c>
      <c r="C1185">
        <v>1304</v>
      </c>
      <c r="D1185">
        <v>36</v>
      </c>
      <c r="E1185" t="s">
        <v>624</v>
      </c>
      <c r="F1185" t="s">
        <v>3433</v>
      </c>
    </row>
    <row r="1186" spans="1:6" x14ac:dyDescent="0.25">
      <c r="A1186" t="str">
        <f t="shared" si="18"/>
        <v>1305+36+163WI0600X</v>
      </c>
      <c r="B1186">
        <v>3684</v>
      </c>
      <c r="C1186">
        <v>1305</v>
      </c>
      <c r="D1186">
        <v>36</v>
      </c>
      <c r="E1186" t="s">
        <v>596</v>
      </c>
      <c r="F1186" t="s">
        <v>3434</v>
      </c>
    </row>
    <row r="1187" spans="1:6" x14ac:dyDescent="0.25">
      <c r="A1187" t="str">
        <f t="shared" si="18"/>
        <v>1306+36+163WL0100X</v>
      </c>
      <c r="B1187">
        <v>3685</v>
      </c>
      <c r="C1187">
        <v>1306</v>
      </c>
      <c r="D1187">
        <v>36</v>
      </c>
      <c r="E1187" t="s">
        <v>625</v>
      </c>
      <c r="F1187" t="s">
        <v>3435</v>
      </c>
    </row>
    <row r="1188" spans="1:6" x14ac:dyDescent="0.25">
      <c r="A1188" t="str">
        <f t="shared" si="18"/>
        <v>1307+36+163WM0102X</v>
      </c>
      <c r="B1188">
        <v>3686</v>
      </c>
      <c r="C1188">
        <v>1307</v>
      </c>
      <c r="D1188">
        <v>36</v>
      </c>
      <c r="E1188" t="s">
        <v>626</v>
      </c>
      <c r="F1188" t="s">
        <v>3436</v>
      </c>
    </row>
    <row r="1189" spans="1:6" x14ac:dyDescent="0.25">
      <c r="A1189" t="str">
        <f t="shared" si="18"/>
        <v>1308+36+163WM0705X</v>
      </c>
      <c r="B1189">
        <v>3687</v>
      </c>
      <c r="C1189">
        <v>1308</v>
      </c>
      <c r="D1189">
        <v>36</v>
      </c>
      <c r="E1189" t="s">
        <v>627</v>
      </c>
      <c r="F1189" t="s">
        <v>3437</v>
      </c>
    </row>
    <row r="1190" spans="1:6" x14ac:dyDescent="0.25">
      <c r="A1190" t="str">
        <f t="shared" si="18"/>
        <v>1309+36+163WM1400X</v>
      </c>
      <c r="B1190">
        <v>3688</v>
      </c>
      <c r="C1190">
        <v>1309</v>
      </c>
      <c r="D1190">
        <v>36</v>
      </c>
      <c r="E1190" t="s">
        <v>628</v>
      </c>
      <c r="F1190" t="s">
        <v>3438</v>
      </c>
    </row>
    <row r="1191" spans="1:6" x14ac:dyDescent="0.25">
      <c r="A1191" t="str">
        <f t="shared" si="18"/>
        <v>1310+36+163WN0002X</v>
      </c>
      <c r="B1191">
        <v>3689</v>
      </c>
      <c r="C1191">
        <v>1310</v>
      </c>
      <c r="D1191">
        <v>36</v>
      </c>
      <c r="E1191" t="s">
        <v>629</v>
      </c>
      <c r="F1191" t="s">
        <v>3439</v>
      </c>
    </row>
    <row r="1192" spans="1:6" x14ac:dyDescent="0.25">
      <c r="A1192" t="str">
        <f t="shared" si="18"/>
        <v>1311+36+163WN0003X</v>
      </c>
      <c r="B1192">
        <v>3690</v>
      </c>
      <c r="C1192">
        <v>1311</v>
      </c>
      <c r="D1192">
        <v>36</v>
      </c>
      <c r="E1192" t="s">
        <v>630</v>
      </c>
      <c r="F1192" t="s">
        <v>3440</v>
      </c>
    </row>
    <row r="1193" spans="1:6" x14ac:dyDescent="0.25">
      <c r="A1193" t="str">
        <f t="shared" si="18"/>
        <v>1312+36+163WN0300X</v>
      </c>
      <c r="B1193">
        <v>3691</v>
      </c>
      <c r="C1193">
        <v>1312</v>
      </c>
      <c r="D1193">
        <v>36</v>
      </c>
      <c r="E1193" t="s">
        <v>632</v>
      </c>
      <c r="F1193" t="s">
        <v>3441</v>
      </c>
    </row>
    <row r="1194" spans="1:6" x14ac:dyDescent="0.25">
      <c r="A1194" t="str">
        <f t="shared" si="18"/>
        <v>1313+36+163WN0800X</v>
      </c>
      <c r="B1194">
        <v>3692</v>
      </c>
      <c r="C1194">
        <v>1313</v>
      </c>
      <c r="D1194">
        <v>36</v>
      </c>
      <c r="E1194" t="s">
        <v>633</v>
      </c>
      <c r="F1194" t="s">
        <v>3442</v>
      </c>
    </row>
    <row r="1195" spans="1:6" x14ac:dyDescent="0.25">
      <c r="A1195" t="str">
        <f t="shared" si="18"/>
        <v>1314+36+163WN1003X</v>
      </c>
      <c r="B1195">
        <v>3693</v>
      </c>
      <c r="C1195">
        <v>1314</v>
      </c>
      <c r="D1195">
        <v>36</v>
      </c>
      <c r="E1195" t="s">
        <v>635</v>
      </c>
      <c r="F1195" t="s">
        <v>3443</v>
      </c>
    </row>
    <row r="1196" spans="1:6" x14ac:dyDescent="0.25">
      <c r="A1196" t="str">
        <f t="shared" si="18"/>
        <v>1315+36+163WP0000X</v>
      </c>
      <c r="B1196">
        <v>3694</v>
      </c>
      <c r="C1196">
        <v>1315</v>
      </c>
      <c r="D1196">
        <v>36</v>
      </c>
      <c r="E1196" t="s">
        <v>636</v>
      </c>
      <c r="F1196" t="s">
        <v>3444</v>
      </c>
    </row>
    <row r="1197" spans="1:6" x14ac:dyDescent="0.25">
      <c r="A1197" t="str">
        <f t="shared" si="18"/>
        <v>1316+36+163WP0200X</v>
      </c>
      <c r="B1197">
        <v>3695</v>
      </c>
      <c r="C1197">
        <v>1316</v>
      </c>
      <c r="D1197">
        <v>36</v>
      </c>
      <c r="E1197" t="s">
        <v>637</v>
      </c>
      <c r="F1197" t="s">
        <v>3445</v>
      </c>
    </row>
    <row r="1198" spans="1:6" x14ac:dyDescent="0.25">
      <c r="A1198" t="str">
        <f t="shared" si="18"/>
        <v>1317+36+163WP0218X</v>
      </c>
      <c r="B1198">
        <v>3696</v>
      </c>
      <c r="C1198">
        <v>1317</v>
      </c>
      <c r="D1198">
        <v>36</v>
      </c>
      <c r="E1198" t="s">
        <v>638</v>
      </c>
      <c r="F1198" t="s">
        <v>3446</v>
      </c>
    </row>
    <row r="1199" spans="1:6" x14ac:dyDescent="0.25">
      <c r="A1199" t="str">
        <f t="shared" si="18"/>
        <v>1318+36+163WP0807X</v>
      </c>
      <c r="B1199">
        <v>3697</v>
      </c>
      <c r="C1199">
        <v>1318</v>
      </c>
      <c r="D1199">
        <v>36</v>
      </c>
      <c r="E1199" t="s">
        <v>597</v>
      </c>
      <c r="F1199" t="s">
        <v>3447</v>
      </c>
    </row>
    <row r="1200" spans="1:6" x14ac:dyDescent="0.25">
      <c r="A1200" t="str">
        <f t="shared" si="18"/>
        <v>1319+36+163WP0808X</v>
      </c>
      <c r="B1200">
        <v>3698</v>
      </c>
      <c r="C1200">
        <v>1319</v>
      </c>
      <c r="D1200">
        <v>36</v>
      </c>
      <c r="E1200" t="s">
        <v>470</v>
      </c>
      <c r="F1200" t="s">
        <v>3448</v>
      </c>
    </row>
    <row r="1201" spans="1:6" x14ac:dyDescent="0.25">
      <c r="A1201" t="str">
        <f t="shared" si="18"/>
        <v>1320+36+163WP0809X</v>
      </c>
      <c r="B1201">
        <v>3699</v>
      </c>
      <c r="C1201">
        <v>1320</v>
      </c>
      <c r="D1201">
        <v>36</v>
      </c>
      <c r="E1201" t="s">
        <v>598</v>
      </c>
      <c r="F1201" t="s">
        <v>3449</v>
      </c>
    </row>
    <row r="1202" spans="1:6" x14ac:dyDescent="0.25">
      <c r="A1202" t="str">
        <f t="shared" si="18"/>
        <v>1321+36+163WP1700X</v>
      </c>
      <c r="B1202">
        <v>3700</v>
      </c>
      <c r="C1202">
        <v>1321</v>
      </c>
      <c r="D1202">
        <v>36</v>
      </c>
      <c r="E1202" t="s">
        <v>599</v>
      </c>
      <c r="F1202" t="s">
        <v>3450</v>
      </c>
    </row>
    <row r="1203" spans="1:6" x14ac:dyDescent="0.25">
      <c r="A1203" t="str">
        <f t="shared" si="18"/>
        <v>1322+36+163WP2201X</v>
      </c>
      <c r="B1203">
        <v>3701</v>
      </c>
      <c r="C1203">
        <v>1322</v>
      </c>
      <c r="D1203">
        <v>36</v>
      </c>
      <c r="E1203" t="s">
        <v>639</v>
      </c>
      <c r="F1203" t="s">
        <v>3451</v>
      </c>
    </row>
    <row r="1204" spans="1:6" x14ac:dyDescent="0.25">
      <c r="A1204" t="str">
        <f t="shared" si="18"/>
        <v>1323+36+163WR0400X</v>
      </c>
      <c r="B1204">
        <v>3702</v>
      </c>
      <c r="C1204">
        <v>1323</v>
      </c>
      <c r="D1204">
        <v>36</v>
      </c>
      <c r="E1204" t="s">
        <v>641</v>
      </c>
      <c r="F1204" t="s">
        <v>3452</v>
      </c>
    </row>
    <row r="1205" spans="1:6" x14ac:dyDescent="0.25">
      <c r="A1205" t="str">
        <f t="shared" si="18"/>
        <v>1324+36+163WR1000X</v>
      </c>
      <c r="B1205">
        <v>3703</v>
      </c>
      <c r="C1205">
        <v>1324</v>
      </c>
      <c r="D1205">
        <v>36</v>
      </c>
      <c r="E1205" t="s">
        <v>642</v>
      </c>
      <c r="F1205" t="s">
        <v>3453</v>
      </c>
    </row>
    <row r="1206" spans="1:6" x14ac:dyDescent="0.25">
      <c r="A1206" t="str">
        <f t="shared" si="18"/>
        <v>1325+36+163WS0121X</v>
      </c>
      <c r="B1206">
        <v>3704</v>
      </c>
      <c r="C1206">
        <v>1325</v>
      </c>
      <c r="D1206">
        <v>36</v>
      </c>
      <c r="E1206" t="s">
        <v>644</v>
      </c>
      <c r="F1206" t="s">
        <v>3454</v>
      </c>
    </row>
    <row r="1207" spans="1:6" x14ac:dyDescent="0.25">
      <c r="A1207" t="str">
        <f t="shared" si="18"/>
        <v>1326+36+163WS0200X</v>
      </c>
      <c r="B1207">
        <v>3705</v>
      </c>
      <c r="C1207">
        <v>1326</v>
      </c>
      <c r="D1207">
        <v>36</v>
      </c>
      <c r="E1207" t="s">
        <v>645</v>
      </c>
      <c r="F1207" t="s">
        <v>3455</v>
      </c>
    </row>
    <row r="1208" spans="1:6" x14ac:dyDescent="0.25">
      <c r="A1208" t="str">
        <f t="shared" si="18"/>
        <v>1327+36+163WU0100X</v>
      </c>
      <c r="B1208">
        <v>3706</v>
      </c>
      <c r="C1208">
        <v>1327</v>
      </c>
      <c r="D1208">
        <v>36</v>
      </c>
      <c r="E1208" t="s">
        <v>647</v>
      </c>
      <c r="F1208" t="s">
        <v>3456</v>
      </c>
    </row>
    <row r="1209" spans="1:6" x14ac:dyDescent="0.25">
      <c r="A1209" t="str">
        <f t="shared" si="18"/>
        <v>1328+36+163WW0000X</v>
      </c>
      <c r="B1209">
        <v>3707</v>
      </c>
      <c r="C1209">
        <v>1328</v>
      </c>
      <c r="D1209">
        <v>36</v>
      </c>
      <c r="E1209" t="s">
        <v>648</v>
      </c>
      <c r="F1209" t="s">
        <v>3457</v>
      </c>
    </row>
    <row r="1210" spans="1:6" x14ac:dyDescent="0.25">
      <c r="A1210" t="str">
        <f t="shared" si="18"/>
        <v>1329+36+163WW0101X</v>
      </c>
      <c r="B1210">
        <v>3708</v>
      </c>
      <c r="C1210">
        <v>1329</v>
      </c>
      <c r="D1210">
        <v>36</v>
      </c>
      <c r="E1210" t="s">
        <v>649</v>
      </c>
      <c r="F1210" t="s">
        <v>3458</v>
      </c>
    </row>
    <row r="1211" spans="1:6" x14ac:dyDescent="0.25">
      <c r="A1211" t="str">
        <f t="shared" si="18"/>
        <v>1330+36+163WX0002X</v>
      </c>
      <c r="B1211">
        <v>3709</v>
      </c>
      <c r="C1211">
        <v>1330</v>
      </c>
      <c r="D1211">
        <v>36</v>
      </c>
      <c r="E1211" t="s">
        <v>650</v>
      </c>
      <c r="F1211" t="s">
        <v>3459</v>
      </c>
    </row>
    <row r="1212" spans="1:6" x14ac:dyDescent="0.25">
      <c r="A1212" t="str">
        <f t="shared" si="18"/>
        <v>1331+36+163WX0003X</v>
      </c>
      <c r="B1212">
        <v>3710</v>
      </c>
      <c r="C1212">
        <v>1331</v>
      </c>
      <c r="D1212">
        <v>36</v>
      </c>
      <c r="E1212" t="s">
        <v>651</v>
      </c>
      <c r="F1212" t="s">
        <v>3460</v>
      </c>
    </row>
    <row r="1213" spans="1:6" x14ac:dyDescent="0.25">
      <c r="A1213" t="str">
        <f t="shared" si="18"/>
        <v>1332+36+163WX0106X</v>
      </c>
      <c r="B1213">
        <v>3711</v>
      </c>
      <c r="C1213">
        <v>1332</v>
      </c>
      <c r="D1213">
        <v>36</v>
      </c>
      <c r="E1213" t="s">
        <v>652</v>
      </c>
      <c r="F1213" t="s">
        <v>3461</v>
      </c>
    </row>
    <row r="1214" spans="1:6" x14ac:dyDescent="0.25">
      <c r="A1214" t="str">
        <f t="shared" si="18"/>
        <v>1333+36+163WX0200X</v>
      </c>
      <c r="B1214">
        <v>3712</v>
      </c>
      <c r="C1214">
        <v>1333</v>
      </c>
      <c r="D1214">
        <v>36</v>
      </c>
      <c r="E1214" t="s">
        <v>653</v>
      </c>
      <c r="F1214" t="s">
        <v>3462</v>
      </c>
    </row>
    <row r="1215" spans="1:6" x14ac:dyDescent="0.25">
      <c r="A1215" t="str">
        <f t="shared" si="18"/>
        <v>1334+36+163WX0601X</v>
      </c>
      <c r="B1215">
        <v>3713</v>
      </c>
      <c r="C1215">
        <v>1334</v>
      </c>
      <c r="D1215">
        <v>36</v>
      </c>
      <c r="E1215" t="s">
        <v>654</v>
      </c>
      <c r="F1215" t="s">
        <v>3463</v>
      </c>
    </row>
    <row r="1216" spans="1:6" x14ac:dyDescent="0.25">
      <c r="A1216" t="str">
        <f t="shared" si="18"/>
        <v>1335+36+163WX0800X</v>
      </c>
      <c r="B1216">
        <v>3714</v>
      </c>
      <c r="C1216">
        <v>1335</v>
      </c>
      <c r="D1216">
        <v>36</v>
      </c>
      <c r="E1216" t="s">
        <v>655</v>
      </c>
      <c r="F1216" t="s">
        <v>3464</v>
      </c>
    </row>
    <row r="1217" spans="1:6" x14ac:dyDescent="0.25">
      <c r="A1217" t="str">
        <f t="shared" si="18"/>
        <v>1336+36+163WX1100X</v>
      </c>
      <c r="B1217">
        <v>3715</v>
      </c>
      <c r="C1217">
        <v>1336</v>
      </c>
      <c r="D1217">
        <v>36</v>
      </c>
      <c r="E1217" t="s">
        <v>657</v>
      </c>
      <c r="F1217" t="s">
        <v>3465</v>
      </c>
    </row>
    <row r="1218" spans="1:6" x14ac:dyDescent="0.25">
      <c r="A1218" t="str">
        <f t="shared" ref="A1218:A1281" si="19">C1218 &amp; "+" &amp; D1218 &amp; "+" &amp; E1218</f>
        <v>1337+36+163WX1500X</v>
      </c>
      <c r="B1218">
        <v>3716</v>
      </c>
      <c r="C1218">
        <v>1337</v>
      </c>
      <c r="D1218">
        <v>36</v>
      </c>
      <c r="E1218" t="s">
        <v>658</v>
      </c>
      <c r="F1218" t="s">
        <v>3466</v>
      </c>
    </row>
    <row r="1219" spans="1:6" x14ac:dyDescent="0.25">
      <c r="A1219" t="str">
        <f t="shared" si="19"/>
        <v>1338+36+364S00000X</v>
      </c>
      <c r="B1219">
        <v>3717</v>
      </c>
      <c r="C1219">
        <v>1338</v>
      </c>
      <c r="D1219">
        <v>36</v>
      </c>
      <c r="E1219" t="s">
        <v>371</v>
      </c>
      <c r="F1219" t="s">
        <v>3467</v>
      </c>
    </row>
    <row r="1220" spans="1:6" x14ac:dyDescent="0.25">
      <c r="A1220" t="str">
        <f t="shared" si="19"/>
        <v>1339+36+364SA2100X</v>
      </c>
      <c r="B1220">
        <v>3718</v>
      </c>
      <c r="C1220">
        <v>1339</v>
      </c>
      <c r="D1220">
        <v>36</v>
      </c>
      <c r="E1220" t="s">
        <v>372</v>
      </c>
      <c r="F1220" t="s">
        <v>3468</v>
      </c>
    </row>
    <row r="1221" spans="1:6" x14ac:dyDescent="0.25">
      <c r="A1221" t="str">
        <f t="shared" si="19"/>
        <v>1340+36+364SA2200X</v>
      </c>
      <c r="B1221">
        <v>3719</v>
      </c>
      <c r="C1221">
        <v>1340</v>
      </c>
      <c r="D1221">
        <v>36</v>
      </c>
      <c r="E1221" t="s">
        <v>373</v>
      </c>
      <c r="F1221" t="s">
        <v>3469</v>
      </c>
    </row>
    <row r="1222" spans="1:6" x14ac:dyDescent="0.25">
      <c r="A1222" t="str">
        <f t="shared" si="19"/>
        <v>1341+36+364SC2300X</v>
      </c>
      <c r="B1222">
        <v>3720</v>
      </c>
      <c r="C1222">
        <v>1341</v>
      </c>
      <c r="D1222">
        <v>36</v>
      </c>
      <c r="E1222" t="s">
        <v>378</v>
      </c>
      <c r="F1222" t="s">
        <v>3470</v>
      </c>
    </row>
    <row r="1223" spans="1:6" x14ac:dyDescent="0.25">
      <c r="A1223" t="str">
        <f t="shared" si="19"/>
        <v>1342+36+364SC1501X</v>
      </c>
      <c r="B1223">
        <v>3721</v>
      </c>
      <c r="C1223">
        <v>1342</v>
      </c>
      <c r="D1223">
        <v>36</v>
      </c>
      <c r="E1223" t="s">
        <v>376</v>
      </c>
      <c r="F1223" t="s">
        <v>3471</v>
      </c>
    </row>
    <row r="1224" spans="1:6" x14ac:dyDescent="0.25">
      <c r="A1224" t="str">
        <f t="shared" si="19"/>
        <v>1343+36+364SC0200X</v>
      </c>
      <c r="B1224">
        <v>3722</v>
      </c>
      <c r="C1224">
        <v>1343</v>
      </c>
      <c r="D1224">
        <v>36</v>
      </c>
      <c r="E1224" t="s">
        <v>374</v>
      </c>
      <c r="F1224" t="s">
        <v>3472</v>
      </c>
    </row>
    <row r="1225" spans="1:6" x14ac:dyDescent="0.25">
      <c r="A1225" t="str">
        <f t="shared" si="19"/>
        <v>1344+36+364SE0003X</v>
      </c>
      <c r="B1225">
        <v>3723</v>
      </c>
      <c r="C1225">
        <v>1344</v>
      </c>
      <c r="D1225">
        <v>36</v>
      </c>
      <c r="E1225" t="s">
        <v>380</v>
      </c>
      <c r="F1225" t="s">
        <v>3473</v>
      </c>
    </row>
    <row r="1226" spans="1:6" x14ac:dyDescent="0.25">
      <c r="A1226" t="str">
        <f t="shared" si="19"/>
        <v>1345+36+364SE1400X</v>
      </c>
      <c r="B1226">
        <v>3724</v>
      </c>
      <c r="C1226">
        <v>1345</v>
      </c>
      <c r="D1226">
        <v>36</v>
      </c>
      <c r="E1226" t="s">
        <v>382</v>
      </c>
      <c r="F1226" t="s">
        <v>3474</v>
      </c>
    </row>
    <row r="1227" spans="1:6" x14ac:dyDescent="0.25">
      <c r="A1227" t="str">
        <f t="shared" si="19"/>
        <v>1346+36+364SF0001X</v>
      </c>
      <c r="B1227">
        <v>3725</v>
      </c>
      <c r="C1227">
        <v>1346</v>
      </c>
      <c r="D1227">
        <v>36</v>
      </c>
      <c r="E1227" t="s">
        <v>384</v>
      </c>
      <c r="F1227" t="s">
        <v>3475</v>
      </c>
    </row>
    <row r="1228" spans="1:6" x14ac:dyDescent="0.25">
      <c r="A1228" t="str">
        <f t="shared" si="19"/>
        <v>1347+36+364SG0600X</v>
      </c>
      <c r="B1228">
        <v>3726</v>
      </c>
      <c r="C1228">
        <v>1347</v>
      </c>
      <c r="D1228">
        <v>36</v>
      </c>
      <c r="E1228" t="s">
        <v>385</v>
      </c>
      <c r="F1228" t="s">
        <v>3476</v>
      </c>
    </row>
    <row r="1229" spans="1:6" x14ac:dyDescent="0.25">
      <c r="A1229" t="str">
        <f t="shared" si="19"/>
        <v>1348+36+364SH1100X</v>
      </c>
      <c r="B1229">
        <v>3727</v>
      </c>
      <c r="C1229">
        <v>1348</v>
      </c>
      <c r="D1229">
        <v>36</v>
      </c>
      <c r="E1229" t="s">
        <v>388</v>
      </c>
      <c r="F1229" t="s">
        <v>3477</v>
      </c>
    </row>
    <row r="1230" spans="1:6" x14ac:dyDescent="0.25">
      <c r="A1230" t="str">
        <f t="shared" si="19"/>
        <v>1349+36+364SH0200X</v>
      </c>
      <c r="B1230">
        <v>3728</v>
      </c>
      <c r="C1230">
        <v>1349</v>
      </c>
      <c r="D1230">
        <v>36</v>
      </c>
      <c r="E1230" t="s">
        <v>386</v>
      </c>
      <c r="F1230" t="s">
        <v>3478</v>
      </c>
    </row>
    <row r="1231" spans="1:6" x14ac:dyDescent="0.25">
      <c r="A1231" t="str">
        <f t="shared" si="19"/>
        <v>1350+36+364SI0800X</v>
      </c>
      <c r="B1231">
        <v>3729</v>
      </c>
      <c r="C1231">
        <v>1350</v>
      </c>
      <c r="D1231">
        <v>36</v>
      </c>
      <c r="E1231" t="s">
        <v>390</v>
      </c>
      <c r="F1231" t="s">
        <v>3479</v>
      </c>
    </row>
    <row r="1232" spans="1:6" x14ac:dyDescent="0.25">
      <c r="A1232" t="str">
        <f t="shared" si="19"/>
        <v>1351+36+364SL0600X</v>
      </c>
      <c r="B1232">
        <v>3730</v>
      </c>
      <c r="C1232">
        <v>1351</v>
      </c>
      <c r="D1232">
        <v>36</v>
      </c>
      <c r="E1232" t="s">
        <v>392</v>
      </c>
      <c r="F1232" t="s">
        <v>3480</v>
      </c>
    </row>
    <row r="1233" spans="1:6" x14ac:dyDescent="0.25">
      <c r="A1233" t="str">
        <f t="shared" si="19"/>
        <v>1352+36+364SM0705X</v>
      </c>
      <c r="B1233">
        <v>3731</v>
      </c>
      <c r="C1233">
        <v>1352</v>
      </c>
      <c r="D1233">
        <v>36</v>
      </c>
      <c r="E1233" t="s">
        <v>394</v>
      </c>
      <c r="F1233" t="s">
        <v>3481</v>
      </c>
    </row>
    <row r="1234" spans="1:6" x14ac:dyDescent="0.25">
      <c r="A1234" t="str">
        <f t="shared" si="19"/>
        <v>1353+36+364SN0000X</v>
      </c>
      <c r="B1234">
        <v>3732</v>
      </c>
      <c r="C1234">
        <v>1353</v>
      </c>
      <c r="D1234">
        <v>36</v>
      </c>
      <c r="E1234" t="s">
        <v>395</v>
      </c>
      <c r="F1234" t="s">
        <v>3482</v>
      </c>
    </row>
    <row r="1235" spans="1:6" x14ac:dyDescent="0.25">
      <c r="A1235" t="str">
        <f t="shared" si="19"/>
        <v>1354+36+364SN0800X</v>
      </c>
      <c r="B1235">
        <v>3733</v>
      </c>
      <c r="C1235">
        <v>1354</v>
      </c>
      <c r="D1235">
        <v>36</v>
      </c>
      <c r="E1235" t="s">
        <v>397</v>
      </c>
      <c r="F1235" t="s">
        <v>3483</v>
      </c>
    </row>
    <row r="1236" spans="1:6" x14ac:dyDescent="0.25">
      <c r="A1236" t="str">
        <f t="shared" si="19"/>
        <v>1355+36+364SX0106X</v>
      </c>
      <c r="B1236">
        <v>3734</v>
      </c>
      <c r="C1236">
        <v>1355</v>
      </c>
      <c r="D1236">
        <v>36</v>
      </c>
      <c r="E1236" t="s">
        <v>419</v>
      </c>
      <c r="F1236" t="s">
        <v>3484</v>
      </c>
    </row>
    <row r="1237" spans="1:6" x14ac:dyDescent="0.25">
      <c r="A1237" t="str">
        <f t="shared" si="19"/>
        <v>1356+36+364SX0200X</v>
      </c>
      <c r="B1237">
        <v>3735</v>
      </c>
      <c r="C1237">
        <v>1356</v>
      </c>
      <c r="D1237">
        <v>36</v>
      </c>
      <c r="E1237" t="s">
        <v>420</v>
      </c>
      <c r="F1237" t="s">
        <v>3485</v>
      </c>
    </row>
    <row r="1238" spans="1:6" x14ac:dyDescent="0.25">
      <c r="A1238" t="str">
        <f t="shared" si="19"/>
        <v>1357+36+364SX0204X</v>
      </c>
      <c r="B1238">
        <v>3736</v>
      </c>
      <c r="C1238">
        <v>1357</v>
      </c>
      <c r="D1238">
        <v>36</v>
      </c>
      <c r="E1238" t="s">
        <v>422</v>
      </c>
      <c r="F1238" t="s">
        <v>3486</v>
      </c>
    </row>
    <row r="1239" spans="1:6" x14ac:dyDescent="0.25">
      <c r="A1239" t="str">
        <f t="shared" si="19"/>
        <v>1358+36+364SP0200X</v>
      </c>
      <c r="B1239">
        <v>3737</v>
      </c>
      <c r="C1239">
        <v>1358</v>
      </c>
      <c r="D1239">
        <v>36</v>
      </c>
      <c r="E1239" t="s">
        <v>336</v>
      </c>
      <c r="F1239" t="s">
        <v>3487</v>
      </c>
    </row>
    <row r="1240" spans="1:6" x14ac:dyDescent="0.25">
      <c r="A1240" t="str">
        <f t="shared" si="19"/>
        <v>1359+36+364SP1700X</v>
      </c>
      <c r="B1240">
        <v>3738</v>
      </c>
      <c r="C1240">
        <v>1359</v>
      </c>
      <c r="D1240">
        <v>36</v>
      </c>
      <c r="E1240" t="s">
        <v>411</v>
      </c>
      <c r="F1240" t="s">
        <v>3488</v>
      </c>
    </row>
    <row r="1241" spans="1:6" x14ac:dyDescent="0.25">
      <c r="A1241" t="str">
        <f t="shared" si="19"/>
        <v>1360+36+364SP2800X</v>
      </c>
      <c r="B1241">
        <v>3739</v>
      </c>
      <c r="C1241">
        <v>1360</v>
      </c>
      <c r="D1241">
        <v>36</v>
      </c>
      <c r="E1241" t="s">
        <v>413</v>
      </c>
      <c r="F1241" t="s">
        <v>3489</v>
      </c>
    </row>
    <row r="1242" spans="1:6" x14ac:dyDescent="0.25">
      <c r="A1242" t="str">
        <f t="shared" si="19"/>
        <v>1361+36+364SP0808X</v>
      </c>
      <c r="B1242">
        <v>3740</v>
      </c>
      <c r="C1242">
        <v>1361</v>
      </c>
      <c r="D1242">
        <v>36</v>
      </c>
      <c r="E1242" t="s">
        <v>400</v>
      </c>
      <c r="F1242" t="s">
        <v>3490</v>
      </c>
    </row>
    <row r="1243" spans="1:6" x14ac:dyDescent="0.25">
      <c r="A1243" t="str">
        <f t="shared" si="19"/>
        <v>1362+36+364SP0809X</v>
      </c>
      <c r="B1243">
        <v>3741</v>
      </c>
      <c r="C1243">
        <v>1362</v>
      </c>
      <c r="D1243">
        <v>36</v>
      </c>
      <c r="E1243" t="s">
        <v>402</v>
      </c>
      <c r="F1243" t="s">
        <v>3491</v>
      </c>
    </row>
    <row r="1244" spans="1:6" x14ac:dyDescent="0.25">
      <c r="A1244" t="str">
        <f t="shared" si="19"/>
        <v>1363+36+364SP0807X</v>
      </c>
      <c r="B1244">
        <v>3742</v>
      </c>
      <c r="C1244">
        <v>1363</v>
      </c>
      <c r="D1244">
        <v>36</v>
      </c>
      <c r="E1244" t="s">
        <v>399</v>
      </c>
      <c r="F1244" t="s">
        <v>3492</v>
      </c>
    </row>
    <row r="1245" spans="1:6" x14ac:dyDescent="0.25">
      <c r="A1245" t="str">
        <f t="shared" si="19"/>
        <v>1364+36+364SP0810X</v>
      </c>
      <c r="B1245">
        <v>3743</v>
      </c>
      <c r="C1245">
        <v>1364</v>
      </c>
      <c r="D1245">
        <v>36</v>
      </c>
      <c r="E1245" t="s">
        <v>404</v>
      </c>
      <c r="F1245" t="s">
        <v>3493</v>
      </c>
    </row>
    <row r="1246" spans="1:6" x14ac:dyDescent="0.25">
      <c r="A1246" t="str">
        <f t="shared" si="19"/>
        <v>1365+36+364SP0811X</v>
      </c>
      <c r="B1246">
        <v>3744</v>
      </c>
      <c r="C1246">
        <v>1365</v>
      </c>
      <c r="D1246">
        <v>36</v>
      </c>
      <c r="E1246" t="s">
        <v>406</v>
      </c>
      <c r="F1246" t="s">
        <v>3494</v>
      </c>
    </row>
    <row r="1247" spans="1:6" x14ac:dyDescent="0.25">
      <c r="A1247" t="str">
        <f t="shared" si="19"/>
        <v>1366+36+364SP0812X</v>
      </c>
      <c r="B1247">
        <v>3745</v>
      </c>
      <c r="C1247">
        <v>1366</v>
      </c>
      <c r="D1247">
        <v>36</v>
      </c>
      <c r="E1247" t="s">
        <v>408</v>
      </c>
      <c r="F1247" t="s">
        <v>3495</v>
      </c>
    </row>
    <row r="1248" spans="1:6" x14ac:dyDescent="0.25">
      <c r="A1248" t="str">
        <f t="shared" si="19"/>
        <v>1367+36+364SP0813X</v>
      </c>
      <c r="B1248">
        <v>3746</v>
      </c>
      <c r="C1248">
        <v>1367</v>
      </c>
      <c r="D1248">
        <v>36</v>
      </c>
      <c r="E1248" t="s">
        <v>410</v>
      </c>
      <c r="F1248" t="s">
        <v>3496</v>
      </c>
    </row>
    <row r="1249" spans="1:6" x14ac:dyDescent="0.25">
      <c r="A1249" t="str">
        <f t="shared" si="19"/>
        <v>1368+36+364SR0400X</v>
      </c>
      <c r="B1249">
        <v>3747</v>
      </c>
      <c r="C1249">
        <v>1368</v>
      </c>
      <c r="D1249">
        <v>36</v>
      </c>
      <c r="E1249" t="s">
        <v>414</v>
      </c>
      <c r="F1249" t="s">
        <v>3497</v>
      </c>
    </row>
    <row r="1250" spans="1:6" x14ac:dyDescent="0.25">
      <c r="A1250" t="str">
        <f t="shared" si="19"/>
        <v>1369+36+364ST0500X</v>
      </c>
      <c r="B1250">
        <v>3748</v>
      </c>
      <c r="C1250">
        <v>1369</v>
      </c>
      <c r="D1250">
        <v>36</v>
      </c>
      <c r="E1250" t="s">
        <v>417</v>
      </c>
      <c r="F1250" t="s">
        <v>3498</v>
      </c>
    </row>
    <row r="1251" spans="1:6" x14ac:dyDescent="0.25">
      <c r="A1251" t="str">
        <f t="shared" si="19"/>
        <v>1370+36+364SS0200X</v>
      </c>
      <c r="B1251">
        <v>3749</v>
      </c>
      <c r="C1251">
        <v>1370</v>
      </c>
      <c r="D1251">
        <v>36</v>
      </c>
      <c r="E1251" t="s">
        <v>415</v>
      </c>
      <c r="F1251" t="s">
        <v>3499</v>
      </c>
    </row>
    <row r="1252" spans="1:6" x14ac:dyDescent="0.25">
      <c r="A1252" t="str">
        <f t="shared" si="19"/>
        <v>1371+36+364SW0102X</v>
      </c>
      <c r="B1252">
        <v>3750</v>
      </c>
      <c r="C1252">
        <v>1371</v>
      </c>
      <c r="D1252">
        <v>36</v>
      </c>
      <c r="E1252" t="s">
        <v>418</v>
      </c>
      <c r="F1252" t="s">
        <v>3500</v>
      </c>
    </row>
    <row r="1253" spans="1:6" x14ac:dyDescent="0.25">
      <c r="A1253" t="str">
        <f t="shared" si="19"/>
        <v>1373+24+164W00000X</v>
      </c>
      <c r="B1253">
        <v>3751</v>
      </c>
      <c r="C1253">
        <v>1373</v>
      </c>
      <c r="D1253">
        <v>24</v>
      </c>
      <c r="E1253" t="s">
        <v>600</v>
      </c>
      <c r="F1253" t="s">
        <v>3391</v>
      </c>
    </row>
    <row r="1254" spans="1:6" x14ac:dyDescent="0.25">
      <c r="A1254" t="str">
        <f t="shared" si="19"/>
        <v>1374+24+367A00000X</v>
      </c>
      <c r="B1254">
        <v>3752</v>
      </c>
      <c r="C1254">
        <v>1374</v>
      </c>
      <c r="D1254">
        <v>24</v>
      </c>
      <c r="E1254" t="s">
        <v>428</v>
      </c>
      <c r="F1254" t="s">
        <v>3392</v>
      </c>
    </row>
    <row r="1255" spans="1:6" x14ac:dyDescent="0.25">
      <c r="A1255" t="str">
        <f t="shared" si="19"/>
        <v>1375+24+367500000X</v>
      </c>
      <c r="B1255">
        <v>3753</v>
      </c>
      <c r="C1255">
        <v>1375</v>
      </c>
      <c r="D1255">
        <v>24</v>
      </c>
      <c r="E1255" t="s">
        <v>424</v>
      </c>
      <c r="F1255" t="s">
        <v>3393</v>
      </c>
    </row>
    <row r="1256" spans="1:6" x14ac:dyDescent="0.25">
      <c r="A1256" t="str">
        <f t="shared" si="19"/>
        <v>1376+24+363L00000X</v>
      </c>
      <c r="B1256">
        <v>3754</v>
      </c>
      <c r="C1256">
        <v>1376</v>
      </c>
      <c r="D1256">
        <v>24</v>
      </c>
      <c r="E1256" t="s">
        <v>230</v>
      </c>
      <c r="F1256" t="s">
        <v>3394</v>
      </c>
    </row>
    <row r="1257" spans="1:6" x14ac:dyDescent="0.25">
      <c r="A1257" t="str">
        <f t="shared" si="19"/>
        <v>1377+24+363LA2100X</v>
      </c>
      <c r="B1257">
        <v>3755</v>
      </c>
      <c r="C1257">
        <v>1377</v>
      </c>
      <c r="D1257">
        <v>24</v>
      </c>
      <c r="E1257" t="s">
        <v>344</v>
      </c>
      <c r="F1257" t="s">
        <v>3395</v>
      </c>
    </row>
    <row r="1258" spans="1:6" x14ac:dyDescent="0.25">
      <c r="A1258" t="str">
        <f t="shared" si="19"/>
        <v>1378+24+363LA2200X</v>
      </c>
      <c r="B1258">
        <v>3756</v>
      </c>
      <c r="C1258">
        <v>1378</v>
      </c>
      <c r="D1258">
        <v>24</v>
      </c>
      <c r="E1258" t="s">
        <v>346</v>
      </c>
      <c r="F1258" t="s">
        <v>3396</v>
      </c>
    </row>
    <row r="1259" spans="1:6" x14ac:dyDescent="0.25">
      <c r="A1259" t="str">
        <f t="shared" si="19"/>
        <v>1379+24+363LC0200X</v>
      </c>
      <c r="B1259">
        <v>3757</v>
      </c>
      <c r="C1259">
        <v>1379</v>
      </c>
      <c r="D1259">
        <v>24</v>
      </c>
      <c r="E1259" t="s">
        <v>348</v>
      </c>
      <c r="F1259" t="s">
        <v>3397</v>
      </c>
    </row>
    <row r="1260" spans="1:6" x14ac:dyDescent="0.25">
      <c r="A1260" t="str">
        <f t="shared" si="19"/>
        <v>1380+24+363LC1500X</v>
      </c>
      <c r="B1260">
        <v>3758</v>
      </c>
      <c r="C1260">
        <v>1380</v>
      </c>
      <c r="D1260">
        <v>24</v>
      </c>
      <c r="E1260" t="s">
        <v>349</v>
      </c>
      <c r="F1260" t="s">
        <v>3398</v>
      </c>
    </row>
    <row r="1261" spans="1:6" x14ac:dyDescent="0.25">
      <c r="A1261" t="str">
        <f t="shared" si="19"/>
        <v>1381+24+363LF0000X</v>
      </c>
      <c r="B1261">
        <v>3759</v>
      </c>
      <c r="C1261">
        <v>1381</v>
      </c>
      <c r="D1261">
        <v>24</v>
      </c>
      <c r="E1261" t="s">
        <v>351</v>
      </c>
      <c r="F1261" t="s">
        <v>3399</v>
      </c>
    </row>
    <row r="1262" spans="1:6" x14ac:dyDescent="0.25">
      <c r="A1262" t="str">
        <f t="shared" si="19"/>
        <v>1382+24+363LG0600X</v>
      </c>
      <c r="B1262">
        <v>3760</v>
      </c>
      <c r="C1262">
        <v>1382</v>
      </c>
      <c r="D1262">
        <v>24</v>
      </c>
      <c r="E1262" t="s">
        <v>355</v>
      </c>
      <c r="F1262" t="s">
        <v>3400</v>
      </c>
    </row>
    <row r="1263" spans="1:6" x14ac:dyDescent="0.25">
      <c r="A1263" t="str">
        <f t="shared" si="19"/>
        <v>1383+24+363LN0000X</v>
      </c>
      <c r="B1263">
        <v>3761</v>
      </c>
      <c r="C1263">
        <v>1383</v>
      </c>
      <c r="D1263">
        <v>24</v>
      </c>
      <c r="E1263" t="s">
        <v>357</v>
      </c>
      <c r="F1263" t="s">
        <v>3401</v>
      </c>
    </row>
    <row r="1264" spans="1:6" x14ac:dyDescent="0.25">
      <c r="A1264" t="str">
        <f t="shared" si="19"/>
        <v>1384+24+363LN0005X</v>
      </c>
      <c r="B1264">
        <v>3762</v>
      </c>
      <c r="C1264">
        <v>1384</v>
      </c>
      <c r="D1264">
        <v>24</v>
      </c>
      <c r="E1264" t="s">
        <v>359</v>
      </c>
      <c r="F1264" t="s">
        <v>3402</v>
      </c>
    </row>
    <row r="1265" spans="1:6" x14ac:dyDescent="0.25">
      <c r="A1265" t="str">
        <f t="shared" si="19"/>
        <v>1385+24+363LP0200X</v>
      </c>
      <c r="B1265">
        <v>3763</v>
      </c>
      <c r="C1265">
        <v>1385</v>
      </c>
      <c r="D1265">
        <v>24</v>
      </c>
      <c r="E1265" t="s">
        <v>326</v>
      </c>
      <c r="F1265" t="s">
        <v>3403</v>
      </c>
    </row>
    <row r="1266" spans="1:6" x14ac:dyDescent="0.25">
      <c r="A1266" t="str">
        <f t="shared" si="19"/>
        <v>1386+24+363LP0222X</v>
      </c>
      <c r="B1266">
        <v>3764</v>
      </c>
      <c r="C1266">
        <v>1386</v>
      </c>
      <c r="D1266">
        <v>24</v>
      </c>
      <c r="E1266" t="s">
        <v>330</v>
      </c>
      <c r="F1266" t="s">
        <v>3404</v>
      </c>
    </row>
    <row r="1267" spans="1:6" x14ac:dyDescent="0.25">
      <c r="A1267" t="str">
        <f t="shared" si="19"/>
        <v>1387+24+363LP0808X</v>
      </c>
      <c r="B1267">
        <v>3765</v>
      </c>
      <c r="C1267">
        <v>1387</v>
      </c>
      <c r="D1267">
        <v>24</v>
      </c>
      <c r="E1267" t="s">
        <v>361</v>
      </c>
      <c r="F1267" t="s">
        <v>3405</v>
      </c>
    </row>
    <row r="1268" spans="1:6" x14ac:dyDescent="0.25">
      <c r="A1268" t="str">
        <f t="shared" si="19"/>
        <v>1388+24+363LP1700X</v>
      </c>
      <c r="B1268">
        <v>3766</v>
      </c>
      <c r="C1268">
        <v>1388</v>
      </c>
      <c r="D1268">
        <v>24</v>
      </c>
      <c r="E1268" t="s">
        <v>363</v>
      </c>
      <c r="F1268" t="s">
        <v>3406</v>
      </c>
    </row>
    <row r="1269" spans="1:6" x14ac:dyDescent="0.25">
      <c r="A1269" t="str">
        <f t="shared" si="19"/>
        <v>1389+24+363LP2300X</v>
      </c>
      <c r="B1269">
        <v>3767</v>
      </c>
      <c r="C1269">
        <v>1389</v>
      </c>
      <c r="D1269">
        <v>24</v>
      </c>
      <c r="E1269" t="s">
        <v>364</v>
      </c>
      <c r="F1269" t="s">
        <v>3407</v>
      </c>
    </row>
    <row r="1270" spans="1:6" x14ac:dyDescent="0.25">
      <c r="A1270" t="str">
        <f t="shared" si="19"/>
        <v>1390+24+363LS0200X</v>
      </c>
      <c r="B1270">
        <v>3768</v>
      </c>
      <c r="C1270">
        <v>1390</v>
      </c>
      <c r="D1270">
        <v>24</v>
      </c>
      <c r="E1270" t="s">
        <v>366</v>
      </c>
      <c r="F1270" t="s">
        <v>3408</v>
      </c>
    </row>
    <row r="1271" spans="1:6" x14ac:dyDescent="0.25">
      <c r="A1271" t="str">
        <f t="shared" si="19"/>
        <v>1391+24+363LW0102X</v>
      </c>
      <c r="B1271">
        <v>3769</v>
      </c>
      <c r="C1271">
        <v>1391</v>
      </c>
      <c r="D1271">
        <v>24</v>
      </c>
      <c r="E1271" t="s">
        <v>368</v>
      </c>
      <c r="F1271" t="s">
        <v>3409</v>
      </c>
    </row>
    <row r="1272" spans="1:6" x14ac:dyDescent="0.25">
      <c r="A1272" t="str">
        <f t="shared" si="19"/>
        <v>1392+24+363LX0001X</v>
      </c>
      <c r="B1272">
        <v>3770</v>
      </c>
      <c r="C1272">
        <v>1392</v>
      </c>
      <c r="D1272">
        <v>24</v>
      </c>
      <c r="E1272" t="s">
        <v>332</v>
      </c>
      <c r="F1272" t="s">
        <v>3410</v>
      </c>
    </row>
    <row r="1273" spans="1:6" x14ac:dyDescent="0.25">
      <c r="A1273" t="str">
        <f t="shared" si="19"/>
        <v>1393+24+363LX0106X</v>
      </c>
      <c r="B1273">
        <v>3771</v>
      </c>
      <c r="C1273">
        <v>1393</v>
      </c>
      <c r="D1273">
        <v>24</v>
      </c>
      <c r="E1273" t="s">
        <v>370</v>
      </c>
      <c r="F1273" t="s">
        <v>3411</v>
      </c>
    </row>
    <row r="1274" spans="1:6" x14ac:dyDescent="0.25">
      <c r="A1274" t="str">
        <f t="shared" si="19"/>
        <v>1394+24+163W00000X</v>
      </c>
      <c r="B1274">
        <v>3772</v>
      </c>
      <c r="C1274">
        <v>1394</v>
      </c>
      <c r="D1274">
        <v>24</v>
      </c>
      <c r="E1274" t="s">
        <v>595</v>
      </c>
      <c r="F1274" t="s">
        <v>3412</v>
      </c>
    </row>
    <row r="1275" spans="1:6" x14ac:dyDescent="0.25">
      <c r="A1275" t="str">
        <f t="shared" si="19"/>
        <v>1395+24+163WA0400X</v>
      </c>
      <c r="B1275">
        <v>3773</v>
      </c>
      <c r="C1275">
        <v>1395</v>
      </c>
      <c r="D1275">
        <v>24</v>
      </c>
      <c r="E1275" t="s">
        <v>603</v>
      </c>
      <c r="F1275" t="s">
        <v>3413</v>
      </c>
    </row>
    <row r="1276" spans="1:6" x14ac:dyDescent="0.25">
      <c r="A1276" t="str">
        <f t="shared" si="19"/>
        <v>1396+24+163WA2000X</v>
      </c>
      <c r="B1276">
        <v>3774</v>
      </c>
      <c r="C1276">
        <v>1396</v>
      </c>
      <c r="D1276">
        <v>24</v>
      </c>
      <c r="E1276" t="s">
        <v>604</v>
      </c>
      <c r="F1276" t="s">
        <v>3414</v>
      </c>
    </row>
    <row r="1277" spans="1:6" x14ac:dyDescent="0.25">
      <c r="A1277" t="str">
        <f t="shared" si="19"/>
        <v>1397+24+163WC0200X</v>
      </c>
      <c r="B1277">
        <v>3775</v>
      </c>
      <c r="C1277">
        <v>1397</v>
      </c>
      <c r="D1277">
        <v>24</v>
      </c>
      <c r="E1277" t="s">
        <v>605</v>
      </c>
      <c r="F1277" t="s">
        <v>3415</v>
      </c>
    </row>
    <row r="1278" spans="1:6" x14ac:dyDescent="0.25">
      <c r="A1278" t="str">
        <f t="shared" si="19"/>
        <v>1398+24+163WC0400X</v>
      </c>
      <c r="B1278">
        <v>3776</v>
      </c>
      <c r="C1278">
        <v>1398</v>
      </c>
      <c r="D1278">
        <v>24</v>
      </c>
      <c r="E1278" t="s">
        <v>606</v>
      </c>
      <c r="F1278" t="s">
        <v>3416</v>
      </c>
    </row>
    <row r="1279" spans="1:6" x14ac:dyDescent="0.25">
      <c r="A1279" t="str">
        <f t="shared" si="19"/>
        <v>1399+24+163WC1400X</v>
      </c>
      <c r="B1279">
        <v>3777</v>
      </c>
      <c r="C1279">
        <v>1399</v>
      </c>
      <c r="D1279">
        <v>24</v>
      </c>
      <c r="E1279" t="s">
        <v>607</v>
      </c>
      <c r="F1279" t="s">
        <v>3417</v>
      </c>
    </row>
    <row r="1280" spans="1:6" x14ac:dyDescent="0.25">
      <c r="A1280" t="str">
        <f t="shared" si="19"/>
        <v>1400+24+163WC1500X</v>
      </c>
      <c r="B1280">
        <v>3778</v>
      </c>
      <c r="C1280">
        <v>1400</v>
      </c>
      <c r="D1280">
        <v>24</v>
      </c>
      <c r="E1280" t="s">
        <v>608</v>
      </c>
      <c r="F1280" t="s">
        <v>3418</v>
      </c>
    </row>
    <row r="1281" spans="1:6" x14ac:dyDescent="0.25">
      <c r="A1281" t="str">
        <f t="shared" si="19"/>
        <v>1401+24+163WC1600X</v>
      </c>
      <c r="B1281">
        <v>3779</v>
      </c>
      <c r="C1281">
        <v>1401</v>
      </c>
      <c r="D1281">
        <v>24</v>
      </c>
      <c r="E1281" t="s">
        <v>609</v>
      </c>
      <c r="F1281" t="s">
        <v>3419</v>
      </c>
    </row>
    <row r="1282" spans="1:6" x14ac:dyDescent="0.25">
      <c r="A1282" t="str">
        <f t="shared" ref="A1282:A1345" si="20">C1282 &amp; "+" &amp; D1282 &amp; "+" &amp; E1282</f>
        <v>1402+24+163WC2100X</v>
      </c>
      <c r="B1282">
        <v>3780</v>
      </c>
      <c r="C1282">
        <v>1402</v>
      </c>
      <c r="D1282">
        <v>24</v>
      </c>
      <c r="E1282" t="s">
        <v>610</v>
      </c>
      <c r="F1282" t="s">
        <v>3420</v>
      </c>
    </row>
    <row r="1283" spans="1:6" x14ac:dyDescent="0.25">
      <c r="A1283" t="str">
        <f t="shared" si="20"/>
        <v>1403+24+163WC3500X</v>
      </c>
      <c r="B1283">
        <v>3781</v>
      </c>
      <c r="C1283">
        <v>1403</v>
      </c>
      <c r="D1283">
        <v>24</v>
      </c>
      <c r="E1283" t="s">
        <v>611</v>
      </c>
      <c r="F1283" t="s">
        <v>3421</v>
      </c>
    </row>
    <row r="1284" spans="1:6" x14ac:dyDescent="0.25">
      <c r="A1284" t="str">
        <f t="shared" si="20"/>
        <v>1404+24+163WD0400X</v>
      </c>
      <c r="B1284">
        <v>3782</v>
      </c>
      <c r="C1284">
        <v>1404</v>
      </c>
      <c r="D1284">
        <v>24</v>
      </c>
      <c r="E1284" t="s">
        <v>612</v>
      </c>
      <c r="F1284" t="s">
        <v>3422</v>
      </c>
    </row>
    <row r="1285" spans="1:6" x14ac:dyDescent="0.25">
      <c r="A1285" t="str">
        <f t="shared" si="20"/>
        <v>1405+24+163WD1100X</v>
      </c>
      <c r="B1285">
        <v>3783</v>
      </c>
      <c r="C1285">
        <v>1405</v>
      </c>
      <c r="D1285">
        <v>24</v>
      </c>
      <c r="E1285" t="s">
        <v>613</v>
      </c>
      <c r="F1285" t="s">
        <v>3423</v>
      </c>
    </row>
    <row r="1286" spans="1:6" x14ac:dyDescent="0.25">
      <c r="A1286" t="str">
        <f t="shared" si="20"/>
        <v>1406+24+163WE0003X</v>
      </c>
      <c r="B1286">
        <v>3784</v>
      </c>
      <c r="C1286">
        <v>1406</v>
      </c>
      <c r="D1286">
        <v>24</v>
      </c>
      <c r="E1286" t="s">
        <v>614</v>
      </c>
      <c r="F1286" t="s">
        <v>3424</v>
      </c>
    </row>
    <row r="1287" spans="1:6" x14ac:dyDescent="0.25">
      <c r="A1287" t="str">
        <f t="shared" si="20"/>
        <v>1407+24+163WE0900X</v>
      </c>
      <c r="B1287">
        <v>3785</v>
      </c>
      <c r="C1287">
        <v>1407</v>
      </c>
      <c r="D1287">
        <v>24</v>
      </c>
      <c r="E1287" t="s">
        <v>615</v>
      </c>
      <c r="F1287" t="s">
        <v>3425</v>
      </c>
    </row>
    <row r="1288" spans="1:6" x14ac:dyDescent="0.25">
      <c r="A1288" t="str">
        <f t="shared" si="20"/>
        <v>1408+24+163WF0300X</v>
      </c>
      <c r="B1288">
        <v>3786</v>
      </c>
      <c r="C1288">
        <v>1408</v>
      </c>
      <c r="D1288">
        <v>24</v>
      </c>
      <c r="E1288" t="s">
        <v>616</v>
      </c>
      <c r="F1288" t="s">
        <v>3426</v>
      </c>
    </row>
    <row r="1289" spans="1:6" x14ac:dyDescent="0.25">
      <c r="A1289" t="str">
        <f t="shared" si="20"/>
        <v>1409+24+163WG0000X</v>
      </c>
      <c r="B1289">
        <v>3787</v>
      </c>
      <c r="C1289">
        <v>1409</v>
      </c>
      <c r="D1289">
        <v>24</v>
      </c>
      <c r="E1289" t="s">
        <v>618</v>
      </c>
      <c r="F1289" t="s">
        <v>3427</v>
      </c>
    </row>
    <row r="1290" spans="1:6" x14ac:dyDescent="0.25">
      <c r="A1290" t="str">
        <f t="shared" si="20"/>
        <v>1410+24+163WG0100X</v>
      </c>
      <c r="B1290">
        <v>3788</v>
      </c>
      <c r="C1290">
        <v>1410</v>
      </c>
      <c r="D1290">
        <v>24</v>
      </c>
      <c r="E1290" t="s">
        <v>619</v>
      </c>
      <c r="F1290" t="s">
        <v>3428</v>
      </c>
    </row>
    <row r="1291" spans="1:6" x14ac:dyDescent="0.25">
      <c r="A1291" t="str">
        <f t="shared" si="20"/>
        <v>1411+24+163WG0600X</v>
      </c>
      <c r="B1291">
        <v>3789</v>
      </c>
      <c r="C1291">
        <v>1411</v>
      </c>
      <c r="D1291">
        <v>24</v>
      </c>
      <c r="E1291" t="s">
        <v>620</v>
      </c>
      <c r="F1291" t="s">
        <v>3429</v>
      </c>
    </row>
    <row r="1292" spans="1:6" x14ac:dyDescent="0.25">
      <c r="A1292" t="str">
        <f t="shared" si="20"/>
        <v>1412+24+163WH0200X</v>
      </c>
      <c r="B1292">
        <v>3790</v>
      </c>
      <c r="C1292">
        <v>1412</v>
      </c>
      <c r="D1292">
        <v>24</v>
      </c>
      <c r="E1292" t="s">
        <v>621</v>
      </c>
      <c r="F1292" t="s">
        <v>3430</v>
      </c>
    </row>
    <row r="1293" spans="1:6" x14ac:dyDescent="0.25">
      <c r="A1293" t="str">
        <f t="shared" si="20"/>
        <v>1413+24+163WH0500X</v>
      </c>
      <c r="B1293">
        <v>3791</v>
      </c>
      <c r="C1293">
        <v>1413</v>
      </c>
      <c r="D1293">
        <v>24</v>
      </c>
      <c r="E1293" t="s">
        <v>622</v>
      </c>
      <c r="F1293" t="s">
        <v>3431</v>
      </c>
    </row>
    <row r="1294" spans="1:6" x14ac:dyDescent="0.25">
      <c r="A1294" t="str">
        <f t="shared" si="20"/>
        <v>1414+24+163WH1000X</v>
      </c>
      <c r="B1294">
        <v>3792</v>
      </c>
      <c r="C1294">
        <v>1414</v>
      </c>
      <c r="D1294">
        <v>24</v>
      </c>
      <c r="E1294" t="s">
        <v>623</v>
      </c>
      <c r="F1294" t="s">
        <v>3432</v>
      </c>
    </row>
    <row r="1295" spans="1:6" x14ac:dyDescent="0.25">
      <c r="A1295" t="str">
        <f t="shared" si="20"/>
        <v>1415+24+163WI0500X</v>
      </c>
      <c r="B1295">
        <v>3793</v>
      </c>
      <c r="C1295">
        <v>1415</v>
      </c>
      <c r="D1295">
        <v>24</v>
      </c>
      <c r="E1295" t="s">
        <v>624</v>
      </c>
      <c r="F1295" t="s">
        <v>3433</v>
      </c>
    </row>
    <row r="1296" spans="1:6" x14ac:dyDescent="0.25">
      <c r="A1296" t="str">
        <f t="shared" si="20"/>
        <v>1416+24+163WI0600X</v>
      </c>
      <c r="B1296">
        <v>3794</v>
      </c>
      <c r="C1296">
        <v>1416</v>
      </c>
      <c r="D1296">
        <v>24</v>
      </c>
      <c r="E1296" t="s">
        <v>596</v>
      </c>
      <c r="F1296" t="s">
        <v>3434</v>
      </c>
    </row>
    <row r="1297" spans="1:6" x14ac:dyDescent="0.25">
      <c r="A1297" t="str">
        <f t="shared" si="20"/>
        <v>1417+24+163WL0100X</v>
      </c>
      <c r="B1297">
        <v>3795</v>
      </c>
      <c r="C1297">
        <v>1417</v>
      </c>
      <c r="D1297">
        <v>24</v>
      </c>
      <c r="E1297" t="s">
        <v>625</v>
      </c>
      <c r="F1297" t="s">
        <v>3435</v>
      </c>
    </row>
    <row r="1298" spans="1:6" x14ac:dyDescent="0.25">
      <c r="A1298" t="str">
        <f t="shared" si="20"/>
        <v>1418+24+163WM0102X</v>
      </c>
      <c r="B1298">
        <v>3796</v>
      </c>
      <c r="C1298">
        <v>1418</v>
      </c>
      <c r="D1298">
        <v>24</v>
      </c>
      <c r="E1298" t="s">
        <v>626</v>
      </c>
      <c r="F1298" t="s">
        <v>3436</v>
      </c>
    </row>
    <row r="1299" spans="1:6" x14ac:dyDescent="0.25">
      <c r="A1299" t="str">
        <f t="shared" si="20"/>
        <v>1419+24+163WM0705X</v>
      </c>
      <c r="B1299">
        <v>3797</v>
      </c>
      <c r="C1299">
        <v>1419</v>
      </c>
      <c r="D1299">
        <v>24</v>
      </c>
      <c r="E1299" t="s">
        <v>627</v>
      </c>
      <c r="F1299" t="s">
        <v>3437</v>
      </c>
    </row>
    <row r="1300" spans="1:6" x14ac:dyDescent="0.25">
      <c r="A1300" t="str">
        <f t="shared" si="20"/>
        <v>1420+24+163WM1400X</v>
      </c>
      <c r="B1300">
        <v>3798</v>
      </c>
      <c r="C1300">
        <v>1420</v>
      </c>
      <c r="D1300">
        <v>24</v>
      </c>
      <c r="E1300" t="s">
        <v>628</v>
      </c>
      <c r="F1300" t="s">
        <v>3438</v>
      </c>
    </row>
    <row r="1301" spans="1:6" x14ac:dyDescent="0.25">
      <c r="A1301" t="str">
        <f t="shared" si="20"/>
        <v>1421+24+163WN0002X</v>
      </c>
      <c r="B1301">
        <v>3799</v>
      </c>
      <c r="C1301">
        <v>1421</v>
      </c>
      <c r="D1301">
        <v>24</v>
      </c>
      <c r="E1301" t="s">
        <v>629</v>
      </c>
      <c r="F1301" t="s">
        <v>3439</v>
      </c>
    </row>
    <row r="1302" spans="1:6" x14ac:dyDescent="0.25">
      <c r="A1302" t="str">
        <f t="shared" si="20"/>
        <v>1422+24+163WN0003X</v>
      </c>
      <c r="B1302">
        <v>3800</v>
      </c>
      <c r="C1302">
        <v>1422</v>
      </c>
      <c r="D1302">
        <v>24</v>
      </c>
      <c r="E1302" t="s">
        <v>630</v>
      </c>
      <c r="F1302" t="s">
        <v>3440</v>
      </c>
    </row>
    <row r="1303" spans="1:6" x14ac:dyDescent="0.25">
      <c r="A1303" t="str">
        <f t="shared" si="20"/>
        <v>1423+24+163WN0300X</v>
      </c>
      <c r="B1303">
        <v>3801</v>
      </c>
      <c r="C1303">
        <v>1423</v>
      </c>
      <c r="D1303">
        <v>24</v>
      </c>
      <c r="E1303" t="s">
        <v>632</v>
      </c>
      <c r="F1303" t="s">
        <v>3441</v>
      </c>
    </row>
    <row r="1304" spans="1:6" x14ac:dyDescent="0.25">
      <c r="A1304" t="str">
        <f t="shared" si="20"/>
        <v>1424+24+163WN0800X</v>
      </c>
      <c r="B1304">
        <v>3802</v>
      </c>
      <c r="C1304">
        <v>1424</v>
      </c>
      <c r="D1304">
        <v>24</v>
      </c>
      <c r="E1304" t="s">
        <v>633</v>
      </c>
      <c r="F1304" t="s">
        <v>3442</v>
      </c>
    </row>
    <row r="1305" spans="1:6" x14ac:dyDescent="0.25">
      <c r="A1305" t="str">
        <f t="shared" si="20"/>
        <v>1425+24+163WN1003X</v>
      </c>
      <c r="B1305">
        <v>3803</v>
      </c>
      <c r="C1305">
        <v>1425</v>
      </c>
      <c r="D1305">
        <v>24</v>
      </c>
      <c r="E1305" t="s">
        <v>635</v>
      </c>
      <c r="F1305" t="s">
        <v>3443</v>
      </c>
    </row>
    <row r="1306" spans="1:6" x14ac:dyDescent="0.25">
      <c r="A1306" t="str">
        <f t="shared" si="20"/>
        <v>1426+24+163WP0000X</v>
      </c>
      <c r="B1306">
        <v>3804</v>
      </c>
      <c r="C1306">
        <v>1426</v>
      </c>
      <c r="D1306">
        <v>24</v>
      </c>
      <c r="E1306" t="s">
        <v>636</v>
      </c>
      <c r="F1306" t="s">
        <v>3444</v>
      </c>
    </row>
    <row r="1307" spans="1:6" x14ac:dyDescent="0.25">
      <c r="A1307" t="str">
        <f t="shared" si="20"/>
        <v>1427+24+163WP0200X</v>
      </c>
      <c r="B1307">
        <v>3805</v>
      </c>
      <c r="C1307">
        <v>1427</v>
      </c>
      <c r="D1307">
        <v>24</v>
      </c>
      <c r="E1307" t="s">
        <v>637</v>
      </c>
      <c r="F1307" t="s">
        <v>3445</v>
      </c>
    </row>
    <row r="1308" spans="1:6" x14ac:dyDescent="0.25">
      <c r="A1308" t="str">
        <f t="shared" si="20"/>
        <v>1428+24+163WP0218X</v>
      </c>
      <c r="B1308">
        <v>3806</v>
      </c>
      <c r="C1308">
        <v>1428</v>
      </c>
      <c r="D1308">
        <v>24</v>
      </c>
      <c r="E1308" t="s">
        <v>638</v>
      </c>
      <c r="F1308" t="s">
        <v>3446</v>
      </c>
    </row>
    <row r="1309" spans="1:6" x14ac:dyDescent="0.25">
      <c r="A1309" t="str">
        <f t="shared" si="20"/>
        <v>1429+24+163WP0807X</v>
      </c>
      <c r="B1309">
        <v>3807</v>
      </c>
      <c r="C1309">
        <v>1429</v>
      </c>
      <c r="D1309">
        <v>24</v>
      </c>
      <c r="E1309" t="s">
        <v>597</v>
      </c>
      <c r="F1309" t="s">
        <v>3447</v>
      </c>
    </row>
    <row r="1310" spans="1:6" x14ac:dyDescent="0.25">
      <c r="A1310" t="str">
        <f t="shared" si="20"/>
        <v>1430+24+163WP0808X</v>
      </c>
      <c r="B1310">
        <v>3808</v>
      </c>
      <c r="C1310">
        <v>1430</v>
      </c>
      <c r="D1310">
        <v>24</v>
      </c>
      <c r="E1310" t="s">
        <v>470</v>
      </c>
      <c r="F1310" t="s">
        <v>3448</v>
      </c>
    </row>
    <row r="1311" spans="1:6" x14ac:dyDescent="0.25">
      <c r="A1311" t="str">
        <f t="shared" si="20"/>
        <v>1431+24+163WP0809X</v>
      </c>
      <c r="B1311">
        <v>3809</v>
      </c>
      <c r="C1311">
        <v>1431</v>
      </c>
      <c r="D1311">
        <v>24</v>
      </c>
      <c r="E1311" t="s">
        <v>598</v>
      </c>
      <c r="F1311" t="s">
        <v>3449</v>
      </c>
    </row>
    <row r="1312" spans="1:6" x14ac:dyDescent="0.25">
      <c r="A1312" t="str">
        <f t="shared" si="20"/>
        <v>1432+24+163WP1700X</v>
      </c>
      <c r="B1312">
        <v>3810</v>
      </c>
      <c r="C1312">
        <v>1432</v>
      </c>
      <c r="D1312">
        <v>24</v>
      </c>
      <c r="E1312" t="s">
        <v>599</v>
      </c>
      <c r="F1312" t="s">
        <v>3450</v>
      </c>
    </row>
    <row r="1313" spans="1:6" x14ac:dyDescent="0.25">
      <c r="A1313" t="str">
        <f t="shared" si="20"/>
        <v>1433+24+163WP2201X</v>
      </c>
      <c r="B1313">
        <v>3811</v>
      </c>
      <c r="C1313">
        <v>1433</v>
      </c>
      <c r="D1313">
        <v>24</v>
      </c>
      <c r="E1313" t="s">
        <v>639</v>
      </c>
      <c r="F1313" t="s">
        <v>3451</v>
      </c>
    </row>
    <row r="1314" spans="1:6" x14ac:dyDescent="0.25">
      <c r="A1314" t="str">
        <f t="shared" si="20"/>
        <v>1434+24+163WR0400X</v>
      </c>
      <c r="B1314">
        <v>3812</v>
      </c>
      <c r="C1314">
        <v>1434</v>
      </c>
      <c r="D1314">
        <v>24</v>
      </c>
      <c r="E1314" t="s">
        <v>641</v>
      </c>
      <c r="F1314" t="s">
        <v>3452</v>
      </c>
    </row>
    <row r="1315" spans="1:6" x14ac:dyDescent="0.25">
      <c r="A1315" t="str">
        <f t="shared" si="20"/>
        <v>1435+24+163WR1000X</v>
      </c>
      <c r="B1315">
        <v>3813</v>
      </c>
      <c r="C1315">
        <v>1435</v>
      </c>
      <c r="D1315">
        <v>24</v>
      </c>
      <c r="E1315" t="s">
        <v>642</v>
      </c>
      <c r="F1315" t="s">
        <v>3453</v>
      </c>
    </row>
    <row r="1316" spans="1:6" x14ac:dyDescent="0.25">
      <c r="A1316" t="str">
        <f t="shared" si="20"/>
        <v>1436+24+163WS0121X</v>
      </c>
      <c r="B1316">
        <v>3814</v>
      </c>
      <c r="C1316">
        <v>1436</v>
      </c>
      <c r="D1316">
        <v>24</v>
      </c>
      <c r="E1316" t="s">
        <v>644</v>
      </c>
      <c r="F1316" t="s">
        <v>3454</v>
      </c>
    </row>
    <row r="1317" spans="1:6" x14ac:dyDescent="0.25">
      <c r="A1317" t="str">
        <f t="shared" si="20"/>
        <v>1437+24+163WS0200X</v>
      </c>
      <c r="B1317">
        <v>3815</v>
      </c>
      <c r="C1317">
        <v>1437</v>
      </c>
      <c r="D1317">
        <v>24</v>
      </c>
      <c r="E1317" t="s">
        <v>645</v>
      </c>
      <c r="F1317" t="s">
        <v>3455</v>
      </c>
    </row>
    <row r="1318" spans="1:6" x14ac:dyDescent="0.25">
      <c r="A1318" t="str">
        <f t="shared" si="20"/>
        <v>1438+24+163WU0100X</v>
      </c>
      <c r="B1318">
        <v>3816</v>
      </c>
      <c r="C1318">
        <v>1438</v>
      </c>
      <c r="D1318">
        <v>24</v>
      </c>
      <c r="E1318" t="s">
        <v>647</v>
      </c>
      <c r="F1318" t="s">
        <v>3456</v>
      </c>
    </row>
    <row r="1319" spans="1:6" x14ac:dyDescent="0.25">
      <c r="A1319" t="str">
        <f t="shared" si="20"/>
        <v>1439+24+163WW0000X</v>
      </c>
      <c r="B1319">
        <v>3817</v>
      </c>
      <c r="C1319">
        <v>1439</v>
      </c>
      <c r="D1319">
        <v>24</v>
      </c>
      <c r="E1319" t="s">
        <v>648</v>
      </c>
      <c r="F1319" t="s">
        <v>3457</v>
      </c>
    </row>
    <row r="1320" spans="1:6" x14ac:dyDescent="0.25">
      <c r="A1320" t="str">
        <f t="shared" si="20"/>
        <v>1440+24+163WW0101X</v>
      </c>
      <c r="B1320">
        <v>3818</v>
      </c>
      <c r="C1320">
        <v>1440</v>
      </c>
      <c r="D1320">
        <v>24</v>
      </c>
      <c r="E1320" t="s">
        <v>649</v>
      </c>
      <c r="F1320" t="s">
        <v>3458</v>
      </c>
    </row>
    <row r="1321" spans="1:6" x14ac:dyDescent="0.25">
      <c r="A1321" t="str">
        <f t="shared" si="20"/>
        <v>1441+24+163WX0002X</v>
      </c>
      <c r="B1321">
        <v>3819</v>
      </c>
      <c r="C1321">
        <v>1441</v>
      </c>
      <c r="D1321">
        <v>24</v>
      </c>
      <c r="E1321" t="s">
        <v>650</v>
      </c>
      <c r="F1321" t="s">
        <v>3459</v>
      </c>
    </row>
    <row r="1322" spans="1:6" x14ac:dyDescent="0.25">
      <c r="A1322" t="str">
        <f t="shared" si="20"/>
        <v>1442+24+163WX0003X</v>
      </c>
      <c r="B1322">
        <v>3820</v>
      </c>
      <c r="C1322">
        <v>1442</v>
      </c>
      <c r="D1322">
        <v>24</v>
      </c>
      <c r="E1322" t="s">
        <v>651</v>
      </c>
      <c r="F1322" t="s">
        <v>3460</v>
      </c>
    </row>
    <row r="1323" spans="1:6" x14ac:dyDescent="0.25">
      <c r="A1323" t="str">
        <f t="shared" si="20"/>
        <v>1443+24+163WX0106X</v>
      </c>
      <c r="B1323">
        <v>3821</v>
      </c>
      <c r="C1323">
        <v>1443</v>
      </c>
      <c r="D1323">
        <v>24</v>
      </c>
      <c r="E1323" t="s">
        <v>652</v>
      </c>
      <c r="F1323" t="s">
        <v>3461</v>
      </c>
    </row>
    <row r="1324" spans="1:6" x14ac:dyDescent="0.25">
      <c r="A1324" t="str">
        <f t="shared" si="20"/>
        <v>1444+24+163WX0200X</v>
      </c>
      <c r="B1324">
        <v>3822</v>
      </c>
      <c r="C1324">
        <v>1444</v>
      </c>
      <c r="D1324">
        <v>24</v>
      </c>
      <c r="E1324" t="s">
        <v>653</v>
      </c>
      <c r="F1324" t="s">
        <v>3462</v>
      </c>
    </row>
    <row r="1325" spans="1:6" x14ac:dyDescent="0.25">
      <c r="A1325" t="str">
        <f t="shared" si="20"/>
        <v>1445+24+163WX0601X</v>
      </c>
      <c r="B1325">
        <v>3823</v>
      </c>
      <c r="C1325">
        <v>1445</v>
      </c>
      <c r="D1325">
        <v>24</v>
      </c>
      <c r="E1325" t="s">
        <v>654</v>
      </c>
      <c r="F1325" t="s">
        <v>3463</v>
      </c>
    </row>
    <row r="1326" spans="1:6" x14ac:dyDescent="0.25">
      <c r="A1326" t="str">
        <f t="shared" si="20"/>
        <v>1446+24+163WX0800X</v>
      </c>
      <c r="B1326">
        <v>3824</v>
      </c>
      <c r="C1326">
        <v>1446</v>
      </c>
      <c r="D1326">
        <v>24</v>
      </c>
      <c r="E1326" t="s">
        <v>655</v>
      </c>
      <c r="F1326" t="s">
        <v>3464</v>
      </c>
    </row>
    <row r="1327" spans="1:6" x14ac:dyDescent="0.25">
      <c r="A1327" t="str">
        <f t="shared" si="20"/>
        <v>1447+24+163WX1100X</v>
      </c>
      <c r="B1327">
        <v>3825</v>
      </c>
      <c r="C1327">
        <v>1447</v>
      </c>
      <c r="D1327">
        <v>24</v>
      </c>
      <c r="E1327" t="s">
        <v>657</v>
      </c>
      <c r="F1327" t="s">
        <v>3465</v>
      </c>
    </row>
    <row r="1328" spans="1:6" x14ac:dyDescent="0.25">
      <c r="A1328" t="str">
        <f t="shared" si="20"/>
        <v>1448+24+163WX1500X</v>
      </c>
      <c r="B1328">
        <v>3826</v>
      </c>
      <c r="C1328">
        <v>1448</v>
      </c>
      <c r="D1328">
        <v>24</v>
      </c>
      <c r="E1328" t="s">
        <v>658</v>
      </c>
      <c r="F1328" t="s">
        <v>3466</v>
      </c>
    </row>
    <row r="1329" spans="1:6" x14ac:dyDescent="0.25">
      <c r="A1329" t="str">
        <f t="shared" si="20"/>
        <v>1449+24+364S00000X</v>
      </c>
      <c r="B1329">
        <v>3827</v>
      </c>
      <c r="C1329">
        <v>1449</v>
      </c>
      <c r="D1329">
        <v>24</v>
      </c>
      <c r="E1329" t="s">
        <v>371</v>
      </c>
      <c r="F1329" t="s">
        <v>3467</v>
      </c>
    </row>
    <row r="1330" spans="1:6" x14ac:dyDescent="0.25">
      <c r="A1330" t="str">
        <f t="shared" si="20"/>
        <v>1450+24+364SA2100X</v>
      </c>
      <c r="B1330">
        <v>3828</v>
      </c>
      <c r="C1330">
        <v>1450</v>
      </c>
      <c r="D1330">
        <v>24</v>
      </c>
      <c r="E1330" t="s">
        <v>372</v>
      </c>
      <c r="F1330" t="s">
        <v>3468</v>
      </c>
    </row>
    <row r="1331" spans="1:6" x14ac:dyDescent="0.25">
      <c r="A1331" t="str">
        <f t="shared" si="20"/>
        <v>1451+24+364SA2200X</v>
      </c>
      <c r="B1331">
        <v>3829</v>
      </c>
      <c r="C1331">
        <v>1451</v>
      </c>
      <c r="D1331">
        <v>24</v>
      </c>
      <c r="E1331" t="s">
        <v>373</v>
      </c>
      <c r="F1331" t="s">
        <v>3469</v>
      </c>
    </row>
    <row r="1332" spans="1:6" x14ac:dyDescent="0.25">
      <c r="A1332" t="str">
        <f t="shared" si="20"/>
        <v>1452+24+364SC2300X</v>
      </c>
      <c r="B1332">
        <v>3830</v>
      </c>
      <c r="C1332">
        <v>1452</v>
      </c>
      <c r="D1332">
        <v>24</v>
      </c>
      <c r="E1332" t="s">
        <v>378</v>
      </c>
      <c r="F1332" t="s">
        <v>3470</v>
      </c>
    </row>
    <row r="1333" spans="1:6" x14ac:dyDescent="0.25">
      <c r="A1333" t="str">
        <f t="shared" si="20"/>
        <v>1453+24+364SC1501X</v>
      </c>
      <c r="B1333">
        <v>3831</v>
      </c>
      <c r="C1333">
        <v>1453</v>
      </c>
      <c r="D1333">
        <v>24</v>
      </c>
      <c r="E1333" t="s">
        <v>376</v>
      </c>
      <c r="F1333" t="s">
        <v>3471</v>
      </c>
    </row>
    <row r="1334" spans="1:6" x14ac:dyDescent="0.25">
      <c r="A1334" t="str">
        <f t="shared" si="20"/>
        <v>1454+24+364SC0200X</v>
      </c>
      <c r="B1334">
        <v>3832</v>
      </c>
      <c r="C1334">
        <v>1454</v>
      </c>
      <c r="D1334">
        <v>24</v>
      </c>
      <c r="E1334" t="s">
        <v>374</v>
      </c>
      <c r="F1334" t="s">
        <v>3472</v>
      </c>
    </row>
    <row r="1335" spans="1:6" x14ac:dyDescent="0.25">
      <c r="A1335" t="str">
        <f t="shared" si="20"/>
        <v>1455+24+364SE0003X</v>
      </c>
      <c r="B1335">
        <v>3833</v>
      </c>
      <c r="C1335">
        <v>1455</v>
      </c>
      <c r="D1335">
        <v>24</v>
      </c>
      <c r="E1335" t="s">
        <v>380</v>
      </c>
      <c r="F1335" t="s">
        <v>3473</v>
      </c>
    </row>
    <row r="1336" spans="1:6" x14ac:dyDescent="0.25">
      <c r="A1336" t="str">
        <f t="shared" si="20"/>
        <v>1456+24+364SE1400X</v>
      </c>
      <c r="B1336">
        <v>3834</v>
      </c>
      <c r="C1336">
        <v>1456</v>
      </c>
      <c r="D1336">
        <v>24</v>
      </c>
      <c r="E1336" t="s">
        <v>382</v>
      </c>
      <c r="F1336" t="s">
        <v>3474</v>
      </c>
    </row>
    <row r="1337" spans="1:6" x14ac:dyDescent="0.25">
      <c r="A1337" t="str">
        <f t="shared" si="20"/>
        <v>1457+24+364SF0001X</v>
      </c>
      <c r="B1337">
        <v>3835</v>
      </c>
      <c r="C1337">
        <v>1457</v>
      </c>
      <c r="D1337">
        <v>24</v>
      </c>
      <c r="E1337" t="s">
        <v>384</v>
      </c>
      <c r="F1337" t="s">
        <v>3475</v>
      </c>
    </row>
    <row r="1338" spans="1:6" x14ac:dyDescent="0.25">
      <c r="A1338" t="str">
        <f t="shared" si="20"/>
        <v>1458+24+364SG0600X</v>
      </c>
      <c r="B1338">
        <v>3836</v>
      </c>
      <c r="C1338">
        <v>1458</v>
      </c>
      <c r="D1338">
        <v>24</v>
      </c>
      <c r="E1338" t="s">
        <v>385</v>
      </c>
      <c r="F1338" t="s">
        <v>3476</v>
      </c>
    </row>
    <row r="1339" spans="1:6" x14ac:dyDescent="0.25">
      <c r="A1339" t="str">
        <f t="shared" si="20"/>
        <v>1459+24+364SH1100X</v>
      </c>
      <c r="B1339">
        <v>3837</v>
      </c>
      <c r="C1339">
        <v>1459</v>
      </c>
      <c r="D1339">
        <v>24</v>
      </c>
      <c r="E1339" t="s">
        <v>388</v>
      </c>
      <c r="F1339" t="s">
        <v>3477</v>
      </c>
    </row>
    <row r="1340" spans="1:6" x14ac:dyDescent="0.25">
      <c r="A1340" t="str">
        <f t="shared" si="20"/>
        <v>1460+24+364SH0200X</v>
      </c>
      <c r="B1340">
        <v>3838</v>
      </c>
      <c r="C1340">
        <v>1460</v>
      </c>
      <c r="D1340">
        <v>24</v>
      </c>
      <c r="E1340" t="s">
        <v>386</v>
      </c>
      <c r="F1340" t="s">
        <v>3478</v>
      </c>
    </row>
    <row r="1341" spans="1:6" x14ac:dyDescent="0.25">
      <c r="A1341" t="str">
        <f t="shared" si="20"/>
        <v>1461+24+364SI0800X</v>
      </c>
      <c r="B1341">
        <v>3839</v>
      </c>
      <c r="C1341">
        <v>1461</v>
      </c>
      <c r="D1341">
        <v>24</v>
      </c>
      <c r="E1341" t="s">
        <v>390</v>
      </c>
      <c r="F1341" t="s">
        <v>3479</v>
      </c>
    </row>
    <row r="1342" spans="1:6" x14ac:dyDescent="0.25">
      <c r="A1342" t="str">
        <f t="shared" si="20"/>
        <v>1462+24+364SL0600X</v>
      </c>
      <c r="B1342">
        <v>3840</v>
      </c>
      <c r="C1342">
        <v>1462</v>
      </c>
      <c r="D1342">
        <v>24</v>
      </c>
      <c r="E1342" t="s">
        <v>392</v>
      </c>
      <c r="F1342" t="s">
        <v>3480</v>
      </c>
    </row>
    <row r="1343" spans="1:6" x14ac:dyDescent="0.25">
      <c r="A1343" t="str">
        <f t="shared" si="20"/>
        <v>1463+24+364SM0705X</v>
      </c>
      <c r="B1343">
        <v>3841</v>
      </c>
      <c r="C1343">
        <v>1463</v>
      </c>
      <c r="D1343">
        <v>24</v>
      </c>
      <c r="E1343" t="s">
        <v>394</v>
      </c>
      <c r="F1343" t="s">
        <v>3481</v>
      </c>
    </row>
    <row r="1344" spans="1:6" x14ac:dyDescent="0.25">
      <c r="A1344" t="str">
        <f t="shared" si="20"/>
        <v>1464+24+364SN0000X</v>
      </c>
      <c r="B1344">
        <v>3842</v>
      </c>
      <c r="C1344">
        <v>1464</v>
      </c>
      <c r="D1344">
        <v>24</v>
      </c>
      <c r="E1344" t="s">
        <v>395</v>
      </c>
      <c r="F1344" t="s">
        <v>3482</v>
      </c>
    </row>
    <row r="1345" spans="1:6" x14ac:dyDescent="0.25">
      <c r="A1345" t="str">
        <f t="shared" si="20"/>
        <v>1465+24+364SN0800X</v>
      </c>
      <c r="B1345">
        <v>3843</v>
      </c>
      <c r="C1345">
        <v>1465</v>
      </c>
      <c r="D1345">
        <v>24</v>
      </c>
      <c r="E1345" t="s">
        <v>397</v>
      </c>
      <c r="F1345" t="s">
        <v>3483</v>
      </c>
    </row>
    <row r="1346" spans="1:6" x14ac:dyDescent="0.25">
      <c r="A1346" t="str">
        <f t="shared" ref="A1346:A1409" si="21">C1346 &amp; "+" &amp; D1346 &amp; "+" &amp; E1346</f>
        <v>1466+24+364SX0106X</v>
      </c>
      <c r="B1346">
        <v>3844</v>
      </c>
      <c r="C1346">
        <v>1466</v>
      </c>
      <c r="D1346">
        <v>24</v>
      </c>
      <c r="E1346" t="s">
        <v>419</v>
      </c>
      <c r="F1346" t="s">
        <v>3484</v>
      </c>
    </row>
    <row r="1347" spans="1:6" x14ac:dyDescent="0.25">
      <c r="A1347" t="str">
        <f t="shared" si="21"/>
        <v>1467+24+364SX0200X</v>
      </c>
      <c r="B1347">
        <v>3845</v>
      </c>
      <c r="C1347">
        <v>1467</v>
      </c>
      <c r="D1347">
        <v>24</v>
      </c>
      <c r="E1347" t="s">
        <v>420</v>
      </c>
      <c r="F1347" t="s">
        <v>3485</v>
      </c>
    </row>
    <row r="1348" spans="1:6" x14ac:dyDescent="0.25">
      <c r="A1348" t="str">
        <f t="shared" si="21"/>
        <v>1468+24+364SX0204X</v>
      </c>
      <c r="B1348">
        <v>3846</v>
      </c>
      <c r="C1348">
        <v>1468</v>
      </c>
      <c r="D1348">
        <v>24</v>
      </c>
      <c r="E1348" t="s">
        <v>422</v>
      </c>
      <c r="F1348" t="s">
        <v>3486</v>
      </c>
    </row>
    <row r="1349" spans="1:6" x14ac:dyDescent="0.25">
      <c r="A1349" t="str">
        <f t="shared" si="21"/>
        <v>1469+24+364SP0200X</v>
      </c>
      <c r="B1349">
        <v>3847</v>
      </c>
      <c r="C1349">
        <v>1469</v>
      </c>
      <c r="D1349">
        <v>24</v>
      </c>
      <c r="E1349" t="s">
        <v>336</v>
      </c>
      <c r="F1349" t="s">
        <v>3487</v>
      </c>
    </row>
    <row r="1350" spans="1:6" x14ac:dyDescent="0.25">
      <c r="A1350" t="str">
        <f t="shared" si="21"/>
        <v>1470+24+364SP1700X</v>
      </c>
      <c r="B1350">
        <v>3848</v>
      </c>
      <c r="C1350">
        <v>1470</v>
      </c>
      <c r="D1350">
        <v>24</v>
      </c>
      <c r="E1350" t="s">
        <v>411</v>
      </c>
      <c r="F1350" t="s">
        <v>3488</v>
      </c>
    </row>
    <row r="1351" spans="1:6" x14ac:dyDescent="0.25">
      <c r="A1351" t="str">
        <f t="shared" si="21"/>
        <v>1471+24+364SP2800X</v>
      </c>
      <c r="B1351">
        <v>3849</v>
      </c>
      <c r="C1351">
        <v>1471</v>
      </c>
      <c r="D1351">
        <v>24</v>
      </c>
      <c r="E1351" t="s">
        <v>413</v>
      </c>
      <c r="F1351" t="s">
        <v>3489</v>
      </c>
    </row>
    <row r="1352" spans="1:6" x14ac:dyDescent="0.25">
      <c r="A1352" t="str">
        <f t="shared" si="21"/>
        <v>1472+24+364SP0808X</v>
      </c>
      <c r="B1352">
        <v>3850</v>
      </c>
      <c r="C1352">
        <v>1472</v>
      </c>
      <c r="D1352">
        <v>24</v>
      </c>
      <c r="E1352" t="s">
        <v>400</v>
      </c>
      <c r="F1352" t="s">
        <v>3490</v>
      </c>
    </row>
    <row r="1353" spans="1:6" x14ac:dyDescent="0.25">
      <c r="A1353" t="str">
        <f t="shared" si="21"/>
        <v>1473+24+364SP0809X</v>
      </c>
      <c r="B1353">
        <v>3851</v>
      </c>
      <c r="C1353">
        <v>1473</v>
      </c>
      <c r="D1353">
        <v>24</v>
      </c>
      <c r="E1353" t="s">
        <v>402</v>
      </c>
      <c r="F1353" t="s">
        <v>3491</v>
      </c>
    </row>
    <row r="1354" spans="1:6" x14ac:dyDescent="0.25">
      <c r="A1354" t="str">
        <f t="shared" si="21"/>
        <v>1474+24+364SP0807X</v>
      </c>
      <c r="B1354">
        <v>3852</v>
      </c>
      <c r="C1354">
        <v>1474</v>
      </c>
      <c r="D1354">
        <v>24</v>
      </c>
      <c r="E1354" t="s">
        <v>399</v>
      </c>
      <c r="F1354" t="s">
        <v>3492</v>
      </c>
    </row>
    <row r="1355" spans="1:6" x14ac:dyDescent="0.25">
      <c r="A1355" t="str">
        <f t="shared" si="21"/>
        <v>1475+24+364SP0810X</v>
      </c>
      <c r="B1355">
        <v>3853</v>
      </c>
      <c r="C1355">
        <v>1475</v>
      </c>
      <c r="D1355">
        <v>24</v>
      </c>
      <c r="E1355" t="s">
        <v>404</v>
      </c>
      <c r="F1355" t="s">
        <v>3493</v>
      </c>
    </row>
    <row r="1356" spans="1:6" x14ac:dyDescent="0.25">
      <c r="A1356" t="str">
        <f t="shared" si="21"/>
        <v>1476+24+364SP0811X</v>
      </c>
      <c r="B1356">
        <v>3854</v>
      </c>
      <c r="C1356">
        <v>1476</v>
      </c>
      <c r="D1356">
        <v>24</v>
      </c>
      <c r="E1356" t="s">
        <v>406</v>
      </c>
      <c r="F1356" t="s">
        <v>3494</v>
      </c>
    </row>
    <row r="1357" spans="1:6" x14ac:dyDescent="0.25">
      <c r="A1357" t="str">
        <f t="shared" si="21"/>
        <v>1477+24+364SP0812X</v>
      </c>
      <c r="B1357">
        <v>3855</v>
      </c>
      <c r="C1357">
        <v>1477</v>
      </c>
      <c r="D1357">
        <v>24</v>
      </c>
      <c r="E1357" t="s">
        <v>408</v>
      </c>
      <c r="F1357" t="s">
        <v>3495</v>
      </c>
    </row>
    <row r="1358" spans="1:6" x14ac:dyDescent="0.25">
      <c r="A1358" t="str">
        <f t="shared" si="21"/>
        <v>1478+24+364SP0813X</v>
      </c>
      <c r="B1358">
        <v>3856</v>
      </c>
      <c r="C1358">
        <v>1478</v>
      </c>
      <c r="D1358">
        <v>24</v>
      </c>
      <c r="E1358" t="s">
        <v>410</v>
      </c>
      <c r="F1358" t="s">
        <v>3496</v>
      </c>
    </row>
    <row r="1359" spans="1:6" x14ac:dyDescent="0.25">
      <c r="A1359" t="str">
        <f t="shared" si="21"/>
        <v>1479+24+364SR0400X</v>
      </c>
      <c r="B1359">
        <v>3857</v>
      </c>
      <c r="C1359">
        <v>1479</v>
      </c>
      <c r="D1359">
        <v>24</v>
      </c>
      <c r="E1359" t="s">
        <v>414</v>
      </c>
      <c r="F1359" t="s">
        <v>3497</v>
      </c>
    </row>
    <row r="1360" spans="1:6" x14ac:dyDescent="0.25">
      <c r="A1360" t="str">
        <f t="shared" si="21"/>
        <v>1480+24+364ST0500X</v>
      </c>
      <c r="B1360">
        <v>3858</v>
      </c>
      <c r="C1360">
        <v>1480</v>
      </c>
      <c r="D1360">
        <v>24</v>
      </c>
      <c r="E1360" t="s">
        <v>417</v>
      </c>
      <c r="F1360" t="s">
        <v>3498</v>
      </c>
    </row>
    <row r="1361" spans="1:6" x14ac:dyDescent="0.25">
      <c r="A1361" t="str">
        <f t="shared" si="21"/>
        <v>1481+24+364SS0200X</v>
      </c>
      <c r="B1361">
        <v>3859</v>
      </c>
      <c r="C1361">
        <v>1481</v>
      </c>
      <c r="D1361">
        <v>24</v>
      </c>
      <c r="E1361" t="s">
        <v>415</v>
      </c>
      <c r="F1361" t="s">
        <v>3499</v>
      </c>
    </row>
    <row r="1362" spans="1:6" x14ac:dyDescent="0.25">
      <c r="A1362" t="str">
        <f t="shared" si="21"/>
        <v>1482+24+364SW0102X</v>
      </c>
      <c r="B1362">
        <v>3860</v>
      </c>
      <c r="C1362">
        <v>1482</v>
      </c>
      <c r="D1362">
        <v>24</v>
      </c>
      <c r="E1362" t="s">
        <v>418</v>
      </c>
      <c r="F1362" t="s">
        <v>3500</v>
      </c>
    </row>
    <row r="1363" spans="1:6" x14ac:dyDescent="0.25">
      <c r="A1363" t="str">
        <f t="shared" si="21"/>
        <v>1484+37+164W00000X</v>
      </c>
      <c r="B1363">
        <v>3861</v>
      </c>
      <c r="C1363">
        <v>1484</v>
      </c>
      <c r="D1363">
        <v>37</v>
      </c>
      <c r="E1363" t="s">
        <v>600</v>
      </c>
      <c r="F1363" t="s">
        <v>3391</v>
      </c>
    </row>
    <row r="1364" spans="1:6" x14ac:dyDescent="0.25">
      <c r="A1364" t="str">
        <f t="shared" si="21"/>
        <v>1485+37+367A00000X</v>
      </c>
      <c r="B1364">
        <v>3862</v>
      </c>
      <c r="C1364">
        <v>1485</v>
      </c>
      <c r="D1364">
        <v>37</v>
      </c>
      <c r="E1364" t="s">
        <v>428</v>
      </c>
      <c r="F1364" t="s">
        <v>3392</v>
      </c>
    </row>
    <row r="1365" spans="1:6" x14ac:dyDescent="0.25">
      <c r="A1365" t="str">
        <f t="shared" si="21"/>
        <v>1486+37+367500000X</v>
      </c>
      <c r="B1365">
        <v>3863</v>
      </c>
      <c r="C1365">
        <v>1486</v>
      </c>
      <c r="D1365">
        <v>37</v>
      </c>
      <c r="E1365" t="s">
        <v>424</v>
      </c>
      <c r="F1365" t="s">
        <v>3393</v>
      </c>
    </row>
    <row r="1366" spans="1:6" x14ac:dyDescent="0.25">
      <c r="A1366" t="str">
        <f t="shared" si="21"/>
        <v>1487+37+363L00000X</v>
      </c>
      <c r="B1366">
        <v>3864</v>
      </c>
      <c r="C1366">
        <v>1487</v>
      </c>
      <c r="D1366">
        <v>37</v>
      </c>
      <c r="E1366" t="s">
        <v>230</v>
      </c>
      <c r="F1366" t="s">
        <v>3394</v>
      </c>
    </row>
    <row r="1367" spans="1:6" x14ac:dyDescent="0.25">
      <c r="A1367" t="str">
        <f t="shared" si="21"/>
        <v>1488+37+363LA2100X</v>
      </c>
      <c r="B1367">
        <v>3865</v>
      </c>
      <c r="C1367">
        <v>1488</v>
      </c>
      <c r="D1367">
        <v>37</v>
      </c>
      <c r="E1367" t="s">
        <v>344</v>
      </c>
      <c r="F1367" t="s">
        <v>3395</v>
      </c>
    </row>
    <row r="1368" spans="1:6" x14ac:dyDescent="0.25">
      <c r="A1368" t="str">
        <f t="shared" si="21"/>
        <v>1489+37+363LA2200X</v>
      </c>
      <c r="B1368">
        <v>3866</v>
      </c>
      <c r="C1368">
        <v>1489</v>
      </c>
      <c r="D1368">
        <v>37</v>
      </c>
      <c r="E1368" t="s">
        <v>346</v>
      </c>
      <c r="F1368" t="s">
        <v>3396</v>
      </c>
    </row>
    <row r="1369" spans="1:6" x14ac:dyDescent="0.25">
      <c r="A1369" t="str">
        <f t="shared" si="21"/>
        <v>1490+37+363LC0200X</v>
      </c>
      <c r="B1369">
        <v>3867</v>
      </c>
      <c r="C1369">
        <v>1490</v>
      </c>
      <c r="D1369">
        <v>37</v>
      </c>
      <c r="E1369" t="s">
        <v>348</v>
      </c>
      <c r="F1369" t="s">
        <v>3397</v>
      </c>
    </row>
    <row r="1370" spans="1:6" x14ac:dyDescent="0.25">
      <c r="A1370" t="str">
        <f t="shared" si="21"/>
        <v>1491+37+363LC1500X</v>
      </c>
      <c r="B1370">
        <v>3868</v>
      </c>
      <c r="C1370">
        <v>1491</v>
      </c>
      <c r="D1370">
        <v>37</v>
      </c>
      <c r="E1370" t="s">
        <v>349</v>
      </c>
      <c r="F1370" t="s">
        <v>3398</v>
      </c>
    </row>
    <row r="1371" spans="1:6" x14ac:dyDescent="0.25">
      <c r="A1371" t="str">
        <f t="shared" si="21"/>
        <v>1492+37+363LF0000X</v>
      </c>
      <c r="B1371">
        <v>3869</v>
      </c>
      <c r="C1371">
        <v>1492</v>
      </c>
      <c r="D1371">
        <v>37</v>
      </c>
      <c r="E1371" t="s">
        <v>351</v>
      </c>
      <c r="F1371" t="s">
        <v>3399</v>
      </c>
    </row>
    <row r="1372" spans="1:6" x14ac:dyDescent="0.25">
      <c r="A1372" t="str">
        <f t="shared" si="21"/>
        <v>1493+37+363LG0600X</v>
      </c>
      <c r="B1372">
        <v>3870</v>
      </c>
      <c r="C1372">
        <v>1493</v>
      </c>
      <c r="D1372">
        <v>37</v>
      </c>
      <c r="E1372" t="s">
        <v>355</v>
      </c>
      <c r="F1372" t="s">
        <v>3400</v>
      </c>
    </row>
    <row r="1373" spans="1:6" x14ac:dyDescent="0.25">
      <c r="A1373" t="str">
        <f t="shared" si="21"/>
        <v>1494+37+363LN0000X</v>
      </c>
      <c r="B1373">
        <v>3871</v>
      </c>
      <c r="C1373">
        <v>1494</v>
      </c>
      <c r="D1373">
        <v>37</v>
      </c>
      <c r="E1373" t="s">
        <v>357</v>
      </c>
      <c r="F1373" t="s">
        <v>3401</v>
      </c>
    </row>
    <row r="1374" spans="1:6" x14ac:dyDescent="0.25">
      <c r="A1374" t="str">
        <f t="shared" si="21"/>
        <v>1495+37+363LN0005X</v>
      </c>
      <c r="B1374">
        <v>3872</v>
      </c>
      <c r="C1374">
        <v>1495</v>
      </c>
      <c r="D1374">
        <v>37</v>
      </c>
      <c r="E1374" t="s">
        <v>359</v>
      </c>
      <c r="F1374" t="s">
        <v>3402</v>
      </c>
    </row>
    <row r="1375" spans="1:6" x14ac:dyDescent="0.25">
      <c r="A1375" t="str">
        <f t="shared" si="21"/>
        <v>1496+37+363LP0200X</v>
      </c>
      <c r="B1375">
        <v>3873</v>
      </c>
      <c r="C1375">
        <v>1496</v>
      </c>
      <c r="D1375">
        <v>37</v>
      </c>
      <c r="E1375" t="s">
        <v>326</v>
      </c>
      <c r="F1375" t="s">
        <v>3403</v>
      </c>
    </row>
    <row r="1376" spans="1:6" x14ac:dyDescent="0.25">
      <c r="A1376" t="str">
        <f t="shared" si="21"/>
        <v>1497+37+363LP0222X</v>
      </c>
      <c r="B1376">
        <v>3874</v>
      </c>
      <c r="C1376">
        <v>1497</v>
      </c>
      <c r="D1376">
        <v>37</v>
      </c>
      <c r="E1376" t="s">
        <v>330</v>
      </c>
      <c r="F1376" t="s">
        <v>3404</v>
      </c>
    </row>
    <row r="1377" spans="1:6" x14ac:dyDescent="0.25">
      <c r="A1377" t="str">
        <f t="shared" si="21"/>
        <v>1498+37+363LP0808X</v>
      </c>
      <c r="B1377">
        <v>3875</v>
      </c>
      <c r="C1377">
        <v>1498</v>
      </c>
      <c r="D1377">
        <v>37</v>
      </c>
      <c r="E1377" t="s">
        <v>361</v>
      </c>
      <c r="F1377" t="s">
        <v>3405</v>
      </c>
    </row>
    <row r="1378" spans="1:6" x14ac:dyDescent="0.25">
      <c r="A1378" t="str">
        <f t="shared" si="21"/>
        <v>1499+37+363LP1700X</v>
      </c>
      <c r="B1378">
        <v>3876</v>
      </c>
      <c r="C1378">
        <v>1499</v>
      </c>
      <c r="D1378">
        <v>37</v>
      </c>
      <c r="E1378" t="s">
        <v>363</v>
      </c>
      <c r="F1378" t="s">
        <v>3406</v>
      </c>
    </row>
    <row r="1379" spans="1:6" x14ac:dyDescent="0.25">
      <c r="A1379" t="str">
        <f t="shared" si="21"/>
        <v>1500+37+363LP2300X</v>
      </c>
      <c r="B1379">
        <v>3877</v>
      </c>
      <c r="C1379">
        <v>1500</v>
      </c>
      <c r="D1379">
        <v>37</v>
      </c>
      <c r="E1379" t="s">
        <v>364</v>
      </c>
      <c r="F1379" t="s">
        <v>3407</v>
      </c>
    </row>
    <row r="1380" spans="1:6" x14ac:dyDescent="0.25">
      <c r="A1380" t="str">
        <f t="shared" si="21"/>
        <v>1501+37+363LS0200X</v>
      </c>
      <c r="B1380">
        <v>3878</v>
      </c>
      <c r="C1380">
        <v>1501</v>
      </c>
      <c r="D1380">
        <v>37</v>
      </c>
      <c r="E1380" t="s">
        <v>366</v>
      </c>
      <c r="F1380" t="s">
        <v>3408</v>
      </c>
    </row>
    <row r="1381" spans="1:6" x14ac:dyDescent="0.25">
      <c r="A1381" t="str">
        <f t="shared" si="21"/>
        <v>1502+37+363LW0102X</v>
      </c>
      <c r="B1381">
        <v>3879</v>
      </c>
      <c r="C1381">
        <v>1502</v>
      </c>
      <c r="D1381">
        <v>37</v>
      </c>
      <c r="E1381" t="s">
        <v>368</v>
      </c>
      <c r="F1381" t="s">
        <v>3409</v>
      </c>
    </row>
    <row r="1382" spans="1:6" x14ac:dyDescent="0.25">
      <c r="A1382" t="str">
        <f t="shared" si="21"/>
        <v>1503+37+363LX0001X</v>
      </c>
      <c r="B1382">
        <v>3880</v>
      </c>
      <c r="C1382">
        <v>1503</v>
      </c>
      <c r="D1382">
        <v>37</v>
      </c>
      <c r="E1382" t="s">
        <v>332</v>
      </c>
      <c r="F1382" t="s">
        <v>3410</v>
      </c>
    </row>
    <row r="1383" spans="1:6" x14ac:dyDescent="0.25">
      <c r="A1383" t="str">
        <f t="shared" si="21"/>
        <v>1504+37+363LX0106X</v>
      </c>
      <c r="B1383">
        <v>3881</v>
      </c>
      <c r="C1383">
        <v>1504</v>
      </c>
      <c r="D1383">
        <v>37</v>
      </c>
      <c r="E1383" t="s">
        <v>370</v>
      </c>
      <c r="F1383" t="s">
        <v>3411</v>
      </c>
    </row>
    <row r="1384" spans="1:6" x14ac:dyDescent="0.25">
      <c r="A1384" t="str">
        <f t="shared" si="21"/>
        <v>1505+37+163W00000X</v>
      </c>
      <c r="B1384">
        <v>3882</v>
      </c>
      <c r="C1384">
        <v>1505</v>
      </c>
      <c r="D1384">
        <v>37</v>
      </c>
      <c r="E1384" t="s">
        <v>595</v>
      </c>
      <c r="F1384" t="s">
        <v>3412</v>
      </c>
    </row>
    <row r="1385" spans="1:6" x14ac:dyDescent="0.25">
      <c r="A1385" t="str">
        <f t="shared" si="21"/>
        <v>1506+37+163WA0400X</v>
      </c>
      <c r="B1385">
        <v>3883</v>
      </c>
      <c r="C1385">
        <v>1506</v>
      </c>
      <c r="D1385">
        <v>37</v>
      </c>
      <c r="E1385" t="s">
        <v>603</v>
      </c>
      <c r="F1385" t="s">
        <v>3413</v>
      </c>
    </row>
    <row r="1386" spans="1:6" x14ac:dyDescent="0.25">
      <c r="A1386" t="str">
        <f t="shared" si="21"/>
        <v>1507+37+163WA2000X</v>
      </c>
      <c r="B1386">
        <v>3884</v>
      </c>
      <c r="C1386">
        <v>1507</v>
      </c>
      <c r="D1386">
        <v>37</v>
      </c>
      <c r="E1386" t="s">
        <v>604</v>
      </c>
      <c r="F1386" t="s">
        <v>3414</v>
      </c>
    </row>
    <row r="1387" spans="1:6" x14ac:dyDescent="0.25">
      <c r="A1387" t="str">
        <f t="shared" si="21"/>
        <v>1508+37+163WC0200X</v>
      </c>
      <c r="B1387">
        <v>3885</v>
      </c>
      <c r="C1387">
        <v>1508</v>
      </c>
      <c r="D1387">
        <v>37</v>
      </c>
      <c r="E1387" t="s">
        <v>605</v>
      </c>
      <c r="F1387" t="s">
        <v>3415</v>
      </c>
    </row>
    <row r="1388" spans="1:6" x14ac:dyDescent="0.25">
      <c r="A1388" t="str">
        <f t="shared" si="21"/>
        <v>1509+37+163WC0400X</v>
      </c>
      <c r="B1388">
        <v>3886</v>
      </c>
      <c r="C1388">
        <v>1509</v>
      </c>
      <c r="D1388">
        <v>37</v>
      </c>
      <c r="E1388" t="s">
        <v>606</v>
      </c>
      <c r="F1388" t="s">
        <v>3416</v>
      </c>
    </row>
    <row r="1389" spans="1:6" x14ac:dyDescent="0.25">
      <c r="A1389" t="str">
        <f t="shared" si="21"/>
        <v>1510+37+163WC1400X</v>
      </c>
      <c r="B1389">
        <v>3887</v>
      </c>
      <c r="C1389">
        <v>1510</v>
      </c>
      <c r="D1389">
        <v>37</v>
      </c>
      <c r="E1389" t="s">
        <v>607</v>
      </c>
      <c r="F1389" t="s">
        <v>3417</v>
      </c>
    </row>
    <row r="1390" spans="1:6" x14ac:dyDescent="0.25">
      <c r="A1390" t="str">
        <f t="shared" si="21"/>
        <v>1511+37+163WC1500X</v>
      </c>
      <c r="B1390">
        <v>3888</v>
      </c>
      <c r="C1390">
        <v>1511</v>
      </c>
      <c r="D1390">
        <v>37</v>
      </c>
      <c r="E1390" t="s">
        <v>608</v>
      </c>
      <c r="F1390" t="s">
        <v>3418</v>
      </c>
    </row>
    <row r="1391" spans="1:6" x14ac:dyDescent="0.25">
      <c r="A1391" t="str">
        <f t="shared" si="21"/>
        <v>1512+37+163WC1600X</v>
      </c>
      <c r="B1391">
        <v>3889</v>
      </c>
      <c r="C1391">
        <v>1512</v>
      </c>
      <c r="D1391">
        <v>37</v>
      </c>
      <c r="E1391" t="s">
        <v>609</v>
      </c>
      <c r="F1391" t="s">
        <v>3419</v>
      </c>
    </row>
    <row r="1392" spans="1:6" x14ac:dyDescent="0.25">
      <c r="A1392" t="str">
        <f t="shared" si="21"/>
        <v>1513+37+163WC2100X</v>
      </c>
      <c r="B1392">
        <v>3890</v>
      </c>
      <c r="C1392">
        <v>1513</v>
      </c>
      <c r="D1392">
        <v>37</v>
      </c>
      <c r="E1392" t="s">
        <v>610</v>
      </c>
      <c r="F1392" t="s">
        <v>3420</v>
      </c>
    </row>
    <row r="1393" spans="1:6" x14ac:dyDescent="0.25">
      <c r="A1393" t="str">
        <f t="shared" si="21"/>
        <v>1514+37+163WC3500X</v>
      </c>
      <c r="B1393">
        <v>3891</v>
      </c>
      <c r="C1393">
        <v>1514</v>
      </c>
      <c r="D1393">
        <v>37</v>
      </c>
      <c r="E1393" t="s">
        <v>611</v>
      </c>
      <c r="F1393" t="s">
        <v>3421</v>
      </c>
    </row>
    <row r="1394" spans="1:6" x14ac:dyDescent="0.25">
      <c r="A1394" t="str">
        <f t="shared" si="21"/>
        <v>1515+37+163WD0400X</v>
      </c>
      <c r="B1394">
        <v>3892</v>
      </c>
      <c r="C1394">
        <v>1515</v>
      </c>
      <c r="D1394">
        <v>37</v>
      </c>
      <c r="E1394" t="s">
        <v>612</v>
      </c>
      <c r="F1394" t="s">
        <v>3422</v>
      </c>
    </row>
    <row r="1395" spans="1:6" x14ac:dyDescent="0.25">
      <c r="A1395" t="str">
        <f t="shared" si="21"/>
        <v>1516+37+163WD1100X</v>
      </c>
      <c r="B1395">
        <v>3893</v>
      </c>
      <c r="C1395">
        <v>1516</v>
      </c>
      <c r="D1395">
        <v>37</v>
      </c>
      <c r="E1395" t="s">
        <v>613</v>
      </c>
      <c r="F1395" t="s">
        <v>3423</v>
      </c>
    </row>
    <row r="1396" spans="1:6" x14ac:dyDescent="0.25">
      <c r="A1396" t="str">
        <f t="shared" si="21"/>
        <v>1517+37+163WE0003X</v>
      </c>
      <c r="B1396">
        <v>3894</v>
      </c>
      <c r="C1396">
        <v>1517</v>
      </c>
      <c r="D1396">
        <v>37</v>
      </c>
      <c r="E1396" t="s">
        <v>614</v>
      </c>
      <c r="F1396" t="s">
        <v>3424</v>
      </c>
    </row>
    <row r="1397" spans="1:6" x14ac:dyDescent="0.25">
      <c r="A1397" t="str">
        <f t="shared" si="21"/>
        <v>1518+37+163WE0900X</v>
      </c>
      <c r="B1397">
        <v>3895</v>
      </c>
      <c r="C1397">
        <v>1518</v>
      </c>
      <c r="D1397">
        <v>37</v>
      </c>
      <c r="E1397" t="s">
        <v>615</v>
      </c>
      <c r="F1397" t="s">
        <v>3425</v>
      </c>
    </row>
    <row r="1398" spans="1:6" x14ac:dyDescent="0.25">
      <c r="A1398" t="str">
        <f t="shared" si="21"/>
        <v>1519+37+163WF0300X</v>
      </c>
      <c r="B1398">
        <v>3896</v>
      </c>
      <c r="C1398">
        <v>1519</v>
      </c>
      <c r="D1398">
        <v>37</v>
      </c>
      <c r="E1398" t="s">
        <v>616</v>
      </c>
      <c r="F1398" t="s">
        <v>3426</v>
      </c>
    </row>
    <row r="1399" spans="1:6" x14ac:dyDescent="0.25">
      <c r="A1399" t="str">
        <f t="shared" si="21"/>
        <v>1520+37+163WG0000X</v>
      </c>
      <c r="B1399">
        <v>3897</v>
      </c>
      <c r="C1399">
        <v>1520</v>
      </c>
      <c r="D1399">
        <v>37</v>
      </c>
      <c r="E1399" t="s">
        <v>618</v>
      </c>
      <c r="F1399" t="s">
        <v>3427</v>
      </c>
    </row>
    <row r="1400" spans="1:6" x14ac:dyDescent="0.25">
      <c r="A1400" t="str">
        <f t="shared" si="21"/>
        <v>1521+37+163WG0100X</v>
      </c>
      <c r="B1400">
        <v>3898</v>
      </c>
      <c r="C1400">
        <v>1521</v>
      </c>
      <c r="D1400">
        <v>37</v>
      </c>
      <c r="E1400" t="s">
        <v>619</v>
      </c>
      <c r="F1400" t="s">
        <v>3428</v>
      </c>
    </row>
    <row r="1401" spans="1:6" x14ac:dyDescent="0.25">
      <c r="A1401" t="str">
        <f t="shared" si="21"/>
        <v>1522+37+163WG0600X</v>
      </c>
      <c r="B1401">
        <v>3899</v>
      </c>
      <c r="C1401">
        <v>1522</v>
      </c>
      <c r="D1401">
        <v>37</v>
      </c>
      <c r="E1401" t="s">
        <v>620</v>
      </c>
      <c r="F1401" t="s">
        <v>3429</v>
      </c>
    </row>
    <row r="1402" spans="1:6" x14ac:dyDescent="0.25">
      <c r="A1402" t="str">
        <f t="shared" si="21"/>
        <v>1523+37+163WH0200X</v>
      </c>
      <c r="B1402">
        <v>3900</v>
      </c>
      <c r="C1402">
        <v>1523</v>
      </c>
      <c r="D1402">
        <v>37</v>
      </c>
      <c r="E1402" t="s">
        <v>621</v>
      </c>
      <c r="F1402" t="s">
        <v>3430</v>
      </c>
    </row>
    <row r="1403" spans="1:6" x14ac:dyDescent="0.25">
      <c r="A1403" t="str">
        <f t="shared" si="21"/>
        <v>1524+37+163WH0500X</v>
      </c>
      <c r="B1403">
        <v>3901</v>
      </c>
      <c r="C1403">
        <v>1524</v>
      </c>
      <c r="D1403">
        <v>37</v>
      </c>
      <c r="E1403" t="s">
        <v>622</v>
      </c>
      <c r="F1403" t="s">
        <v>3431</v>
      </c>
    </row>
    <row r="1404" spans="1:6" x14ac:dyDescent="0.25">
      <c r="A1404" t="str">
        <f t="shared" si="21"/>
        <v>1525+37+163WH1000X</v>
      </c>
      <c r="B1404">
        <v>3902</v>
      </c>
      <c r="C1404">
        <v>1525</v>
      </c>
      <c r="D1404">
        <v>37</v>
      </c>
      <c r="E1404" t="s">
        <v>623</v>
      </c>
      <c r="F1404" t="s">
        <v>3432</v>
      </c>
    </row>
    <row r="1405" spans="1:6" x14ac:dyDescent="0.25">
      <c r="A1405" t="str">
        <f t="shared" si="21"/>
        <v>1526+37+163WI0500X</v>
      </c>
      <c r="B1405">
        <v>3903</v>
      </c>
      <c r="C1405">
        <v>1526</v>
      </c>
      <c r="D1405">
        <v>37</v>
      </c>
      <c r="E1405" t="s">
        <v>624</v>
      </c>
      <c r="F1405" t="s">
        <v>3433</v>
      </c>
    </row>
    <row r="1406" spans="1:6" x14ac:dyDescent="0.25">
      <c r="A1406" t="str">
        <f t="shared" si="21"/>
        <v>1527+37+163WI0600X</v>
      </c>
      <c r="B1406">
        <v>3904</v>
      </c>
      <c r="C1406">
        <v>1527</v>
      </c>
      <c r="D1406">
        <v>37</v>
      </c>
      <c r="E1406" t="s">
        <v>596</v>
      </c>
      <c r="F1406" t="s">
        <v>3434</v>
      </c>
    </row>
    <row r="1407" spans="1:6" x14ac:dyDescent="0.25">
      <c r="A1407" t="str">
        <f t="shared" si="21"/>
        <v>1528+37+163WL0100X</v>
      </c>
      <c r="B1407">
        <v>3905</v>
      </c>
      <c r="C1407">
        <v>1528</v>
      </c>
      <c r="D1407">
        <v>37</v>
      </c>
      <c r="E1407" t="s">
        <v>625</v>
      </c>
      <c r="F1407" t="s">
        <v>3435</v>
      </c>
    </row>
    <row r="1408" spans="1:6" x14ac:dyDescent="0.25">
      <c r="A1408" t="str">
        <f t="shared" si="21"/>
        <v>1529+37+163WM0102X</v>
      </c>
      <c r="B1408">
        <v>3906</v>
      </c>
      <c r="C1408">
        <v>1529</v>
      </c>
      <c r="D1408">
        <v>37</v>
      </c>
      <c r="E1408" t="s">
        <v>626</v>
      </c>
      <c r="F1408" t="s">
        <v>3436</v>
      </c>
    </row>
    <row r="1409" spans="1:6" x14ac:dyDescent="0.25">
      <c r="A1409" t="str">
        <f t="shared" si="21"/>
        <v>1530+37+163WM0705X</v>
      </c>
      <c r="B1409">
        <v>3907</v>
      </c>
      <c r="C1409">
        <v>1530</v>
      </c>
      <c r="D1409">
        <v>37</v>
      </c>
      <c r="E1409" t="s">
        <v>627</v>
      </c>
      <c r="F1409" t="s">
        <v>3437</v>
      </c>
    </row>
    <row r="1410" spans="1:6" x14ac:dyDescent="0.25">
      <c r="A1410" t="str">
        <f t="shared" ref="A1410:A1473" si="22">C1410 &amp; "+" &amp; D1410 &amp; "+" &amp; E1410</f>
        <v>1531+37+163WM1400X</v>
      </c>
      <c r="B1410">
        <v>3908</v>
      </c>
      <c r="C1410">
        <v>1531</v>
      </c>
      <c r="D1410">
        <v>37</v>
      </c>
      <c r="E1410" t="s">
        <v>628</v>
      </c>
      <c r="F1410" t="s">
        <v>3438</v>
      </c>
    </row>
    <row r="1411" spans="1:6" x14ac:dyDescent="0.25">
      <c r="A1411" t="str">
        <f t="shared" si="22"/>
        <v>1532+37+163WN0002X</v>
      </c>
      <c r="B1411">
        <v>3909</v>
      </c>
      <c r="C1411">
        <v>1532</v>
      </c>
      <c r="D1411">
        <v>37</v>
      </c>
      <c r="E1411" t="s">
        <v>629</v>
      </c>
      <c r="F1411" t="s">
        <v>3439</v>
      </c>
    </row>
    <row r="1412" spans="1:6" x14ac:dyDescent="0.25">
      <c r="A1412" t="str">
        <f t="shared" si="22"/>
        <v>1533+37+163WN0003X</v>
      </c>
      <c r="B1412">
        <v>3910</v>
      </c>
      <c r="C1412">
        <v>1533</v>
      </c>
      <c r="D1412">
        <v>37</v>
      </c>
      <c r="E1412" t="s">
        <v>630</v>
      </c>
      <c r="F1412" t="s">
        <v>3440</v>
      </c>
    </row>
    <row r="1413" spans="1:6" x14ac:dyDescent="0.25">
      <c r="A1413" t="str">
        <f t="shared" si="22"/>
        <v>1534+37+163WN0300X</v>
      </c>
      <c r="B1413">
        <v>3911</v>
      </c>
      <c r="C1413">
        <v>1534</v>
      </c>
      <c r="D1413">
        <v>37</v>
      </c>
      <c r="E1413" t="s">
        <v>632</v>
      </c>
      <c r="F1413" t="s">
        <v>3441</v>
      </c>
    </row>
    <row r="1414" spans="1:6" x14ac:dyDescent="0.25">
      <c r="A1414" t="str">
        <f t="shared" si="22"/>
        <v>1535+37+163WN0800X</v>
      </c>
      <c r="B1414">
        <v>3912</v>
      </c>
      <c r="C1414">
        <v>1535</v>
      </c>
      <c r="D1414">
        <v>37</v>
      </c>
      <c r="E1414" t="s">
        <v>633</v>
      </c>
      <c r="F1414" t="s">
        <v>3442</v>
      </c>
    </row>
    <row r="1415" spans="1:6" x14ac:dyDescent="0.25">
      <c r="A1415" t="str">
        <f t="shared" si="22"/>
        <v>1536+37+163WN1003X</v>
      </c>
      <c r="B1415">
        <v>3913</v>
      </c>
      <c r="C1415">
        <v>1536</v>
      </c>
      <c r="D1415">
        <v>37</v>
      </c>
      <c r="E1415" t="s">
        <v>635</v>
      </c>
      <c r="F1415" t="s">
        <v>3443</v>
      </c>
    </row>
    <row r="1416" spans="1:6" x14ac:dyDescent="0.25">
      <c r="A1416" t="str">
        <f t="shared" si="22"/>
        <v>1537+37+163WP0000X</v>
      </c>
      <c r="B1416">
        <v>3914</v>
      </c>
      <c r="C1416">
        <v>1537</v>
      </c>
      <c r="D1416">
        <v>37</v>
      </c>
      <c r="E1416" t="s">
        <v>636</v>
      </c>
      <c r="F1416" t="s">
        <v>3444</v>
      </c>
    </row>
    <row r="1417" spans="1:6" x14ac:dyDescent="0.25">
      <c r="A1417" t="str">
        <f t="shared" si="22"/>
        <v>1538+37+163WP0200X</v>
      </c>
      <c r="B1417">
        <v>3915</v>
      </c>
      <c r="C1417">
        <v>1538</v>
      </c>
      <c r="D1417">
        <v>37</v>
      </c>
      <c r="E1417" t="s">
        <v>637</v>
      </c>
      <c r="F1417" t="s">
        <v>3445</v>
      </c>
    </row>
    <row r="1418" spans="1:6" x14ac:dyDescent="0.25">
      <c r="A1418" t="str">
        <f t="shared" si="22"/>
        <v>1539+37+163WP0218X</v>
      </c>
      <c r="B1418">
        <v>3916</v>
      </c>
      <c r="C1418">
        <v>1539</v>
      </c>
      <c r="D1418">
        <v>37</v>
      </c>
      <c r="E1418" t="s">
        <v>638</v>
      </c>
      <c r="F1418" t="s">
        <v>3446</v>
      </c>
    </row>
    <row r="1419" spans="1:6" x14ac:dyDescent="0.25">
      <c r="A1419" t="str">
        <f t="shared" si="22"/>
        <v>1540+37+163WP0807X</v>
      </c>
      <c r="B1419">
        <v>3917</v>
      </c>
      <c r="C1419">
        <v>1540</v>
      </c>
      <c r="D1419">
        <v>37</v>
      </c>
      <c r="E1419" t="s">
        <v>597</v>
      </c>
      <c r="F1419" t="s">
        <v>3447</v>
      </c>
    </row>
    <row r="1420" spans="1:6" x14ac:dyDescent="0.25">
      <c r="A1420" t="str">
        <f t="shared" si="22"/>
        <v>1541+37+163WP0808X</v>
      </c>
      <c r="B1420">
        <v>3918</v>
      </c>
      <c r="C1420">
        <v>1541</v>
      </c>
      <c r="D1420">
        <v>37</v>
      </c>
      <c r="E1420" t="s">
        <v>470</v>
      </c>
      <c r="F1420" t="s">
        <v>3448</v>
      </c>
    </row>
    <row r="1421" spans="1:6" x14ac:dyDescent="0.25">
      <c r="A1421" t="str">
        <f t="shared" si="22"/>
        <v>1542+37+163WP0809X</v>
      </c>
      <c r="B1421">
        <v>3919</v>
      </c>
      <c r="C1421">
        <v>1542</v>
      </c>
      <c r="D1421">
        <v>37</v>
      </c>
      <c r="E1421" t="s">
        <v>598</v>
      </c>
      <c r="F1421" t="s">
        <v>3449</v>
      </c>
    </row>
    <row r="1422" spans="1:6" x14ac:dyDescent="0.25">
      <c r="A1422" t="str">
        <f t="shared" si="22"/>
        <v>1543+37+163WP1700X</v>
      </c>
      <c r="B1422">
        <v>3920</v>
      </c>
      <c r="C1422">
        <v>1543</v>
      </c>
      <c r="D1422">
        <v>37</v>
      </c>
      <c r="E1422" t="s">
        <v>599</v>
      </c>
      <c r="F1422" t="s">
        <v>3450</v>
      </c>
    </row>
    <row r="1423" spans="1:6" x14ac:dyDescent="0.25">
      <c r="A1423" t="str">
        <f t="shared" si="22"/>
        <v>1544+37+163WP2201X</v>
      </c>
      <c r="B1423">
        <v>3921</v>
      </c>
      <c r="C1423">
        <v>1544</v>
      </c>
      <c r="D1423">
        <v>37</v>
      </c>
      <c r="E1423" t="s">
        <v>639</v>
      </c>
      <c r="F1423" t="s">
        <v>3451</v>
      </c>
    </row>
    <row r="1424" spans="1:6" x14ac:dyDescent="0.25">
      <c r="A1424" t="str">
        <f t="shared" si="22"/>
        <v>1545+37+163WR0400X</v>
      </c>
      <c r="B1424">
        <v>3922</v>
      </c>
      <c r="C1424">
        <v>1545</v>
      </c>
      <c r="D1424">
        <v>37</v>
      </c>
      <c r="E1424" t="s">
        <v>641</v>
      </c>
      <c r="F1424" t="s">
        <v>3452</v>
      </c>
    </row>
    <row r="1425" spans="1:6" x14ac:dyDescent="0.25">
      <c r="A1425" t="str">
        <f t="shared" si="22"/>
        <v>1546+37+163WR1000X</v>
      </c>
      <c r="B1425">
        <v>3923</v>
      </c>
      <c r="C1425">
        <v>1546</v>
      </c>
      <c r="D1425">
        <v>37</v>
      </c>
      <c r="E1425" t="s">
        <v>642</v>
      </c>
      <c r="F1425" t="s">
        <v>3453</v>
      </c>
    </row>
    <row r="1426" spans="1:6" x14ac:dyDescent="0.25">
      <c r="A1426" t="str">
        <f t="shared" si="22"/>
        <v>1547+37+163WS0121X</v>
      </c>
      <c r="B1426">
        <v>3924</v>
      </c>
      <c r="C1426">
        <v>1547</v>
      </c>
      <c r="D1426">
        <v>37</v>
      </c>
      <c r="E1426" t="s">
        <v>644</v>
      </c>
      <c r="F1426" t="s">
        <v>3454</v>
      </c>
    </row>
    <row r="1427" spans="1:6" x14ac:dyDescent="0.25">
      <c r="A1427" t="str">
        <f t="shared" si="22"/>
        <v>1548+37+163WS0200X</v>
      </c>
      <c r="B1427">
        <v>3925</v>
      </c>
      <c r="C1427">
        <v>1548</v>
      </c>
      <c r="D1427">
        <v>37</v>
      </c>
      <c r="E1427" t="s">
        <v>645</v>
      </c>
      <c r="F1427" t="s">
        <v>3455</v>
      </c>
    </row>
    <row r="1428" spans="1:6" x14ac:dyDescent="0.25">
      <c r="A1428" t="str">
        <f t="shared" si="22"/>
        <v>1549+37+163WU0100X</v>
      </c>
      <c r="B1428">
        <v>3926</v>
      </c>
      <c r="C1428">
        <v>1549</v>
      </c>
      <c r="D1428">
        <v>37</v>
      </c>
      <c r="E1428" t="s">
        <v>647</v>
      </c>
      <c r="F1428" t="s">
        <v>3456</v>
      </c>
    </row>
    <row r="1429" spans="1:6" x14ac:dyDescent="0.25">
      <c r="A1429" t="str">
        <f t="shared" si="22"/>
        <v>1550+37+163WW0000X</v>
      </c>
      <c r="B1429">
        <v>3927</v>
      </c>
      <c r="C1429">
        <v>1550</v>
      </c>
      <c r="D1429">
        <v>37</v>
      </c>
      <c r="E1429" t="s">
        <v>648</v>
      </c>
      <c r="F1429" t="s">
        <v>3457</v>
      </c>
    </row>
    <row r="1430" spans="1:6" x14ac:dyDescent="0.25">
      <c r="A1430" t="str">
        <f t="shared" si="22"/>
        <v>1551+37+163WW0101X</v>
      </c>
      <c r="B1430">
        <v>3928</v>
      </c>
      <c r="C1430">
        <v>1551</v>
      </c>
      <c r="D1430">
        <v>37</v>
      </c>
      <c r="E1430" t="s">
        <v>649</v>
      </c>
      <c r="F1430" t="s">
        <v>3458</v>
      </c>
    </row>
    <row r="1431" spans="1:6" x14ac:dyDescent="0.25">
      <c r="A1431" t="str">
        <f t="shared" si="22"/>
        <v>1552+37+163WX0002X</v>
      </c>
      <c r="B1431">
        <v>3929</v>
      </c>
      <c r="C1431">
        <v>1552</v>
      </c>
      <c r="D1431">
        <v>37</v>
      </c>
      <c r="E1431" t="s">
        <v>650</v>
      </c>
      <c r="F1431" t="s">
        <v>3459</v>
      </c>
    </row>
    <row r="1432" spans="1:6" x14ac:dyDescent="0.25">
      <c r="A1432" t="str">
        <f t="shared" si="22"/>
        <v>1553+37+163WX0003X</v>
      </c>
      <c r="B1432">
        <v>3930</v>
      </c>
      <c r="C1432">
        <v>1553</v>
      </c>
      <c r="D1432">
        <v>37</v>
      </c>
      <c r="E1432" t="s">
        <v>651</v>
      </c>
      <c r="F1432" t="s">
        <v>3460</v>
      </c>
    </row>
    <row r="1433" spans="1:6" x14ac:dyDescent="0.25">
      <c r="A1433" t="str">
        <f t="shared" si="22"/>
        <v>1554+37+163WX0106X</v>
      </c>
      <c r="B1433">
        <v>3931</v>
      </c>
      <c r="C1433">
        <v>1554</v>
      </c>
      <c r="D1433">
        <v>37</v>
      </c>
      <c r="E1433" t="s">
        <v>652</v>
      </c>
      <c r="F1433" t="s">
        <v>3461</v>
      </c>
    </row>
    <row r="1434" spans="1:6" x14ac:dyDescent="0.25">
      <c r="A1434" t="str">
        <f t="shared" si="22"/>
        <v>1555+37+163WX0200X</v>
      </c>
      <c r="B1434">
        <v>3932</v>
      </c>
      <c r="C1434">
        <v>1555</v>
      </c>
      <c r="D1434">
        <v>37</v>
      </c>
      <c r="E1434" t="s">
        <v>653</v>
      </c>
      <c r="F1434" t="s">
        <v>3462</v>
      </c>
    </row>
    <row r="1435" spans="1:6" x14ac:dyDescent="0.25">
      <c r="A1435" t="str">
        <f t="shared" si="22"/>
        <v>1556+37+163WX0601X</v>
      </c>
      <c r="B1435">
        <v>3933</v>
      </c>
      <c r="C1435">
        <v>1556</v>
      </c>
      <c r="D1435">
        <v>37</v>
      </c>
      <c r="E1435" t="s">
        <v>654</v>
      </c>
      <c r="F1435" t="s">
        <v>3463</v>
      </c>
    </row>
    <row r="1436" spans="1:6" x14ac:dyDescent="0.25">
      <c r="A1436" t="str">
        <f t="shared" si="22"/>
        <v>1557+37+163WX0800X</v>
      </c>
      <c r="B1436">
        <v>3934</v>
      </c>
      <c r="C1436">
        <v>1557</v>
      </c>
      <c r="D1436">
        <v>37</v>
      </c>
      <c r="E1436" t="s">
        <v>655</v>
      </c>
      <c r="F1436" t="s">
        <v>3464</v>
      </c>
    </row>
    <row r="1437" spans="1:6" x14ac:dyDescent="0.25">
      <c r="A1437" t="str">
        <f t="shared" si="22"/>
        <v>1558+37+163WX1100X</v>
      </c>
      <c r="B1437">
        <v>3935</v>
      </c>
      <c r="C1437">
        <v>1558</v>
      </c>
      <c r="D1437">
        <v>37</v>
      </c>
      <c r="E1437" t="s">
        <v>657</v>
      </c>
      <c r="F1437" t="s">
        <v>3465</v>
      </c>
    </row>
    <row r="1438" spans="1:6" x14ac:dyDescent="0.25">
      <c r="A1438" t="str">
        <f t="shared" si="22"/>
        <v>1559+37+163WX1500X</v>
      </c>
      <c r="B1438">
        <v>3936</v>
      </c>
      <c r="C1438">
        <v>1559</v>
      </c>
      <c r="D1438">
        <v>37</v>
      </c>
      <c r="E1438" t="s">
        <v>658</v>
      </c>
      <c r="F1438" t="s">
        <v>3466</v>
      </c>
    </row>
    <row r="1439" spans="1:6" x14ac:dyDescent="0.25">
      <c r="A1439" t="str">
        <f t="shared" si="22"/>
        <v>1560+37+364S00000X</v>
      </c>
      <c r="B1439">
        <v>3937</v>
      </c>
      <c r="C1439">
        <v>1560</v>
      </c>
      <c r="D1439">
        <v>37</v>
      </c>
      <c r="E1439" t="s">
        <v>371</v>
      </c>
      <c r="F1439" t="s">
        <v>3467</v>
      </c>
    </row>
    <row r="1440" spans="1:6" x14ac:dyDescent="0.25">
      <c r="A1440" t="str">
        <f t="shared" si="22"/>
        <v>1561+37+364SA2100X</v>
      </c>
      <c r="B1440">
        <v>3938</v>
      </c>
      <c r="C1440">
        <v>1561</v>
      </c>
      <c r="D1440">
        <v>37</v>
      </c>
      <c r="E1440" t="s">
        <v>372</v>
      </c>
      <c r="F1440" t="s">
        <v>3468</v>
      </c>
    </row>
    <row r="1441" spans="1:6" x14ac:dyDescent="0.25">
      <c r="A1441" t="str">
        <f t="shared" si="22"/>
        <v>1562+37+364SA2200X</v>
      </c>
      <c r="B1441">
        <v>3939</v>
      </c>
      <c r="C1441">
        <v>1562</v>
      </c>
      <c r="D1441">
        <v>37</v>
      </c>
      <c r="E1441" t="s">
        <v>373</v>
      </c>
      <c r="F1441" t="s">
        <v>3469</v>
      </c>
    </row>
    <row r="1442" spans="1:6" x14ac:dyDescent="0.25">
      <c r="A1442" t="str">
        <f t="shared" si="22"/>
        <v>1563+37+364SC2300X</v>
      </c>
      <c r="B1442">
        <v>3940</v>
      </c>
      <c r="C1442">
        <v>1563</v>
      </c>
      <c r="D1442">
        <v>37</v>
      </c>
      <c r="E1442" t="s">
        <v>378</v>
      </c>
      <c r="F1442" t="s">
        <v>3470</v>
      </c>
    </row>
    <row r="1443" spans="1:6" x14ac:dyDescent="0.25">
      <c r="A1443" t="str">
        <f t="shared" si="22"/>
        <v>1564+37+364SC1501X</v>
      </c>
      <c r="B1443">
        <v>3941</v>
      </c>
      <c r="C1443">
        <v>1564</v>
      </c>
      <c r="D1443">
        <v>37</v>
      </c>
      <c r="E1443" t="s">
        <v>376</v>
      </c>
      <c r="F1443" t="s">
        <v>3471</v>
      </c>
    </row>
    <row r="1444" spans="1:6" x14ac:dyDescent="0.25">
      <c r="A1444" t="str">
        <f t="shared" si="22"/>
        <v>1565+37+364SC0200X</v>
      </c>
      <c r="B1444">
        <v>3942</v>
      </c>
      <c r="C1444">
        <v>1565</v>
      </c>
      <c r="D1444">
        <v>37</v>
      </c>
      <c r="E1444" t="s">
        <v>374</v>
      </c>
      <c r="F1444" t="s">
        <v>3472</v>
      </c>
    </row>
    <row r="1445" spans="1:6" x14ac:dyDescent="0.25">
      <c r="A1445" t="str">
        <f t="shared" si="22"/>
        <v>1566+37+364SE0003X</v>
      </c>
      <c r="B1445">
        <v>3943</v>
      </c>
      <c r="C1445">
        <v>1566</v>
      </c>
      <c r="D1445">
        <v>37</v>
      </c>
      <c r="E1445" t="s">
        <v>380</v>
      </c>
      <c r="F1445" t="s">
        <v>3473</v>
      </c>
    </row>
    <row r="1446" spans="1:6" x14ac:dyDescent="0.25">
      <c r="A1446" t="str">
        <f t="shared" si="22"/>
        <v>1567+37+364SE1400X</v>
      </c>
      <c r="B1446">
        <v>3944</v>
      </c>
      <c r="C1446">
        <v>1567</v>
      </c>
      <c r="D1446">
        <v>37</v>
      </c>
      <c r="E1446" t="s">
        <v>382</v>
      </c>
      <c r="F1446" t="s">
        <v>3474</v>
      </c>
    </row>
    <row r="1447" spans="1:6" x14ac:dyDescent="0.25">
      <c r="A1447" t="str">
        <f t="shared" si="22"/>
        <v>1568+37+364SF0001X</v>
      </c>
      <c r="B1447">
        <v>3945</v>
      </c>
      <c r="C1447">
        <v>1568</v>
      </c>
      <c r="D1447">
        <v>37</v>
      </c>
      <c r="E1447" t="s">
        <v>384</v>
      </c>
      <c r="F1447" t="s">
        <v>3475</v>
      </c>
    </row>
    <row r="1448" spans="1:6" x14ac:dyDescent="0.25">
      <c r="A1448" t="str">
        <f t="shared" si="22"/>
        <v>1569+37+364SG0600X</v>
      </c>
      <c r="B1448">
        <v>3946</v>
      </c>
      <c r="C1448">
        <v>1569</v>
      </c>
      <c r="D1448">
        <v>37</v>
      </c>
      <c r="E1448" t="s">
        <v>385</v>
      </c>
      <c r="F1448" t="s">
        <v>3476</v>
      </c>
    </row>
    <row r="1449" spans="1:6" x14ac:dyDescent="0.25">
      <c r="A1449" t="str">
        <f t="shared" si="22"/>
        <v>1570+37+364SH1100X</v>
      </c>
      <c r="B1449">
        <v>3947</v>
      </c>
      <c r="C1449">
        <v>1570</v>
      </c>
      <c r="D1449">
        <v>37</v>
      </c>
      <c r="E1449" t="s">
        <v>388</v>
      </c>
      <c r="F1449" t="s">
        <v>3477</v>
      </c>
    </row>
    <row r="1450" spans="1:6" x14ac:dyDescent="0.25">
      <c r="A1450" t="str">
        <f t="shared" si="22"/>
        <v>1571+37+364SH0200X</v>
      </c>
      <c r="B1450">
        <v>3948</v>
      </c>
      <c r="C1450">
        <v>1571</v>
      </c>
      <c r="D1450">
        <v>37</v>
      </c>
      <c r="E1450" t="s">
        <v>386</v>
      </c>
      <c r="F1450" t="s">
        <v>3478</v>
      </c>
    </row>
    <row r="1451" spans="1:6" x14ac:dyDescent="0.25">
      <c r="A1451" t="str">
        <f t="shared" si="22"/>
        <v>1572+37+364SI0800X</v>
      </c>
      <c r="B1451">
        <v>3949</v>
      </c>
      <c r="C1451">
        <v>1572</v>
      </c>
      <c r="D1451">
        <v>37</v>
      </c>
      <c r="E1451" t="s">
        <v>390</v>
      </c>
      <c r="F1451" t="s">
        <v>3479</v>
      </c>
    </row>
    <row r="1452" spans="1:6" x14ac:dyDescent="0.25">
      <c r="A1452" t="str">
        <f t="shared" si="22"/>
        <v>1573+37+364SL0600X</v>
      </c>
      <c r="B1452">
        <v>3950</v>
      </c>
      <c r="C1452">
        <v>1573</v>
      </c>
      <c r="D1452">
        <v>37</v>
      </c>
      <c r="E1452" t="s">
        <v>392</v>
      </c>
      <c r="F1452" t="s">
        <v>3480</v>
      </c>
    </row>
    <row r="1453" spans="1:6" x14ac:dyDescent="0.25">
      <c r="A1453" t="str">
        <f t="shared" si="22"/>
        <v>1574+37+364SM0705X</v>
      </c>
      <c r="B1453">
        <v>3951</v>
      </c>
      <c r="C1453">
        <v>1574</v>
      </c>
      <c r="D1453">
        <v>37</v>
      </c>
      <c r="E1453" t="s">
        <v>394</v>
      </c>
      <c r="F1453" t="s">
        <v>3481</v>
      </c>
    </row>
    <row r="1454" spans="1:6" x14ac:dyDescent="0.25">
      <c r="A1454" t="str">
        <f t="shared" si="22"/>
        <v>1575+37+364SN0000X</v>
      </c>
      <c r="B1454">
        <v>3952</v>
      </c>
      <c r="C1454">
        <v>1575</v>
      </c>
      <c r="D1454">
        <v>37</v>
      </c>
      <c r="E1454" t="s">
        <v>395</v>
      </c>
      <c r="F1454" t="s">
        <v>3482</v>
      </c>
    </row>
    <row r="1455" spans="1:6" x14ac:dyDescent="0.25">
      <c r="A1455" t="str">
        <f t="shared" si="22"/>
        <v>1576+37+364SN0800X</v>
      </c>
      <c r="B1455">
        <v>3953</v>
      </c>
      <c r="C1455">
        <v>1576</v>
      </c>
      <c r="D1455">
        <v>37</v>
      </c>
      <c r="E1455" t="s">
        <v>397</v>
      </c>
      <c r="F1455" t="s">
        <v>3483</v>
      </c>
    </row>
    <row r="1456" spans="1:6" x14ac:dyDescent="0.25">
      <c r="A1456" t="str">
        <f t="shared" si="22"/>
        <v>1577+37+364SX0106X</v>
      </c>
      <c r="B1456">
        <v>3954</v>
      </c>
      <c r="C1456">
        <v>1577</v>
      </c>
      <c r="D1456">
        <v>37</v>
      </c>
      <c r="E1456" t="s">
        <v>419</v>
      </c>
      <c r="F1456" t="s">
        <v>3484</v>
      </c>
    </row>
    <row r="1457" spans="1:6" x14ac:dyDescent="0.25">
      <c r="A1457" t="str">
        <f t="shared" si="22"/>
        <v>1578+37+364SX0200X</v>
      </c>
      <c r="B1457">
        <v>3955</v>
      </c>
      <c r="C1457">
        <v>1578</v>
      </c>
      <c r="D1457">
        <v>37</v>
      </c>
      <c r="E1457" t="s">
        <v>420</v>
      </c>
      <c r="F1457" t="s">
        <v>3485</v>
      </c>
    </row>
    <row r="1458" spans="1:6" x14ac:dyDescent="0.25">
      <c r="A1458" t="str">
        <f t="shared" si="22"/>
        <v>1579+37+364SX0204X</v>
      </c>
      <c r="B1458">
        <v>3956</v>
      </c>
      <c r="C1458">
        <v>1579</v>
      </c>
      <c r="D1458">
        <v>37</v>
      </c>
      <c r="E1458" t="s">
        <v>422</v>
      </c>
      <c r="F1458" t="s">
        <v>3486</v>
      </c>
    </row>
    <row r="1459" spans="1:6" x14ac:dyDescent="0.25">
      <c r="A1459" t="str">
        <f t="shared" si="22"/>
        <v>1580+37+364SP0200X</v>
      </c>
      <c r="B1459">
        <v>3957</v>
      </c>
      <c r="C1459">
        <v>1580</v>
      </c>
      <c r="D1459">
        <v>37</v>
      </c>
      <c r="E1459" t="s">
        <v>336</v>
      </c>
      <c r="F1459" t="s">
        <v>3487</v>
      </c>
    </row>
    <row r="1460" spans="1:6" x14ac:dyDescent="0.25">
      <c r="A1460" t="str">
        <f t="shared" si="22"/>
        <v>1581+37+364SP1700X</v>
      </c>
      <c r="B1460">
        <v>3958</v>
      </c>
      <c r="C1460">
        <v>1581</v>
      </c>
      <c r="D1460">
        <v>37</v>
      </c>
      <c r="E1460" t="s">
        <v>411</v>
      </c>
      <c r="F1460" t="s">
        <v>3488</v>
      </c>
    </row>
    <row r="1461" spans="1:6" x14ac:dyDescent="0.25">
      <c r="A1461" t="str">
        <f t="shared" si="22"/>
        <v>1582+37+364SP2800X</v>
      </c>
      <c r="B1461">
        <v>3959</v>
      </c>
      <c r="C1461">
        <v>1582</v>
      </c>
      <c r="D1461">
        <v>37</v>
      </c>
      <c r="E1461" t="s">
        <v>413</v>
      </c>
      <c r="F1461" t="s">
        <v>3489</v>
      </c>
    </row>
    <row r="1462" spans="1:6" x14ac:dyDescent="0.25">
      <c r="A1462" t="str">
        <f t="shared" si="22"/>
        <v>1583+37+364SP0808X</v>
      </c>
      <c r="B1462">
        <v>3960</v>
      </c>
      <c r="C1462">
        <v>1583</v>
      </c>
      <c r="D1462">
        <v>37</v>
      </c>
      <c r="E1462" t="s">
        <v>400</v>
      </c>
      <c r="F1462" t="s">
        <v>3490</v>
      </c>
    </row>
    <row r="1463" spans="1:6" x14ac:dyDescent="0.25">
      <c r="A1463" t="str">
        <f t="shared" si="22"/>
        <v>1584+37+364SP0809X</v>
      </c>
      <c r="B1463">
        <v>3961</v>
      </c>
      <c r="C1463">
        <v>1584</v>
      </c>
      <c r="D1463">
        <v>37</v>
      </c>
      <c r="E1463" t="s">
        <v>402</v>
      </c>
      <c r="F1463" t="s">
        <v>3491</v>
      </c>
    </row>
    <row r="1464" spans="1:6" x14ac:dyDescent="0.25">
      <c r="A1464" t="str">
        <f t="shared" si="22"/>
        <v>1585+37+364SP0807X</v>
      </c>
      <c r="B1464">
        <v>3962</v>
      </c>
      <c r="C1464">
        <v>1585</v>
      </c>
      <c r="D1464">
        <v>37</v>
      </c>
      <c r="E1464" t="s">
        <v>399</v>
      </c>
      <c r="F1464" t="s">
        <v>3492</v>
      </c>
    </row>
    <row r="1465" spans="1:6" x14ac:dyDescent="0.25">
      <c r="A1465" t="str">
        <f t="shared" si="22"/>
        <v>1586+37+364SP0810X</v>
      </c>
      <c r="B1465">
        <v>3963</v>
      </c>
      <c r="C1465">
        <v>1586</v>
      </c>
      <c r="D1465">
        <v>37</v>
      </c>
      <c r="E1465" t="s">
        <v>404</v>
      </c>
      <c r="F1465" t="s">
        <v>3493</v>
      </c>
    </row>
    <row r="1466" spans="1:6" x14ac:dyDescent="0.25">
      <c r="A1466" t="str">
        <f t="shared" si="22"/>
        <v>1587+37+364SP0811X</v>
      </c>
      <c r="B1466">
        <v>3964</v>
      </c>
      <c r="C1466">
        <v>1587</v>
      </c>
      <c r="D1466">
        <v>37</v>
      </c>
      <c r="E1466" t="s">
        <v>406</v>
      </c>
      <c r="F1466" t="s">
        <v>3494</v>
      </c>
    </row>
    <row r="1467" spans="1:6" x14ac:dyDescent="0.25">
      <c r="A1467" t="str">
        <f t="shared" si="22"/>
        <v>1588+37+364SP0812X</v>
      </c>
      <c r="B1467">
        <v>3965</v>
      </c>
      <c r="C1467">
        <v>1588</v>
      </c>
      <c r="D1467">
        <v>37</v>
      </c>
      <c r="E1467" t="s">
        <v>408</v>
      </c>
      <c r="F1467" t="s">
        <v>3495</v>
      </c>
    </row>
    <row r="1468" spans="1:6" x14ac:dyDescent="0.25">
      <c r="A1468" t="str">
        <f t="shared" si="22"/>
        <v>1589+37+364SP0813X</v>
      </c>
      <c r="B1468">
        <v>3966</v>
      </c>
      <c r="C1468">
        <v>1589</v>
      </c>
      <c r="D1468">
        <v>37</v>
      </c>
      <c r="E1468" t="s">
        <v>410</v>
      </c>
      <c r="F1468" t="s">
        <v>3496</v>
      </c>
    </row>
    <row r="1469" spans="1:6" x14ac:dyDescent="0.25">
      <c r="A1469" t="str">
        <f t="shared" si="22"/>
        <v>1590+37+364SR0400X</v>
      </c>
      <c r="B1469">
        <v>3967</v>
      </c>
      <c r="C1469">
        <v>1590</v>
      </c>
      <c r="D1469">
        <v>37</v>
      </c>
      <c r="E1469" t="s">
        <v>414</v>
      </c>
      <c r="F1469" t="s">
        <v>3497</v>
      </c>
    </row>
    <row r="1470" spans="1:6" x14ac:dyDescent="0.25">
      <c r="A1470" t="str">
        <f t="shared" si="22"/>
        <v>1591+37+364ST0500X</v>
      </c>
      <c r="B1470">
        <v>3968</v>
      </c>
      <c r="C1470">
        <v>1591</v>
      </c>
      <c r="D1470">
        <v>37</v>
      </c>
      <c r="E1470" t="s">
        <v>417</v>
      </c>
      <c r="F1470" t="s">
        <v>3498</v>
      </c>
    </row>
    <row r="1471" spans="1:6" x14ac:dyDescent="0.25">
      <c r="A1471" t="str">
        <f t="shared" si="22"/>
        <v>1592+37+364SS0200X</v>
      </c>
      <c r="B1471">
        <v>3969</v>
      </c>
      <c r="C1471">
        <v>1592</v>
      </c>
      <c r="D1471">
        <v>37</v>
      </c>
      <c r="E1471" t="s">
        <v>415</v>
      </c>
      <c r="F1471" t="s">
        <v>3499</v>
      </c>
    </row>
    <row r="1472" spans="1:6" x14ac:dyDescent="0.25">
      <c r="A1472" t="str">
        <f t="shared" si="22"/>
        <v>1593+37+364SW0102X</v>
      </c>
      <c r="B1472">
        <v>3970</v>
      </c>
      <c r="C1472">
        <v>1593</v>
      </c>
      <c r="D1472">
        <v>37</v>
      </c>
      <c r="E1472" t="s">
        <v>418</v>
      </c>
      <c r="F1472" t="s">
        <v>3500</v>
      </c>
    </row>
    <row r="1473" spans="1:6" x14ac:dyDescent="0.25">
      <c r="A1473" t="str">
        <f t="shared" si="22"/>
        <v>1595+46+164W00000X</v>
      </c>
      <c r="B1473">
        <v>3971</v>
      </c>
      <c r="C1473">
        <v>1595</v>
      </c>
      <c r="D1473">
        <v>46</v>
      </c>
      <c r="E1473" t="s">
        <v>600</v>
      </c>
      <c r="F1473" t="s">
        <v>3391</v>
      </c>
    </row>
    <row r="1474" spans="1:6" x14ac:dyDescent="0.25">
      <c r="A1474" t="str">
        <f t="shared" ref="A1474:A1537" si="23">C1474 &amp; "+" &amp; D1474 &amp; "+" &amp; E1474</f>
        <v>1596+46+367A00000X</v>
      </c>
      <c r="B1474">
        <v>3972</v>
      </c>
      <c r="C1474">
        <v>1596</v>
      </c>
      <c r="D1474">
        <v>46</v>
      </c>
      <c r="E1474" t="s">
        <v>428</v>
      </c>
      <c r="F1474" t="s">
        <v>3392</v>
      </c>
    </row>
    <row r="1475" spans="1:6" x14ac:dyDescent="0.25">
      <c r="A1475" t="str">
        <f t="shared" si="23"/>
        <v>1597+46+367500000X</v>
      </c>
      <c r="B1475">
        <v>3973</v>
      </c>
      <c r="C1475">
        <v>1597</v>
      </c>
      <c r="D1475">
        <v>46</v>
      </c>
      <c r="E1475" t="s">
        <v>424</v>
      </c>
      <c r="F1475" t="s">
        <v>3393</v>
      </c>
    </row>
    <row r="1476" spans="1:6" x14ac:dyDescent="0.25">
      <c r="A1476" t="str">
        <f t="shared" si="23"/>
        <v>1598+46+363L00000X</v>
      </c>
      <c r="B1476">
        <v>3974</v>
      </c>
      <c r="C1476">
        <v>1598</v>
      </c>
      <c r="D1476">
        <v>46</v>
      </c>
      <c r="E1476" t="s">
        <v>230</v>
      </c>
      <c r="F1476" t="s">
        <v>3394</v>
      </c>
    </row>
    <row r="1477" spans="1:6" x14ac:dyDescent="0.25">
      <c r="A1477" t="str">
        <f t="shared" si="23"/>
        <v>1599+46+363LA2100X</v>
      </c>
      <c r="B1477">
        <v>3975</v>
      </c>
      <c r="C1477">
        <v>1599</v>
      </c>
      <c r="D1477">
        <v>46</v>
      </c>
      <c r="E1477" t="s">
        <v>344</v>
      </c>
      <c r="F1477" t="s">
        <v>3395</v>
      </c>
    </row>
    <row r="1478" spans="1:6" x14ac:dyDescent="0.25">
      <c r="A1478" t="str">
        <f t="shared" si="23"/>
        <v>1600+46+363LA2200X</v>
      </c>
      <c r="B1478">
        <v>3976</v>
      </c>
      <c r="C1478">
        <v>1600</v>
      </c>
      <c r="D1478">
        <v>46</v>
      </c>
      <c r="E1478" t="s">
        <v>346</v>
      </c>
      <c r="F1478" t="s">
        <v>3396</v>
      </c>
    </row>
    <row r="1479" spans="1:6" x14ac:dyDescent="0.25">
      <c r="A1479" t="str">
        <f t="shared" si="23"/>
        <v>1601+46+363LC0200X</v>
      </c>
      <c r="B1479">
        <v>3977</v>
      </c>
      <c r="C1479">
        <v>1601</v>
      </c>
      <c r="D1479">
        <v>46</v>
      </c>
      <c r="E1479" t="s">
        <v>348</v>
      </c>
      <c r="F1479" t="s">
        <v>3397</v>
      </c>
    </row>
    <row r="1480" spans="1:6" x14ac:dyDescent="0.25">
      <c r="A1480" t="str">
        <f t="shared" si="23"/>
        <v>1602+46+363LC1500X</v>
      </c>
      <c r="B1480">
        <v>3978</v>
      </c>
      <c r="C1480">
        <v>1602</v>
      </c>
      <c r="D1480">
        <v>46</v>
      </c>
      <c r="E1480" t="s">
        <v>349</v>
      </c>
      <c r="F1480" t="s">
        <v>3398</v>
      </c>
    </row>
    <row r="1481" spans="1:6" x14ac:dyDescent="0.25">
      <c r="A1481" t="str">
        <f t="shared" si="23"/>
        <v>1603+46+363LF0000X</v>
      </c>
      <c r="B1481">
        <v>3979</v>
      </c>
      <c r="C1481">
        <v>1603</v>
      </c>
      <c r="D1481">
        <v>46</v>
      </c>
      <c r="E1481" t="s">
        <v>351</v>
      </c>
      <c r="F1481" t="s">
        <v>3399</v>
      </c>
    </row>
    <row r="1482" spans="1:6" x14ac:dyDescent="0.25">
      <c r="A1482" t="str">
        <f t="shared" si="23"/>
        <v>1604+46+363LG0600X</v>
      </c>
      <c r="B1482">
        <v>3980</v>
      </c>
      <c r="C1482">
        <v>1604</v>
      </c>
      <c r="D1482">
        <v>46</v>
      </c>
      <c r="E1482" t="s">
        <v>355</v>
      </c>
      <c r="F1482" t="s">
        <v>3400</v>
      </c>
    </row>
    <row r="1483" spans="1:6" x14ac:dyDescent="0.25">
      <c r="A1483" t="str">
        <f t="shared" si="23"/>
        <v>1605+46+363LN0000X</v>
      </c>
      <c r="B1483">
        <v>3981</v>
      </c>
      <c r="C1483">
        <v>1605</v>
      </c>
      <c r="D1483">
        <v>46</v>
      </c>
      <c r="E1483" t="s">
        <v>357</v>
      </c>
      <c r="F1483" t="s">
        <v>3401</v>
      </c>
    </row>
    <row r="1484" spans="1:6" x14ac:dyDescent="0.25">
      <c r="A1484" t="str">
        <f t="shared" si="23"/>
        <v>1606+46+363LN0005X</v>
      </c>
      <c r="B1484">
        <v>3982</v>
      </c>
      <c r="C1484">
        <v>1606</v>
      </c>
      <c r="D1484">
        <v>46</v>
      </c>
      <c r="E1484" t="s">
        <v>359</v>
      </c>
      <c r="F1484" t="s">
        <v>3402</v>
      </c>
    </row>
    <row r="1485" spans="1:6" x14ac:dyDescent="0.25">
      <c r="A1485" t="str">
        <f t="shared" si="23"/>
        <v>1607+46+363LP0200X</v>
      </c>
      <c r="B1485">
        <v>3983</v>
      </c>
      <c r="C1485">
        <v>1607</v>
      </c>
      <c r="D1485">
        <v>46</v>
      </c>
      <c r="E1485" t="s">
        <v>326</v>
      </c>
      <c r="F1485" t="s">
        <v>3403</v>
      </c>
    </row>
    <row r="1486" spans="1:6" x14ac:dyDescent="0.25">
      <c r="A1486" t="str">
        <f t="shared" si="23"/>
        <v>1608+46+363LP0222X</v>
      </c>
      <c r="B1486">
        <v>3984</v>
      </c>
      <c r="C1486">
        <v>1608</v>
      </c>
      <c r="D1486">
        <v>46</v>
      </c>
      <c r="E1486" t="s">
        <v>330</v>
      </c>
      <c r="F1486" t="s">
        <v>3404</v>
      </c>
    </row>
    <row r="1487" spans="1:6" x14ac:dyDescent="0.25">
      <c r="A1487" t="str">
        <f t="shared" si="23"/>
        <v>1609+46+363LP0808X</v>
      </c>
      <c r="B1487">
        <v>3985</v>
      </c>
      <c r="C1487">
        <v>1609</v>
      </c>
      <c r="D1487">
        <v>46</v>
      </c>
      <c r="E1487" t="s">
        <v>361</v>
      </c>
      <c r="F1487" t="s">
        <v>3405</v>
      </c>
    </row>
    <row r="1488" spans="1:6" x14ac:dyDescent="0.25">
      <c r="A1488" t="str">
        <f t="shared" si="23"/>
        <v>1610+46+363LP1700X</v>
      </c>
      <c r="B1488">
        <v>3986</v>
      </c>
      <c r="C1488">
        <v>1610</v>
      </c>
      <c r="D1488">
        <v>46</v>
      </c>
      <c r="E1488" t="s">
        <v>363</v>
      </c>
      <c r="F1488" t="s">
        <v>3406</v>
      </c>
    </row>
    <row r="1489" spans="1:6" x14ac:dyDescent="0.25">
      <c r="A1489" t="str">
        <f t="shared" si="23"/>
        <v>1611+46+363LP2300X</v>
      </c>
      <c r="B1489">
        <v>3987</v>
      </c>
      <c r="C1489">
        <v>1611</v>
      </c>
      <c r="D1489">
        <v>46</v>
      </c>
      <c r="E1489" t="s">
        <v>364</v>
      </c>
      <c r="F1489" t="s">
        <v>3407</v>
      </c>
    </row>
    <row r="1490" spans="1:6" x14ac:dyDescent="0.25">
      <c r="A1490" t="str">
        <f t="shared" si="23"/>
        <v>1612+46+363LS0200X</v>
      </c>
      <c r="B1490">
        <v>3988</v>
      </c>
      <c r="C1490">
        <v>1612</v>
      </c>
      <c r="D1490">
        <v>46</v>
      </c>
      <c r="E1490" t="s">
        <v>366</v>
      </c>
      <c r="F1490" t="s">
        <v>3408</v>
      </c>
    </row>
    <row r="1491" spans="1:6" x14ac:dyDescent="0.25">
      <c r="A1491" t="str">
        <f t="shared" si="23"/>
        <v>1613+46+363LW0102X</v>
      </c>
      <c r="B1491">
        <v>3989</v>
      </c>
      <c r="C1491">
        <v>1613</v>
      </c>
      <c r="D1491">
        <v>46</v>
      </c>
      <c r="E1491" t="s">
        <v>368</v>
      </c>
      <c r="F1491" t="s">
        <v>3409</v>
      </c>
    </row>
    <row r="1492" spans="1:6" x14ac:dyDescent="0.25">
      <c r="A1492" t="str">
        <f t="shared" si="23"/>
        <v>1614+46+363LX0001X</v>
      </c>
      <c r="B1492">
        <v>3990</v>
      </c>
      <c r="C1492">
        <v>1614</v>
      </c>
      <c r="D1492">
        <v>46</v>
      </c>
      <c r="E1492" t="s">
        <v>332</v>
      </c>
      <c r="F1492" t="s">
        <v>3410</v>
      </c>
    </row>
    <row r="1493" spans="1:6" x14ac:dyDescent="0.25">
      <c r="A1493" t="str">
        <f t="shared" si="23"/>
        <v>1615+46+363LX0106X</v>
      </c>
      <c r="B1493">
        <v>3991</v>
      </c>
      <c r="C1493">
        <v>1615</v>
      </c>
      <c r="D1493">
        <v>46</v>
      </c>
      <c r="E1493" t="s">
        <v>370</v>
      </c>
      <c r="F1493" t="s">
        <v>3411</v>
      </c>
    </row>
    <row r="1494" spans="1:6" x14ac:dyDescent="0.25">
      <c r="A1494" t="str">
        <f t="shared" si="23"/>
        <v>1616+46+163W00000X</v>
      </c>
      <c r="B1494">
        <v>3992</v>
      </c>
      <c r="C1494">
        <v>1616</v>
      </c>
      <c r="D1494">
        <v>46</v>
      </c>
      <c r="E1494" t="s">
        <v>595</v>
      </c>
      <c r="F1494" t="s">
        <v>3412</v>
      </c>
    </row>
    <row r="1495" spans="1:6" x14ac:dyDescent="0.25">
      <c r="A1495" t="str">
        <f t="shared" si="23"/>
        <v>1617+46+163WA0400X</v>
      </c>
      <c r="B1495">
        <v>3993</v>
      </c>
      <c r="C1495">
        <v>1617</v>
      </c>
      <c r="D1495">
        <v>46</v>
      </c>
      <c r="E1495" t="s">
        <v>603</v>
      </c>
      <c r="F1495" t="s">
        <v>3413</v>
      </c>
    </row>
    <row r="1496" spans="1:6" x14ac:dyDescent="0.25">
      <c r="A1496" t="str">
        <f t="shared" si="23"/>
        <v>1618+46+163WA2000X</v>
      </c>
      <c r="B1496">
        <v>3994</v>
      </c>
      <c r="C1496">
        <v>1618</v>
      </c>
      <c r="D1496">
        <v>46</v>
      </c>
      <c r="E1496" t="s">
        <v>604</v>
      </c>
      <c r="F1496" t="s">
        <v>3414</v>
      </c>
    </row>
    <row r="1497" spans="1:6" x14ac:dyDescent="0.25">
      <c r="A1497" t="str">
        <f t="shared" si="23"/>
        <v>1619+46+163WC0200X</v>
      </c>
      <c r="B1497">
        <v>3995</v>
      </c>
      <c r="C1497">
        <v>1619</v>
      </c>
      <c r="D1497">
        <v>46</v>
      </c>
      <c r="E1497" t="s">
        <v>605</v>
      </c>
      <c r="F1497" t="s">
        <v>3415</v>
      </c>
    </row>
    <row r="1498" spans="1:6" x14ac:dyDescent="0.25">
      <c r="A1498" t="str">
        <f t="shared" si="23"/>
        <v>1620+46+163WC0400X</v>
      </c>
      <c r="B1498">
        <v>3996</v>
      </c>
      <c r="C1498">
        <v>1620</v>
      </c>
      <c r="D1498">
        <v>46</v>
      </c>
      <c r="E1498" t="s">
        <v>606</v>
      </c>
      <c r="F1498" t="s">
        <v>3416</v>
      </c>
    </row>
    <row r="1499" spans="1:6" x14ac:dyDescent="0.25">
      <c r="A1499" t="str">
        <f t="shared" si="23"/>
        <v>1621+46+163WC1400X</v>
      </c>
      <c r="B1499">
        <v>3997</v>
      </c>
      <c r="C1499">
        <v>1621</v>
      </c>
      <c r="D1499">
        <v>46</v>
      </c>
      <c r="E1499" t="s">
        <v>607</v>
      </c>
      <c r="F1499" t="s">
        <v>3417</v>
      </c>
    </row>
    <row r="1500" spans="1:6" x14ac:dyDescent="0.25">
      <c r="A1500" t="str">
        <f t="shared" si="23"/>
        <v>1622+46+163WC1500X</v>
      </c>
      <c r="B1500">
        <v>3998</v>
      </c>
      <c r="C1500">
        <v>1622</v>
      </c>
      <c r="D1500">
        <v>46</v>
      </c>
      <c r="E1500" t="s">
        <v>608</v>
      </c>
      <c r="F1500" t="s">
        <v>3418</v>
      </c>
    </row>
    <row r="1501" spans="1:6" x14ac:dyDescent="0.25">
      <c r="A1501" t="str">
        <f t="shared" si="23"/>
        <v>1623+46+163WC1600X</v>
      </c>
      <c r="B1501">
        <v>3999</v>
      </c>
      <c r="C1501">
        <v>1623</v>
      </c>
      <c r="D1501">
        <v>46</v>
      </c>
      <c r="E1501" t="s">
        <v>609</v>
      </c>
      <c r="F1501" t="s">
        <v>3419</v>
      </c>
    </row>
    <row r="1502" spans="1:6" x14ac:dyDescent="0.25">
      <c r="A1502" t="str">
        <f t="shared" si="23"/>
        <v>1624+46+163WC2100X</v>
      </c>
      <c r="B1502">
        <v>4000</v>
      </c>
      <c r="C1502">
        <v>1624</v>
      </c>
      <c r="D1502">
        <v>46</v>
      </c>
      <c r="E1502" t="s">
        <v>610</v>
      </c>
      <c r="F1502" t="s">
        <v>3420</v>
      </c>
    </row>
    <row r="1503" spans="1:6" x14ac:dyDescent="0.25">
      <c r="A1503" t="str">
        <f t="shared" si="23"/>
        <v>1625+46+163WC3500X</v>
      </c>
      <c r="B1503">
        <v>4001</v>
      </c>
      <c r="C1503">
        <v>1625</v>
      </c>
      <c r="D1503">
        <v>46</v>
      </c>
      <c r="E1503" t="s">
        <v>611</v>
      </c>
      <c r="F1503" t="s">
        <v>3421</v>
      </c>
    </row>
    <row r="1504" spans="1:6" x14ac:dyDescent="0.25">
      <c r="A1504" t="str">
        <f t="shared" si="23"/>
        <v>1626+46+163WD0400X</v>
      </c>
      <c r="B1504">
        <v>4002</v>
      </c>
      <c r="C1504">
        <v>1626</v>
      </c>
      <c r="D1504">
        <v>46</v>
      </c>
      <c r="E1504" t="s">
        <v>612</v>
      </c>
      <c r="F1504" t="s">
        <v>3422</v>
      </c>
    </row>
    <row r="1505" spans="1:6" x14ac:dyDescent="0.25">
      <c r="A1505" t="str">
        <f t="shared" si="23"/>
        <v>1627+46+163WD1100X</v>
      </c>
      <c r="B1505">
        <v>4003</v>
      </c>
      <c r="C1505">
        <v>1627</v>
      </c>
      <c r="D1505">
        <v>46</v>
      </c>
      <c r="E1505" t="s">
        <v>613</v>
      </c>
      <c r="F1505" t="s">
        <v>3423</v>
      </c>
    </row>
    <row r="1506" spans="1:6" x14ac:dyDescent="0.25">
      <c r="A1506" t="str">
        <f t="shared" si="23"/>
        <v>1628+46+163WE0003X</v>
      </c>
      <c r="B1506">
        <v>4004</v>
      </c>
      <c r="C1506">
        <v>1628</v>
      </c>
      <c r="D1506">
        <v>46</v>
      </c>
      <c r="E1506" t="s">
        <v>614</v>
      </c>
      <c r="F1506" t="s">
        <v>3424</v>
      </c>
    </row>
    <row r="1507" spans="1:6" x14ac:dyDescent="0.25">
      <c r="A1507" t="str">
        <f t="shared" si="23"/>
        <v>1629+46+163WE0900X</v>
      </c>
      <c r="B1507">
        <v>4005</v>
      </c>
      <c r="C1507">
        <v>1629</v>
      </c>
      <c r="D1507">
        <v>46</v>
      </c>
      <c r="E1507" t="s">
        <v>615</v>
      </c>
      <c r="F1507" t="s">
        <v>3425</v>
      </c>
    </row>
    <row r="1508" spans="1:6" x14ac:dyDescent="0.25">
      <c r="A1508" t="str">
        <f t="shared" si="23"/>
        <v>1630+46+163WF0300X</v>
      </c>
      <c r="B1508">
        <v>4006</v>
      </c>
      <c r="C1508">
        <v>1630</v>
      </c>
      <c r="D1508">
        <v>46</v>
      </c>
      <c r="E1508" t="s">
        <v>616</v>
      </c>
      <c r="F1508" t="s">
        <v>3426</v>
      </c>
    </row>
    <row r="1509" spans="1:6" x14ac:dyDescent="0.25">
      <c r="A1509" t="str">
        <f t="shared" si="23"/>
        <v>1631+46+163WG0000X</v>
      </c>
      <c r="B1509">
        <v>4007</v>
      </c>
      <c r="C1509">
        <v>1631</v>
      </c>
      <c r="D1509">
        <v>46</v>
      </c>
      <c r="E1509" t="s">
        <v>618</v>
      </c>
      <c r="F1509" t="s">
        <v>3427</v>
      </c>
    </row>
    <row r="1510" spans="1:6" x14ac:dyDescent="0.25">
      <c r="A1510" t="str">
        <f t="shared" si="23"/>
        <v>1632+46+163WG0100X</v>
      </c>
      <c r="B1510">
        <v>4008</v>
      </c>
      <c r="C1510">
        <v>1632</v>
      </c>
      <c r="D1510">
        <v>46</v>
      </c>
      <c r="E1510" t="s">
        <v>619</v>
      </c>
      <c r="F1510" t="s">
        <v>3428</v>
      </c>
    </row>
    <row r="1511" spans="1:6" x14ac:dyDescent="0.25">
      <c r="A1511" t="str">
        <f t="shared" si="23"/>
        <v>1633+46+163WG0600X</v>
      </c>
      <c r="B1511">
        <v>4009</v>
      </c>
      <c r="C1511">
        <v>1633</v>
      </c>
      <c r="D1511">
        <v>46</v>
      </c>
      <c r="E1511" t="s">
        <v>620</v>
      </c>
      <c r="F1511" t="s">
        <v>3429</v>
      </c>
    </row>
    <row r="1512" spans="1:6" x14ac:dyDescent="0.25">
      <c r="A1512" t="str">
        <f t="shared" si="23"/>
        <v>1634+46+163WH0200X</v>
      </c>
      <c r="B1512">
        <v>4010</v>
      </c>
      <c r="C1512">
        <v>1634</v>
      </c>
      <c r="D1512">
        <v>46</v>
      </c>
      <c r="E1512" t="s">
        <v>621</v>
      </c>
      <c r="F1512" t="s">
        <v>3430</v>
      </c>
    </row>
    <row r="1513" spans="1:6" x14ac:dyDescent="0.25">
      <c r="A1513" t="str">
        <f t="shared" si="23"/>
        <v>1635+46+163WH0500X</v>
      </c>
      <c r="B1513">
        <v>4011</v>
      </c>
      <c r="C1513">
        <v>1635</v>
      </c>
      <c r="D1513">
        <v>46</v>
      </c>
      <c r="E1513" t="s">
        <v>622</v>
      </c>
      <c r="F1513" t="s">
        <v>3431</v>
      </c>
    </row>
    <row r="1514" spans="1:6" x14ac:dyDescent="0.25">
      <c r="A1514" t="str">
        <f t="shared" si="23"/>
        <v>1636+46+163WH1000X</v>
      </c>
      <c r="B1514">
        <v>4012</v>
      </c>
      <c r="C1514">
        <v>1636</v>
      </c>
      <c r="D1514">
        <v>46</v>
      </c>
      <c r="E1514" t="s">
        <v>623</v>
      </c>
      <c r="F1514" t="s">
        <v>3432</v>
      </c>
    </row>
    <row r="1515" spans="1:6" x14ac:dyDescent="0.25">
      <c r="A1515" t="str">
        <f t="shared" si="23"/>
        <v>1637+46+163WI0500X</v>
      </c>
      <c r="B1515">
        <v>4013</v>
      </c>
      <c r="C1515">
        <v>1637</v>
      </c>
      <c r="D1515">
        <v>46</v>
      </c>
      <c r="E1515" t="s">
        <v>624</v>
      </c>
      <c r="F1515" t="s">
        <v>3433</v>
      </c>
    </row>
    <row r="1516" spans="1:6" x14ac:dyDescent="0.25">
      <c r="A1516" t="str">
        <f t="shared" si="23"/>
        <v>1638+46+163WI0600X</v>
      </c>
      <c r="B1516">
        <v>4014</v>
      </c>
      <c r="C1516">
        <v>1638</v>
      </c>
      <c r="D1516">
        <v>46</v>
      </c>
      <c r="E1516" t="s">
        <v>596</v>
      </c>
      <c r="F1516" t="s">
        <v>3434</v>
      </c>
    </row>
    <row r="1517" spans="1:6" x14ac:dyDescent="0.25">
      <c r="A1517" t="str">
        <f t="shared" si="23"/>
        <v>1639+46+163WL0100X</v>
      </c>
      <c r="B1517">
        <v>4015</v>
      </c>
      <c r="C1517">
        <v>1639</v>
      </c>
      <c r="D1517">
        <v>46</v>
      </c>
      <c r="E1517" t="s">
        <v>625</v>
      </c>
      <c r="F1517" t="s">
        <v>3435</v>
      </c>
    </row>
    <row r="1518" spans="1:6" x14ac:dyDescent="0.25">
      <c r="A1518" t="str">
        <f t="shared" si="23"/>
        <v>1640+46+163WM0102X</v>
      </c>
      <c r="B1518">
        <v>4016</v>
      </c>
      <c r="C1518">
        <v>1640</v>
      </c>
      <c r="D1518">
        <v>46</v>
      </c>
      <c r="E1518" t="s">
        <v>626</v>
      </c>
      <c r="F1518" t="s">
        <v>3436</v>
      </c>
    </row>
    <row r="1519" spans="1:6" x14ac:dyDescent="0.25">
      <c r="A1519" t="str">
        <f t="shared" si="23"/>
        <v>1641+46+163WM0705X</v>
      </c>
      <c r="B1519">
        <v>4017</v>
      </c>
      <c r="C1519">
        <v>1641</v>
      </c>
      <c r="D1519">
        <v>46</v>
      </c>
      <c r="E1519" t="s">
        <v>627</v>
      </c>
      <c r="F1519" t="s">
        <v>3437</v>
      </c>
    </row>
    <row r="1520" spans="1:6" x14ac:dyDescent="0.25">
      <c r="A1520" t="str">
        <f t="shared" si="23"/>
        <v>1642+46+163WM1400X</v>
      </c>
      <c r="B1520">
        <v>4018</v>
      </c>
      <c r="C1520">
        <v>1642</v>
      </c>
      <c r="D1520">
        <v>46</v>
      </c>
      <c r="E1520" t="s">
        <v>628</v>
      </c>
      <c r="F1520" t="s">
        <v>3438</v>
      </c>
    </row>
    <row r="1521" spans="1:6" x14ac:dyDescent="0.25">
      <c r="A1521" t="str">
        <f t="shared" si="23"/>
        <v>1643+46+163WN0002X</v>
      </c>
      <c r="B1521">
        <v>4019</v>
      </c>
      <c r="C1521">
        <v>1643</v>
      </c>
      <c r="D1521">
        <v>46</v>
      </c>
      <c r="E1521" t="s">
        <v>629</v>
      </c>
      <c r="F1521" t="s">
        <v>3439</v>
      </c>
    </row>
    <row r="1522" spans="1:6" x14ac:dyDescent="0.25">
      <c r="A1522" t="str">
        <f t="shared" si="23"/>
        <v>1644+46+163WN0003X</v>
      </c>
      <c r="B1522">
        <v>4020</v>
      </c>
      <c r="C1522">
        <v>1644</v>
      </c>
      <c r="D1522">
        <v>46</v>
      </c>
      <c r="E1522" t="s">
        <v>630</v>
      </c>
      <c r="F1522" t="s">
        <v>3440</v>
      </c>
    </row>
    <row r="1523" spans="1:6" x14ac:dyDescent="0.25">
      <c r="A1523" t="str">
        <f t="shared" si="23"/>
        <v>1645+46+163WN0300X</v>
      </c>
      <c r="B1523">
        <v>4021</v>
      </c>
      <c r="C1523">
        <v>1645</v>
      </c>
      <c r="D1523">
        <v>46</v>
      </c>
      <c r="E1523" t="s">
        <v>632</v>
      </c>
      <c r="F1523" t="s">
        <v>3441</v>
      </c>
    </row>
    <row r="1524" spans="1:6" x14ac:dyDescent="0.25">
      <c r="A1524" t="str">
        <f t="shared" si="23"/>
        <v>1646+46+163WN0800X</v>
      </c>
      <c r="B1524">
        <v>4022</v>
      </c>
      <c r="C1524">
        <v>1646</v>
      </c>
      <c r="D1524">
        <v>46</v>
      </c>
      <c r="E1524" t="s">
        <v>633</v>
      </c>
      <c r="F1524" t="s">
        <v>3442</v>
      </c>
    </row>
    <row r="1525" spans="1:6" x14ac:dyDescent="0.25">
      <c r="A1525" t="str">
        <f t="shared" si="23"/>
        <v>1647+46+163WN1003X</v>
      </c>
      <c r="B1525">
        <v>4023</v>
      </c>
      <c r="C1525">
        <v>1647</v>
      </c>
      <c r="D1525">
        <v>46</v>
      </c>
      <c r="E1525" t="s">
        <v>635</v>
      </c>
      <c r="F1525" t="s">
        <v>3443</v>
      </c>
    </row>
    <row r="1526" spans="1:6" x14ac:dyDescent="0.25">
      <c r="A1526" t="str">
        <f t="shared" si="23"/>
        <v>1648+46+163WP0000X</v>
      </c>
      <c r="B1526">
        <v>4024</v>
      </c>
      <c r="C1526">
        <v>1648</v>
      </c>
      <c r="D1526">
        <v>46</v>
      </c>
      <c r="E1526" t="s">
        <v>636</v>
      </c>
      <c r="F1526" t="s">
        <v>3444</v>
      </c>
    </row>
    <row r="1527" spans="1:6" x14ac:dyDescent="0.25">
      <c r="A1527" t="str">
        <f t="shared" si="23"/>
        <v>1649+46+163WP0200X</v>
      </c>
      <c r="B1527">
        <v>4025</v>
      </c>
      <c r="C1527">
        <v>1649</v>
      </c>
      <c r="D1527">
        <v>46</v>
      </c>
      <c r="E1527" t="s">
        <v>637</v>
      </c>
      <c r="F1527" t="s">
        <v>3445</v>
      </c>
    </row>
    <row r="1528" spans="1:6" x14ac:dyDescent="0.25">
      <c r="A1528" t="str">
        <f t="shared" si="23"/>
        <v>1650+46+163WP0218X</v>
      </c>
      <c r="B1528">
        <v>4026</v>
      </c>
      <c r="C1528">
        <v>1650</v>
      </c>
      <c r="D1528">
        <v>46</v>
      </c>
      <c r="E1528" t="s">
        <v>638</v>
      </c>
      <c r="F1528" t="s">
        <v>3446</v>
      </c>
    </row>
    <row r="1529" spans="1:6" x14ac:dyDescent="0.25">
      <c r="A1529" t="str">
        <f t="shared" si="23"/>
        <v>1651+46+163WP0807X</v>
      </c>
      <c r="B1529">
        <v>4027</v>
      </c>
      <c r="C1529">
        <v>1651</v>
      </c>
      <c r="D1529">
        <v>46</v>
      </c>
      <c r="E1529" t="s">
        <v>597</v>
      </c>
      <c r="F1529" t="s">
        <v>3447</v>
      </c>
    </row>
    <row r="1530" spans="1:6" x14ac:dyDescent="0.25">
      <c r="A1530" t="str">
        <f t="shared" si="23"/>
        <v>1652+46+163WP0808X</v>
      </c>
      <c r="B1530">
        <v>4028</v>
      </c>
      <c r="C1530">
        <v>1652</v>
      </c>
      <c r="D1530">
        <v>46</v>
      </c>
      <c r="E1530" t="s">
        <v>470</v>
      </c>
      <c r="F1530" t="s">
        <v>3448</v>
      </c>
    </row>
    <row r="1531" spans="1:6" x14ac:dyDescent="0.25">
      <c r="A1531" t="str">
        <f t="shared" si="23"/>
        <v>1653+46+163WP0809X</v>
      </c>
      <c r="B1531">
        <v>4029</v>
      </c>
      <c r="C1531">
        <v>1653</v>
      </c>
      <c r="D1531">
        <v>46</v>
      </c>
      <c r="E1531" t="s">
        <v>598</v>
      </c>
      <c r="F1531" t="s">
        <v>3449</v>
      </c>
    </row>
    <row r="1532" spans="1:6" x14ac:dyDescent="0.25">
      <c r="A1532" t="str">
        <f t="shared" si="23"/>
        <v>1654+46+163WP1700X</v>
      </c>
      <c r="B1532">
        <v>4030</v>
      </c>
      <c r="C1532">
        <v>1654</v>
      </c>
      <c r="D1532">
        <v>46</v>
      </c>
      <c r="E1532" t="s">
        <v>599</v>
      </c>
      <c r="F1532" t="s">
        <v>3450</v>
      </c>
    </row>
    <row r="1533" spans="1:6" x14ac:dyDescent="0.25">
      <c r="A1533" t="str">
        <f t="shared" si="23"/>
        <v>1655+46+163WP2201X</v>
      </c>
      <c r="B1533">
        <v>4031</v>
      </c>
      <c r="C1533">
        <v>1655</v>
      </c>
      <c r="D1533">
        <v>46</v>
      </c>
      <c r="E1533" t="s">
        <v>639</v>
      </c>
      <c r="F1533" t="s">
        <v>3451</v>
      </c>
    </row>
    <row r="1534" spans="1:6" x14ac:dyDescent="0.25">
      <c r="A1534" t="str">
        <f t="shared" si="23"/>
        <v>1656+46+163WR0400X</v>
      </c>
      <c r="B1534">
        <v>4032</v>
      </c>
      <c r="C1534">
        <v>1656</v>
      </c>
      <c r="D1534">
        <v>46</v>
      </c>
      <c r="E1534" t="s">
        <v>641</v>
      </c>
      <c r="F1534" t="s">
        <v>3452</v>
      </c>
    </row>
    <row r="1535" spans="1:6" x14ac:dyDescent="0.25">
      <c r="A1535" t="str">
        <f t="shared" si="23"/>
        <v>1657+46+163WR1000X</v>
      </c>
      <c r="B1535">
        <v>4033</v>
      </c>
      <c r="C1535">
        <v>1657</v>
      </c>
      <c r="D1535">
        <v>46</v>
      </c>
      <c r="E1535" t="s">
        <v>642</v>
      </c>
      <c r="F1535" t="s">
        <v>3453</v>
      </c>
    </row>
    <row r="1536" spans="1:6" x14ac:dyDescent="0.25">
      <c r="A1536" t="str">
        <f t="shared" si="23"/>
        <v>1658+46+163WS0121X</v>
      </c>
      <c r="B1536">
        <v>4034</v>
      </c>
      <c r="C1536">
        <v>1658</v>
      </c>
      <c r="D1536">
        <v>46</v>
      </c>
      <c r="E1536" t="s">
        <v>644</v>
      </c>
      <c r="F1536" t="s">
        <v>3454</v>
      </c>
    </row>
    <row r="1537" spans="1:6" x14ac:dyDescent="0.25">
      <c r="A1537" t="str">
        <f t="shared" si="23"/>
        <v>1659+46+163WS0200X</v>
      </c>
      <c r="B1537">
        <v>4035</v>
      </c>
      <c r="C1537">
        <v>1659</v>
      </c>
      <c r="D1537">
        <v>46</v>
      </c>
      <c r="E1537" t="s">
        <v>645</v>
      </c>
      <c r="F1537" t="s">
        <v>3455</v>
      </c>
    </row>
    <row r="1538" spans="1:6" x14ac:dyDescent="0.25">
      <c r="A1538" t="str">
        <f t="shared" ref="A1538:A1601" si="24">C1538 &amp; "+" &amp; D1538 &amp; "+" &amp; E1538</f>
        <v>1660+46+163WU0100X</v>
      </c>
      <c r="B1538">
        <v>4036</v>
      </c>
      <c r="C1538">
        <v>1660</v>
      </c>
      <c r="D1538">
        <v>46</v>
      </c>
      <c r="E1538" t="s">
        <v>647</v>
      </c>
      <c r="F1538" t="s">
        <v>3456</v>
      </c>
    </row>
    <row r="1539" spans="1:6" x14ac:dyDescent="0.25">
      <c r="A1539" t="str">
        <f t="shared" si="24"/>
        <v>1661+46+163WW0000X</v>
      </c>
      <c r="B1539">
        <v>4037</v>
      </c>
      <c r="C1539">
        <v>1661</v>
      </c>
      <c r="D1539">
        <v>46</v>
      </c>
      <c r="E1539" t="s">
        <v>648</v>
      </c>
      <c r="F1539" t="s">
        <v>3457</v>
      </c>
    </row>
    <row r="1540" spans="1:6" x14ac:dyDescent="0.25">
      <c r="A1540" t="str">
        <f t="shared" si="24"/>
        <v>1662+46+163WW0101X</v>
      </c>
      <c r="B1540">
        <v>4038</v>
      </c>
      <c r="C1540">
        <v>1662</v>
      </c>
      <c r="D1540">
        <v>46</v>
      </c>
      <c r="E1540" t="s">
        <v>649</v>
      </c>
      <c r="F1540" t="s">
        <v>3458</v>
      </c>
    </row>
    <row r="1541" spans="1:6" x14ac:dyDescent="0.25">
      <c r="A1541" t="str">
        <f t="shared" si="24"/>
        <v>1663+46+163WX0002X</v>
      </c>
      <c r="B1541">
        <v>4039</v>
      </c>
      <c r="C1541">
        <v>1663</v>
      </c>
      <c r="D1541">
        <v>46</v>
      </c>
      <c r="E1541" t="s">
        <v>650</v>
      </c>
      <c r="F1541" t="s">
        <v>3459</v>
      </c>
    </row>
    <row r="1542" spans="1:6" x14ac:dyDescent="0.25">
      <c r="A1542" t="str">
        <f t="shared" si="24"/>
        <v>1664+46+163WX0003X</v>
      </c>
      <c r="B1542">
        <v>4040</v>
      </c>
      <c r="C1542">
        <v>1664</v>
      </c>
      <c r="D1542">
        <v>46</v>
      </c>
      <c r="E1542" t="s">
        <v>651</v>
      </c>
      <c r="F1542" t="s">
        <v>3460</v>
      </c>
    </row>
    <row r="1543" spans="1:6" x14ac:dyDescent="0.25">
      <c r="A1543" t="str">
        <f t="shared" si="24"/>
        <v>1665+46+163WX0106X</v>
      </c>
      <c r="B1543">
        <v>4041</v>
      </c>
      <c r="C1543">
        <v>1665</v>
      </c>
      <c r="D1543">
        <v>46</v>
      </c>
      <c r="E1543" t="s">
        <v>652</v>
      </c>
      <c r="F1543" t="s">
        <v>3461</v>
      </c>
    </row>
    <row r="1544" spans="1:6" x14ac:dyDescent="0.25">
      <c r="A1544" t="str">
        <f t="shared" si="24"/>
        <v>1666+46+163WX0200X</v>
      </c>
      <c r="B1544">
        <v>4042</v>
      </c>
      <c r="C1544">
        <v>1666</v>
      </c>
      <c r="D1544">
        <v>46</v>
      </c>
      <c r="E1544" t="s">
        <v>653</v>
      </c>
      <c r="F1544" t="s">
        <v>3462</v>
      </c>
    </row>
    <row r="1545" spans="1:6" x14ac:dyDescent="0.25">
      <c r="A1545" t="str">
        <f t="shared" si="24"/>
        <v>1667+46+163WX0601X</v>
      </c>
      <c r="B1545">
        <v>4043</v>
      </c>
      <c r="C1545">
        <v>1667</v>
      </c>
      <c r="D1545">
        <v>46</v>
      </c>
      <c r="E1545" t="s">
        <v>654</v>
      </c>
      <c r="F1545" t="s">
        <v>3463</v>
      </c>
    </row>
    <row r="1546" spans="1:6" x14ac:dyDescent="0.25">
      <c r="A1546" t="str">
        <f t="shared" si="24"/>
        <v>1668+46+163WX0800X</v>
      </c>
      <c r="B1546">
        <v>4044</v>
      </c>
      <c r="C1546">
        <v>1668</v>
      </c>
      <c r="D1546">
        <v>46</v>
      </c>
      <c r="E1546" t="s">
        <v>655</v>
      </c>
      <c r="F1546" t="s">
        <v>3464</v>
      </c>
    </row>
    <row r="1547" spans="1:6" x14ac:dyDescent="0.25">
      <c r="A1547" t="str">
        <f t="shared" si="24"/>
        <v>1669+46+163WX1100X</v>
      </c>
      <c r="B1547">
        <v>4045</v>
      </c>
      <c r="C1547">
        <v>1669</v>
      </c>
      <c r="D1547">
        <v>46</v>
      </c>
      <c r="E1547" t="s">
        <v>657</v>
      </c>
      <c r="F1547" t="s">
        <v>3465</v>
      </c>
    </row>
    <row r="1548" spans="1:6" x14ac:dyDescent="0.25">
      <c r="A1548" t="str">
        <f t="shared" si="24"/>
        <v>1670+46+163WX1500X</v>
      </c>
      <c r="B1548">
        <v>4046</v>
      </c>
      <c r="C1548">
        <v>1670</v>
      </c>
      <c r="D1548">
        <v>46</v>
      </c>
      <c r="E1548" t="s">
        <v>658</v>
      </c>
      <c r="F1548" t="s">
        <v>3466</v>
      </c>
    </row>
    <row r="1549" spans="1:6" x14ac:dyDescent="0.25">
      <c r="A1549" t="str">
        <f t="shared" si="24"/>
        <v>1671+46+364S00000X</v>
      </c>
      <c r="B1549">
        <v>4047</v>
      </c>
      <c r="C1549">
        <v>1671</v>
      </c>
      <c r="D1549">
        <v>46</v>
      </c>
      <c r="E1549" t="s">
        <v>371</v>
      </c>
      <c r="F1549" t="s">
        <v>3467</v>
      </c>
    </row>
    <row r="1550" spans="1:6" x14ac:dyDescent="0.25">
      <c r="A1550" t="str">
        <f t="shared" si="24"/>
        <v>1672+46+364SA2100X</v>
      </c>
      <c r="B1550">
        <v>4048</v>
      </c>
      <c r="C1550">
        <v>1672</v>
      </c>
      <c r="D1550">
        <v>46</v>
      </c>
      <c r="E1550" t="s">
        <v>372</v>
      </c>
      <c r="F1550" t="s">
        <v>3468</v>
      </c>
    </row>
    <row r="1551" spans="1:6" x14ac:dyDescent="0.25">
      <c r="A1551" t="str">
        <f t="shared" si="24"/>
        <v>1673+46+364SA2200X</v>
      </c>
      <c r="B1551">
        <v>4049</v>
      </c>
      <c r="C1551">
        <v>1673</v>
      </c>
      <c r="D1551">
        <v>46</v>
      </c>
      <c r="E1551" t="s">
        <v>373</v>
      </c>
      <c r="F1551" t="s">
        <v>3469</v>
      </c>
    </row>
    <row r="1552" spans="1:6" x14ac:dyDescent="0.25">
      <c r="A1552" t="str">
        <f t="shared" si="24"/>
        <v>1674+46+364SC2300X</v>
      </c>
      <c r="B1552">
        <v>4050</v>
      </c>
      <c r="C1552">
        <v>1674</v>
      </c>
      <c r="D1552">
        <v>46</v>
      </c>
      <c r="E1552" t="s">
        <v>378</v>
      </c>
      <c r="F1552" t="s">
        <v>3470</v>
      </c>
    </row>
    <row r="1553" spans="1:6" x14ac:dyDescent="0.25">
      <c r="A1553" t="str">
        <f t="shared" si="24"/>
        <v>1675+46+364SC1501X</v>
      </c>
      <c r="B1553">
        <v>4051</v>
      </c>
      <c r="C1553">
        <v>1675</v>
      </c>
      <c r="D1553">
        <v>46</v>
      </c>
      <c r="E1553" t="s">
        <v>376</v>
      </c>
      <c r="F1553" t="s">
        <v>3471</v>
      </c>
    </row>
    <row r="1554" spans="1:6" x14ac:dyDescent="0.25">
      <c r="A1554" t="str">
        <f t="shared" si="24"/>
        <v>1676+46+364SC0200X</v>
      </c>
      <c r="B1554">
        <v>4052</v>
      </c>
      <c r="C1554">
        <v>1676</v>
      </c>
      <c r="D1554">
        <v>46</v>
      </c>
      <c r="E1554" t="s">
        <v>374</v>
      </c>
      <c r="F1554" t="s">
        <v>3472</v>
      </c>
    </row>
    <row r="1555" spans="1:6" x14ac:dyDescent="0.25">
      <c r="A1555" t="str">
        <f t="shared" si="24"/>
        <v>1677+46+364SE0003X</v>
      </c>
      <c r="B1555">
        <v>4053</v>
      </c>
      <c r="C1555">
        <v>1677</v>
      </c>
      <c r="D1555">
        <v>46</v>
      </c>
      <c r="E1555" t="s">
        <v>380</v>
      </c>
      <c r="F1555" t="s">
        <v>3473</v>
      </c>
    </row>
    <row r="1556" spans="1:6" x14ac:dyDescent="0.25">
      <c r="A1556" t="str">
        <f t="shared" si="24"/>
        <v>1678+46+364SE1400X</v>
      </c>
      <c r="B1556">
        <v>4054</v>
      </c>
      <c r="C1556">
        <v>1678</v>
      </c>
      <c r="D1556">
        <v>46</v>
      </c>
      <c r="E1556" t="s">
        <v>382</v>
      </c>
      <c r="F1556" t="s">
        <v>3474</v>
      </c>
    </row>
    <row r="1557" spans="1:6" x14ac:dyDescent="0.25">
      <c r="A1557" t="str">
        <f t="shared" si="24"/>
        <v>1679+46+364SF0001X</v>
      </c>
      <c r="B1557">
        <v>4055</v>
      </c>
      <c r="C1557">
        <v>1679</v>
      </c>
      <c r="D1557">
        <v>46</v>
      </c>
      <c r="E1557" t="s">
        <v>384</v>
      </c>
      <c r="F1557" t="s">
        <v>3475</v>
      </c>
    </row>
    <row r="1558" spans="1:6" x14ac:dyDescent="0.25">
      <c r="A1558" t="str">
        <f t="shared" si="24"/>
        <v>1680+46+364SG0600X</v>
      </c>
      <c r="B1558">
        <v>4056</v>
      </c>
      <c r="C1558">
        <v>1680</v>
      </c>
      <c r="D1558">
        <v>46</v>
      </c>
      <c r="E1558" t="s">
        <v>385</v>
      </c>
      <c r="F1558" t="s">
        <v>3476</v>
      </c>
    </row>
    <row r="1559" spans="1:6" x14ac:dyDescent="0.25">
      <c r="A1559" t="str">
        <f t="shared" si="24"/>
        <v>1681+46+364SH1100X</v>
      </c>
      <c r="B1559">
        <v>4057</v>
      </c>
      <c r="C1559">
        <v>1681</v>
      </c>
      <c r="D1559">
        <v>46</v>
      </c>
      <c r="E1559" t="s">
        <v>388</v>
      </c>
      <c r="F1559" t="s">
        <v>3477</v>
      </c>
    </row>
    <row r="1560" spans="1:6" x14ac:dyDescent="0.25">
      <c r="A1560" t="str">
        <f t="shared" si="24"/>
        <v>1682+46+364SH0200X</v>
      </c>
      <c r="B1560">
        <v>4058</v>
      </c>
      <c r="C1560">
        <v>1682</v>
      </c>
      <c r="D1560">
        <v>46</v>
      </c>
      <c r="E1560" t="s">
        <v>386</v>
      </c>
      <c r="F1560" t="s">
        <v>3478</v>
      </c>
    </row>
    <row r="1561" spans="1:6" x14ac:dyDescent="0.25">
      <c r="A1561" t="str">
        <f t="shared" si="24"/>
        <v>1683+46+364SI0800X</v>
      </c>
      <c r="B1561">
        <v>4059</v>
      </c>
      <c r="C1561">
        <v>1683</v>
      </c>
      <c r="D1561">
        <v>46</v>
      </c>
      <c r="E1561" t="s">
        <v>390</v>
      </c>
      <c r="F1561" t="s">
        <v>3479</v>
      </c>
    </row>
    <row r="1562" spans="1:6" x14ac:dyDescent="0.25">
      <c r="A1562" t="str">
        <f t="shared" si="24"/>
        <v>1684+46+364SL0600X</v>
      </c>
      <c r="B1562">
        <v>4060</v>
      </c>
      <c r="C1562">
        <v>1684</v>
      </c>
      <c r="D1562">
        <v>46</v>
      </c>
      <c r="E1562" t="s">
        <v>392</v>
      </c>
      <c r="F1562" t="s">
        <v>3480</v>
      </c>
    </row>
    <row r="1563" spans="1:6" x14ac:dyDescent="0.25">
      <c r="A1563" t="str">
        <f t="shared" si="24"/>
        <v>1685+46+364SM0705X</v>
      </c>
      <c r="B1563">
        <v>4061</v>
      </c>
      <c r="C1563">
        <v>1685</v>
      </c>
      <c r="D1563">
        <v>46</v>
      </c>
      <c r="E1563" t="s">
        <v>394</v>
      </c>
      <c r="F1563" t="s">
        <v>3481</v>
      </c>
    </row>
    <row r="1564" spans="1:6" x14ac:dyDescent="0.25">
      <c r="A1564" t="str">
        <f t="shared" si="24"/>
        <v>1686+46+364SN0000X</v>
      </c>
      <c r="B1564">
        <v>4062</v>
      </c>
      <c r="C1564">
        <v>1686</v>
      </c>
      <c r="D1564">
        <v>46</v>
      </c>
      <c r="E1564" t="s">
        <v>395</v>
      </c>
      <c r="F1564" t="s">
        <v>3482</v>
      </c>
    </row>
    <row r="1565" spans="1:6" x14ac:dyDescent="0.25">
      <c r="A1565" t="str">
        <f t="shared" si="24"/>
        <v>1687+46+364SN0800X</v>
      </c>
      <c r="B1565">
        <v>4063</v>
      </c>
      <c r="C1565">
        <v>1687</v>
      </c>
      <c r="D1565">
        <v>46</v>
      </c>
      <c r="E1565" t="s">
        <v>397</v>
      </c>
      <c r="F1565" t="s">
        <v>3483</v>
      </c>
    </row>
    <row r="1566" spans="1:6" x14ac:dyDescent="0.25">
      <c r="A1566" t="str">
        <f t="shared" si="24"/>
        <v>1688+46+364SX0106X</v>
      </c>
      <c r="B1566">
        <v>4064</v>
      </c>
      <c r="C1566">
        <v>1688</v>
      </c>
      <c r="D1566">
        <v>46</v>
      </c>
      <c r="E1566" t="s">
        <v>419</v>
      </c>
      <c r="F1566" t="s">
        <v>3484</v>
      </c>
    </row>
    <row r="1567" spans="1:6" x14ac:dyDescent="0.25">
      <c r="A1567" t="str">
        <f t="shared" si="24"/>
        <v>1689+46+364SX0200X</v>
      </c>
      <c r="B1567">
        <v>4065</v>
      </c>
      <c r="C1567">
        <v>1689</v>
      </c>
      <c r="D1567">
        <v>46</v>
      </c>
      <c r="E1567" t="s">
        <v>420</v>
      </c>
      <c r="F1567" t="s">
        <v>3485</v>
      </c>
    </row>
    <row r="1568" spans="1:6" x14ac:dyDescent="0.25">
      <c r="A1568" t="str">
        <f t="shared" si="24"/>
        <v>1690+46+364SX0204X</v>
      </c>
      <c r="B1568">
        <v>4066</v>
      </c>
      <c r="C1568">
        <v>1690</v>
      </c>
      <c r="D1568">
        <v>46</v>
      </c>
      <c r="E1568" t="s">
        <v>422</v>
      </c>
      <c r="F1568" t="s">
        <v>3486</v>
      </c>
    </row>
    <row r="1569" spans="1:6" x14ac:dyDescent="0.25">
      <c r="A1569" t="str">
        <f t="shared" si="24"/>
        <v>1691+46+364SP0200X</v>
      </c>
      <c r="B1569">
        <v>4067</v>
      </c>
      <c r="C1569">
        <v>1691</v>
      </c>
      <c r="D1569">
        <v>46</v>
      </c>
      <c r="E1569" t="s">
        <v>336</v>
      </c>
      <c r="F1569" t="s">
        <v>3487</v>
      </c>
    </row>
    <row r="1570" spans="1:6" x14ac:dyDescent="0.25">
      <c r="A1570" t="str">
        <f t="shared" si="24"/>
        <v>1692+46+364SP1700X</v>
      </c>
      <c r="B1570">
        <v>4068</v>
      </c>
      <c r="C1570">
        <v>1692</v>
      </c>
      <c r="D1570">
        <v>46</v>
      </c>
      <c r="E1570" t="s">
        <v>411</v>
      </c>
      <c r="F1570" t="s">
        <v>3488</v>
      </c>
    </row>
    <row r="1571" spans="1:6" x14ac:dyDescent="0.25">
      <c r="A1571" t="str">
        <f t="shared" si="24"/>
        <v>1693+46+364SP2800X</v>
      </c>
      <c r="B1571">
        <v>4069</v>
      </c>
      <c r="C1571">
        <v>1693</v>
      </c>
      <c r="D1571">
        <v>46</v>
      </c>
      <c r="E1571" t="s">
        <v>413</v>
      </c>
      <c r="F1571" t="s">
        <v>3489</v>
      </c>
    </row>
    <row r="1572" spans="1:6" x14ac:dyDescent="0.25">
      <c r="A1572" t="str">
        <f t="shared" si="24"/>
        <v>1694+46+364SP0808X</v>
      </c>
      <c r="B1572">
        <v>4070</v>
      </c>
      <c r="C1572">
        <v>1694</v>
      </c>
      <c r="D1572">
        <v>46</v>
      </c>
      <c r="E1572" t="s">
        <v>400</v>
      </c>
      <c r="F1572" t="s">
        <v>3490</v>
      </c>
    </row>
    <row r="1573" spans="1:6" x14ac:dyDescent="0.25">
      <c r="A1573" t="str">
        <f t="shared" si="24"/>
        <v>1695+46+364SP0809X</v>
      </c>
      <c r="B1573">
        <v>4071</v>
      </c>
      <c r="C1573">
        <v>1695</v>
      </c>
      <c r="D1573">
        <v>46</v>
      </c>
      <c r="E1573" t="s">
        <v>402</v>
      </c>
      <c r="F1573" t="s">
        <v>3491</v>
      </c>
    </row>
    <row r="1574" spans="1:6" x14ac:dyDescent="0.25">
      <c r="A1574" t="str">
        <f t="shared" si="24"/>
        <v>1696+46+364SP0807X</v>
      </c>
      <c r="B1574">
        <v>4072</v>
      </c>
      <c r="C1574">
        <v>1696</v>
      </c>
      <c r="D1574">
        <v>46</v>
      </c>
      <c r="E1574" t="s">
        <v>399</v>
      </c>
      <c r="F1574" t="s">
        <v>3492</v>
      </c>
    </row>
    <row r="1575" spans="1:6" x14ac:dyDescent="0.25">
      <c r="A1575" t="str">
        <f t="shared" si="24"/>
        <v>1697+46+364SP0810X</v>
      </c>
      <c r="B1575">
        <v>4073</v>
      </c>
      <c r="C1575">
        <v>1697</v>
      </c>
      <c r="D1575">
        <v>46</v>
      </c>
      <c r="E1575" t="s">
        <v>404</v>
      </c>
      <c r="F1575" t="s">
        <v>3493</v>
      </c>
    </row>
    <row r="1576" spans="1:6" x14ac:dyDescent="0.25">
      <c r="A1576" t="str">
        <f t="shared" si="24"/>
        <v>1698+46+364SP0811X</v>
      </c>
      <c r="B1576">
        <v>4074</v>
      </c>
      <c r="C1576">
        <v>1698</v>
      </c>
      <c r="D1576">
        <v>46</v>
      </c>
      <c r="E1576" t="s">
        <v>406</v>
      </c>
      <c r="F1576" t="s">
        <v>3494</v>
      </c>
    </row>
    <row r="1577" spans="1:6" x14ac:dyDescent="0.25">
      <c r="A1577" t="str">
        <f t="shared" si="24"/>
        <v>1699+46+364SP0812X</v>
      </c>
      <c r="B1577">
        <v>4075</v>
      </c>
      <c r="C1577">
        <v>1699</v>
      </c>
      <c r="D1577">
        <v>46</v>
      </c>
      <c r="E1577" t="s">
        <v>408</v>
      </c>
      <c r="F1577" t="s">
        <v>3495</v>
      </c>
    </row>
    <row r="1578" spans="1:6" x14ac:dyDescent="0.25">
      <c r="A1578" t="str">
        <f t="shared" si="24"/>
        <v>1700+46+364SP0813X</v>
      </c>
      <c r="B1578">
        <v>4076</v>
      </c>
      <c r="C1578">
        <v>1700</v>
      </c>
      <c r="D1578">
        <v>46</v>
      </c>
      <c r="E1578" t="s">
        <v>410</v>
      </c>
      <c r="F1578" t="s">
        <v>3496</v>
      </c>
    </row>
    <row r="1579" spans="1:6" x14ac:dyDescent="0.25">
      <c r="A1579" t="str">
        <f t="shared" si="24"/>
        <v>1701+46+364SR0400X</v>
      </c>
      <c r="B1579">
        <v>4077</v>
      </c>
      <c r="C1579">
        <v>1701</v>
      </c>
      <c r="D1579">
        <v>46</v>
      </c>
      <c r="E1579" t="s">
        <v>414</v>
      </c>
      <c r="F1579" t="s">
        <v>3497</v>
      </c>
    </row>
    <row r="1580" spans="1:6" x14ac:dyDescent="0.25">
      <c r="A1580" t="str">
        <f t="shared" si="24"/>
        <v>1702+46+364ST0500X</v>
      </c>
      <c r="B1580">
        <v>4078</v>
      </c>
      <c r="C1580">
        <v>1702</v>
      </c>
      <c r="D1580">
        <v>46</v>
      </c>
      <c r="E1580" t="s">
        <v>417</v>
      </c>
      <c r="F1580" t="s">
        <v>3498</v>
      </c>
    </row>
    <row r="1581" spans="1:6" x14ac:dyDescent="0.25">
      <c r="A1581" t="str">
        <f t="shared" si="24"/>
        <v>1703+46+364SS0200X</v>
      </c>
      <c r="B1581">
        <v>4079</v>
      </c>
      <c r="C1581">
        <v>1703</v>
      </c>
      <c r="D1581">
        <v>46</v>
      </c>
      <c r="E1581" t="s">
        <v>415</v>
      </c>
      <c r="F1581" t="s">
        <v>3499</v>
      </c>
    </row>
    <row r="1582" spans="1:6" x14ac:dyDescent="0.25">
      <c r="A1582" t="str">
        <f t="shared" si="24"/>
        <v>1704+46+364SW0102X</v>
      </c>
      <c r="B1582">
        <v>4080</v>
      </c>
      <c r="C1582">
        <v>1704</v>
      </c>
      <c r="D1582">
        <v>46</v>
      </c>
      <c r="E1582" t="s">
        <v>418</v>
      </c>
      <c r="F1582" t="s">
        <v>3500</v>
      </c>
    </row>
    <row r="1583" spans="1:6" x14ac:dyDescent="0.25">
      <c r="A1583" t="str">
        <f t="shared" si="24"/>
        <v>1706+47+164W00000X</v>
      </c>
      <c r="B1583">
        <v>4081</v>
      </c>
      <c r="C1583">
        <v>1706</v>
      </c>
      <c r="D1583">
        <v>47</v>
      </c>
      <c r="E1583" t="s">
        <v>600</v>
      </c>
      <c r="F1583" t="s">
        <v>3391</v>
      </c>
    </row>
    <row r="1584" spans="1:6" x14ac:dyDescent="0.25">
      <c r="A1584" t="str">
        <f t="shared" si="24"/>
        <v>1707+47+367A00000X</v>
      </c>
      <c r="B1584">
        <v>4082</v>
      </c>
      <c r="C1584">
        <v>1707</v>
      </c>
      <c r="D1584">
        <v>47</v>
      </c>
      <c r="E1584" t="s">
        <v>428</v>
      </c>
      <c r="F1584" t="s">
        <v>3392</v>
      </c>
    </row>
    <row r="1585" spans="1:6" x14ac:dyDescent="0.25">
      <c r="A1585" t="str">
        <f t="shared" si="24"/>
        <v>1708+47+367500000X</v>
      </c>
      <c r="B1585">
        <v>4083</v>
      </c>
      <c r="C1585">
        <v>1708</v>
      </c>
      <c r="D1585">
        <v>47</v>
      </c>
      <c r="E1585" t="s">
        <v>424</v>
      </c>
      <c r="F1585" t="s">
        <v>3393</v>
      </c>
    </row>
    <row r="1586" spans="1:6" x14ac:dyDescent="0.25">
      <c r="A1586" t="str">
        <f t="shared" si="24"/>
        <v>1709+47+363L00000X</v>
      </c>
      <c r="B1586">
        <v>4084</v>
      </c>
      <c r="C1586">
        <v>1709</v>
      </c>
      <c r="D1586">
        <v>47</v>
      </c>
      <c r="E1586" t="s">
        <v>230</v>
      </c>
      <c r="F1586" t="s">
        <v>3394</v>
      </c>
    </row>
    <row r="1587" spans="1:6" x14ac:dyDescent="0.25">
      <c r="A1587" t="str">
        <f t="shared" si="24"/>
        <v>1710+47+363LA2100X</v>
      </c>
      <c r="B1587">
        <v>4085</v>
      </c>
      <c r="C1587">
        <v>1710</v>
      </c>
      <c r="D1587">
        <v>47</v>
      </c>
      <c r="E1587" t="s">
        <v>344</v>
      </c>
      <c r="F1587" t="s">
        <v>3395</v>
      </c>
    </row>
    <row r="1588" spans="1:6" x14ac:dyDescent="0.25">
      <c r="A1588" t="str">
        <f t="shared" si="24"/>
        <v>1711+47+363LA2200X</v>
      </c>
      <c r="B1588">
        <v>4086</v>
      </c>
      <c r="C1588">
        <v>1711</v>
      </c>
      <c r="D1588">
        <v>47</v>
      </c>
      <c r="E1588" t="s">
        <v>346</v>
      </c>
      <c r="F1588" t="s">
        <v>3396</v>
      </c>
    </row>
    <row r="1589" spans="1:6" x14ac:dyDescent="0.25">
      <c r="A1589" t="str">
        <f t="shared" si="24"/>
        <v>1712+47+363LC0200X</v>
      </c>
      <c r="B1589">
        <v>4087</v>
      </c>
      <c r="C1589">
        <v>1712</v>
      </c>
      <c r="D1589">
        <v>47</v>
      </c>
      <c r="E1589" t="s">
        <v>348</v>
      </c>
      <c r="F1589" t="s">
        <v>3397</v>
      </c>
    </row>
    <row r="1590" spans="1:6" x14ac:dyDescent="0.25">
      <c r="A1590" t="str">
        <f t="shared" si="24"/>
        <v>1713+47+363LC1500X</v>
      </c>
      <c r="B1590">
        <v>4088</v>
      </c>
      <c r="C1590">
        <v>1713</v>
      </c>
      <c r="D1590">
        <v>47</v>
      </c>
      <c r="E1590" t="s">
        <v>349</v>
      </c>
      <c r="F1590" t="s">
        <v>3398</v>
      </c>
    </row>
    <row r="1591" spans="1:6" x14ac:dyDescent="0.25">
      <c r="A1591" t="str">
        <f t="shared" si="24"/>
        <v>1714+47+363LF0000X</v>
      </c>
      <c r="B1591">
        <v>4089</v>
      </c>
      <c r="C1591">
        <v>1714</v>
      </c>
      <c r="D1591">
        <v>47</v>
      </c>
      <c r="E1591" t="s">
        <v>351</v>
      </c>
      <c r="F1591" t="s">
        <v>3399</v>
      </c>
    </row>
    <row r="1592" spans="1:6" x14ac:dyDescent="0.25">
      <c r="A1592" t="str">
        <f t="shared" si="24"/>
        <v>1715+47+363LG0600X</v>
      </c>
      <c r="B1592">
        <v>4090</v>
      </c>
      <c r="C1592">
        <v>1715</v>
      </c>
      <c r="D1592">
        <v>47</v>
      </c>
      <c r="E1592" t="s">
        <v>355</v>
      </c>
      <c r="F1592" t="s">
        <v>3400</v>
      </c>
    </row>
    <row r="1593" spans="1:6" x14ac:dyDescent="0.25">
      <c r="A1593" t="str">
        <f t="shared" si="24"/>
        <v>1716+47+363LN0000X</v>
      </c>
      <c r="B1593">
        <v>4091</v>
      </c>
      <c r="C1593">
        <v>1716</v>
      </c>
      <c r="D1593">
        <v>47</v>
      </c>
      <c r="E1593" t="s">
        <v>357</v>
      </c>
      <c r="F1593" t="s">
        <v>3401</v>
      </c>
    </row>
    <row r="1594" spans="1:6" x14ac:dyDescent="0.25">
      <c r="A1594" t="str">
        <f t="shared" si="24"/>
        <v>1717+47+363LN0005X</v>
      </c>
      <c r="B1594">
        <v>4092</v>
      </c>
      <c r="C1594">
        <v>1717</v>
      </c>
      <c r="D1594">
        <v>47</v>
      </c>
      <c r="E1594" t="s">
        <v>359</v>
      </c>
      <c r="F1594" t="s">
        <v>3402</v>
      </c>
    </row>
    <row r="1595" spans="1:6" x14ac:dyDescent="0.25">
      <c r="A1595" t="str">
        <f t="shared" si="24"/>
        <v>1718+47+363LP0200X</v>
      </c>
      <c r="B1595">
        <v>4093</v>
      </c>
      <c r="C1595">
        <v>1718</v>
      </c>
      <c r="D1595">
        <v>47</v>
      </c>
      <c r="E1595" t="s">
        <v>326</v>
      </c>
      <c r="F1595" t="s">
        <v>3403</v>
      </c>
    </row>
    <row r="1596" spans="1:6" x14ac:dyDescent="0.25">
      <c r="A1596" t="str">
        <f t="shared" si="24"/>
        <v>1719+47+363LP0222X</v>
      </c>
      <c r="B1596">
        <v>4094</v>
      </c>
      <c r="C1596">
        <v>1719</v>
      </c>
      <c r="D1596">
        <v>47</v>
      </c>
      <c r="E1596" t="s">
        <v>330</v>
      </c>
      <c r="F1596" t="s">
        <v>3404</v>
      </c>
    </row>
    <row r="1597" spans="1:6" x14ac:dyDescent="0.25">
      <c r="A1597" t="str">
        <f t="shared" si="24"/>
        <v>1720+47+363LP0808X</v>
      </c>
      <c r="B1597">
        <v>4095</v>
      </c>
      <c r="C1597">
        <v>1720</v>
      </c>
      <c r="D1597">
        <v>47</v>
      </c>
      <c r="E1597" t="s">
        <v>361</v>
      </c>
      <c r="F1597" t="s">
        <v>3405</v>
      </c>
    </row>
    <row r="1598" spans="1:6" x14ac:dyDescent="0.25">
      <c r="A1598" t="str">
        <f t="shared" si="24"/>
        <v>1721+47+363LP1700X</v>
      </c>
      <c r="B1598">
        <v>4096</v>
      </c>
      <c r="C1598">
        <v>1721</v>
      </c>
      <c r="D1598">
        <v>47</v>
      </c>
      <c r="E1598" t="s">
        <v>363</v>
      </c>
      <c r="F1598" t="s">
        <v>3406</v>
      </c>
    </row>
    <row r="1599" spans="1:6" x14ac:dyDescent="0.25">
      <c r="A1599" t="str">
        <f t="shared" si="24"/>
        <v>1722+47+363LP2300X</v>
      </c>
      <c r="B1599">
        <v>4097</v>
      </c>
      <c r="C1599">
        <v>1722</v>
      </c>
      <c r="D1599">
        <v>47</v>
      </c>
      <c r="E1599" t="s">
        <v>364</v>
      </c>
      <c r="F1599" t="s">
        <v>3407</v>
      </c>
    </row>
    <row r="1600" spans="1:6" x14ac:dyDescent="0.25">
      <c r="A1600" t="str">
        <f t="shared" si="24"/>
        <v>1723+47+363LS0200X</v>
      </c>
      <c r="B1600">
        <v>4098</v>
      </c>
      <c r="C1600">
        <v>1723</v>
      </c>
      <c r="D1600">
        <v>47</v>
      </c>
      <c r="E1600" t="s">
        <v>366</v>
      </c>
      <c r="F1600" t="s">
        <v>3408</v>
      </c>
    </row>
    <row r="1601" spans="1:6" x14ac:dyDescent="0.25">
      <c r="A1601" t="str">
        <f t="shared" si="24"/>
        <v>1724+47+363LW0102X</v>
      </c>
      <c r="B1601">
        <v>4099</v>
      </c>
      <c r="C1601">
        <v>1724</v>
      </c>
      <c r="D1601">
        <v>47</v>
      </c>
      <c r="E1601" t="s">
        <v>368</v>
      </c>
      <c r="F1601" t="s">
        <v>3409</v>
      </c>
    </row>
    <row r="1602" spans="1:6" x14ac:dyDescent="0.25">
      <c r="A1602" t="str">
        <f t="shared" ref="A1602:A1665" si="25">C1602 &amp; "+" &amp; D1602 &amp; "+" &amp; E1602</f>
        <v>1725+47+363LX0001X</v>
      </c>
      <c r="B1602">
        <v>4100</v>
      </c>
      <c r="C1602">
        <v>1725</v>
      </c>
      <c r="D1602">
        <v>47</v>
      </c>
      <c r="E1602" t="s">
        <v>332</v>
      </c>
      <c r="F1602" t="s">
        <v>3410</v>
      </c>
    </row>
    <row r="1603" spans="1:6" x14ac:dyDescent="0.25">
      <c r="A1603" t="str">
        <f t="shared" si="25"/>
        <v>1726+47+363LX0106X</v>
      </c>
      <c r="B1603">
        <v>4101</v>
      </c>
      <c r="C1603">
        <v>1726</v>
      </c>
      <c r="D1603">
        <v>47</v>
      </c>
      <c r="E1603" t="s">
        <v>370</v>
      </c>
      <c r="F1603" t="s">
        <v>3411</v>
      </c>
    </row>
    <row r="1604" spans="1:6" x14ac:dyDescent="0.25">
      <c r="A1604" t="str">
        <f t="shared" si="25"/>
        <v>1727+47+163W00000X</v>
      </c>
      <c r="B1604">
        <v>4102</v>
      </c>
      <c r="C1604">
        <v>1727</v>
      </c>
      <c r="D1604">
        <v>47</v>
      </c>
      <c r="E1604" t="s">
        <v>595</v>
      </c>
      <c r="F1604" t="s">
        <v>3412</v>
      </c>
    </row>
    <row r="1605" spans="1:6" x14ac:dyDescent="0.25">
      <c r="A1605" t="str">
        <f t="shared" si="25"/>
        <v>1728+47+163WA0400X</v>
      </c>
      <c r="B1605">
        <v>4103</v>
      </c>
      <c r="C1605">
        <v>1728</v>
      </c>
      <c r="D1605">
        <v>47</v>
      </c>
      <c r="E1605" t="s">
        <v>603</v>
      </c>
      <c r="F1605" t="s">
        <v>3413</v>
      </c>
    </row>
    <row r="1606" spans="1:6" x14ac:dyDescent="0.25">
      <c r="A1606" t="str">
        <f t="shared" si="25"/>
        <v>1729+47+163WA2000X</v>
      </c>
      <c r="B1606">
        <v>4104</v>
      </c>
      <c r="C1606">
        <v>1729</v>
      </c>
      <c r="D1606">
        <v>47</v>
      </c>
      <c r="E1606" t="s">
        <v>604</v>
      </c>
      <c r="F1606" t="s">
        <v>3414</v>
      </c>
    </row>
    <row r="1607" spans="1:6" x14ac:dyDescent="0.25">
      <c r="A1607" t="str">
        <f t="shared" si="25"/>
        <v>1730+47+163WC0200X</v>
      </c>
      <c r="B1607">
        <v>4105</v>
      </c>
      <c r="C1607">
        <v>1730</v>
      </c>
      <c r="D1607">
        <v>47</v>
      </c>
      <c r="E1607" t="s">
        <v>605</v>
      </c>
      <c r="F1607" t="s">
        <v>3415</v>
      </c>
    </row>
    <row r="1608" spans="1:6" x14ac:dyDescent="0.25">
      <c r="A1608" t="str">
        <f t="shared" si="25"/>
        <v>1731+47+163WC0400X</v>
      </c>
      <c r="B1608">
        <v>4106</v>
      </c>
      <c r="C1608">
        <v>1731</v>
      </c>
      <c r="D1608">
        <v>47</v>
      </c>
      <c r="E1608" t="s">
        <v>606</v>
      </c>
      <c r="F1608" t="s">
        <v>3416</v>
      </c>
    </row>
    <row r="1609" spans="1:6" x14ac:dyDescent="0.25">
      <c r="A1609" t="str">
        <f t="shared" si="25"/>
        <v>1732+47+163WC1400X</v>
      </c>
      <c r="B1609">
        <v>4107</v>
      </c>
      <c r="C1609">
        <v>1732</v>
      </c>
      <c r="D1609">
        <v>47</v>
      </c>
      <c r="E1609" t="s">
        <v>607</v>
      </c>
      <c r="F1609" t="s">
        <v>3417</v>
      </c>
    </row>
    <row r="1610" spans="1:6" x14ac:dyDescent="0.25">
      <c r="A1610" t="str">
        <f t="shared" si="25"/>
        <v>1733+47+163WC1500X</v>
      </c>
      <c r="B1610">
        <v>4108</v>
      </c>
      <c r="C1610">
        <v>1733</v>
      </c>
      <c r="D1610">
        <v>47</v>
      </c>
      <c r="E1610" t="s">
        <v>608</v>
      </c>
      <c r="F1610" t="s">
        <v>3418</v>
      </c>
    </row>
    <row r="1611" spans="1:6" x14ac:dyDescent="0.25">
      <c r="A1611" t="str">
        <f t="shared" si="25"/>
        <v>1734+47+163WC1600X</v>
      </c>
      <c r="B1611">
        <v>4109</v>
      </c>
      <c r="C1611">
        <v>1734</v>
      </c>
      <c r="D1611">
        <v>47</v>
      </c>
      <c r="E1611" t="s">
        <v>609</v>
      </c>
      <c r="F1611" t="s">
        <v>3419</v>
      </c>
    </row>
    <row r="1612" spans="1:6" x14ac:dyDescent="0.25">
      <c r="A1612" t="str">
        <f t="shared" si="25"/>
        <v>1735+47+163WC2100X</v>
      </c>
      <c r="B1612">
        <v>4110</v>
      </c>
      <c r="C1612">
        <v>1735</v>
      </c>
      <c r="D1612">
        <v>47</v>
      </c>
      <c r="E1612" t="s">
        <v>610</v>
      </c>
      <c r="F1612" t="s">
        <v>3420</v>
      </c>
    </row>
    <row r="1613" spans="1:6" x14ac:dyDescent="0.25">
      <c r="A1613" t="str">
        <f t="shared" si="25"/>
        <v>1736+47+163WC3500X</v>
      </c>
      <c r="B1613">
        <v>4111</v>
      </c>
      <c r="C1613">
        <v>1736</v>
      </c>
      <c r="D1613">
        <v>47</v>
      </c>
      <c r="E1613" t="s">
        <v>611</v>
      </c>
      <c r="F1613" t="s">
        <v>3421</v>
      </c>
    </row>
    <row r="1614" spans="1:6" x14ac:dyDescent="0.25">
      <c r="A1614" t="str">
        <f t="shared" si="25"/>
        <v>1737+47+163WD0400X</v>
      </c>
      <c r="B1614">
        <v>4112</v>
      </c>
      <c r="C1614">
        <v>1737</v>
      </c>
      <c r="D1614">
        <v>47</v>
      </c>
      <c r="E1614" t="s">
        <v>612</v>
      </c>
      <c r="F1614" t="s">
        <v>3422</v>
      </c>
    </row>
    <row r="1615" spans="1:6" x14ac:dyDescent="0.25">
      <c r="A1615" t="str">
        <f t="shared" si="25"/>
        <v>1738+47+163WD1100X</v>
      </c>
      <c r="B1615">
        <v>4113</v>
      </c>
      <c r="C1615">
        <v>1738</v>
      </c>
      <c r="D1615">
        <v>47</v>
      </c>
      <c r="E1615" t="s">
        <v>613</v>
      </c>
      <c r="F1615" t="s">
        <v>3423</v>
      </c>
    </row>
    <row r="1616" spans="1:6" x14ac:dyDescent="0.25">
      <c r="A1616" t="str">
        <f t="shared" si="25"/>
        <v>1739+47+163WE0003X</v>
      </c>
      <c r="B1616">
        <v>4114</v>
      </c>
      <c r="C1616">
        <v>1739</v>
      </c>
      <c r="D1616">
        <v>47</v>
      </c>
      <c r="E1616" t="s">
        <v>614</v>
      </c>
      <c r="F1616" t="s">
        <v>3424</v>
      </c>
    </row>
    <row r="1617" spans="1:6" x14ac:dyDescent="0.25">
      <c r="A1617" t="str">
        <f t="shared" si="25"/>
        <v>1740+47+163WE0900X</v>
      </c>
      <c r="B1617">
        <v>4115</v>
      </c>
      <c r="C1617">
        <v>1740</v>
      </c>
      <c r="D1617">
        <v>47</v>
      </c>
      <c r="E1617" t="s">
        <v>615</v>
      </c>
      <c r="F1617" t="s">
        <v>3425</v>
      </c>
    </row>
    <row r="1618" spans="1:6" x14ac:dyDescent="0.25">
      <c r="A1618" t="str">
        <f t="shared" si="25"/>
        <v>1741+47+163WF0300X</v>
      </c>
      <c r="B1618">
        <v>4116</v>
      </c>
      <c r="C1618">
        <v>1741</v>
      </c>
      <c r="D1618">
        <v>47</v>
      </c>
      <c r="E1618" t="s">
        <v>616</v>
      </c>
      <c r="F1618" t="s">
        <v>3426</v>
      </c>
    </row>
    <row r="1619" spans="1:6" x14ac:dyDescent="0.25">
      <c r="A1619" t="str">
        <f t="shared" si="25"/>
        <v>1742+47+163WG0000X</v>
      </c>
      <c r="B1619">
        <v>4117</v>
      </c>
      <c r="C1619">
        <v>1742</v>
      </c>
      <c r="D1619">
        <v>47</v>
      </c>
      <c r="E1619" t="s">
        <v>618</v>
      </c>
      <c r="F1619" t="s">
        <v>3427</v>
      </c>
    </row>
    <row r="1620" spans="1:6" x14ac:dyDescent="0.25">
      <c r="A1620" t="str">
        <f t="shared" si="25"/>
        <v>1743+47+163WG0100X</v>
      </c>
      <c r="B1620">
        <v>4118</v>
      </c>
      <c r="C1620">
        <v>1743</v>
      </c>
      <c r="D1620">
        <v>47</v>
      </c>
      <c r="E1620" t="s">
        <v>619</v>
      </c>
      <c r="F1620" t="s">
        <v>3428</v>
      </c>
    </row>
    <row r="1621" spans="1:6" x14ac:dyDescent="0.25">
      <c r="A1621" t="str">
        <f t="shared" si="25"/>
        <v>1744+47+163WG0600X</v>
      </c>
      <c r="B1621">
        <v>4119</v>
      </c>
      <c r="C1621">
        <v>1744</v>
      </c>
      <c r="D1621">
        <v>47</v>
      </c>
      <c r="E1621" t="s">
        <v>620</v>
      </c>
      <c r="F1621" t="s">
        <v>3429</v>
      </c>
    </row>
    <row r="1622" spans="1:6" x14ac:dyDescent="0.25">
      <c r="A1622" t="str">
        <f t="shared" si="25"/>
        <v>1745+47+163WH0200X</v>
      </c>
      <c r="B1622">
        <v>4120</v>
      </c>
      <c r="C1622">
        <v>1745</v>
      </c>
      <c r="D1622">
        <v>47</v>
      </c>
      <c r="E1622" t="s">
        <v>621</v>
      </c>
      <c r="F1622" t="s">
        <v>3430</v>
      </c>
    </row>
    <row r="1623" spans="1:6" x14ac:dyDescent="0.25">
      <c r="A1623" t="str">
        <f t="shared" si="25"/>
        <v>1746+47+163WH0500X</v>
      </c>
      <c r="B1623">
        <v>4121</v>
      </c>
      <c r="C1623">
        <v>1746</v>
      </c>
      <c r="D1623">
        <v>47</v>
      </c>
      <c r="E1623" t="s">
        <v>622</v>
      </c>
      <c r="F1623" t="s">
        <v>3431</v>
      </c>
    </row>
    <row r="1624" spans="1:6" x14ac:dyDescent="0.25">
      <c r="A1624" t="str">
        <f t="shared" si="25"/>
        <v>1747+47+163WH1000X</v>
      </c>
      <c r="B1624">
        <v>4122</v>
      </c>
      <c r="C1624">
        <v>1747</v>
      </c>
      <c r="D1624">
        <v>47</v>
      </c>
      <c r="E1624" t="s">
        <v>623</v>
      </c>
      <c r="F1624" t="s">
        <v>3432</v>
      </c>
    </row>
    <row r="1625" spans="1:6" x14ac:dyDescent="0.25">
      <c r="A1625" t="str">
        <f t="shared" si="25"/>
        <v>1748+47+163WI0500X</v>
      </c>
      <c r="B1625">
        <v>4123</v>
      </c>
      <c r="C1625">
        <v>1748</v>
      </c>
      <c r="D1625">
        <v>47</v>
      </c>
      <c r="E1625" t="s">
        <v>624</v>
      </c>
      <c r="F1625" t="s">
        <v>3433</v>
      </c>
    </row>
    <row r="1626" spans="1:6" x14ac:dyDescent="0.25">
      <c r="A1626" t="str">
        <f t="shared" si="25"/>
        <v>1749+47+163WI0600X</v>
      </c>
      <c r="B1626">
        <v>4124</v>
      </c>
      <c r="C1626">
        <v>1749</v>
      </c>
      <c r="D1626">
        <v>47</v>
      </c>
      <c r="E1626" t="s">
        <v>596</v>
      </c>
      <c r="F1626" t="s">
        <v>3434</v>
      </c>
    </row>
    <row r="1627" spans="1:6" x14ac:dyDescent="0.25">
      <c r="A1627" t="str">
        <f t="shared" si="25"/>
        <v>1750+47+163WL0100X</v>
      </c>
      <c r="B1627">
        <v>4125</v>
      </c>
      <c r="C1627">
        <v>1750</v>
      </c>
      <c r="D1627">
        <v>47</v>
      </c>
      <c r="E1627" t="s">
        <v>625</v>
      </c>
      <c r="F1627" t="s">
        <v>3435</v>
      </c>
    </row>
    <row r="1628" spans="1:6" x14ac:dyDescent="0.25">
      <c r="A1628" t="str">
        <f t="shared" si="25"/>
        <v>1751+47+163WM0102X</v>
      </c>
      <c r="B1628">
        <v>4126</v>
      </c>
      <c r="C1628">
        <v>1751</v>
      </c>
      <c r="D1628">
        <v>47</v>
      </c>
      <c r="E1628" t="s">
        <v>626</v>
      </c>
      <c r="F1628" t="s">
        <v>3436</v>
      </c>
    </row>
    <row r="1629" spans="1:6" x14ac:dyDescent="0.25">
      <c r="A1629" t="str">
        <f t="shared" si="25"/>
        <v>1752+47+163WM0705X</v>
      </c>
      <c r="B1629">
        <v>4127</v>
      </c>
      <c r="C1629">
        <v>1752</v>
      </c>
      <c r="D1629">
        <v>47</v>
      </c>
      <c r="E1629" t="s">
        <v>627</v>
      </c>
      <c r="F1629" t="s">
        <v>3437</v>
      </c>
    </row>
    <row r="1630" spans="1:6" x14ac:dyDescent="0.25">
      <c r="A1630" t="str">
        <f t="shared" si="25"/>
        <v>1753+47+163WM1400X</v>
      </c>
      <c r="B1630">
        <v>4128</v>
      </c>
      <c r="C1630">
        <v>1753</v>
      </c>
      <c r="D1630">
        <v>47</v>
      </c>
      <c r="E1630" t="s">
        <v>628</v>
      </c>
      <c r="F1630" t="s">
        <v>3438</v>
      </c>
    </row>
    <row r="1631" spans="1:6" x14ac:dyDescent="0.25">
      <c r="A1631" t="str">
        <f t="shared" si="25"/>
        <v>1754+47+163WN0002X</v>
      </c>
      <c r="B1631">
        <v>4129</v>
      </c>
      <c r="C1631">
        <v>1754</v>
      </c>
      <c r="D1631">
        <v>47</v>
      </c>
      <c r="E1631" t="s">
        <v>629</v>
      </c>
      <c r="F1631" t="s">
        <v>3439</v>
      </c>
    </row>
    <row r="1632" spans="1:6" x14ac:dyDescent="0.25">
      <c r="A1632" t="str">
        <f t="shared" si="25"/>
        <v>1755+47+163WN0003X</v>
      </c>
      <c r="B1632">
        <v>4130</v>
      </c>
      <c r="C1632">
        <v>1755</v>
      </c>
      <c r="D1632">
        <v>47</v>
      </c>
      <c r="E1632" t="s">
        <v>630</v>
      </c>
      <c r="F1632" t="s">
        <v>3440</v>
      </c>
    </row>
    <row r="1633" spans="1:6" x14ac:dyDescent="0.25">
      <c r="A1633" t="str">
        <f t="shared" si="25"/>
        <v>1756+47+163WN0300X</v>
      </c>
      <c r="B1633">
        <v>4131</v>
      </c>
      <c r="C1633">
        <v>1756</v>
      </c>
      <c r="D1633">
        <v>47</v>
      </c>
      <c r="E1633" t="s">
        <v>632</v>
      </c>
      <c r="F1633" t="s">
        <v>3441</v>
      </c>
    </row>
    <row r="1634" spans="1:6" x14ac:dyDescent="0.25">
      <c r="A1634" t="str">
        <f t="shared" si="25"/>
        <v>1757+47+163WN0800X</v>
      </c>
      <c r="B1634">
        <v>4132</v>
      </c>
      <c r="C1634">
        <v>1757</v>
      </c>
      <c r="D1634">
        <v>47</v>
      </c>
      <c r="E1634" t="s">
        <v>633</v>
      </c>
      <c r="F1634" t="s">
        <v>3442</v>
      </c>
    </row>
    <row r="1635" spans="1:6" x14ac:dyDescent="0.25">
      <c r="A1635" t="str">
        <f t="shared" si="25"/>
        <v>1758+47+163WN1003X</v>
      </c>
      <c r="B1635">
        <v>4133</v>
      </c>
      <c r="C1635">
        <v>1758</v>
      </c>
      <c r="D1635">
        <v>47</v>
      </c>
      <c r="E1635" t="s">
        <v>635</v>
      </c>
      <c r="F1635" t="s">
        <v>3443</v>
      </c>
    </row>
    <row r="1636" spans="1:6" x14ac:dyDescent="0.25">
      <c r="A1636" t="str">
        <f t="shared" si="25"/>
        <v>1759+47+163WP0000X</v>
      </c>
      <c r="B1636">
        <v>4134</v>
      </c>
      <c r="C1636">
        <v>1759</v>
      </c>
      <c r="D1636">
        <v>47</v>
      </c>
      <c r="E1636" t="s">
        <v>636</v>
      </c>
      <c r="F1636" t="s">
        <v>3444</v>
      </c>
    </row>
    <row r="1637" spans="1:6" x14ac:dyDescent="0.25">
      <c r="A1637" t="str">
        <f t="shared" si="25"/>
        <v>1760+47+163WP0200X</v>
      </c>
      <c r="B1637">
        <v>4135</v>
      </c>
      <c r="C1637">
        <v>1760</v>
      </c>
      <c r="D1637">
        <v>47</v>
      </c>
      <c r="E1637" t="s">
        <v>637</v>
      </c>
      <c r="F1637" t="s">
        <v>3445</v>
      </c>
    </row>
    <row r="1638" spans="1:6" x14ac:dyDescent="0.25">
      <c r="A1638" t="str">
        <f t="shared" si="25"/>
        <v>1761+47+163WP0218X</v>
      </c>
      <c r="B1638">
        <v>4136</v>
      </c>
      <c r="C1638">
        <v>1761</v>
      </c>
      <c r="D1638">
        <v>47</v>
      </c>
      <c r="E1638" t="s">
        <v>638</v>
      </c>
      <c r="F1638" t="s">
        <v>3446</v>
      </c>
    </row>
    <row r="1639" spans="1:6" x14ac:dyDescent="0.25">
      <c r="A1639" t="str">
        <f t="shared" si="25"/>
        <v>1762+47+163WP0807X</v>
      </c>
      <c r="B1639">
        <v>4137</v>
      </c>
      <c r="C1639">
        <v>1762</v>
      </c>
      <c r="D1639">
        <v>47</v>
      </c>
      <c r="E1639" t="s">
        <v>597</v>
      </c>
      <c r="F1639" t="s">
        <v>3447</v>
      </c>
    </row>
    <row r="1640" spans="1:6" x14ac:dyDescent="0.25">
      <c r="A1640" t="str">
        <f t="shared" si="25"/>
        <v>1763+47+163WP0808X</v>
      </c>
      <c r="B1640">
        <v>4138</v>
      </c>
      <c r="C1640">
        <v>1763</v>
      </c>
      <c r="D1640">
        <v>47</v>
      </c>
      <c r="E1640" t="s">
        <v>470</v>
      </c>
      <c r="F1640" t="s">
        <v>3448</v>
      </c>
    </row>
    <row r="1641" spans="1:6" x14ac:dyDescent="0.25">
      <c r="A1641" t="str">
        <f t="shared" si="25"/>
        <v>1764+47+163WP0809X</v>
      </c>
      <c r="B1641">
        <v>4139</v>
      </c>
      <c r="C1641">
        <v>1764</v>
      </c>
      <c r="D1641">
        <v>47</v>
      </c>
      <c r="E1641" t="s">
        <v>598</v>
      </c>
      <c r="F1641" t="s">
        <v>3449</v>
      </c>
    </row>
    <row r="1642" spans="1:6" x14ac:dyDescent="0.25">
      <c r="A1642" t="str">
        <f t="shared" si="25"/>
        <v>1765+47+163WP1700X</v>
      </c>
      <c r="B1642">
        <v>4140</v>
      </c>
      <c r="C1642">
        <v>1765</v>
      </c>
      <c r="D1642">
        <v>47</v>
      </c>
      <c r="E1642" t="s">
        <v>599</v>
      </c>
      <c r="F1642" t="s">
        <v>3450</v>
      </c>
    </row>
    <row r="1643" spans="1:6" x14ac:dyDescent="0.25">
      <c r="A1643" t="str">
        <f t="shared" si="25"/>
        <v>1766+47+163WP2201X</v>
      </c>
      <c r="B1643">
        <v>4141</v>
      </c>
      <c r="C1643">
        <v>1766</v>
      </c>
      <c r="D1643">
        <v>47</v>
      </c>
      <c r="E1643" t="s">
        <v>639</v>
      </c>
      <c r="F1643" t="s">
        <v>3451</v>
      </c>
    </row>
    <row r="1644" spans="1:6" x14ac:dyDescent="0.25">
      <c r="A1644" t="str">
        <f t="shared" si="25"/>
        <v>1767+47+163WR0400X</v>
      </c>
      <c r="B1644">
        <v>4142</v>
      </c>
      <c r="C1644">
        <v>1767</v>
      </c>
      <c r="D1644">
        <v>47</v>
      </c>
      <c r="E1644" t="s">
        <v>641</v>
      </c>
      <c r="F1644" t="s">
        <v>3452</v>
      </c>
    </row>
    <row r="1645" spans="1:6" x14ac:dyDescent="0.25">
      <c r="A1645" t="str">
        <f t="shared" si="25"/>
        <v>1768+47+163WR1000X</v>
      </c>
      <c r="B1645">
        <v>4143</v>
      </c>
      <c r="C1645">
        <v>1768</v>
      </c>
      <c r="D1645">
        <v>47</v>
      </c>
      <c r="E1645" t="s">
        <v>642</v>
      </c>
      <c r="F1645" t="s">
        <v>3453</v>
      </c>
    </row>
    <row r="1646" spans="1:6" x14ac:dyDescent="0.25">
      <c r="A1646" t="str">
        <f t="shared" si="25"/>
        <v>1769+47+163WS0121X</v>
      </c>
      <c r="B1646">
        <v>4144</v>
      </c>
      <c r="C1646">
        <v>1769</v>
      </c>
      <c r="D1646">
        <v>47</v>
      </c>
      <c r="E1646" t="s">
        <v>644</v>
      </c>
      <c r="F1646" t="s">
        <v>3454</v>
      </c>
    </row>
    <row r="1647" spans="1:6" x14ac:dyDescent="0.25">
      <c r="A1647" t="str">
        <f t="shared" si="25"/>
        <v>1770+47+163WS0200X</v>
      </c>
      <c r="B1647">
        <v>4145</v>
      </c>
      <c r="C1647">
        <v>1770</v>
      </c>
      <c r="D1647">
        <v>47</v>
      </c>
      <c r="E1647" t="s">
        <v>645</v>
      </c>
      <c r="F1647" t="s">
        <v>3455</v>
      </c>
    </row>
    <row r="1648" spans="1:6" x14ac:dyDescent="0.25">
      <c r="A1648" t="str">
        <f t="shared" si="25"/>
        <v>1771+47+163WU0100X</v>
      </c>
      <c r="B1648">
        <v>4146</v>
      </c>
      <c r="C1648">
        <v>1771</v>
      </c>
      <c r="D1648">
        <v>47</v>
      </c>
      <c r="E1648" t="s">
        <v>647</v>
      </c>
      <c r="F1648" t="s">
        <v>3456</v>
      </c>
    </row>
    <row r="1649" spans="1:6" x14ac:dyDescent="0.25">
      <c r="A1649" t="str">
        <f t="shared" si="25"/>
        <v>1772+47+163WW0000X</v>
      </c>
      <c r="B1649">
        <v>4147</v>
      </c>
      <c r="C1649">
        <v>1772</v>
      </c>
      <c r="D1649">
        <v>47</v>
      </c>
      <c r="E1649" t="s">
        <v>648</v>
      </c>
      <c r="F1649" t="s">
        <v>3457</v>
      </c>
    </row>
    <row r="1650" spans="1:6" x14ac:dyDescent="0.25">
      <c r="A1650" t="str">
        <f t="shared" si="25"/>
        <v>1773+47+163WW0101X</v>
      </c>
      <c r="B1650">
        <v>4148</v>
      </c>
      <c r="C1650">
        <v>1773</v>
      </c>
      <c r="D1650">
        <v>47</v>
      </c>
      <c r="E1650" t="s">
        <v>649</v>
      </c>
      <c r="F1650" t="s">
        <v>3458</v>
      </c>
    </row>
    <row r="1651" spans="1:6" x14ac:dyDescent="0.25">
      <c r="A1651" t="str">
        <f t="shared" si="25"/>
        <v>1774+47+163WX0002X</v>
      </c>
      <c r="B1651">
        <v>4149</v>
      </c>
      <c r="C1651">
        <v>1774</v>
      </c>
      <c r="D1651">
        <v>47</v>
      </c>
      <c r="E1651" t="s">
        <v>650</v>
      </c>
      <c r="F1651" t="s">
        <v>3459</v>
      </c>
    </row>
    <row r="1652" spans="1:6" x14ac:dyDescent="0.25">
      <c r="A1652" t="str">
        <f t="shared" si="25"/>
        <v>1775+47+163WX0003X</v>
      </c>
      <c r="B1652">
        <v>4150</v>
      </c>
      <c r="C1652">
        <v>1775</v>
      </c>
      <c r="D1652">
        <v>47</v>
      </c>
      <c r="E1652" t="s">
        <v>651</v>
      </c>
      <c r="F1652" t="s">
        <v>3460</v>
      </c>
    </row>
    <row r="1653" spans="1:6" x14ac:dyDescent="0.25">
      <c r="A1653" t="str">
        <f t="shared" si="25"/>
        <v>1776+47+163WX0106X</v>
      </c>
      <c r="B1653">
        <v>4151</v>
      </c>
      <c r="C1653">
        <v>1776</v>
      </c>
      <c r="D1653">
        <v>47</v>
      </c>
      <c r="E1653" t="s">
        <v>652</v>
      </c>
      <c r="F1653" t="s">
        <v>3461</v>
      </c>
    </row>
    <row r="1654" spans="1:6" x14ac:dyDescent="0.25">
      <c r="A1654" t="str">
        <f t="shared" si="25"/>
        <v>1777+47+163WX0200X</v>
      </c>
      <c r="B1654">
        <v>4152</v>
      </c>
      <c r="C1654">
        <v>1777</v>
      </c>
      <c r="D1654">
        <v>47</v>
      </c>
      <c r="E1654" t="s">
        <v>653</v>
      </c>
      <c r="F1654" t="s">
        <v>3462</v>
      </c>
    </row>
    <row r="1655" spans="1:6" x14ac:dyDescent="0.25">
      <c r="A1655" t="str">
        <f t="shared" si="25"/>
        <v>1778+47+163WX0601X</v>
      </c>
      <c r="B1655">
        <v>4153</v>
      </c>
      <c r="C1655">
        <v>1778</v>
      </c>
      <c r="D1655">
        <v>47</v>
      </c>
      <c r="E1655" t="s">
        <v>654</v>
      </c>
      <c r="F1655" t="s">
        <v>3463</v>
      </c>
    </row>
    <row r="1656" spans="1:6" x14ac:dyDescent="0.25">
      <c r="A1656" t="str">
        <f t="shared" si="25"/>
        <v>1779+47+163WX0800X</v>
      </c>
      <c r="B1656">
        <v>4154</v>
      </c>
      <c r="C1656">
        <v>1779</v>
      </c>
      <c r="D1656">
        <v>47</v>
      </c>
      <c r="E1656" t="s">
        <v>655</v>
      </c>
      <c r="F1656" t="s">
        <v>3464</v>
      </c>
    </row>
    <row r="1657" spans="1:6" x14ac:dyDescent="0.25">
      <c r="A1657" t="str">
        <f t="shared" si="25"/>
        <v>1780+47+163WX1100X</v>
      </c>
      <c r="B1657">
        <v>4155</v>
      </c>
      <c r="C1657">
        <v>1780</v>
      </c>
      <c r="D1657">
        <v>47</v>
      </c>
      <c r="E1657" t="s">
        <v>657</v>
      </c>
      <c r="F1657" t="s">
        <v>3465</v>
      </c>
    </row>
    <row r="1658" spans="1:6" x14ac:dyDescent="0.25">
      <c r="A1658" t="str">
        <f t="shared" si="25"/>
        <v>1781+47+163WX1500X</v>
      </c>
      <c r="B1658">
        <v>4156</v>
      </c>
      <c r="C1658">
        <v>1781</v>
      </c>
      <c r="D1658">
        <v>47</v>
      </c>
      <c r="E1658" t="s">
        <v>658</v>
      </c>
      <c r="F1658" t="s">
        <v>3466</v>
      </c>
    </row>
    <row r="1659" spans="1:6" x14ac:dyDescent="0.25">
      <c r="A1659" t="str">
        <f t="shared" si="25"/>
        <v>1782+47+364S00000X</v>
      </c>
      <c r="B1659">
        <v>4157</v>
      </c>
      <c r="C1659">
        <v>1782</v>
      </c>
      <c r="D1659">
        <v>47</v>
      </c>
      <c r="E1659" t="s">
        <v>371</v>
      </c>
      <c r="F1659" t="s">
        <v>3467</v>
      </c>
    </row>
    <row r="1660" spans="1:6" x14ac:dyDescent="0.25">
      <c r="A1660" t="str">
        <f t="shared" si="25"/>
        <v>1783+47+364SA2100X</v>
      </c>
      <c r="B1660">
        <v>4158</v>
      </c>
      <c r="C1660">
        <v>1783</v>
      </c>
      <c r="D1660">
        <v>47</v>
      </c>
      <c r="E1660" t="s">
        <v>372</v>
      </c>
      <c r="F1660" t="s">
        <v>3468</v>
      </c>
    </row>
    <row r="1661" spans="1:6" x14ac:dyDescent="0.25">
      <c r="A1661" t="str">
        <f t="shared" si="25"/>
        <v>1784+47+364SA2200X</v>
      </c>
      <c r="B1661">
        <v>4159</v>
      </c>
      <c r="C1661">
        <v>1784</v>
      </c>
      <c r="D1661">
        <v>47</v>
      </c>
      <c r="E1661" t="s">
        <v>373</v>
      </c>
      <c r="F1661" t="s">
        <v>3469</v>
      </c>
    </row>
    <row r="1662" spans="1:6" x14ac:dyDescent="0.25">
      <c r="A1662" t="str">
        <f t="shared" si="25"/>
        <v>1785+47+364SC2300X</v>
      </c>
      <c r="B1662">
        <v>4160</v>
      </c>
      <c r="C1662">
        <v>1785</v>
      </c>
      <c r="D1662">
        <v>47</v>
      </c>
      <c r="E1662" t="s">
        <v>378</v>
      </c>
      <c r="F1662" t="s">
        <v>3470</v>
      </c>
    </row>
    <row r="1663" spans="1:6" x14ac:dyDescent="0.25">
      <c r="A1663" t="str">
        <f t="shared" si="25"/>
        <v>1786+47+364SC1501X</v>
      </c>
      <c r="B1663">
        <v>4161</v>
      </c>
      <c r="C1663">
        <v>1786</v>
      </c>
      <c r="D1663">
        <v>47</v>
      </c>
      <c r="E1663" t="s">
        <v>376</v>
      </c>
      <c r="F1663" t="s">
        <v>3471</v>
      </c>
    </row>
    <row r="1664" spans="1:6" x14ac:dyDescent="0.25">
      <c r="A1664" t="str">
        <f t="shared" si="25"/>
        <v>1787+47+364SC0200X</v>
      </c>
      <c r="B1664">
        <v>4162</v>
      </c>
      <c r="C1664">
        <v>1787</v>
      </c>
      <c r="D1664">
        <v>47</v>
      </c>
      <c r="E1664" t="s">
        <v>374</v>
      </c>
      <c r="F1664" t="s">
        <v>3472</v>
      </c>
    </row>
    <row r="1665" spans="1:6" x14ac:dyDescent="0.25">
      <c r="A1665" t="str">
        <f t="shared" si="25"/>
        <v>1788+47+364SE0003X</v>
      </c>
      <c r="B1665">
        <v>4163</v>
      </c>
      <c r="C1665">
        <v>1788</v>
      </c>
      <c r="D1665">
        <v>47</v>
      </c>
      <c r="E1665" t="s">
        <v>380</v>
      </c>
      <c r="F1665" t="s">
        <v>3473</v>
      </c>
    </row>
    <row r="1666" spans="1:6" x14ac:dyDescent="0.25">
      <c r="A1666" t="str">
        <f t="shared" ref="A1666:A1729" si="26">C1666 &amp; "+" &amp; D1666 &amp; "+" &amp; E1666</f>
        <v>1789+47+364SE1400X</v>
      </c>
      <c r="B1666">
        <v>4164</v>
      </c>
      <c r="C1666">
        <v>1789</v>
      </c>
      <c r="D1666">
        <v>47</v>
      </c>
      <c r="E1666" t="s">
        <v>382</v>
      </c>
      <c r="F1666" t="s">
        <v>3474</v>
      </c>
    </row>
    <row r="1667" spans="1:6" x14ac:dyDescent="0.25">
      <c r="A1667" t="str">
        <f t="shared" si="26"/>
        <v>1790+47+364SF0001X</v>
      </c>
      <c r="B1667">
        <v>4165</v>
      </c>
      <c r="C1667">
        <v>1790</v>
      </c>
      <c r="D1667">
        <v>47</v>
      </c>
      <c r="E1667" t="s">
        <v>384</v>
      </c>
      <c r="F1667" t="s">
        <v>3475</v>
      </c>
    </row>
    <row r="1668" spans="1:6" x14ac:dyDescent="0.25">
      <c r="A1668" t="str">
        <f t="shared" si="26"/>
        <v>1791+47+364SG0600X</v>
      </c>
      <c r="B1668">
        <v>4166</v>
      </c>
      <c r="C1668">
        <v>1791</v>
      </c>
      <c r="D1668">
        <v>47</v>
      </c>
      <c r="E1668" t="s">
        <v>385</v>
      </c>
      <c r="F1668" t="s">
        <v>3476</v>
      </c>
    </row>
    <row r="1669" spans="1:6" x14ac:dyDescent="0.25">
      <c r="A1669" t="str">
        <f t="shared" si="26"/>
        <v>1792+47+364SH1100X</v>
      </c>
      <c r="B1669">
        <v>4167</v>
      </c>
      <c r="C1669">
        <v>1792</v>
      </c>
      <c r="D1669">
        <v>47</v>
      </c>
      <c r="E1669" t="s">
        <v>388</v>
      </c>
      <c r="F1669" t="s">
        <v>3477</v>
      </c>
    </row>
    <row r="1670" spans="1:6" x14ac:dyDescent="0.25">
      <c r="A1670" t="str">
        <f t="shared" si="26"/>
        <v>1793+47+364SH0200X</v>
      </c>
      <c r="B1670">
        <v>4168</v>
      </c>
      <c r="C1670">
        <v>1793</v>
      </c>
      <c r="D1670">
        <v>47</v>
      </c>
      <c r="E1670" t="s">
        <v>386</v>
      </c>
      <c r="F1670" t="s">
        <v>3478</v>
      </c>
    </row>
    <row r="1671" spans="1:6" x14ac:dyDescent="0.25">
      <c r="A1671" t="str">
        <f t="shared" si="26"/>
        <v>1794+47+364SI0800X</v>
      </c>
      <c r="B1671">
        <v>4169</v>
      </c>
      <c r="C1671">
        <v>1794</v>
      </c>
      <c r="D1671">
        <v>47</v>
      </c>
      <c r="E1671" t="s">
        <v>390</v>
      </c>
      <c r="F1671" t="s">
        <v>3479</v>
      </c>
    </row>
    <row r="1672" spans="1:6" x14ac:dyDescent="0.25">
      <c r="A1672" t="str">
        <f t="shared" si="26"/>
        <v>1795+47+364SL0600X</v>
      </c>
      <c r="B1672">
        <v>4170</v>
      </c>
      <c r="C1672">
        <v>1795</v>
      </c>
      <c r="D1672">
        <v>47</v>
      </c>
      <c r="E1672" t="s">
        <v>392</v>
      </c>
      <c r="F1672" t="s">
        <v>3480</v>
      </c>
    </row>
    <row r="1673" spans="1:6" x14ac:dyDescent="0.25">
      <c r="A1673" t="str">
        <f t="shared" si="26"/>
        <v>1796+47+364SM0705X</v>
      </c>
      <c r="B1673">
        <v>4171</v>
      </c>
      <c r="C1673">
        <v>1796</v>
      </c>
      <c r="D1673">
        <v>47</v>
      </c>
      <c r="E1673" t="s">
        <v>394</v>
      </c>
      <c r="F1673" t="s">
        <v>3481</v>
      </c>
    </row>
    <row r="1674" spans="1:6" x14ac:dyDescent="0.25">
      <c r="A1674" t="str">
        <f t="shared" si="26"/>
        <v>1797+47+364SN0000X</v>
      </c>
      <c r="B1674">
        <v>4172</v>
      </c>
      <c r="C1674">
        <v>1797</v>
      </c>
      <c r="D1674">
        <v>47</v>
      </c>
      <c r="E1674" t="s">
        <v>395</v>
      </c>
      <c r="F1674" t="s">
        <v>3482</v>
      </c>
    </row>
    <row r="1675" spans="1:6" x14ac:dyDescent="0.25">
      <c r="A1675" t="str">
        <f t="shared" si="26"/>
        <v>1798+47+364SN0800X</v>
      </c>
      <c r="B1675">
        <v>4173</v>
      </c>
      <c r="C1675">
        <v>1798</v>
      </c>
      <c r="D1675">
        <v>47</v>
      </c>
      <c r="E1675" t="s">
        <v>397</v>
      </c>
      <c r="F1675" t="s">
        <v>3483</v>
      </c>
    </row>
    <row r="1676" spans="1:6" x14ac:dyDescent="0.25">
      <c r="A1676" t="str">
        <f t="shared" si="26"/>
        <v>1799+47+364SX0106X</v>
      </c>
      <c r="B1676">
        <v>4174</v>
      </c>
      <c r="C1676">
        <v>1799</v>
      </c>
      <c r="D1676">
        <v>47</v>
      </c>
      <c r="E1676" t="s">
        <v>419</v>
      </c>
      <c r="F1676" t="s">
        <v>3484</v>
      </c>
    </row>
    <row r="1677" spans="1:6" x14ac:dyDescent="0.25">
      <c r="A1677" t="str">
        <f t="shared" si="26"/>
        <v>1800+47+364SX0200X</v>
      </c>
      <c r="B1677">
        <v>4175</v>
      </c>
      <c r="C1677">
        <v>1800</v>
      </c>
      <c r="D1677">
        <v>47</v>
      </c>
      <c r="E1677" t="s">
        <v>420</v>
      </c>
      <c r="F1677" t="s">
        <v>3485</v>
      </c>
    </row>
    <row r="1678" spans="1:6" x14ac:dyDescent="0.25">
      <c r="A1678" t="str">
        <f t="shared" si="26"/>
        <v>1801+47+364SX0204X</v>
      </c>
      <c r="B1678">
        <v>4176</v>
      </c>
      <c r="C1678">
        <v>1801</v>
      </c>
      <c r="D1678">
        <v>47</v>
      </c>
      <c r="E1678" t="s">
        <v>422</v>
      </c>
      <c r="F1678" t="s">
        <v>3486</v>
      </c>
    </row>
    <row r="1679" spans="1:6" x14ac:dyDescent="0.25">
      <c r="A1679" t="str">
        <f t="shared" si="26"/>
        <v>1802+47+364SP0200X</v>
      </c>
      <c r="B1679">
        <v>4177</v>
      </c>
      <c r="C1679">
        <v>1802</v>
      </c>
      <c r="D1679">
        <v>47</v>
      </c>
      <c r="E1679" t="s">
        <v>336</v>
      </c>
      <c r="F1679" t="s">
        <v>3487</v>
      </c>
    </row>
    <row r="1680" spans="1:6" x14ac:dyDescent="0.25">
      <c r="A1680" t="str">
        <f t="shared" si="26"/>
        <v>1803+47+364SP1700X</v>
      </c>
      <c r="B1680">
        <v>4178</v>
      </c>
      <c r="C1680">
        <v>1803</v>
      </c>
      <c r="D1680">
        <v>47</v>
      </c>
      <c r="E1680" t="s">
        <v>411</v>
      </c>
      <c r="F1680" t="s">
        <v>3488</v>
      </c>
    </row>
    <row r="1681" spans="1:6" x14ac:dyDescent="0.25">
      <c r="A1681" t="str">
        <f t="shared" si="26"/>
        <v>1804+47+364SP2800X</v>
      </c>
      <c r="B1681">
        <v>4179</v>
      </c>
      <c r="C1681">
        <v>1804</v>
      </c>
      <c r="D1681">
        <v>47</v>
      </c>
      <c r="E1681" t="s">
        <v>413</v>
      </c>
      <c r="F1681" t="s">
        <v>3489</v>
      </c>
    </row>
    <row r="1682" spans="1:6" x14ac:dyDescent="0.25">
      <c r="A1682" t="str">
        <f t="shared" si="26"/>
        <v>1805+47+364SP0808X</v>
      </c>
      <c r="B1682">
        <v>4180</v>
      </c>
      <c r="C1682">
        <v>1805</v>
      </c>
      <c r="D1682">
        <v>47</v>
      </c>
      <c r="E1682" t="s">
        <v>400</v>
      </c>
      <c r="F1682" t="s">
        <v>3490</v>
      </c>
    </row>
    <row r="1683" spans="1:6" x14ac:dyDescent="0.25">
      <c r="A1683" t="str">
        <f t="shared" si="26"/>
        <v>1806+47+364SP0809X</v>
      </c>
      <c r="B1683">
        <v>4181</v>
      </c>
      <c r="C1683">
        <v>1806</v>
      </c>
      <c r="D1683">
        <v>47</v>
      </c>
      <c r="E1683" t="s">
        <v>402</v>
      </c>
      <c r="F1683" t="s">
        <v>3491</v>
      </c>
    </row>
    <row r="1684" spans="1:6" x14ac:dyDescent="0.25">
      <c r="A1684" t="str">
        <f t="shared" si="26"/>
        <v>1807+47+364SP0807X</v>
      </c>
      <c r="B1684">
        <v>4182</v>
      </c>
      <c r="C1684">
        <v>1807</v>
      </c>
      <c r="D1684">
        <v>47</v>
      </c>
      <c r="E1684" t="s">
        <v>399</v>
      </c>
      <c r="F1684" t="s">
        <v>3492</v>
      </c>
    </row>
    <row r="1685" spans="1:6" x14ac:dyDescent="0.25">
      <c r="A1685" t="str">
        <f t="shared" si="26"/>
        <v>1808+47+364SP0810X</v>
      </c>
      <c r="B1685">
        <v>4183</v>
      </c>
      <c r="C1685">
        <v>1808</v>
      </c>
      <c r="D1685">
        <v>47</v>
      </c>
      <c r="E1685" t="s">
        <v>404</v>
      </c>
      <c r="F1685" t="s">
        <v>3493</v>
      </c>
    </row>
    <row r="1686" spans="1:6" x14ac:dyDescent="0.25">
      <c r="A1686" t="str">
        <f t="shared" si="26"/>
        <v>1809+47+364SP0811X</v>
      </c>
      <c r="B1686">
        <v>4184</v>
      </c>
      <c r="C1686">
        <v>1809</v>
      </c>
      <c r="D1686">
        <v>47</v>
      </c>
      <c r="E1686" t="s">
        <v>406</v>
      </c>
      <c r="F1686" t="s">
        <v>3494</v>
      </c>
    </row>
    <row r="1687" spans="1:6" x14ac:dyDescent="0.25">
      <c r="A1687" t="str">
        <f t="shared" si="26"/>
        <v>1810+47+364SP0812X</v>
      </c>
      <c r="B1687">
        <v>4185</v>
      </c>
      <c r="C1687">
        <v>1810</v>
      </c>
      <c r="D1687">
        <v>47</v>
      </c>
      <c r="E1687" t="s">
        <v>408</v>
      </c>
      <c r="F1687" t="s">
        <v>3495</v>
      </c>
    </row>
    <row r="1688" spans="1:6" x14ac:dyDescent="0.25">
      <c r="A1688" t="str">
        <f t="shared" si="26"/>
        <v>1811+47+364SP0813X</v>
      </c>
      <c r="B1688">
        <v>4186</v>
      </c>
      <c r="C1688">
        <v>1811</v>
      </c>
      <c r="D1688">
        <v>47</v>
      </c>
      <c r="E1688" t="s">
        <v>410</v>
      </c>
      <c r="F1688" t="s">
        <v>3496</v>
      </c>
    </row>
    <row r="1689" spans="1:6" x14ac:dyDescent="0.25">
      <c r="A1689" t="str">
        <f t="shared" si="26"/>
        <v>1812+47+364SR0400X</v>
      </c>
      <c r="B1689">
        <v>4187</v>
      </c>
      <c r="C1689">
        <v>1812</v>
      </c>
      <c r="D1689">
        <v>47</v>
      </c>
      <c r="E1689" t="s">
        <v>414</v>
      </c>
      <c r="F1689" t="s">
        <v>3497</v>
      </c>
    </row>
    <row r="1690" spans="1:6" x14ac:dyDescent="0.25">
      <c r="A1690" t="str">
        <f t="shared" si="26"/>
        <v>1813+47+364ST0500X</v>
      </c>
      <c r="B1690">
        <v>4188</v>
      </c>
      <c r="C1690">
        <v>1813</v>
      </c>
      <c r="D1690">
        <v>47</v>
      </c>
      <c r="E1690" t="s">
        <v>417</v>
      </c>
      <c r="F1690" t="s">
        <v>3498</v>
      </c>
    </row>
    <row r="1691" spans="1:6" x14ac:dyDescent="0.25">
      <c r="A1691" t="str">
        <f t="shared" si="26"/>
        <v>1814+47+364SS0200X</v>
      </c>
      <c r="B1691">
        <v>4189</v>
      </c>
      <c r="C1691">
        <v>1814</v>
      </c>
      <c r="D1691">
        <v>47</v>
      </c>
      <c r="E1691" t="s">
        <v>415</v>
      </c>
      <c r="F1691" t="s">
        <v>3499</v>
      </c>
    </row>
    <row r="1692" spans="1:6" x14ac:dyDescent="0.25">
      <c r="A1692" t="str">
        <f t="shared" si="26"/>
        <v>1815+47+364SW0102X</v>
      </c>
      <c r="B1692">
        <v>4190</v>
      </c>
      <c r="C1692">
        <v>1815</v>
      </c>
      <c r="D1692">
        <v>47</v>
      </c>
      <c r="E1692" t="s">
        <v>418</v>
      </c>
      <c r="F1692" t="s">
        <v>3500</v>
      </c>
    </row>
    <row r="1693" spans="1:6" x14ac:dyDescent="0.25">
      <c r="A1693" t="str">
        <f t="shared" si="26"/>
        <v>1817+26+164W00000X</v>
      </c>
      <c r="B1693">
        <v>4191</v>
      </c>
      <c r="C1693">
        <v>1817</v>
      </c>
      <c r="D1693">
        <v>26</v>
      </c>
      <c r="E1693" t="s">
        <v>600</v>
      </c>
      <c r="F1693" t="s">
        <v>3391</v>
      </c>
    </row>
    <row r="1694" spans="1:6" x14ac:dyDescent="0.25">
      <c r="A1694" t="str">
        <f t="shared" si="26"/>
        <v>1818+26+367A00000X</v>
      </c>
      <c r="B1694">
        <v>4192</v>
      </c>
      <c r="C1694">
        <v>1818</v>
      </c>
      <c r="D1694">
        <v>26</v>
      </c>
      <c r="E1694" t="s">
        <v>428</v>
      </c>
      <c r="F1694" t="s">
        <v>3392</v>
      </c>
    </row>
    <row r="1695" spans="1:6" x14ac:dyDescent="0.25">
      <c r="A1695" t="str">
        <f t="shared" si="26"/>
        <v>1819+26+367500000X</v>
      </c>
      <c r="B1695">
        <v>4193</v>
      </c>
      <c r="C1695">
        <v>1819</v>
      </c>
      <c r="D1695">
        <v>26</v>
      </c>
      <c r="E1695" t="s">
        <v>424</v>
      </c>
      <c r="F1695" t="s">
        <v>3393</v>
      </c>
    </row>
    <row r="1696" spans="1:6" x14ac:dyDescent="0.25">
      <c r="A1696" t="str">
        <f t="shared" si="26"/>
        <v>1820+26+363L00000X</v>
      </c>
      <c r="B1696">
        <v>4194</v>
      </c>
      <c r="C1696">
        <v>1820</v>
      </c>
      <c r="D1696">
        <v>26</v>
      </c>
      <c r="E1696" t="s">
        <v>230</v>
      </c>
      <c r="F1696" t="s">
        <v>3394</v>
      </c>
    </row>
    <row r="1697" spans="1:6" x14ac:dyDescent="0.25">
      <c r="A1697" t="str">
        <f t="shared" si="26"/>
        <v>1821+26+363LA2100X</v>
      </c>
      <c r="B1697">
        <v>4195</v>
      </c>
      <c r="C1697">
        <v>1821</v>
      </c>
      <c r="D1697">
        <v>26</v>
      </c>
      <c r="E1697" t="s">
        <v>344</v>
      </c>
      <c r="F1697" t="s">
        <v>3395</v>
      </c>
    </row>
    <row r="1698" spans="1:6" x14ac:dyDescent="0.25">
      <c r="A1698" t="str">
        <f t="shared" si="26"/>
        <v>1822+26+363LA2200X</v>
      </c>
      <c r="B1698">
        <v>4196</v>
      </c>
      <c r="C1698">
        <v>1822</v>
      </c>
      <c r="D1698">
        <v>26</v>
      </c>
      <c r="E1698" t="s">
        <v>346</v>
      </c>
      <c r="F1698" t="s">
        <v>3396</v>
      </c>
    </row>
    <row r="1699" spans="1:6" x14ac:dyDescent="0.25">
      <c r="A1699" t="str">
        <f t="shared" si="26"/>
        <v>1823+26+363LC0200X</v>
      </c>
      <c r="B1699">
        <v>4197</v>
      </c>
      <c r="C1699">
        <v>1823</v>
      </c>
      <c r="D1699">
        <v>26</v>
      </c>
      <c r="E1699" t="s">
        <v>348</v>
      </c>
      <c r="F1699" t="s">
        <v>3397</v>
      </c>
    </row>
    <row r="1700" spans="1:6" x14ac:dyDescent="0.25">
      <c r="A1700" t="str">
        <f t="shared" si="26"/>
        <v>1824+26+363LC1500X</v>
      </c>
      <c r="B1700">
        <v>4198</v>
      </c>
      <c r="C1700">
        <v>1824</v>
      </c>
      <c r="D1700">
        <v>26</v>
      </c>
      <c r="E1700" t="s">
        <v>349</v>
      </c>
      <c r="F1700" t="s">
        <v>3398</v>
      </c>
    </row>
    <row r="1701" spans="1:6" x14ac:dyDescent="0.25">
      <c r="A1701" t="str">
        <f t="shared" si="26"/>
        <v>1825+26+363LF0000X</v>
      </c>
      <c r="B1701">
        <v>4199</v>
      </c>
      <c r="C1701">
        <v>1825</v>
      </c>
      <c r="D1701">
        <v>26</v>
      </c>
      <c r="E1701" t="s">
        <v>351</v>
      </c>
      <c r="F1701" t="s">
        <v>3399</v>
      </c>
    </row>
    <row r="1702" spans="1:6" x14ac:dyDescent="0.25">
      <c r="A1702" t="str">
        <f t="shared" si="26"/>
        <v>1826+26+363LG0600X</v>
      </c>
      <c r="B1702">
        <v>4200</v>
      </c>
      <c r="C1702">
        <v>1826</v>
      </c>
      <c r="D1702">
        <v>26</v>
      </c>
      <c r="E1702" t="s">
        <v>355</v>
      </c>
      <c r="F1702" t="s">
        <v>3400</v>
      </c>
    </row>
    <row r="1703" spans="1:6" x14ac:dyDescent="0.25">
      <c r="A1703" t="str">
        <f t="shared" si="26"/>
        <v>1827+26+363LN0000X</v>
      </c>
      <c r="B1703">
        <v>4201</v>
      </c>
      <c r="C1703">
        <v>1827</v>
      </c>
      <c r="D1703">
        <v>26</v>
      </c>
      <c r="E1703" t="s">
        <v>357</v>
      </c>
      <c r="F1703" t="s">
        <v>3401</v>
      </c>
    </row>
    <row r="1704" spans="1:6" x14ac:dyDescent="0.25">
      <c r="A1704" t="str">
        <f t="shared" si="26"/>
        <v>1828+26+363LN0005X</v>
      </c>
      <c r="B1704">
        <v>4202</v>
      </c>
      <c r="C1704">
        <v>1828</v>
      </c>
      <c r="D1704">
        <v>26</v>
      </c>
      <c r="E1704" t="s">
        <v>359</v>
      </c>
      <c r="F1704" t="s">
        <v>3402</v>
      </c>
    </row>
    <row r="1705" spans="1:6" x14ac:dyDescent="0.25">
      <c r="A1705" t="str">
        <f t="shared" si="26"/>
        <v>1829+26+363LP0200X</v>
      </c>
      <c r="B1705">
        <v>4203</v>
      </c>
      <c r="C1705">
        <v>1829</v>
      </c>
      <c r="D1705">
        <v>26</v>
      </c>
      <c r="E1705" t="s">
        <v>326</v>
      </c>
      <c r="F1705" t="s">
        <v>3403</v>
      </c>
    </row>
    <row r="1706" spans="1:6" x14ac:dyDescent="0.25">
      <c r="A1706" t="str">
        <f t="shared" si="26"/>
        <v>1830+26+363LP0222X</v>
      </c>
      <c r="B1706">
        <v>4204</v>
      </c>
      <c r="C1706">
        <v>1830</v>
      </c>
      <c r="D1706">
        <v>26</v>
      </c>
      <c r="E1706" t="s">
        <v>330</v>
      </c>
      <c r="F1706" t="s">
        <v>3404</v>
      </c>
    </row>
    <row r="1707" spans="1:6" x14ac:dyDescent="0.25">
      <c r="A1707" t="str">
        <f t="shared" si="26"/>
        <v>1831+26+363LP0808X</v>
      </c>
      <c r="B1707">
        <v>4205</v>
      </c>
      <c r="C1707">
        <v>1831</v>
      </c>
      <c r="D1707">
        <v>26</v>
      </c>
      <c r="E1707" t="s">
        <v>361</v>
      </c>
      <c r="F1707" t="s">
        <v>3405</v>
      </c>
    </row>
    <row r="1708" spans="1:6" x14ac:dyDescent="0.25">
      <c r="A1708" t="str">
        <f t="shared" si="26"/>
        <v>1832+26+363LP1700X</v>
      </c>
      <c r="B1708">
        <v>4206</v>
      </c>
      <c r="C1708">
        <v>1832</v>
      </c>
      <c r="D1708">
        <v>26</v>
      </c>
      <c r="E1708" t="s">
        <v>363</v>
      </c>
      <c r="F1708" t="s">
        <v>3406</v>
      </c>
    </row>
    <row r="1709" spans="1:6" x14ac:dyDescent="0.25">
      <c r="A1709" t="str">
        <f t="shared" si="26"/>
        <v>1833+26+363LP2300X</v>
      </c>
      <c r="B1709">
        <v>4207</v>
      </c>
      <c r="C1709">
        <v>1833</v>
      </c>
      <c r="D1709">
        <v>26</v>
      </c>
      <c r="E1709" t="s">
        <v>364</v>
      </c>
      <c r="F1709" t="s">
        <v>3407</v>
      </c>
    </row>
    <row r="1710" spans="1:6" x14ac:dyDescent="0.25">
      <c r="A1710" t="str">
        <f t="shared" si="26"/>
        <v>1834+26+363LS0200X</v>
      </c>
      <c r="B1710">
        <v>4208</v>
      </c>
      <c r="C1710">
        <v>1834</v>
      </c>
      <c r="D1710">
        <v>26</v>
      </c>
      <c r="E1710" t="s">
        <v>366</v>
      </c>
      <c r="F1710" t="s">
        <v>3408</v>
      </c>
    </row>
    <row r="1711" spans="1:6" x14ac:dyDescent="0.25">
      <c r="A1711" t="str">
        <f t="shared" si="26"/>
        <v>1835+26+363LW0102X</v>
      </c>
      <c r="B1711">
        <v>4209</v>
      </c>
      <c r="C1711">
        <v>1835</v>
      </c>
      <c r="D1711">
        <v>26</v>
      </c>
      <c r="E1711" t="s">
        <v>368</v>
      </c>
      <c r="F1711" t="s">
        <v>3409</v>
      </c>
    </row>
    <row r="1712" spans="1:6" x14ac:dyDescent="0.25">
      <c r="A1712" t="str">
        <f t="shared" si="26"/>
        <v>1836+26+363LX0001X</v>
      </c>
      <c r="B1712">
        <v>4210</v>
      </c>
      <c r="C1712">
        <v>1836</v>
      </c>
      <c r="D1712">
        <v>26</v>
      </c>
      <c r="E1712" t="s">
        <v>332</v>
      </c>
      <c r="F1712" t="s">
        <v>3410</v>
      </c>
    </row>
    <row r="1713" spans="1:6" x14ac:dyDescent="0.25">
      <c r="A1713" t="str">
        <f t="shared" si="26"/>
        <v>1837+26+363LX0106X</v>
      </c>
      <c r="B1713">
        <v>4211</v>
      </c>
      <c r="C1713">
        <v>1837</v>
      </c>
      <c r="D1713">
        <v>26</v>
      </c>
      <c r="E1713" t="s">
        <v>370</v>
      </c>
      <c r="F1713" t="s">
        <v>3411</v>
      </c>
    </row>
    <row r="1714" spans="1:6" x14ac:dyDescent="0.25">
      <c r="A1714" t="str">
        <f t="shared" si="26"/>
        <v>1838+26+163W00000X</v>
      </c>
      <c r="B1714">
        <v>4212</v>
      </c>
      <c r="C1714">
        <v>1838</v>
      </c>
      <c r="D1714">
        <v>26</v>
      </c>
      <c r="E1714" t="s">
        <v>595</v>
      </c>
      <c r="F1714" t="s">
        <v>3412</v>
      </c>
    </row>
    <row r="1715" spans="1:6" x14ac:dyDescent="0.25">
      <c r="A1715" t="str">
        <f t="shared" si="26"/>
        <v>1839+26+163WA0400X</v>
      </c>
      <c r="B1715">
        <v>4213</v>
      </c>
      <c r="C1715">
        <v>1839</v>
      </c>
      <c r="D1715">
        <v>26</v>
      </c>
      <c r="E1715" t="s">
        <v>603</v>
      </c>
      <c r="F1715" t="s">
        <v>3413</v>
      </c>
    </row>
    <row r="1716" spans="1:6" x14ac:dyDescent="0.25">
      <c r="A1716" t="str">
        <f t="shared" si="26"/>
        <v>1840+26+163WA2000X</v>
      </c>
      <c r="B1716">
        <v>4214</v>
      </c>
      <c r="C1716">
        <v>1840</v>
      </c>
      <c r="D1716">
        <v>26</v>
      </c>
      <c r="E1716" t="s">
        <v>604</v>
      </c>
      <c r="F1716" t="s">
        <v>3414</v>
      </c>
    </row>
    <row r="1717" spans="1:6" x14ac:dyDescent="0.25">
      <c r="A1717" t="str">
        <f t="shared" si="26"/>
        <v>1841+26+163WC0200X</v>
      </c>
      <c r="B1717">
        <v>4215</v>
      </c>
      <c r="C1717">
        <v>1841</v>
      </c>
      <c r="D1717">
        <v>26</v>
      </c>
      <c r="E1717" t="s">
        <v>605</v>
      </c>
      <c r="F1717" t="s">
        <v>3415</v>
      </c>
    </row>
    <row r="1718" spans="1:6" x14ac:dyDescent="0.25">
      <c r="A1718" t="str">
        <f t="shared" si="26"/>
        <v>1842+26+163WC0400X</v>
      </c>
      <c r="B1718">
        <v>4216</v>
      </c>
      <c r="C1718">
        <v>1842</v>
      </c>
      <c r="D1718">
        <v>26</v>
      </c>
      <c r="E1718" t="s">
        <v>606</v>
      </c>
      <c r="F1718" t="s">
        <v>3416</v>
      </c>
    </row>
    <row r="1719" spans="1:6" x14ac:dyDescent="0.25">
      <c r="A1719" t="str">
        <f t="shared" si="26"/>
        <v>1843+26+163WC1400X</v>
      </c>
      <c r="B1719">
        <v>4217</v>
      </c>
      <c r="C1719">
        <v>1843</v>
      </c>
      <c r="D1719">
        <v>26</v>
      </c>
      <c r="E1719" t="s">
        <v>607</v>
      </c>
      <c r="F1719" t="s">
        <v>3417</v>
      </c>
    </row>
    <row r="1720" spans="1:6" x14ac:dyDescent="0.25">
      <c r="A1720" t="str">
        <f t="shared" si="26"/>
        <v>1844+26+163WC1500X</v>
      </c>
      <c r="B1720">
        <v>4218</v>
      </c>
      <c r="C1720">
        <v>1844</v>
      </c>
      <c r="D1720">
        <v>26</v>
      </c>
      <c r="E1720" t="s">
        <v>608</v>
      </c>
      <c r="F1720" t="s">
        <v>3418</v>
      </c>
    </row>
    <row r="1721" spans="1:6" x14ac:dyDescent="0.25">
      <c r="A1721" t="str">
        <f t="shared" si="26"/>
        <v>1845+26+163WC1600X</v>
      </c>
      <c r="B1721">
        <v>4219</v>
      </c>
      <c r="C1721">
        <v>1845</v>
      </c>
      <c r="D1721">
        <v>26</v>
      </c>
      <c r="E1721" t="s">
        <v>609</v>
      </c>
      <c r="F1721" t="s">
        <v>3419</v>
      </c>
    </row>
    <row r="1722" spans="1:6" x14ac:dyDescent="0.25">
      <c r="A1722" t="str">
        <f t="shared" si="26"/>
        <v>1846+26+163WC2100X</v>
      </c>
      <c r="B1722">
        <v>4220</v>
      </c>
      <c r="C1722">
        <v>1846</v>
      </c>
      <c r="D1722">
        <v>26</v>
      </c>
      <c r="E1722" t="s">
        <v>610</v>
      </c>
      <c r="F1722" t="s">
        <v>3420</v>
      </c>
    </row>
    <row r="1723" spans="1:6" x14ac:dyDescent="0.25">
      <c r="A1723" t="str">
        <f t="shared" si="26"/>
        <v>1847+26+163WC3500X</v>
      </c>
      <c r="B1723">
        <v>4221</v>
      </c>
      <c r="C1723">
        <v>1847</v>
      </c>
      <c r="D1723">
        <v>26</v>
      </c>
      <c r="E1723" t="s">
        <v>611</v>
      </c>
      <c r="F1723" t="s">
        <v>3421</v>
      </c>
    </row>
    <row r="1724" spans="1:6" x14ac:dyDescent="0.25">
      <c r="A1724" t="str">
        <f t="shared" si="26"/>
        <v>1848+26+163WD0400X</v>
      </c>
      <c r="B1724">
        <v>4222</v>
      </c>
      <c r="C1724">
        <v>1848</v>
      </c>
      <c r="D1724">
        <v>26</v>
      </c>
      <c r="E1724" t="s">
        <v>612</v>
      </c>
      <c r="F1724" t="s">
        <v>3422</v>
      </c>
    </row>
    <row r="1725" spans="1:6" x14ac:dyDescent="0.25">
      <c r="A1725" t="str">
        <f t="shared" si="26"/>
        <v>1849+26+163WD1100X</v>
      </c>
      <c r="B1725">
        <v>4223</v>
      </c>
      <c r="C1725">
        <v>1849</v>
      </c>
      <c r="D1725">
        <v>26</v>
      </c>
      <c r="E1725" t="s">
        <v>613</v>
      </c>
      <c r="F1725" t="s">
        <v>3423</v>
      </c>
    </row>
    <row r="1726" spans="1:6" x14ac:dyDescent="0.25">
      <c r="A1726" t="str">
        <f t="shared" si="26"/>
        <v>1850+26+163WE0003X</v>
      </c>
      <c r="B1726">
        <v>4224</v>
      </c>
      <c r="C1726">
        <v>1850</v>
      </c>
      <c r="D1726">
        <v>26</v>
      </c>
      <c r="E1726" t="s">
        <v>614</v>
      </c>
      <c r="F1726" t="s">
        <v>3424</v>
      </c>
    </row>
    <row r="1727" spans="1:6" x14ac:dyDescent="0.25">
      <c r="A1727" t="str">
        <f t="shared" si="26"/>
        <v>1851+26+163WE0900X</v>
      </c>
      <c r="B1727">
        <v>4225</v>
      </c>
      <c r="C1727">
        <v>1851</v>
      </c>
      <c r="D1727">
        <v>26</v>
      </c>
      <c r="E1727" t="s">
        <v>615</v>
      </c>
      <c r="F1727" t="s">
        <v>3425</v>
      </c>
    </row>
    <row r="1728" spans="1:6" x14ac:dyDescent="0.25">
      <c r="A1728" t="str">
        <f t="shared" si="26"/>
        <v>1852+26+163WF0300X</v>
      </c>
      <c r="B1728">
        <v>4226</v>
      </c>
      <c r="C1728">
        <v>1852</v>
      </c>
      <c r="D1728">
        <v>26</v>
      </c>
      <c r="E1728" t="s">
        <v>616</v>
      </c>
      <c r="F1728" t="s">
        <v>3426</v>
      </c>
    </row>
    <row r="1729" spans="1:6" x14ac:dyDescent="0.25">
      <c r="A1729" t="str">
        <f t="shared" si="26"/>
        <v>1853+26+163WG0000X</v>
      </c>
      <c r="B1729">
        <v>4227</v>
      </c>
      <c r="C1729">
        <v>1853</v>
      </c>
      <c r="D1729">
        <v>26</v>
      </c>
      <c r="E1729" t="s">
        <v>618</v>
      </c>
      <c r="F1729" t="s">
        <v>3427</v>
      </c>
    </row>
    <row r="1730" spans="1:6" x14ac:dyDescent="0.25">
      <c r="A1730" t="str">
        <f t="shared" ref="A1730:A1793" si="27">C1730 &amp; "+" &amp; D1730 &amp; "+" &amp; E1730</f>
        <v>1854+26+163WG0100X</v>
      </c>
      <c r="B1730">
        <v>4228</v>
      </c>
      <c r="C1730">
        <v>1854</v>
      </c>
      <c r="D1730">
        <v>26</v>
      </c>
      <c r="E1730" t="s">
        <v>619</v>
      </c>
      <c r="F1730" t="s">
        <v>3428</v>
      </c>
    </row>
    <row r="1731" spans="1:6" x14ac:dyDescent="0.25">
      <c r="A1731" t="str">
        <f t="shared" si="27"/>
        <v>1855+26+163WG0600X</v>
      </c>
      <c r="B1731">
        <v>4229</v>
      </c>
      <c r="C1731">
        <v>1855</v>
      </c>
      <c r="D1731">
        <v>26</v>
      </c>
      <c r="E1731" t="s">
        <v>620</v>
      </c>
      <c r="F1731" t="s">
        <v>3429</v>
      </c>
    </row>
    <row r="1732" spans="1:6" x14ac:dyDescent="0.25">
      <c r="A1732" t="str">
        <f t="shared" si="27"/>
        <v>1856+26+163WH0200X</v>
      </c>
      <c r="B1732">
        <v>4230</v>
      </c>
      <c r="C1732">
        <v>1856</v>
      </c>
      <c r="D1732">
        <v>26</v>
      </c>
      <c r="E1732" t="s">
        <v>621</v>
      </c>
      <c r="F1732" t="s">
        <v>3430</v>
      </c>
    </row>
    <row r="1733" spans="1:6" x14ac:dyDescent="0.25">
      <c r="A1733" t="str">
        <f t="shared" si="27"/>
        <v>1857+26+163WH0500X</v>
      </c>
      <c r="B1733">
        <v>4231</v>
      </c>
      <c r="C1733">
        <v>1857</v>
      </c>
      <c r="D1733">
        <v>26</v>
      </c>
      <c r="E1733" t="s">
        <v>622</v>
      </c>
      <c r="F1733" t="s">
        <v>3431</v>
      </c>
    </row>
    <row r="1734" spans="1:6" x14ac:dyDescent="0.25">
      <c r="A1734" t="str">
        <f t="shared" si="27"/>
        <v>1858+26+163WH1000X</v>
      </c>
      <c r="B1734">
        <v>4232</v>
      </c>
      <c r="C1734">
        <v>1858</v>
      </c>
      <c r="D1734">
        <v>26</v>
      </c>
      <c r="E1734" t="s">
        <v>623</v>
      </c>
      <c r="F1734" t="s">
        <v>3432</v>
      </c>
    </row>
    <row r="1735" spans="1:6" x14ac:dyDescent="0.25">
      <c r="A1735" t="str">
        <f t="shared" si="27"/>
        <v>1859+26+163WI0500X</v>
      </c>
      <c r="B1735">
        <v>4233</v>
      </c>
      <c r="C1735">
        <v>1859</v>
      </c>
      <c r="D1735">
        <v>26</v>
      </c>
      <c r="E1735" t="s">
        <v>624</v>
      </c>
      <c r="F1735" t="s">
        <v>3433</v>
      </c>
    </row>
    <row r="1736" spans="1:6" x14ac:dyDescent="0.25">
      <c r="A1736" t="str">
        <f t="shared" si="27"/>
        <v>1860+26+163WI0600X</v>
      </c>
      <c r="B1736">
        <v>4234</v>
      </c>
      <c r="C1736">
        <v>1860</v>
      </c>
      <c r="D1736">
        <v>26</v>
      </c>
      <c r="E1736" t="s">
        <v>596</v>
      </c>
      <c r="F1736" t="s">
        <v>3434</v>
      </c>
    </row>
    <row r="1737" spans="1:6" x14ac:dyDescent="0.25">
      <c r="A1737" t="str">
        <f t="shared" si="27"/>
        <v>1861+26+163WL0100X</v>
      </c>
      <c r="B1737">
        <v>4235</v>
      </c>
      <c r="C1737">
        <v>1861</v>
      </c>
      <c r="D1737">
        <v>26</v>
      </c>
      <c r="E1737" t="s">
        <v>625</v>
      </c>
      <c r="F1737" t="s">
        <v>3435</v>
      </c>
    </row>
    <row r="1738" spans="1:6" x14ac:dyDescent="0.25">
      <c r="A1738" t="str">
        <f t="shared" si="27"/>
        <v>1862+26+163WM0102X</v>
      </c>
      <c r="B1738">
        <v>4236</v>
      </c>
      <c r="C1738">
        <v>1862</v>
      </c>
      <c r="D1738">
        <v>26</v>
      </c>
      <c r="E1738" t="s">
        <v>626</v>
      </c>
      <c r="F1738" t="s">
        <v>3436</v>
      </c>
    </row>
    <row r="1739" spans="1:6" x14ac:dyDescent="0.25">
      <c r="A1739" t="str">
        <f t="shared" si="27"/>
        <v>1863+26+163WM0705X</v>
      </c>
      <c r="B1739">
        <v>4237</v>
      </c>
      <c r="C1739">
        <v>1863</v>
      </c>
      <c r="D1739">
        <v>26</v>
      </c>
      <c r="E1739" t="s">
        <v>627</v>
      </c>
      <c r="F1739" t="s">
        <v>3437</v>
      </c>
    </row>
    <row r="1740" spans="1:6" x14ac:dyDescent="0.25">
      <c r="A1740" t="str">
        <f t="shared" si="27"/>
        <v>1864+26+163WM1400X</v>
      </c>
      <c r="B1740">
        <v>4238</v>
      </c>
      <c r="C1740">
        <v>1864</v>
      </c>
      <c r="D1740">
        <v>26</v>
      </c>
      <c r="E1740" t="s">
        <v>628</v>
      </c>
      <c r="F1740" t="s">
        <v>3438</v>
      </c>
    </row>
    <row r="1741" spans="1:6" x14ac:dyDescent="0.25">
      <c r="A1741" t="str">
        <f t="shared" si="27"/>
        <v>1865+26+163WN0002X</v>
      </c>
      <c r="B1741">
        <v>4239</v>
      </c>
      <c r="C1741">
        <v>1865</v>
      </c>
      <c r="D1741">
        <v>26</v>
      </c>
      <c r="E1741" t="s">
        <v>629</v>
      </c>
      <c r="F1741" t="s">
        <v>3439</v>
      </c>
    </row>
    <row r="1742" spans="1:6" x14ac:dyDescent="0.25">
      <c r="A1742" t="str">
        <f t="shared" si="27"/>
        <v>1866+26+163WN0003X</v>
      </c>
      <c r="B1742">
        <v>4240</v>
      </c>
      <c r="C1742">
        <v>1866</v>
      </c>
      <c r="D1742">
        <v>26</v>
      </c>
      <c r="E1742" t="s">
        <v>630</v>
      </c>
      <c r="F1742" t="s">
        <v>3440</v>
      </c>
    </row>
    <row r="1743" spans="1:6" x14ac:dyDescent="0.25">
      <c r="A1743" t="str">
        <f t="shared" si="27"/>
        <v>1867+26+163WN0300X</v>
      </c>
      <c r="B1743">
        <v>4241</v>
      </c>
      <c r="C1743">
        <v>1867</v>
      </c>
      <c r="D1743">
        <v>26</v>
      </c>
      <c r="E1743" t="s">
        <v>632</v>
      </c>
      <c r="F1743" t="s">
        <v>3441</v>
      </c>
    </row>
    <row r="1744" spans="1:6" x14ac:dyDescent="0.25">
      <c r="A1744" t="str">
        <f t="shared" si="27"/>
        <v>1868+26+163WN0800X</v>
      </c>
      <c r="B1744">
        <v>4242</v>
      </c>
      <c r="C1744">
        <v>1868</v>
      </c>
      <c r="D1744">
        <v>26</v>
      </c>
      <c r="E1744" t="s">
        <v>633</v>
      </c>
      <c r="F1744" t="s">
        <v>3442</v>
      </c>
    </row>
    <row r="1745" spans="1:6" x14ac:dyDescent="0.25">
      <c r="A1745" t="str">
        <f t="shared" si="27"/>
        <v>1869+26+163WN1003X</v>
      </c>
      <c r="B1745">
        <v>4243</v>
      </c>
      <c r="C1745">
        <v>1869</v>
      </c>
      <c r="D1745">
        <v>26</v>
      </c>
      <c r="E1745" t="s">
        <v>635</v>
      </c>
      <c r="F1745" t="s">
        <v>3443</v>
      </c>
    </row>
    <row r="1746" spans="1:6" x14ac:dyDescent="0.25">
      <c r="A1746" t="str">
        <f t="shared" si="27"/>
        <v>1870+26+163WP0000X</v>
      </c>
      <c r="B1746">
        <v>4244</v>
      </c>
      <c r="C1746">
        <v>1870</v>
      </c>
      <c r="D1746">
        <v>26</v>
      </c>
      <c r="E1746" t="s">
        <v>636</v>
      </c>
      <c r="F1746" t="s">
        <v>3444</v>
      </c>
    </row>
    <row r="1747" spans="1:6" x14ac:dyDescent="0.25">
      <c r="A1747" t="str">
        <f t="shared" si="27"/>
        <v>1871+26+163WP0200X</v>
      </c>
      <c r="B1747">
        <v>4245</v>
      </c>
      <c r="C1747">
        <v>1871</v>
      </c>
      <c r="D1747">
        <v>26</v>
      </c>
      <c r="E1747" t="s">
        <v>637</v>
      </c>
      <c r="F1747" t="s">
        <v>3445</v>
      </c>
    </row>
    <row r="1748" spans="1:6" x14ac:dyDescent="0.25">
      <c r="A1748" t="str">
        <f t="shared" si="27"/>
        <v>1872+26+163WP0218X</v>
      </c>
      <c r="B1748">
        <v>4246</v>
      </c>
      <c r="C1748">
        <v>1872</v>
      </c>
      <c r="D1748">
        <v>26</v>
      </c>
      <c r="E1748" t="s">
        <v>638</v>
      </c>
      <c r="F1748" t="s">
        <v>3446</v>
      </c>
    </row>
    <row r="1749" spans="1:6" x14ac:dyDescent="0.25">
      <c r="A1749" t="str">
        <f t="shared" si="27"/>
        <v>1873+26+163WP0807X</v>
      </c>
      <c r="B1749">
        <v>4247</v>
      </c>
      <c r="C1749">
        <v>1873</v>
      </c>
      <c r="D1749">
        <v>26</v>
      </c>
      <c r="E1749" t="s">
        <v>597</v>
      </c>
      <c r="F1749" t="s">
        <v>3447</v>
      </c>
    </row>
    <row r="1750" spans="1:6" x14ac:dyDescent="0.25">
      <c r="A1750" t="str">
        <f t="shared" si="27"/>
        <v>1874+26+163WP0808X</v>
      </c>
      <c r="B1750">
        <v>4248</v>
      </c>
      <c r="C1750">
        <v>1874</v>
      </c>
      <c r="D1750">
        <v>26</v>
      </c>
      <c r="E1750" t="s">
        <v>470</v>
      </c>
      <c r="F1750" t="s">
        <v>3448</v>
      </c>
    </row>
    <row r="1751" spans="1:6" x14ac:dyDescent="0.25">
      <c r="A1751" t="str">
        <f t="shared" si="27"/>
        <v>1875+26+163WP0809X</v>
      </c>
      <c r="B1751">
        <v>4249</v>
      </c>
      <c r="C1751">
        <v>1875</v>
      </c>
      <c r="D1751">
        <v>26</v>
      </c>
      <c r="E1751" t="s">
        <v>598</v>
      </c>
      <c r="F1751" t="s">
        <v>3449</v>
      </c>
    </row>
    <row r="1752" spans="1:6" x14ac:dyDescent="0.25">
      <c r="A1752" t="str">
        <f t="shared" si="27"/>
        <v>1876+26+163WP1700X</v>
      </c>
      <c r="B1752">
        <v>4250</v>
      </c>
      <c r="C1752">
        <v>1876</v>
      </c>
      <c r="D1752">
        <v>26</v>
      </c>
      <c r="E1752" t="s">
        <v>599</v>
      </c>
      <c r="F1752" t="s">
        <v>3450</v>
      </c>
    </row>
    <row r="1753" spans="1:6" x14ac:dyDescent="0.25">
      <c r="A1753" t="str">
        <f t="shared" si="27"/>
        <v>1877+26+163WP2201X</v>
      </c>
      <c r="B1753">
        <v>4251</v>
      </c>
      <c r="C1753">
        <v>1877</v>
      </c>
      <c r="D1753">
        <v>26</v>
      </c>
      <c r="E1753" t="s">
        <v>639</v>
      </c>
      <c r="F1753" t="s">
        <v>3451</v>
      </c>
    </row>
    <row r="1754" spans="1:6" x14ac:dyDescent="0.25">
      <c r="A1754" t="str">
        <f t="shared" si="27"/>
        <v>1878+26+163WR0400X</v>
      </c>
      <c r="B1754">
        <v>4252</v>
      </c>
      <c r="C1754">
        <v>1878</v>
      </c>
      <c r="D1754">
        <v>26</v>
      </c>
      <c r="E1754" t="s">
        <v>641</v>
      </c>
      <c r="F1754" t="s">
        <v>3452</v>
      </c>
    </row>
    <row r="1755" spans="1:6" x14ac:dyDescent="0.25">
      <c r="A1755" t="str">
        <f t="shared" si="27"/>
        <v>1879+26+163WR1000X</v>
      </c>
      <c r="B1755">
        <v>4253</v>
      </c>
      <c r="C1755">
        <v>1879</v>
      </c>
      <c r="D1755">
        <v>26</v>
      </c>
      <c r="E1755" t="s">
        <v>642</v>
      </c>
      <c r="F1755" t="s">
        <v>3453</v>
      </c>
    </row>
    <row r="1756" spans="1:6" x14ac:dyDescent="0.25">
      <c r="A1756" t="str">
        <f t="shared" si="27"/>
        <v>1880+26+163WS0121X</v>
      </c>
      <c r="B1756">
        <v>4254</v>
      </c>
      <c r="C1756">
        <v>1880</v>
      </c>
      <c r="D1756">
        <v>26</v>
      </c>
      <c r="E1756" t="s">
        <v>644</v>
      </c>
      <c r="F1756" t="s">
        <v>3454</v>
      </c>
    </row>
    <row r="1757" spans="1:6" x14ac:dyDescent="0.25">
      <c r="A1757" t="str">
        <f t="shared" si="27"/>
        <v>1881+26+163WS0200X</v>
      </c>
      <c r="B1757">
        <v>4255</v>
      </c>
      <c r="C1757">
        <v>1881</v>
      </c>
      <c r="D1757">
        <v>26</v>
      </c>
      <c r="E1757" t="s">
        <v>645</v>
      </c>
      <c r="F1757" t="s">
        <v>3455</v>
      </c>
    </row>
    <row r="1758" spans="1:6" x14ac:dyDescent="0.25">
      <c r="A1758" t="str">
        <f t="shared" si="27"/>
        <v>1882+26+163WU0100X</v>
      </c>
      <c r="B1758">
        <v>4256</v>
      </c>
      <c r="C1758">
        <v>1882</v>
      </c>
      <c r="D1758">
        <v>26</v>
      </c>
      <c r="E1758" t="s">
        <v>647</v>
      </c>
      <c r="F1758" t="s">
        <v>3456</v>
      </c>
    </row>
    <row r="1759" spans="1:6" x14ac:dyDescent="0.25">
      <c r="A1759" t="str">
        <f t="shared" si="27"/>
        <v>1883+26+163WW0000X</v>
      </c>
      <c r="B1759">
        <v>4257</v>
      </c>
      <c r="C1759">
        <v>1883</v>
      </c>
      <c r="D1759">
        <v>26</v>
      </c>
      <c r="E1759" t="s">
        <v>648</v>
      </c>
      <c r="F1759" t="s">
        <v>3457</v>
      </c>
    </row>
    <row r="1760" spans="1:6" x14ac:dyDescent="0.25">
      <c r="A1760" t="str">
        <f t="shared" si="27"/>
        <v>1884+26+163WW0101X</v>
      </c>
      <c r="B1760">
        <v>4258</v>
      </c>
      <c r="C1760">
        <v>1884</v>
      </c>
      <c r="D1760">
        <v>26</v>
      </c>
      <c r="E1760" t="s">
        <v>649</v>
      </c>
      <c r="F1760" t="s">
        <v>3458</v>
      </c>
    </row>
    <row r="1761" spans="1:6" x14ac:dyDescent="0.25">
      <c r="A1761" t="str">
        <f t="shared" si="27"/>
        <v>1885+26+163WX0002X</v>
      </c>
      <c r="B1761">
        <v>4259</v>
      </c>
      <c r="C1761">
        <v>1885</v>
      </c>
      <c r="D1761">
        <v>26</v>
      </c>
      <c r="E1761" t="s">
        <v>650</v>
      </c>
      <c r="F1761" t="s">
        <v>3459</v>
      </c>
    </row>
    <row r="1762" spans="1:6" x14ac:dyDescent="0.25">
      <c r="A1762" t="str">
        <f t="shared" si="27"/>
        <v>1886+26+163WX0003X</v>
      </c>
      <c r="B1762">
        <v>4260</v>
      </c>
      <c r="C1762">
        <v>1886</v>
      </c>
      <c r="D1762">
        <v>26</v>
      </c>
      <c r="E1762" t="s">
        <v>651</v>
      </c>
      <c r="F1762" t="s">
        <v>3460</v>
      </c>
    </row>
    <row r="1763" spans="1:6" x14ac:dyDescent="0.25">
      <c r="A1763" t="str">
        <f t="shared" si="27"/>
        <v>1887+26+163WX0106X</v>
      </c>
      <c r="B1763">
        <v>4261</v>
      </c>
      <c r="C1763">
        <v>1887</v>
      </c>
      <c r="D1763">
        <v>26</v>
      </c>
      <c r="E1763" t="s">
        <v>652</v>
      </c>
      <c r="F1763" t="s">
        <v>3461</v>
      </c>
    </row>
    <row r="1764" spans="1:6" x14ac:dyDescent="0.25">
      <c r="A1764" t="str">
        <f t="shared" si="27"/>
        <v>1888+26+163WX0200X</v>
      </c>
      <c r="B1764">
        <v>4262</v>
      </c>
      <c r="C1764">
        <v>1888</v>
      </c>
      <c r="D1764">
        <v>26</v>
      </c>
      <c r="E1764" t="s">
        <v>653</v>
      </c>
      <c r="F1764" t="s">
        <v>3462</v>
      </c>
    </row>
    <row r="1765" spans="1:6" x14ac:dyDescent="0.25">
      <c r="A1765" t="str">
        <f t="shared" si="27"/>
        <v>1889+26+163WX0601X</v>
      </c>
      <c r="B1765">
        <v>4263</v>
      </c>
      <c r="C1765">
        <v>1889</v>
      </c>
      <c r="D1765">
        <v>26</v>
      </c>
      <c r="E1765" t="s">
        <v>654</v>
      </c>
      <c r="F1765" t="s">
        <v>3463</v>
      </c>
    </row>
    <row r="1766" spans="1:6" x14ac:dyDescent="0.25">
      <c r="A1766" t="str">
        <f t="shared" si="27"/>
        <v>1890+26+163WX0800X</v>
      </c>
      <c r="B1766">
        <v>4264</v>
      </c>
      <c r="C1766">
        <v>1890</v>
      </c>
      <c r="D1766">
        <v>26</v>
      </c>
      <c r="E1766" t="s">
        <v>655</v>
      </c>
      <c r="F1766" t="s">
        <v>3464</v>
      </c>
    </row>
    <row r="1767" spans="1:6" x14ac:dyDescent="0.25">
      <c r="A1767" t="str">
        <f t="shared" si="27"/>
        <v>1891+26+163WX1100X</v>
      </c>
      <c r="B1767">
        <v>4265</v>
      </c>
      <c r="C1767">
        <v>1891</v>
      </c>
      <c r="D1767">
        <v>26</v>
      </c>
      <c r="E1767" t="s">
        <v>657</v>
      </c>
      <c r="F1767" t="s">
        <v>3465</v>
      </c>
    </row>
    <row r="1768" spans="1:6" x14ac:dyDescent="0.25">
      <c r="A1768" t="str">
        <f t="shared" si="27"/>
        <v>1892+26+163WX1500X</v>
      </c>
      <c r="B1768">
        <v>4266</v>
      </c>
      <c r="C1768">
        <v>1892</v>
      </c>
      <c r="D1768">
        <v>26</v>
      </c>
      <c r="E1768" t="s">
        <v>658</v>
      </c>
      <c r="F1768" t="s">
        <v>3466</v>
      </c>
    </row>
    <row r="1769" spans="1:6" x14ac:dyDescent="0.25">
      <c r="A1769" t="str">
        <f t="shared" si="27"/>
        <v>1893+26+364S00000X</v>
      </c>
      <c r="B1769">
        <v>4267</v>
      </c>
      <c r="C1769">
        <v>1893</v>
      </c>
      <c r="D1769">
        <v>26</v>
      </c>
      <c r="E1769" t="s">
        <v>371</v>
      </c>
      <c r="F1769" t="s">
        <v>3467</v>
      </c>
    </row>
    <row r="1770" spans="1:6" x14ac:dyDescent="0.25">
      <c r="A1770" t="str">
        <f t="shared" si="27"/>
        <v>1894+26+364SA2100X</v>
      </c>
      <c r="B1770">
        <v>4268</v>
      </c>
      <c r="C1770">
        <v>1894</v>
      </c>
      <c r="D1770">
        <v>26</v>
      </c>
      <c r="E1770" t="s">
        <v>372</v>
      </c>
      <c r="F1770" t="s">
        <v>3468</v>
      </c>
    </row>
    <row r="1771" spans="1:6" x14ac:dyDescent="0.25">
      <c r="A1771" t="str">
        <f t="shared" si="27"/>
        <v>1895+26+364SA2200X</v>
      </c>
      <c r="B1771">
        <v>4269</v>
      </c>
      <c r="C1771">
        <v>1895</v>
      </c>
      <c r="D1771">
        <v>26</v>
      </c>
      <c r="E1771" t="s">
        <v>373</v>
      </c>
      <c r="F1771" t="s">
        <v>3469</v>
      </c>
    </row>
    <row r="1772" spans="1:6" x14ac:dyDescent="0.25">
      <c r="A1772" t="str">
        <f t="shared" si="27"/>
        <v>1896+26+364SC2300X</v>
      </c>
      <c r="B1772">
        <v>4270</v>
      </c>
      <c r="C1772">
        <v>1896</v>
      </c>
      <c r="D1772">
        <v>26</v>
      </c>
      <c r="E1772" t="s">
        <v>378</v>
      </c>
      <c r="F1772" t="s">
        <v>3470</v>
      </c>
    </row>
    <row r="1773" spans="1:6" x14ac:dyDescent="0.25">
      <c r="A1773" t="str">
        <f t="shared" si="27"/>
        <v>1897+26+364SC1501X</v>
      </c>
      <c r="B1773">
        <v>4271</v>
      </c>
      <c r="C1773">
        <v>1897</v>
      </c>
      <c r="D1773">
        <v>26</v>
      </c>
      <c r="E1773" t="s">
        <v>376</v>
      </c>
      <c r="F1773" t="s">
        <v>3471</v>
      </c>
    </row>
    <row r="1774" spans="1:6" x14ac:dyDescent="0.25">
      <c r="A1774" t="str">
        <f t="shared" si="27"/>
        <v>1898+26+364SC0200X</v>
      </c>
      <c r="B1774">
        <v>4272</v>
      </c>
      <c r="C1774">
        <v>1898</v>
      </c>
      <c r="D1774">
        <v>26</v>
      </c>
      <c r="E1774" t="s">
        <v>374</v>
      </c>
      <c r="F1774" t="s">
        <v>3472</v>
      </c>
    </row>
    <row r="1775" spans="1:6" x14ac:dyDescent="0.25">
      <c r="A1775" t="str">
        <f t="shared" si="27"/>
        <v>1899+26+364SE0003X</v>
      </c>
      <c r="B1775">
        <v>4273</v>
      </c>
      <c r="C1775">
        <v>1899</v>
      </c>
      <c r="D1775">
        <v>26</v>
      </c>
      <c r="E1775" t="s">
        <v>380</v>
      </c>
      <c r="F1775" t="s">
        <v>3473</v>
      </c>
    </row>
    <row r="1776" spans="1:6" x14ac:dyDescent="0.25">
      <c r="A1776" t="str">
        <f t="shared" si="27"/>
        <v>1900+26+364SE1400X</v>
      </c>
      <c r="B1776">
        <v>4274</v>
      </c>
      <c r="C1776">
        <v>1900</v>
      </c>
      <c r="D1776">
        <v>26</v>
      </c>
      <c r="E1776" t="s">
        <v>382</v>
      </c>
      <c r="F1776" t="s">
        <v>3474</v>
      </c>
    </row>
    <row r="1777" spans="1:6" x14ac:dyDescent="0.25">
      <c r="A1777" t="str">
        <f t="shared" si="27"/>
        <v>1901+26+364SF0001X</v>
      </c>
      <c r="B1777">
        <v>4275</v>
      </c>
      <c r="C1777">
        <v>1901</v>
      </c>
      <c r="D1777">
        <v>26</v>
      </c>
      <c r="E1777" t="s">
        <v>384</v>
      </c>
      <c r="F1777" t="s">
        <v>3475</v>
      </c>
    </row>
    <row r="1778" spans="1:6" x14ac:dyDescent="0.25">
      <c r="A1778" t="str">
        <f t="shared" si="27"/>
        <v>1902+26+364SG0600X</v>
      </c>
      <c r="B1778">
        <v>4276</v>
      </c>
      <c r="C1778">
        <v>1902</v>
      </c>
      <c r="D1778">
        <v>26</v>
      </c>
      <c r="E1778" t="s">
        <v>385</v>
      </c>
      <c r="F1778" t="s">
        <v>3476</v>
      </c>
    </row>
    <row r="1779" spans="1:6" x14ac:dyDescent="0.25">
      <c r="A1779" t="str">
        <f t="shared" si="27"/>
        <v>1903+26+364SH1100X</v>
      </c>
      <c r="B1779">
        <v>4277</v>
      </c>
      <c r="C1779">
        <v>1903</v>
      </c>
      <c r="D1779">
        <v>26</v>
      </c>
      <c r="E1779" t="s">
        <v>388</v>
      </c>
      <c r="F1779" t="s">
        <v>3477</v>
      </c>
    </row>
    <row r="1780" spans="1:6" x14ac:dyDescent="0.25">
      <c r="A1780" t="str">
        <f t="shared" si="27"/>
        <v>1904+26+364SH0200X</v>
      </c>
      <c r="B1780">
        <v>4278</v>
      </c>
      <c r="C1780">
        <v>1904</v>
      </c>
      <c r="D1780">
        <v>26</v>
      </c>
      <c r="E1780" t="s">
        <v>386</v>
      </c>
      <c r="F1780" t="s">
        <v>3478</v>
      </c>
    </row>
    <row r="1781" spans="1:6" x14ac:dyDescent="0.25">
      <c r="A1781" t="str">
        <f t="shared" si="27"/>
        <v>1905+26+364SI0800X</v>
      </c>
      <c r="B1781">
        <v>4279</v>
      </c>
      <c r="C1781">
        <v>1905</v>
      </c>
      <c r="D1781">
        <v>26</v>
      </c>
      <c r="E1781" t="s">
        <v>390</v>
      </c>
      <c r="F1781" t="s">
        <v>3479</v>
      </c>
    </row>
    <row r="1782" spans="1:6" x14ac:dyDescent="0.25">
      <c r="A1782" t="str">
        <f t="shared" si="27"/>
        <v>1906+26+364SL0600X</v>
      </c>
      <c r="B1782">
        <v>4280</v>
      </c>
      <c r="C1782">
        <v>1906</v>
      </c>
      <c r="D1782">
        <v>26</v>
      </c>
      <c r="E1782" t="s">
        <v>392</v>
      </c>
      <c r="F1782" t="s">
        <v>3480</v>
      </c>
    </row>
    <row r="1783" spans="1:6" x14ac:dyDescent="0.25">
      <c r="A1783" t="str">
        <f t="shared" si="27"/>
        <v>1907+26+364SM0705X</v>
      </c>
      <c r="B1783">
        <v>4281</v>
      </c>
      <c r="C1783">
        <v>1907</v>
      </c>
      <c r="D1783">
        <v>26</v>
      </c>
      <c r="E1783" t="s">
        <v>394</v>
      </c>
      <c r="F1783" t="s">
        <v>3481</v>
      </c>
    </row>
    <row r="1784" spans="1:6" x14ac:dyDescent="0.25">
      <c r="A1784" t="str">
        <f t="shared" si="27"/>
        <v>1908+26+364SN0000X</v>
      </c>
      <c r="B1784">
        <v>4282</v>
      </c>
      <c r="C1784">
        <v>1908</v>
      </c>
      <c r="D1784">
        <v>26</v>
      </c>
      <c r="E1784" t="s">
        <v>395</v>
      </c>
      <c r="F1784" t="s">
        <v>3482</v>
      </c>
    </row>
    <row r="1785" spans="1:6" x14ac:dyDescent="0.25">
      <c r="A1785" t="str">
        <f t="shared" si="27"/>
        <v>1909+26+364SN0800X</v>
      </c>
      <c r="B1785">
        <v>4283</v>
      </c>
      <c r="C1785">
        <v>1909</v>
      </c>
      <c r="D1785">
        <v>26</v>
      </c>
      <c r="E1785" t="s">
        <v>397</v>
      </c>
      <c r="F1785" t="s">
        <v>3483</v>
      </c>
    </row>
    <row r="1786" spans="1:6" x14ac:dyDescent="0.25">
      <c r="A1786" t="str">
        <f t="shared" si="27"/>
        <v>1910+26+364SX0106X</v>
      </c>
      <c r="B1786">
        <v>4284</v>
      </c>
      <c r="C1786">
        <v>1910</v>
      </c>
      <c r="D1786">
        <v>26</v>
      </c>
      <c r="E1786" t="s">
        <v>419</v>
      </c>
      <c r="F1786" t="s">
        <v>3484</v>
      </c>
    </row>
    <row r="1787" spans="1:6" x14ac:dyDescent="0.25">
      <c r="A1787" t="str">
        <f t="shared" si="27"/>
        <v>1911+26+364SX0200X</v>
      </c>
      <c r="B1787">
        <v>4285</v>
      </c>
      <c r="C1787">
        <v>1911</v>
      </c>
      <c r="D1787">
        <v>26</v>
      </c>
      <c r="E1787" t="s">
        <v>420</v>
      </c>
      <c r="F1787" t="s">
        <v>3485</v>
      </c>
    </row>
    <row r="1788" spans="1:6" x14ac:dyDescent="0.25">
      <c r="A1788" t="str">
        <f t="shared" si="27"/>
        <v>1912+26+364SX0204X</v>
      </c>
      <c r="B1788">
        <v>4286</v>
      </c>
      <c r="C1788">
        <v>1912</v>
      </c>
      <c r="D1788">
        <v>26</v>
      </c>
      <c r="E1788" t="s">
        <v>422</v>
      </c>
      <c r="F1788" t="s">
        <v>3486</v>
      </c>
    </row>
    <row r="1789" spans="1:6" x14ac:dyDescent="0.25">
      <c r="A1789" t="str">
        <f t="shared" si="27"/>
        <v>1913+26+364SP0200X</v>
      </c>
      <c r="B1789">
        <v>4287</v>
      </c>
      <c r="C1789">
        <v>1913</v>
      </c>
      <c r="D1789">
        <v>26</v>
      </c>
      <c r="E1789" t="s">
        <v>336</v>
      </c>
      <c r="F1789" t="s">
        <v>3487</v>
      </c>
    </row>
    <row r="1790" spans="1:6" x14ac:dyDescent="0.25">
      <c r="A1790" t="str">
        <f t="shared" si="27"/>
        <v>1914+26+364SP1700X</v>
      </c>
      <c r="B1790">
        <v>4288</v>
      </c>
      <c r="C1790">
        <v>1914</v>
      </c>
      <c r="D1790">
        <v>26</v>
      </c>
      <c r="E1790" t="s">
        <v>411</v>
      </c>
      <c r="F1790" t="s">
        <v>3488</v>
      </c>
    </row>
    <row r="1791" spans="1:6" x14ac:dyDescent="0.25">
      <c r="A1791" t="str">
        <f t="shared" si="27"/>
        <v>1915+26+364SP2800X</v>
      </c>
      <c r="B1791">
        <v>4289</v>
      </c>
      <c r="C1791">
        <v>1915</v>
      </c>
      <c r="D1791">
        <v>26</v>
      </c>
      <c r="E1791" t="s">
        <v>413</v>
      </c>
      <c r="F1791" t="s">
        <v>3489</v>
      </c>
    </row>
    <row r="1792" spans="1:6" x14ac:dyDescent="0.25">
      <c r="A1792" t="str">
        <f t="shared" si="27"/>
        <v>1916+26+364SP0808X</v>
      </c>
      <c r="B1792">
        <v>4290</v>
      </c>
      <c r="C1792">
        <v>1916</v>
      </c>
      <c r="D1792">
        <v>26</v>
      </c>
      <c r="E1792" t="s">
        <v>400</v>
      </c>
      <c r="F1792" t="s">
        <v>3490</v>
      </c>
    </row>
    <row r="1793" spans="1:6" x14ac:dyDescent="0.25">
      <c r="A1793" t="str">
        <f t="shared" si="27"/>
        <v>1917+26+364SP0809X</v>
      </c>
      <c r="B1793">
        <v>4291</v>
      </c>
      <c r="C1793">
        <v>1917</v>
      </c>
      <c r="D1793">
        <v>26</v>
      </c>
      <c r="E1793" t="s">
        <v>402</v>
      </c>
      <c r="F1793" t="s">
        <v>3491</v>
      </c>
    </row>
    <row r="1794" spans="1:6" x14ac:dyDescent="0.25">
      <c r="A1794" t="str">
        <f t="shared" ref="A1794:A1857" si="28">C1794 &amp; "+" &amp; D1794 &amp; "+" &amp; E1794</f>
        <v>1918+26+364SP0807X</v>
      </c>
      <c r="B1794">
        <v>4292</v>
      </c>
      <c r="C1794">
        <v>1918</v>
      </c>
      <c r="D1794">
        <v>26</v>
      </c>
      <c r="E1794" t="s">
        <v>399</v>
      </c>
      <c r="F1794" t="s">
        <v>3492</v>
      </c>
    </row>
    <row r="1795" spans="1:6" x14ac:dyDescent="0.25">
      <c r="A1795" t="str">
        <f t="shared" si="28"/>
        <v>1919+26+364SP0810X</v>
      </c>
      <c r="B1795">
        <v>4293</v>
      </c>
      <c r="C1795">
        <v>1919</v>
      </c>
      <c r="D1795">
        <v>26</v>
      </c>
      <c r="E1795" t="s">
        <v>404</v>
      </c>
      <c r="F1795" t="s">
        <v>3493</v>
      </c>
    </row>
    <row r="1796" spans="1:6" x14ac:dyDescent="0.25">
      <c r="A1796" t="str">
        <f t="shared" si="28"/>
        <v>1920+26+364SP0811X</v>
      </c>
      <c r="B1796">
        <v>4294</v>
      </c>
      <c r="C1796">
        <v>1920</v>
      </c>
      <c r="D1796">
        <v>26</v>
      </c>
      <c r="E1796" t="s">
        <v>406</v>
      </c>
      <c r="F1796" t="s">
        <v>3494</v>
      </c>
    </row>
    <row r="1797" spans="1:6" x14ac:dyDescent="0.25">
      <c r="A1797" t="str">
        <f t="shared" si="28"/>
        <v>1921+26+364SP0812X</v>
      </c>
      <c r="B1797">
        <v>4295</v>
      </c>
      <c r="C1797">
        <v>1921</v>
      </c>
      <c r="D1797">
        <v>26</v>
      </c>
      <c r="E1797" t="s">
        <v>408</v>
      </c>
      <c r="F1797" t="s">
        <v>3495</v>
      </c>
    </row>
    <row r="1798" spans="1:6" x14ac:dyDescent="0.25">
      <c r="A1798" t="str">
        <f t="shared" si="28"/>
        <v>1922+26+364SP0813X</v>
      </c>
      <c r="B1798">
        <v>4296</v>
      </c>
      <c r="C1798">
        <v>1922</v>
      </c>
      <c r="D1798">
        <v>26</v>
      </c>
      <c r="E1798" t="s">
        <v>410</v>
      </c>
      <c r="F1798" t="s">
        <v>3496</v>
      </c>
    </row>
    <row r="1799" spans="1:6" x14ac:dyDescent="0.25">
      <c r="A1799" t="str">
        <f t="shared" si="28"/>
        <v>1923+26+364SR0400X</v>
      </c>
      <c r="B1799">
        <v>4297</v>
      </c>
      <c r="C1799">
        <v>1923</v>
      </c>
      <c r="D1799">
        <v>26</v>
      </c>
      <c r="E1799" t="s">
        <v>414</v>
      </c>
      <c r="F1799" t="s">
        <v>3497</v>
      </c>
    </row>
    <row r="1800" spans="1:6" x14ac:dyDescent="0.25">
      <c r="A1800" t="str">
        <f t="shared" si="28"/>
        <v>1924+26+364ST0500X</v>
      </c>
      <c r="B1800">
        <v>4298</v>
      </c>
      <c r="C1800">
        <v>1924</v>
      </c>
      <c r="D1800">
        <v>26</v>
      </c>
      <c r="E1800" t="s">
        <v>417</v>
      </c>
      <c r="F1800" t="s">
        <v>3498</v>
      </c>
    </row>
    <row r="1801" spans="1:6" x14ac:dyDescent="0.25">
      <c r="A1801" t="str">
        <f t="shared" si="28"/>
        <v>1925+26+364SS0200X</v>
      </c>
      <c r="B1801">
        <v>4299</v>
      </c>
      <c r="C1801">
        <v>1925</v>
      </c>
      <c r="D1801">
        <v>26</v>
      </c>
      <c r="E1801" t="s">
        <v>415</v>
      </c>
      <c r="F1801" t="s">
        <v>3499</v>
      </c>
    </row>
    <row r="1802" spans="1:6" x14ac:dyDescent="0.25">
      <c r="A1802" t="str">
        <f t="shared" si="28"/>
        <v>1926+26+364SW0102X</v>
      </c>
      <c r="B1802">
        <v>4300</v>
      </c>
      <c r="C1802">
        <v>1926</v>
      </c>
      <c r="D1802">
        <v>26</v>
      </c>
      <c r="E1802" t="s">
        <v>418</v>
      </c>
      <c r="F1802" t="s">
        <v>3500</v>
      </c>
    </row>
    <row r="1803" spans="1:6" x14ac:dyDescent="0.25">
      <c r="A1803" t="str">
        <f t="shared" si="28"/>
        <v>1928+5+111NR0400X</v>
      </c>
      <c r="B1803">
        <v>4301</v>
      </c>
      <c r="C1803">
        <v>1928</v>
      </c>
      <c r="D1803">
        <v>5</v>
      </c>
      <c r="E1803" t="s">
        <v>587</v>
      </c>
      <c r="F1803" t="s">
        <v>3501</v>
      </c>
    </row>
    <row r="1804" spans="1:6" x14ac:dyDescent="0.25">
      <c r="A1804" t="str">
        <f t="shared" si="28"/>
        <v>1929+1+207RS0012X</v>
      </c>
      <c r="B1804">
        <v>4302</v>
      </c>
      <c r="C1804">
        <v>1929</v>
      </c>
      <c r="D1804">
        <v>1</v>
      </c>
      <c r="E1804" t="s">
        <v>1162</v>
      </c>
      <c r="F1804" t="s">
        <v>3502</v>
      </c>
    </row>
    <row r="1805" spans="1:6" x14ac:dyDescent="0.25">
      <c r="A1805" t="str">
        <f t="shared" si="28"/>
        <v>1930+7+207RS0012X</v>
      </c>
      <c r="B1805">
        <v>4303</v>
      </c>
      <c r="C1805">
        <v>1930</v>
      </c>
      <c r="D1805">
        <v>7</v>
      </c>
      <c r="E1805" t="s">
        <v>1162</v>
      </c>
      <c r="F1805" t="s">
        <v>3502</v>
      </c>
    </row>
    <row r="1806" spans="1:6" x14ac:dyDescent="0.25">
      <c r="A1806" t="str">
        <f t="shared" si="28"/>
        <v>1931+1+207XP3100X</v>
      </c>
      <c r="B1806">
        <v>4304</v>
      </c>
      <c r="C1806">
        <v>1931</v>
      </c>
      <c r="D1806">
        <v>1</v>
      </c>
      <c r="E1806" t="s">
        <v>1199</v>
      </c>
      <c r="F1806" t="s">
        <v>3503</v>
      </c>
    </row>
    <row r="1807" spans="1:6" x14ac:dyDescent="0.25">
      <c r="A1807" t="str">
        <f t="shared" si="28"/>
        <v>1932+7+207XP3100X</v>
      </c>
      <c r="B1807">
        <v>4305</v>
      </c>
      <c r="C1807">
        <v>1932</v>
      </c>
      <c r="D1807">
        <v>7</v>
      </c>
      <c r="E1807" t="s">
        <v>1199</v>
      </c>
      <c r="F1807" t="s">
        <v>3503</v>
      </c>
    </row>
    <row r="1808" spans="1:6" x14ac:dyDescent="0.25">
      <c r="A1808" t="str">
        <f t="shared" si="28"/>
        <v>1933+1+207YS0012X</v>
      </c>
      <c r="B1808">
        <v>4306</v>
      </c>
      <c r="C1808">
        <v>1933</v>
      </c>
      <c r="D1808">
        <v>1</v>
      </c>
      <c r="E1808" t="s">
        <v>1218</v>
      </c>
      <c r="F1808" t="s">
        <v>3504</v>
      </c>
    </row>
    <row r="1809" spans="1:6" x14ac:dyDescent="0.25">
      <c r="A1809" t="str">
        <f t="shared" si="28"/>
        <v>1934+7+207YS0012X</v>
      </c>
      <c r="B1809">
        <v>4307</v>
      </c>
      <c r="C1809">
        <v>1934</v>
      </c>
      <c r="D1809">
        <v>7</v>
      </c>
      <c r="E1809" t="s">
        <v>1218</v>
      </c>
      <c r="F1809" t="s">
        <v>3504</v>
      </c>
    </row>
    <row r="1810" spans="1:6" x14ac:dyDescent="0.25">
      <c r="A1810" t="str">
        <f t="shared" si="28"/>
        <v>1935+1+207LP3000X</v>
      </c>
      <c r="B1810">
        <v>4308</v>
      </c>
      <c r="C1810">
        <v>1935</v>
      </c>
      <c r="D1810">
        <v>1</v>
      </c>
      <c r="E1810" t="s">
        <v>1085</v>
      </c>
      <c r="F1810" t="s">
        <v>3505</v>
      </c>
    </row>
    <row r="1811" spans="1:6" x14ac:dyDescent="0.25">
      <c r="A1811" t="str">
        <f t="shared" si="28"/>
        <v>1936+7+207LP3000X</v>
      </c>
      <c r="B1811">
        <v>4309</v>
      </c>
      <c r="C1811">
        <v>1936</v>
      </c>
      <c r="D1811">
        <v>7</v>
      </c>
      <c r="E1811" t="s">
        <v>1085</v>
      </c>
      <c r="F1811" t="s">
        <v>3505</v>
      </c>
    </row>
    <row r="1812" spans="1:6" x14ac:dyDescent="0.25">
      <c r="A1812" t="str">
        <f t="shared" si="28"/>
        <v>1937+1+2080S0012X</v>
      </c>
      <c r="B1812">
        <v>4310</v>
      </c>
      <c r="C1812">
        <v>1937</v>
      </c>
      <c r="D1812">
        <v>1</v>
      </c>
      <c r="E1812" t="s">
        <v>1296</v>
      </c>
      <c r="F1812" t="s">
        <v>3506</v>
      </c>
    </row>
    <row r="1813" spans="1:6" x14ac:dyDescent="0.25">
      <c r="A1813" t="str">
        <f t="shared" si="28"/>
        <v>1938+7+2080S0012X</v>
      </c>
      <c r="B1813">
        <v>4311</v>
      </c>
      <c r="C1813">
        <v>1938</v>
      </c>
      <c r="D1813">
        <v>7</v>
      </c>
      <c r="E1813" t="s">
        <v>1296</v>
      </c>
      <c r="F1813" t="s">
        <v>3506</v>
      </c>
    </row>
    <row r="1814" spans="1:6" x14ac:dyDescent="0.25">
      <c r="A1814" t="str">
        <f t="shared" si="28"/>
        <v>1939+42+1835G0303X</v>
      </c>
      <c r="B1814">
        <v>4312</v>
      </c>
      <c r="C1814">
        <v>1939</v>
      </c>
      <c r="D1814">
        <v>42</v>
      </c>
      <c r="E1814" t="s">
        <v>1768</v>
      </c>
      <c r="F1814" t="s">
        <v>3507</v>
      </c>
    </row>
    <row r="1815" spans="1:6" x14ac:dyDescent="0.25">
      <c r="A1815" t="str">
        <f t="shared" si="28"/>
        <v>1940+42+1835X0200X</v>
      </c>
      <c r="B1815">
        <v>4313</v>
      </c>
      <c r="C1815">
        <v>1940</v>
      </c>
      <c r="D1815">
        <v>42</v>
      </c>
      <c r="E1815" t="s">
        <v>1783</v>
      </c>
      <c r="F1815" t="s">
        <v>3508</v>
      </c>
    </row>
    <row r="1816" spans="1:6" x14ac:dyDescent="0.25">
      <c r="A1816" t="str">
        <f t="shared" si="28"/>
        <v>1941+42+1835N0905X</v>
      </c>
      <c r="B1816">
        <v>4314</v>
      </c>
      <c r="C1816">
        <v>1941</v>
      </c>
      <c r="D1816">
        <v>42</v>
      </c>
      <c r="E1816" t="s">
        <v>1771</v>
      </c>
      <c r="F1816" t="s">
        <v>3509</v>
      </c>
    </row>
    <row r="1817" spans="1:6" x14ac:dyDescent="0.25">
      <c r="A1817" t="str">
        <f t="shared" si="28"/>
        <v>1942+42+1835P1300X</v>
      </c>
      <c r="B1817">
        <v>4315</v>
      </c>
      <c r="C1817">
        <v>1942</v>
      </c>
      <c r="D1817">
        <v>42</v>
      </c>
      <c r="E1817" t="s">
        <v>1781</v>
      </c>
      <c r="F1817" t="s">
        <v>3510</v>
      </c>
    </row>
    <row r="1818" spans="1:6" x14ac:dyDescent="0.25">
      <c r="A1818" t="str">
        <f t="shared" si="28"/>
        <v>1943+1+2084S0012X</v>
      </c>
      <c r="B1818">
        <v>4316</v>
      </c>
      <c r="C1818">
        <v>1943</v>
      </c>
      <c r="D1818">
        <v>1</v>
      </c>
      <c r="E1818" t="s">
        <v>1361</v>
      </c>
      <c r="F1818" t="s">
        <v>3511</v>
      </c>
    </row>
    <row r="1819" spans="1:6" x14ac:dyDescent="0.25">
      <c r="A1819" t="str">
        <f t="shared" si="28"/>
        <v>1944+7+2084S0012X</v>
      </c>
      <c r="B1819">
        <v>4317</v>
      </c>
      <c r="C1819">
        <v>1944</v>
      </c>
      <c r="D1819">
        <v>7</v>
      </c>
      <c r="E1819" t="s">
        <v>1361</v>
      </c>
      <c r="F1819" t="s">
        <v>3511</v>
      </c>
    </row>
    <row r="1820" spans="1:6" x14ac:dyDescent="0.25">
      <c r="A1820" t="str">
        <f t="shared" si="28"/>
        <v>1945+27+103TH0100X</v>
      </c>
      <c r="B1820">
        <v>4318</v>
      </c>
      <c r="C1820">
        <v>1945</v>
      </c>
      <c r="D1820">
        <v>27</v>
      </c>
      <c r="E1820" t="s">
        <v>503</v>
      </c>
      <c r="F1820" t="s">
        <v>3512</v>
      </c>
    </row>
    <row r="1821" spans="1:6" x14ac:dyDescent="0.25">
      <c r="A1821" t="str">
        <f t="shared" si="28"/>
        <v>1946+24+163WR0006X</v>
      </c>
      <c r="B1821">
        <v>4319</v>
      </c>
      <c r="C1821">
        <v>1946</v>
      </c>
      <c r="D1821">
        <v>24</v>
      </c>
      <c r="E1821" t="s">
        <v>640</v>
      </c>
      <c r="F1821" t="s">
        <v>3513</v>
      </c>
    </row>
    <row r="1822" spans="1:6" x14ac:dyDescent="0.25">
      <c r="A1822" t="str">
        <f t="shared" si="28"/>
        <v>1947+26+163WR0006X</v>
      </c>
      <c r="B1822">
        <v>4320</v>
      </c>
      <c r="C1822">
        <v>1947</v>
      </c>
      <c r="D1822">
        <v>26</v>
      </c>
      <c r="E1822" t="s">
        <v>640</v>
      </c>
      <c r="F1822" t="s">
        <v>3513</v>
      </c>
    </row>
    <row r="1823" spans="1:6" x14ac:dyDescent="0.25">
      <c r="A1823" t="str">
        <f t="shared" si="28"/>
        <v>1948+36+163WR0006X</v>
      </c>
      <c r="B1823">
        <v>4321</v>
      </c>
      <c r="C1823">
        <v>1948</v>
      </c>
      <c r="D1823">
        <v>36</v>
      </c>
      <c r="E1823" t="s">
        <v>640</v>
      </c>
      <c r="F1823" t="s">
        <v>3513</v>
      </c>
    </row>
    <row r="1824" spans="1:6" x14ac:dyDescent="0.25">
      <c r="A1824" t="str">
        <f t="shared" si="28"/>
        <v>1949+37+163WR0006X</v>
      </c>
      <c r="B1824">
        <v>4322</v>
      </c>
      <c r="C1824">
        <v>1949</v>
      </c>
      <c r="D1824">
        <v>37</v>
      </c>
      <c r="E1824" t="s">
        <v>640</v>
      </c>
      <c r="F1824" t="s">
        <v>3513</v>
      </c>
    </row>
    <row r="1825" spans="1:6" x14ac:dyDescent="0.25">
      <c r="A1825" t="str">
        <f t="shared" si="28"/>
        <v>1950+46+163WR0006X</v>
      </c>
      <c r="B1825">
        <v>4323</v>
      </c>
      <c r="C1825">
        <v>1950</v>
      </c>
      <c r="D1825">
        <v>46</v>
      </c>
      <c r="E1825" t="s">
        <v>640</v>
      </c>
      <c r="F1825" t="s">
        <v>3513</v>
      </c>
    </row>
    <row r="1826" spans="1:6" x14ac:dyDescent="0.25">
      <c r="A1826" t="str">
        <f t="shared" si="28"/>
        <v>1951+47+163WR0006X</v>
      </c>
      <c r="B1826">
        <v>4324</v>
      </c>
      <c r="C1826">
        <v>1951</v>
      </c>
      <c r="D1826">
        <v>47</v>
      </c>
      <c r="E1826" t="s">
        <v>640</v>
      </c>
      <c r="F1826" t="s">
        <v>3513</v>
      </c>
    </row>
    <row r="1827" spans="1:6" x14ac:dyDescent="0.25">
      <c r="A1827" t="str">
        <f t="shared" si="28"/>
        <v>1952+1+2088P0231X</v>
      </c>
      <c r="B1827">
        <v>4325</v>
      </c>
      <c r="C1827">
        <v>1952</v>
      </c>
      <c r="D1827">
        <v>1</v>
      </c>
      <c r="E1827" t="s">
        <v>1404</v>
      </c>
      <c r="F1827" t="s">
        <v>3514</v>
      </c>
    </row>
    <row r="1828" spans="1:6" x14ac:dyDescent="0.25">
      <c r="A1828" t="str">
        <f t="shared" si="28"/>
        <v>1953+7+2088P0231X</v>
      </c>
      <c r="B1828">
        <v>4326</v>
      </c>
      <c r="C1828">
        <v>1953</v>
      </c>
      <c r="D1828">
        <v>7</v>
      </c>
      <c r="E1828" t="s">
        <v>1404</v>
      </c>
      <c r="F1828" t="s">
        <v>3514</v>
      </c>
    </row>
    <row r="1829" spans="1:6" x14ac:dyDescent="0.25">
      <c r="A1829" t="str">
        <f t="shared" si="28"/>
        <v>1954+1+207LH0002X</v>
      </c>
      <c r="B1829">
        <v>4327</v>
      </c>
      <c r="C1829">
        <v>1954</v>
      </c>
      <c r="D1829">
        <v>1</v>
      </c>
      <c r="E1829" t="s">
        <v>1081</v>
      </c>
      <c r="F1829" t="s">
        <v>3515</v>
      </c>
    </row>
    <row r="1830" spans="1:6" x14ac:dyDescent="0.25">
      <c r="A1830" t="str">
        <f t="shared" si="28"/>
        <v>1955+7+207LH0002X</v>
      </c>
      <c r="B1830">
        <v>4328</v>
      </c>
      <c r="C1830">
        <v>1955</v>
      </c>
      <c r="D1830">
        <v>7</v>
      </c>
      <c r="E1830" t="s">
        <v>1081</v>
      </c>
      <c r="F1830" t="s">
        <v>3515</v>
      </c>
    </row>
    <row r="1831" spans="1:6" x14ac:dyDescent="0.25">
      <c r="A1831" t="str">
        <f t="shared" si="28"/>
        <v>1956+1+207PH0002X</v>
      </c>
      <c r="B1831">
        <v>4329</v>
      </c>
      <c r="C1831">
        <v>1956</v>
      </c>
      <c r="D1831">
        <v>1</v>
      </c>
      <c r="E1831" t="s">
        <v>1107</v>
      </c>
      <c r="F1831" t="s">
        <v>3516</v>
      </c>
    </row>
    <row r="1832" spans="1:6" x14ac:dyDescent="0.25">
      <c r="A1832" t="str">
        <f t="shared" si="28"/>
        <v>1957+7+207PH0002X</v>
      </c>
      <c r="B1832">
        <v>4330</v>
      </c>
      <c r="C1832">
        <v>1957</v>
      </c>
      <c r="D1832">
        <v>7</v>
      </c>
      <c r="E1832" t="s">
        <v>1107</v>
      </c>
      <c r="F1832" t="s">
        <v>3516</v>
      </c>
    </row>
    <row r="1833" spans="1:6" x14ac:dyDescent="0.25">
      <c r="A1833" t="str">
        <f t="shared" si="28"/>
        <v>1958+1+207Q00000X</v>
      </c>
      <c r="B1833">
        <v>4331</v>
      </c>
      <c r="C1833">
        <v>1958</v>
      </c>
      <c r="D1833">
        <v>1</v>
      </c>
      <c r="E1833" t="s">
        <v>1114</v>
      </c>
      <c r="F1833" t="s">
        <v>1426</v>
      </c>
    </row>
    <row r="1834" spans="1:6" x14ac:dyDescent="0.25">
      <c r="A1834" t="str">
        <f t="shared" si="28"/>
        <v>1959+7+207Q00000X</v>
      </c>
      <c r="B1834">
        <v>4332</v>
      </c>
      <c r="C1834">
        <v>1959</v>
      </c>
      <c r="D1834">
        <v>7</v>
      </c>
      <c r="E1834" t="s">
        <v>1114</v>
      </c>
      <c r="F1834" t="s">
        <v>1426</v>
      </c>
    </row>
    <row r="1835" spans="1:6" x14ac:dyDescent="0.25">
      <c r="A1835" t="str">
        <f t="shared" si="28"/>
        <v>1960+1+207QA0401X</v>
      </c>
      <c r="B1835">
        <v>4333</v>
      </c>
      <c r="C1835">
        <v>1960</v>
      </c>
      <c r="D1835">
        <v>1</v>
      </c>
      <c r="E1835" t="s">
        <v>995</v>
      </c>
      <c r="F1835" t="s">
        <v>3517</v>
      </c>
    </row>
    <row r="1836" spans="1:6" x14ac:dyDescent="0.25">
      <c r="A1836" t="str">
        <f t="shared" si="28"/>
        <v>1961+7+207QA0401X</v>
      </c>
      <c r="B1836">
        <v>4334</v>
      </c>
      <c r="C1836">
        <v>1961</v>
      </c>
      <c r="D1836">
        <v>7</v>
      </c>
      <c r="E1836" t="s">
        <v>995</v>
      </c>
      <c r="F1836" t="s">
        <v>3517</v>
      </c>
    </row>
    <row r="1837" spans="1:6" x14ac:dyDescent="0.25">
      <c r="A1837" t="str">
        <f t="shared" si="28"/>
        <v>1962+1+207QA0000X</v>
      </c>
      <c r="B1837">
        <v>4335</v>
      </c>
      <c r="C1837">
        <v>1962</v>
      </c>
      <c r="D1837">
        <v>1</v>
      </c>
      <c r="E1837" t="s">
        <v>1117</v>
      </c>
      <c r="F1837" t="s">
        <v>3518</v>
      </c>
    </row>
    <row r="1838" spans="1:6" x14ac:dyDescent="0.25">
      <c r="A1838" t="str">
        <f t="shared" si="28"/>
        <v>1963+7+207QA0000X</v>
      </c>
      <c r="B1838">
        <v>4336</v>
      </c>
      <c r="C1838">
        <v>1963</v>
      </c>
      <c r="D1838">
        <v>7</v>
      </c>
      <c r="E1838" t="s">
        <v>1117</v>
      </c>
      <c r="F1838" t="s">
        <v>3518</v>
      </c>
    </row>
    <row r="1839" spans="1:6" x14ac:dyDescent="0.25">
      <c r="A1839" t="str">
        <f t="shared" si="28"/>
        <v>1964+1+207QA0505X</v>
      </c>
      <c r="B1839">
        <v>4337</v>
      </c>
      <c r="C1839">
        <v>1964</v>
      </c>
      <c r="D1839">
        <v>1</v>
      </c>
      <c r="E1839" t="s">
        <v>1119</v>
      </c>
      <c r="F1839" t="s">
        <v>3519</v>
      </c>
    </row>
    <row r="1840" spans="1:6" x14ac:dyDescent="0.25">
      <c r="A1840" t="str">
        <f t="shared" si="28"/>
        <v>1965+7+207QA0505X</v>
      </c>
      <c r="B1840">
        <v>4338</v>
      </c>
      <c r="C1840">
        <v>1965</v>
      </c>
      <c r="D1840">
        <v>7</v>
      </c>
      <c r="E1840" t="s">
        <v>1119</v>
      </c>
      <c r="F1840" t="s">
        <v>3519</v>
      </c>
    </row>
    <row r="1841" spans="1:6" x14ac:dyDescent="0.25">
      <c r="A1841" t="str">
        <f t="shared" si="28"/>
        <v>1966+1+207QG0300X</v>
      </c>
      <c r="B1841">
        <v>4339</v>
      </c>
      <c r="C1841">
        <v>1966</v>
      </c>
      <c r="D1841">
        <v>1</v>
      </c>
      <c r="E1841" t="s">
        <v>997</v>
      </c>
      <c r="F1841" t="s">
        <v>3520</v>
      </c>
    </row>
    <row r="1842" spans="1:6" x14ac:dyDescent="0.25">
      <c r="A1842" t="str">
        <f t="shared" si="28"/>
        <v>1967+7+207QG0300X</v>
      </c>
      <c r="B1842">
        <v>4340</v>
      </c>
      <c r="C1842">
        <v>1967</v>
      </c>
      <c r="D1842">
        <v>7</v>
      </c>
      <c r="E1842" t="s">
        <v>997</v>
      </c>
      <c r="F1842" t="s">
        <v>3520</v>
      </c>
    </row>
    <row r="1843" spans="1:6" x14ac:dyDescent="0.25">
      <c r="A1843" t="str">
        <f t="shared" si="28"/>
        <v>1968+1+207QH0002X</v>
      </c>
      <c r="B1843">
        <v>4341</v>
      </c>
      <c r="C1843">
        <v>1968</v>
      </c>
      <c r="D1843">
        <v>1</v>
      </c>
      <c r="E1843" t="s">
        <v>1122</v>
      </c>
      <c r="F1843" t="s">
        <v>3521</v>
      </c>
    </row>
    <row r="1844" spans="1:6" x14ac:dyDescent="0.25">
      <c r="A1844" t="str">
        <f t="shared" si="28"/>
        <v>1969+7+207QH0002X</v>
      </c>
      <c r="B1844">
        <v>4342</v>
      </c>
      <c r="C1844">
        <v>1969</v>
      </c>
      <c r="D1844">
        <v>7</v>
      </c>
      <c r="E1844" t="s">
        <v>1122</v>
      </c>
      <c r="F1844" t="s">
        <v>3521</v>
      </c>
    </row>
    <row r="1845" spans="1:6" x14ac:dyDescent="0.25">
      <c r="A1845" t="str">
        <f t="shared" si="28"/>
        <v>1970+1+207QS0010X</v>
      </c>
      <c r="B1845">
        <v>4343</v>
      </c>
      <c r="C1845">
        <v>1970</v>
      </c>
      <c r="D1845">
        <v>1</v>
      </c>
      <c r="E1845" t="s">
        <v>1124</v>
      </c>
      <c r="F1845" t="s">
        <v>3522</v>
      </c>
    </row>
    <row r="1846" spans="1:6" x14ac:dyDescent="0.25">
      <c r="A1846" t="str">
        <f t="shared" si="28"/>
        <v>1971+7+207QS0010X</v>
      </c>
      <c r="B1846">
        <v>4344</v>
      </c>
      <c r="C1846">
        <v>1971</v>
      </c>
      <c r="D1846">
        <v>7</v>
      </c>
      <c r="E1846" t="s">
        <v>1124</v>
      </c>
      <c r="F1846" t="s">
        <v>3522</v>
      </c>
    </row>
    <row r="1847" spans="1:6" x14ac:dyDescent="0.25">
      <c r="A1847" t="str">
        <f t="shared" si="28"/>
        <v>1972+1+202C00000X</v>
      </c>
      <c r="B1847">
        <v>4345</v>
      </c>
      <c r="C1847">
        <v>1972</v>
      </c>
      <c r="D1847">
        <v>1</v>
      </c>
      <c r="E1847" t="s">
        <v>1056</v>
      </c>
      <c r="F1847" t="s">
        <v>3523</v>
      </c>
    </row>
    <row r="1848" spans="1:6" x14ac:dyDescent="0.25">
      <c r="A1848" t="str">
        <f t="shared" si="28"/>
        <v>1973+7+202C00000X</v>
      </c>
      <c r="B1848">
        <v>4346</v>
      </c>
      <c r="C1848">
        <v>1973</v>
      </c>
      <c r="D1848">
        <v>7</v>
      </c>
      <c r="E1848" t="s">
        <v>1056</v>
      </c>
      <c r="F1848" t="s">
        <v>3523</v>
      </c>
    </row>
    <row r="1849" spans="1:6" x14ac:dyDescent="0.25">
      <c r="A1849" t="str">
        <f t="shared" si="28"/>
        <v>1974+1+207RH0002X</v>
      </c>
      <c r="B1849">
        <v>4347</v>
      </c>
      <c r="C1849">
        <v>1974</v>
      </c>
      <c r="D1849">
        <v>1</v>
      </c>
      <c r="E1849" t="s">
        <v>1144</v>
      </c>
      <c r="F1849" t="s">
        <v>3524</v>
      </c>
    </row>
    <row r="1850" spans="1:6" x14ac:dyDescent="0.25">
      <c r="A1850" t="str">
        <f t="shared" si="28"/>
        <v>1975+7+207RH0002X</v>
      </c>
      <c r="B1850">
        <v>4348</v>
      </c>
      <c r="C1850">
        <v>1975</v>
      </c>
      <c r="D1850">
        <v>7</v>
      </c>
      <c r="E1850" t="s">
        <v>1144</v>
      </c>
      <c r="F1850" t="s">
        <v>3524</v>
      </c>
    </row>
    <row r="1851" spans="1:6" x14ac:dyDescent="0.25">
      <c r="A1851" t="str">
        <f t="shared" si="28"/>
        <v>1976+1+207VH0002X</v>
      </c>
      <c r="B1851">
        <v>4349</v>
      </c>
      <c r="C1851">
        <v>1976</v>
      </c>
      <c r="D1851">
        <v>1</v>
      </c>
      <c r="E1851" t="s">
        <v>1186</v>
      </c>
      <c r="F1851" t="s">
        <v>3525</v>
      </c>
    </row>
    <row r="1852" spans="1:6" x14ac:dyDescent="0.25">
      <c r="A1852" t="str">
        <f t="shared" si="28"/>
        <v>1977+7+207VH0002X</v>
      </c>
      <c r="B1852">
        <v>4350</v>
      </c>
      <c r="C1852">
        <v>1977</v>
      </c>
      <c r="D1852">
        <v>7</v>
      </c>
      <c r="E1852" t="s">
        <v>1186</v>
      </c>
      <c r="F1852" t="s">
        <v>3525</v>
      </c>
    </row>
    <row r="1853" spans="1:6" x14ac:dyDescent="0.25">
      <c r="A1853" t="str">
        <f t="shared" si="28"/>
        <v>1978+1+2080H0002X</v>
      </c>
      <c r="B1853">
        <v>4351</v>
      </c>
      <c r="C1853">
        <v>1978</v>
      </c>
      <c r="D1853">
        <v>1</v>
      </c>
      <c r="E1853" t="s">
        <v>1267</v>
      </c>
      <c r="F1853" t="s">
        <v>3526</v>
      </c>
    </row>
    <row r="1854" spans="1:6" x14ac:dyDescent="0.25">
      <c r="A1854" t="str">
        <f t="shared" si="28"/>
        <v>1979+7+2080H0002X</v>
      </c>
      <c r="B1854">
        <v>4352</v>
      </c>
      <c r="C1854">
        <v>1979</v>
      </c>
      <c r="D1854">
        <v>7</v>
      </c>
      <c r="E1854" t="s">
        <v>1267</v>
      </c>
      <c r="F1854" t="s">
        <v>3526</v>
      </c>
    </row>
    <row r="1855" spans="1:6" x14ac:dyDescent="0.25">
      <c r="A1855" t="str">
        <f t="shared" si="28"/>
        <v>1980+1+202K00000X</v>
      </c>
      <c r="B1855">
        <v>4353</v>
      </c>
      <c r="C1855">
        <v>1980</v>
      </c>
      <c r="D1855">
        <v>1</v>
      </c>
      <c r="E1855" t="s">
        <v>1423</v>
      </c>
      <c r="F1855" t="s">
        <v>1424</v>
      </c>
    </row>
    <row r="1856" spans="1:6" x14ac:dyDescent="0.25">
      <c r="A1856" t="str">
        <f t="shared" si="28"/>
        <v>1980+50+202K00000X</v>
      </c>
      <c r="B1856">
        <v>10037</v>
      </c>
      <c r="C1856">
        <v>1980</v>
      </c>
      <c r="D1856">
        <v>50</v>
      </c>
      <c r="E1856" t="s">
        <v>1423</v>
      </c>
      <c r="F1856" t="s">
        <v>3726</v>
      </c>
    </row>
    <row r="1857" spans="1:6" x14ac:dyDescent="0.25">
      <c r="A1857" t="str">
        <f t="shared" si="28"/>
        <v>1980+51+193400000X</v>
      </c>
      <c r="B1857">
        <v>4465</v>
      </c>
      <c r="C1857">
        <v>1980</v>
      </c>
      <c r="D1857">
        <v>51</v>
      </c>
      <c r="E1857" t="s">
        <v>1447</v>
      </c>
      <c r="F1857" t="s">
        <v>3680</v>
      </c>
    </row>
    <row r="1858" spans="1:6" x14ac:dyDescent="0.25">
      <c r="A1858" t="str">
        <f t="shared" ref="A1858:A1921" si="29">C1858 &amp; "+" &amp; D1858 &amp; "+" &amp; E1858</f>
        <v>1980+51+202K00000X</v>
      </c>
      <c r="B1858">
        <v>10038</v>
      </c>
      <c r="C1858">
        <v>1980</v>
      </c>
      <c r="D1858">
        <v>51</v>
      </c>
      <c r="E1858" t="s">
        <v>1423</v>
      </c>
      <c r="F1858" t="s">
        <v>3726</v>
      </c>
    </row>
    <row r="1859" spans="1:6" x14ac:dyDescent="0.25">
      <c r="A1859" t="str">
        <f t="shared" si="29"/>
        <v>1980+85+246RP1900X</v>
      </c>
      <c r="B1859">
        <v>10080</v>
      </c>
      <c r="C1859">
        <v>1980</v>
      </c>
      <c r="D1859">
        <v>85</v>
      </c>
      <c r="E1859" t="s">
        <v>1564</v>
      </c>
      <c r="F1859" t="s">
        <v>3727</v>
      </c>
    </row>
    <row r="1860" spans="1:6" x14ac:dyDescent="0.25">
      <c r="A1860" t="str">
        <f t="shared" si="29"/>
        <v>1980+114+202K00000X</v>
      </c>
      <c r="B1860">
        <v>10036</v>
      </c>
      <c r="C1860">
        <v>1980</v>
      </c>
      <c r="D1860">
        <v>114</v>
      </c>
      <c r="E1860" t="s">
        <v>1423</v>
      </c>
      <c r="F1860" t="s">
        <v>3726</v>
      </c>
    </row>
    <row r="1861" spans="1:6" x14ac:dyDescent="0.25">
      <c r="A1861" t="str">
        <f t="shared" si="29"/>
        <v>1981+7+202K00000X</v>
      </c>
      <c r="B1861">
        <v>4354</v>
      </c>
      <c r="C1861">
        <v>1981</v>
      </c>
      <c r="D1861">
        <v>7</v>
      </c>
      <c r="E1861" t="s">
        <v>1423</v>
      </c>
      <c r="F1861" t="s">
        <v>1424</v>
      </c>
    </row>
    <row r="1862" spans="1:6" x14ac:dyDescent="0.25">
      <c r="A1862" t="str">
        <f t="shared" si="29"/>
        <v>1981+51+193400000X</v>
      </c>
      <c r="B1862">
        <v>4466</v>
      </c>
      <c r="C1862">
        <v>1981</v>
      </c>
      <c r="D1862">
        <v>51</v>
      </c>
      <c r="E1862" t="s">
        <v>1447</v>
      </c>
      <c r="F1862" t="s">
        <v>1953</v>
      </c>
    </row>
    <row r="1863" spans="1:6" x14ac:dyDescent="0.25">
      <c r="A1863" t="str">
        <f t="shared" si="29"/>
        <v>1982+1+2081H0002X</v>
      </c>
      <c r="B1863">
        <v>4355</v>
      </c>
      <c r="C1863">
        <v>1982</v>
      </c>
      <c r="D1863">
        <v>1</v>
      </c>
      <c r="E1863" t="s">
        <v>1304</v>
      </c>
      <c r="F1863" t="s">
        <v>3527</v>
      </c>
    </row>
    <row r="1864" spans="1:6" x14ac:dyDescent="0.25">
      <c r="A1864" t="str">
        <f t="shared" si="29"/>
        <v>1983+7+2081H0002X</v>
      </c>
      <c r="B1864">
        <v>4356</v>
      </c>
      <c r="C1864">
        <v>1983</v>
      </c>
      <c r="D1864">
        <v>7</v>
      </c>
      <c r="E1864" t="s">
        <v>1304</v>
      </c>
      <c r="F1864" t="s">
        <v>3527</v>
      </c>
    </row>
    <row r="1865" spans="1:6" x14ac:dyDescent="0.25">
      <c r="A1865" t="str">
        <f t="shared" si="29"/>
        <v>1984+1+2084D0003X</v>
      </c>
      <c r="B1865">
        <v>4357</v>
      </c>
      <c r="C1865">
        <v>1984</v>
      </c>
      <c r="D1865">
        <v>1</v>
      </c>
      <c r="E1865" t="s">
        <v>1335</v>
      </c>
      <c r="F1865" t="s">
        <v>3528</v>
      </c>
    </row>
    <row r="1866" spans="1:6" x14ac:dyDescent="0.25">
      <c r="A1866" t="str">
        <f t="shared" si="29"/>
        <v>1985+7+2084D0003X</v>
      </c>
      <c r="B1866">
        <v>4358</v>
      </c>
      <c r="C1866">
        <v>1985</v>
      </c>
      <c r="D1866">
        <v>7</v>
      </c>
      <c r="E1866" t="s">
        <v>1335</v>
      </c>
      <c r="F1866" t="s">
        <v>3528</v>
      </c>
    </row>
    <row r="1867" spans="1:6" x14ac:dyDescent="0.25">
      <c r="A1867" t="str">
        <f t="shared" si="29"/>
        <v>1986+1+2084H0002X</v>
      </c>
      <c r="B1867">
        <v>4359</v>
      </c>
      <c r="C1867">
        <v>1986</v>
      </c>
      <c r="D1867">
        <v>1</v>
      </c>
      <c r="E1867" t="s">
        <v>1339</v>
      </c>
      <c r="F1867" t="s">
        <v>3529</v>
      </c>
    </row>
    <row r="1868" spans="1:6" x14ac:dyDescent="0.25">
      <c r="A1868" t="str">
        <f t="shared" si="29"/>
        <v>1987+7+2084H0002X</v>
      </c>
      <c r="B1868">
        <v>4360</v>
      </c>
      <c r="C1868">
        <v>1987</v>
      </c>
      <c r="D1868">
        <v>7</v>
      </c>
      <c r="E1868" t="s">
        <v>1339</v>
      </c>
      <c r="F1868" t="s">
        <v>3529</v>
      </c>
    </row>
    <row r="1869" spans="1:6" x14ac:dyDescent="0.25">
      <c r="A1869" t="str">
        <f t="shared" si="29"/>
        <v>1988+1+2084P0015X</v>
      </c>
      <c r="B1869">
        <v>4361</v>
      </c>
      <c r="C1869">
        <v>1988</v>
      </c>
      <c r="D1869">
        <v>1</v>
      </c>
      <c r="E1869" t="s">
        <v>1350</v>
      </c>
      <c r="F1869" t="s">
        <v>3530</v>
      </c>
    </row>
    <row r="1870" spans="1:6" x14ac:dyDescent="0.25">
      <c r="A1870" t="str">
        <f t="shared" si="29"/>
        <v>1989+7+2084P0015X</v>
      </c>
      <c r="B1870">
        <v>4362</v>
      </c>
      <c r="C1870">
        <v>1989</v>
      </c>
      <c r="D1870">
        <v>7</v>
      </c>
      <c r="E1870" t="s">
        <v>1350</v>
      </c>
      <c r="F1870" t="s">
        <v>3530</v>
      </c>
    </row>
    <row r="1871" spans="1:6" x14ac:dyDescent="0.25">
      <c r="A1871" t="str">
        <f t="shared" si="29"/>
        <v>1990+1+2085D0003X</v>
      </c>
      <c r="B1871">
        <v>4363</v>
      </c>
      <c r="C1871">
        <v>1990</v>
      </c>
      <c r="D1871">
        <v>1</v>
      </c>
      <c r="E1871" t="s">
        <v>1367</v>
      </c>
      <c r="F1871" t="s">
        <v>3531</v>
      </c>
    </row>
    <row r="1872" spans="1:6" x14ac:dyDescent="0.25">
      <c r="A1872" t="str">
        <f t="shared" si="29"/>
        <v>1991+7+2085D0003X</v>
      </c>
      <c r="B1872">
        <v>4364</v>
      </c>
      <c r="C1872">
        <v>1991</v>
      </c>
      <c r="D1872">
        <v>7</v>
      </c>
      <c r="E1872" t="s">
        <v>1367</v>
      </c>
      <c r="F1872" t="s">
        <v>3531</v>
      </c>
    </row>
    <row r="1873" spans="1:6" x14ac:dyDescent="0.25">
      <c r="A1873" t="str">
        <f t="shared" si="29"/>
        <v>1992+1+2085H0002X</v>
      </c>
      <c r="B1873">
        <v>4365</v>
      </c>
      <c r="C1873">
        <v>1992</v>
      </c>
      <c r="D1873">
        <v>1</v>
      </c>
      <c r="E1873" t="s">
        <v>1368</v>
      </c>
      <c r="F1873" t="s">
        <v>3532</v>
      </c>
    </row>
    <row r="1874" spans="1:6" x14ac:dyDescent="0.25">
      <c r="A1874" t="str">
        <f t="shared" si="29"/>
        <v>1993+7+2085H0002X</v>
      </c>
      <c r="B1874">
        <v>4366</v>
      </c>
      <c r="C1874">
        <v>1993</v>
      </c>
      <c r="D1874">
        <v>7</v>
      </c>
      <c r="E1874" t="s">
        <v>1368</v>
      </c>
      <c r="F1874" t="s">
        <v>3532</v>
      </c>
    </row>
    <row r="1875" spans="1:6" x14ac:dyDescent="0.25">
      <c r="A1875" t="str">
        <f t="shared" si="29"/>
        <v>1994+1+2086H0002X</v>
      </c>
      <c r="B1875">
        <v>4367</v>
      </c>
      <c r="C1875">
        <v>1994</v>
      </c>
      <c r="D1875">
        <v>1</v>
      </c>
      <c r="E1875" t="s">
        <v>1390</v>
      </c>
      <c r="F1875" t="s">
        <v>3533</v>
      </c>
    </row>
    <row r="1876" spans="1:6" x14ac:dyDescent="0.25">
      <c r="A1876" t="str">
        <f t="shared" si="29"/>
        <v>1995+7+2086H0002X</v>
      </c>
      <c r="B1876">
        <v>4368</v>
      </c>
      <c r="C1876">
        <v>1995</v>
      </c>
      <c r="D1876">
        <v>7</v>
      </c>
      <c r="E1876" t="s">
        <v>1390</v>
      </c>
      <c r="F1876" t="s">
        <v>3533</v>
      </c>
    </row>
    <row r="1877" spans="1:6" x14ac:dyDescent="0.25">
      <c r="A1877" t="str">
        <f t="shared" si="29"/>
        <v>1996+5+111NI0013X</v>
      </c>
      <c r="B1877">
        <v>4369</v>
      </c>
      <c r="C1877">
        <v>1996</v>
      </c>
      <c r="D1877">
        <v>5</v>
      </c>
      <c r="E1877" t="s">
        <v>577</v>
      </c>
      <c r="F1877" t="s">
        <v>3534</v>
      </c>
    </row>
    <row r="1878" spans="1:6" x14ac:dyDescent="0.25">
      <c r="A1878" t="str">
        <f t="shared" si="29"/>
        <v>1997+34+103G00000X</v>
      </c>
      <c r="B1878">
        <v>4370</v>
      </c>
      <c r="C1878">
        <v>1997</v>
      </c>
      <c r="D1878">
        <v>34</v>
      </c>
      <c r="E1878" t="s">
        <v>479</v>
      </c>
      <c r="F1878" t="s">
        <v>3535</v>
      </c>
    </row>
    <row r="1879" spans="1:6" x14ac:dyDescent="0.25">
      <c r="A1879" t="str">
        <f t="shared" si="29"/>
        <v>1998+27+102L00000X</v>
      </c>
      <c r="B1879">
        <v>4371</v>
      </c>
      <c r="C1879">
        <v>1998</v>
      </c>
      <c r="D1879">
        <v>27</v>
      </c>
      <c r="E1879" t="s">
        <v>476</v>
      </c>
      <c r="F1879" t="s">
        <v>3536</v>
      </c>
    </row>
    <row r="1880" spans="1:6" x14ac:dyDescent="0.25">
      <c r="A1880" t="str">
        <f t="shared" si="29"/>
        <v>1999+28+102L00000X</v>
      </c>
      <c r="B1880">
        <v>4372</v>
      </c>
      <c r="C1880">
        <v>1999</v>
      </c>
      <c r="D1880">
        <v>28</v>
      </c>
      <c r="E1880" t="s">
        <v>476</v>
      </c>
      <c r="F1880" t="s">
        <v>3536</v>
      </c>
    </row>
    <row r="1881" spans="1:6" x14ac:dyDescent="0.25">
      <c r="A1881" t="str">
        <f t="shared" si="29"/>
        <v>2000+25+102L00000X</v>
      </c>
      <c r="B1881">
        <v>4373</v>
      </c>
      <c r="C1881">
        <v>2000</v>
      </c>
      <c r="D1881">
        <v>25</v>
      </c>
      <c r="E1881" t="s">
        <v>476</v>
      </c>
      <c r="F1881" t="s">
        <v>3536</v>
      </c>
    </row>
    <row r="1882" spans="1:6" x14ac:dyDescent="0.25">
      <c r="A1882" t="str">
        <f t="shared" si="29"/>
        <v>2001+31+102L00000X</v>
      </c>
      <c r="B1882">
        <v>4374</v>
      </c>
      <c r="C1882">
        <v>2001</v>
      </c>
      <c r="D1882">
        <v>31</v>
      </c>
      <c r="E1882" t="s">
        <v>476</v>
      </c>
      <c r="F1882" t="s">
        <v>3536</v>
      </c>
    </row>
    <row r="1883" spans="1:6" x14ac:dyDescent="0.25">
      <c r="A1883" t="str">
        <f t="shared" si="29"/>
        <v>2002+34+102L00000X</v>
      </c>
      <c r="B1883">
        <v>4375</v>
      </c>
      <c r="C1883">
        <v>2002</v>
      </c>
      <c r="D1883">
        <v>34</v>
      </c>
      <c r="E1883" t="s">
        <v>476</v>
      </c>
      <c r="F1883" t="s">
        <v>3536</v>
      </c>
    </row>
    <row r="1884" spans="1:6" x14ac:dyDescent="0.25">
      <c r="A1884" t="str">
        <f t="shared" si="29"/>
        <v>2003+27+103TB0200X</v>
      </c>
      <c r="B1884">
        <v>4376</v>
      </c>
      <c r="C1884">
        <v>2003</v>
      </c>
      <c r="D1884">
        <v>27</v>
      </c>
      <c r="E1884" t="s">
        <v>487</v>
      </c>
      <c r="F1884" t="s">
        <v>3537</v>
      </c>
    </row>
    <row r="1885" spans="1:6" x14ac:dyDescent="0.25">
      <c r="A1885" t="str">
        <f t="shared" si="29"/>
        <v>2004+27+103TC2200X</v>
      </c>
      <c r="B1885">
        <v>4377</v>
      </c>
      <c r="C1885">
        <v>2004</v>
      </c>
      <c r="D1885">
        <v>27</v>
      </c>
      <c r="E1885" t="s">
        <v>493</v>
      </c>
      <c r="F1885" t="s">
        <v>3538</v>
      </c>
    </row>
    <row r="1886" spans="1:6" x14ac:dyDescent="0.25">
      <c r="A1886" t="str">
        <f t="shared" si="29"/>
        <v>2005+27+103TP2701X</v>
      </c>
      <c r="B1886">
        <v>4378</v>
      </c>
      <c r="C1886">
        <v>2005</v>
      </c>
      <c r="D1886">
        <v>27</v>
      </c>
      <c r="E1886" t="s">
        <v>515</v>
      </c>
      <c r="F1886" t="s">
        <v>3539</v>
      </c>
    </row>
    <row r="1887" spans="1:6" x14ac:dyDescent="0.25">
      <c r="A1887" t="str">
        <f t="shared" si="29"/>
        <v>2007+27+103TP0016X</v>
      </c>
      <c r="B1887">
        <v>4379</v>
      </c>
      <c r="C1887">
        <v>2007</v>
      </c>
      <c r="D1887">
        <v>27</v>
      </c>
      <c r="E1887" t="s">
        <v>509</v>
      </c>
      <c r="F1887" t="s">
        <v>3540</v>
      </c>
    </row>
    <row r="1888" spans="1:6" x14ac:dyDescent="0.25">
      <c r="A1888" t="str">
        <f t="shared" si="29"/>
        <v>2008+1+207QB0002X</v>
      </c>
      <c r="B1888">
        <v>4380</v>
      </c>
      <c r="C1888">
        <v>2008</v>
      </c>
      <c r="D1888">
        <v>1</v>
      </c>
      <c r="E1888" t="s">
        <v>1121</v>
      </c>
      <c r="F1888" t="s">
        <v>3541</v>
      </c>
    </row>
    <row r="1889" spans="1:6" x14ac:dyDescent="0.25">
      <c r="A1889" t="str">
        <f t="shared" si="29"/>
        <v>2009+7+207QB0002X</v>
      </c>
      <c r="B1889">
        <v>4381</v>
      </c>
      <c r="C1889">
        <v>2009</v>
      </c>
      <c r="D1889">
        <v>7</v>
      </c>
      <c r="E1889" t="s">
        <v>1121</v>
      </c>
      <c r="F1889" t="s">
        <v>3541</v>
      </c>
    </row>
    <row r="1890" spans="1:6" x14ac:dyDescent="0.25">
      <c r="A1890" t="str">
        <f t="shared" si="29"/>
        <v>2010+1+207RB0002X</v>
      </c>
      <c r="B1890">
        <v>4382</v>
      </c>
      <c r="C1890">
        <v>2010</v>
      </c>
      <c r="D1890">
        <v>1</v>
      </c>
      <c r="E1890" t="s">
        <v>1132</v>
      </c>
      <c r="F1890" t="s">
        <v>3542</v>
      </c>
    </row>
    <row r="1891" spans="1:6" x14ac:dyDescent="0.25">
      <c r="A1891" t="str">
        <f t="shared" si="29"/>
        <v>2011+7+207RB0002X</v>
      </c>
      <c r="B1891">
        <v>4383</v>
      </c>
      <c r="C1891">
        <v>2011</v>
      </c>
      <c r="D1891">
        <v>7</v>
      </c>
      <c r="E1891" t="s">
        <v>1132</v>
      </c>
      <c r="F1891" t="s">
        <v>3542</v>
      </c>
    </row>
    <row r="1892" spans="1:6" x14ac:dyDescent="0.25">
      <c r="A1892" t="str">
        <f t="shared" si="29"/>
        <v>2012+1+207RT0003X</v>
      </c>
      <c r="B1892">
        <v>4384</v>
      </c>
      <c r="C1892">
        <v>2012</v>
      </c>
      <c r="D1892">
        <v>1</v>
      </c>
      <c r="E1892" t="s">
        <v>1164</v>
      </c>
      <c r="F1892" t="s">
        <v>3543</v>
      </c>
    </row>
    <row r="1893" spans="1:6" x14ac:dyDescent="0.25">
      <c r="A1893" t="str">
        <f t="shared" si="29"/>
        <v>2013+7+207RT0003X</v>
      </c>
      <c r="B1893">
        <v>4385</v>
      </c>
      <c r="C1893">
        <v>2013</v>
      </c>
      <c r="D1893">
        <v>7</v>
      </c>
      <c r="E1893" t="s">
        <v>1164</v>
      </c>
      <c r="F1893" t="s">
        <v>3543</v>
      </c>
    </row>
    <row r="1894" spans="1:6" x14ac:dyDescent="0.25">
      <c r="A1894" t="str">
        <f t="shared" si="29"/>
        <v>2014+1+207VB0002X</v>
      </c>
      <c r="B1894">
        <v>4386</v>
      </c>
      <c r="C1894">
        <v>2014</v>
      </c>
      <c r="D1894">
        <v>1</v>
      </c>
      <c r="E1894" t="s">
        <v>1179</v>
      </c>
      <c r="F1894" t="s">
        <v>3544</v>
      </c>
    </row>
    <row r="1895" spans="1:6" x14ac:dyDescent="0.25">
      <c r="A1895" t="str">
        <f t="shared" si="29"/>
        <v>2015+7+207VB0002X</v>
      </c>
      <c r="B1895">
        <v>4387</v>
      </c>
      <c r="C1895">
        <v>2015</v>
      </c>
      <c r="D1895">
        <v>7</v>
      </c>
      <c r="E1895" t="s">
        <v>1179</v>
      </c>
      <c r="F1895" t="s">
        <v>3544</v>
      </c>
    </row>
    <row r="1896" spans="1:6" x14ac:dyDescent="0.25">
      <c r="A1896" t="str">
        <f t="shared" si="29"/>
        <v>2016+1+207XX0004X</v>
      </c>
      <c r="B1896">
        <v>4388</v>
      </c>
      <c r="C1896">
        <v>2016</v>
      </c>
      <c r="D1896">
        <v>1</v>
      </c>
      <c r="E1896" t="s">
        <v>1208</v>
      </c>
      <c r="F1896" t="s">
        <v>3545</v>
      </c>
    </row>
    <row r="1897" spans="1:6" x14ac:dyDescent="0.25">
      <c r="A1897" t="str">
        <f t="shared" si="29"/>
        <v>2017+7+207XX0004X</v>
      </c>
      <c r="B1897">
        <v>4389</v>
      </c>
      <c r="C1897">
        <v>2017</v>
      </c>
      <c r="D1897">
        <v>7</v>
      </c>
      <c r="E1897" t="s">
        <v>1208</v>
      </c>
      <c r="F1897" t="s">
        <v>3545</v>
      </c>
    </row>
    <row r="1898" spans="1:6" x14ac:dyDescent="0.25">
      <c r="A1898" t="str">
        <f t="shared" si="29"/>
        <v>2018+1+207ZC0006X</v>
      </c>
      <c r="B1898">
        <v>4390</v>
      </c>
      <c r="C1898">
        <v>2018</v>
      </c>
      <c r="D1898">
        <v>1</v>
      </c>
      <c r="E1898" t="s">
        <v>1233</v>
      </c>
      <c r="F1898" t="s">
        <v>3546</v>
      </c>
    </row>
    <row r="1899" spans="1:6" x14ac:dyDescent="0.25">
      <c r="A1899" t="str">
        <f t="shared" si="29"/>
        <v>2019+7+207ZC0006X</v>
      </c>
      <c r="B1899">
        <v>4391</v>
      </c>
      <c r="C1899">
        <v>2019</v>
      </c>
      <c r="D1899">
        <v>7</v>
      </c>
      <c r="E1899" t="s">
        <v>1233</v>
      </c>
      <c r="F1899" t="s">
        <v>3546</v>
      </c>
    </row>
    <row r="1900" spans="1:6" x14ac:dyDescent="0.25">
      <c r="A1900" t="str">
        <f t="shared" si="29"/>
        <v>2020+1+2080T0004X</v>
      </c>
      <c r="B1900">
        <v>4392</v>
      </c>
      <c r="C1900">
        <v>2020</v>
      </c>
      <c r="D1900">
        <v>1</v>
      </c>
      <c r="E1900" t="s">
        <v>1300</v>
      </c>
      <c r="F1900" t="s">
        <v>3547</v>
      </c>
    </row>
    <row r="1901" spans="1:6" x14ac:dyDescent="0.25">
      <c r="A1901" t="str">
        <f t="shared" si="29"/>
        <v>2021+7+2080T0004X</v>
      </c>
      <c r="B1901">
        <v>4393</v>
      </c>
      <c r="C1901">
        <v>2021</v>
      </c>
      <c r="D1901">
        <v>7</v>
      </c>
      <c r="E1901" t="s">
        <v>1300</v>
      </c>
      <c r="F1901" t="s">
        <v>3547</v>
      </c>
    </row>
    <row r="1902" spans="1:6" x14ac:dyDescent="0.25">
      <c r="A1902" t="str">
        <f t="shared" si="29"/>
        <v>2022+1+2081N0008X</v>
      </c>
      <c r="B1902">
        <v>4394</v>
      </c>
      <c r="C1902">
        <v>2022</v>
      </c>
      <c r="D1902">
        <v>1</v>
      </c>
      <c r="E1902" t="s">
        <v>1306</v>
      </c>
      <c r="F1902" t="s">
        <v>3548</v>
      </c>
    </row>
    <row r="1903" spans="1:6" x14ac:dyDescent="0.25">
      <c r="A1903" t="str">
        <f t="shared" si="29"/>
        <v>2023+7+2081N0008X</v>
      </c>
      <c r="B1903">
        <v>4395</v>
      </c>
      <c r="C1903">
        <v>2023</v>
      </c>
      <c r="D1903">
        <v>7</v>
      </c>
      <c r="E1903" t="s">
        <v>1306</v>
      </c>
      <c r="F1903" t="s">
        <v>3548</v>
      </c>
    </row>
    <row r="1904" spans="1:6" x14ac:dyDescent="0.25">
      <c r="A1904" t="str">
        <f t="shared" si="29"/>
        <v>2024+1+2084B0002X</v>
      </c>
      <c r="B1904">
        <v>4396</v>
      </c>
      <c r="C1904">
        <v>2024</v>
      </c>
      <c r="D1904">
        <v>1</v>
      </c>
      <c r="E1904" t="s">
        <v>1332</v>
      </c>
      <c r="F1904" t="s">
        <v>3549</v>
      </c>
    </row>
    <row r="1905" spans="1:6" x14ac:dyDescent="0.25">
      <c r="A1905" t="str">
        <f t="shared" si="29"/>
        <v>2025+7+2084B0002X</v>
      </c>
      <c r="B1905">
        <v>4397</v>
      </c>
      <c r="C1905">
        <v>2025</v>
      </c>
      <c r="D1905">
        <v>7</v>
      </c>
      <c r="E1905" t="s">
        <v>1332</v>
      </c>
      <c r="F1905" t="s">
        <v>3549</v>
      </c>
    </row>
    <row r="1906" spans="1:6" x14ac:dyDescent="0.25">
      <c r="A1906" t="str">
        <f t="shared" si="29"/>
        <v>2026+1+2084N0008X</v>
      </c>
      <c r="B1906">
        <v>4398</v>
      </c>
      <c r="C1906">
        <v>2026</v>
      </c>
      <c r="D1906">
        <v>1</v>
      </c>
      <c r="E1906" t="s">
        <v>1340</v>
      </c>
      <c r="F1906" t="s">
        <v>3550</v>
      </c>
    </row>
    <row r="1907" spans="1:6" x14ac:dyDescent="0.25">
      <c r="A1907" t="str">
        <f t="shared" si="29"/>
        <v>2027+7+2084N0008X</v>
      </c>
      <c r="B1907">
        <v>4399</v>
      </c>
      <c r="C1907">
        <v>2027</v>
      </c>
      <c r="D1907">
        <v>7</v>
      </c>
      <c r="E1907" t="s">
        <v>1340</v>
      </c>
      <c r="F1907" t="s">
        <v>3550</v>
      </c>
    </row>
    <row r="1908" spans="1:6" x14ac:dyDescent="0.25">
      <c r="A1908" t="str">
        <f t="shared" si="29"/>
        <v>2028+27+102X00000X</v>
      </c>
      <c r="B1908">
        <v>4400</v>
      </c>
      <c r="C1908">
        <v>2028</v>
      </c>
      <c r="D1908">
        <v>27</v>
      </c>
      <c r="E1908" t="s">
        <v>460</v>
      </c>
      <c r="F1908" t="s">
        <v>3551</v>
      </c>
    </row>
    <row r="1909" spans="1:6" x14ac:dyDescent="0.25">
      <c r="A1909" t="str">
        <f t="shared" si="29"/>
        <v>2029+28+102X00000X</v>
      </c>
      <c r="B1909">
        <v>4401</v>
      </c>
      <c r="C1909">
        <v>2029</v>
      </c>
      <c r="D1909">
        <v>28</v>
      </c>
      <c r="E1909" t="s">
        <v>460</v>
      </c>
      <c r="F1909" t="s">
        <v>3551</v>
      </c>
    </row>
    <row r="1910" spans="1:6" x14ac:dyDescent="0.25">
      <c r="A1910" t="str">
        <f t="shared" si="29"/>
        <v>2030+25+102X00000X</v>
      </c>
      <c r="B1910">
        <v>4402</v>
      </c>
      <c r="C1910">
        <v>2030</v>
      </c>
      <c r="D1910">
        <v>25</v>
      </c>
      <c r="E1910" t="s">
        <v>460</v>
      </c>
      <c r="F1910" t="s">
        <v>3551</v>
      </c>
    </row>
    <row r="1911" spans="1:6" x14ac:dyDescent="0.25">
      <c r="A1911" t="str">
        <f t="shared" si="29"/>
        <v>2031+31+102X00000X</v>
      </c>
      <c r="B1911">
        <v>4403</v>
      </c>
      <c r="C1911">
        <v>2031</v>
      </c>
      <c r="D1911">
        <v>31</v>
      </c>
      <c r="E1911" t="s">
        <v>460</v>
      </c>
      <c r="F1911" t="s">
        <v>3551</v>
      </c>
    </row>
    <row r="1912" spans="1:6" x14ac:dyDescent="0.25">
      <c r="A1912" t="str">
        <f t="shared" si="29"/>
        <v>2032+34+102X00000X</v>
      </c>
      <c r="B1912">
        <v>4404</v>
      </c>
      <c r="C1912">
        <v>2032</v>
      </c>
      <c r="D1912">
        <v>34</v>
      </c>
      <c r="E1912" t="s">
        <v>460</v>
      </c>
      <c r="F1912" t="s">
        <v>3551</v>
      </c>
    </row>
    <row r="1913" spans="1:6" x14ac:dyDescent="0.25">
      <c r="A1913" t="str">
        <f t="shared" si="29"/>
        <v>2033+45+102X00000X</v>
      </c>
      <c r="B1913">
        <v>4405</v>
      </c>
      <c r="C1913">
        <v>2033</v>
      </c>
      <c r="D1913">
        <v>45</v>
      </c>
      <c r="E1913" t="s">
        <v>460</v>
      </c>
      <c r="F1913" t="s">
        <v>3551</v>
      </c>
    </row>
    <row r="1914" spans="1:6" x14ac:dyDescent="0.25">
      <c r="A1914" t="str">
        <f t="shared" si="29"/>
        <v>2034+24+246ZC0007X</v>
      </c>
      <c r="B1914">
        <v>4406</v>
      </c>
      <c r="C1914">
        <v>2034</v>
      </c>
      <c r="D1914">
        <v>24</v>
      </c>
      <c r="E1914" t="s">
        <v>1592</v>
      </c>
      <c r="F1914" t="s">
        <v>1594</v>
      </c>
    </row>
    <row r="1915" spans="1:6" x14ac:dyDescent="0.25">
      <c r="A1915" t="str">
        <f t="shared" si="29"/>
        <v>2035+26+246ZC0007X</v>
      </c>
      <c r="B1915">
        <v>4407</v>
      </c>
      <c r="C1915">
        <v>2035</v>
      </c>
      <c r="D1915">
        <v>26</v>
      </c>
      <c r="E1915" t="s">
        <v>1592</v>
      </c>
      <c r="F1915" t="s">
        <v>1594</v>
      </c>
    </row>
    <row r="1916" spans="1:6" x14ac:dyDescent="0.25">
      <c r="A1916" t="str">
        <f t="shared" si="29"/>
        <v>2036+44+246ZC0007X</v>
      </c>
      <c r="B1916">
        <v>4408</v>
      </c>
      <c r="C1916">
        <v>2036</v>
      </c>
      <c r="D1916">
        <v>44</v>
      </c>
      <c r="E1916" t="s">
        <v>1592</v>
      </c>
      <c r="F1916" t="s">
        <v>1594</v>
      </c>
    </row>
    <row r="1917" spans="1:6" x14ac:dyDescent="0.25">
      <c r="A1917" t="str">
        <f t="shared" si="29"/>
        <v>2037+46+246ZC0007X</v>
      </c>
      <c r="B1917">
        <v>4409</v>
      </c>
      <c r="C1917">
        <v>2037</v>
      </c>
      <c r="D1917">
        <v>46</v>
      </c>
      <c r="E1917" t="s">
        <v>1592</v>
      </c>
      <c r="F1917" t="s">
        <v>1594</v>
      </c>
    </row>
    <row r="1918" spans="1:6" x14ac:dyDescent="0.25">
      <c r="A1918" t="str">
        <f t="shared" si="29"/>
        <v>2038+47+246ZC0007X</v>
      </c>
      <c r="B1918">
        <v>4410</v>
      </c>
      <c r="C1918">
        <v>2038</v>
      </c>
      <c r="D1918">
        <v>47</v>
      </c>
      <c r="E1918" t="s">
        <v>1592</v>
      </c>
      <c r="F1918" t="s">
        <v>1594</v>
      </c>
    </row>
    <row r="1919" spans="1:6" x14ac:dyDescent="0.25">
      <c r="A1919" t="str">
        <f t="shared" si="29"/>
        <v>2039+42+1835P0018X</v>
      </c>
      <c r="B1919">
        <v>4411</v>
      </c>
      <c r="C1919">
        <v>2039</v>
      </c>
      <c r="D1919">
        <v>42</v>
      </c>
      <c r="E1919" t="s">
        <v>1776</v>
      </c>
      <c r="F1919" t="s">
        <v>3552</v>
      </c>
    </row>
    <row r="1920" spans="1:6" x14ac:dyDescent="0.25">
      <c r="A1920" t="str">
        <f t="shared" si="29"/>
        <v>2040+5+111NP0017X</v>
      </c>
      <c r="B1920">
        <v>4412</v>
      </c>
      <c r="C1920">
        <v>2040</v>
      </c>
      <c r="D1920">
        <v>5</v>
      </c>
      <c r="E1920" t="s">
        <v>585</v>
      </c>
      <c r="F1920" t="s">
        <v>3553</v>
      </c>
    </row>
    <row r="1921" spans="1:6" x14ac:dyDescent="0.25">
      <c r="A1921" t="str">
        <f t="shared" si="29"/>
        <v>2041+1+207QS1201X</v>
      </c>
      <c r="B1921">
        <v>4413</v>
      </c>
      <c r="C1921">
        <v>2041</v>
      </c>
      <c r="D1921">
        <v>1</v>
      </c>
      <c r="E1921" t="s">
        <v>1428</v>
      </c>
      <c r="F1921" t="s">
        <v>3554</v>
      </c>
    </row>
    <row r="1922" spans="1:6" x14ac:dyDescent="0.25">
      <c r="A1922" t="str">
        <f t="shared" ref="A1922:A1985" si="30">C1922 &amp; "+" &amp; D1922 &amp; "+" &amp; E1922</f>
        <v>2042+7+207QS1201X</v>
      </c>
      <c r="B1922">
        <v>4414</v>
      </c>
      <c r="C1922">
        <v>2042</v>
      </c>
      <c r="D1922">
        <v>7</v>
      </c>
      <c r="E1922" t="s">
        <v>1428</v>
      </c>
      <c r="F1922" t="s">
        <v>3554</v>
      </c>
    </row>
    <row r="1923" spans="1:6" x14ac:dyDescent="0.25">
      <c r="A1923" t="str">
        <f t="shared" si="30"/>
        <v>2043+39+225XG0600X</v>
      </c>
      <c r="B1923">
        <v>4415</v>
      </c>
      <c r="C1923">
        <v>2043</v>
      </c>
      <c r="D1923">
        <v>39</v>
      </c>
      <c r="E1923" t="s">
        <v>774</v>
      </c>
      <c r="F1923" t="s">
        <v>3555</v>
      </c>
    </row>
    <row r="1924" spans="1:6" x14ac:dyDescent="0.25">
      <c r="A1924" t="str">
        <f t="shared" si="30"/>
        <v>2044+39+225XM0800X</v>
      </c>
      <c r="B1924">
        <v>4416</v>
      </c>
      <c r="C1924">
        <v>2044</v>
      </c>
      <c r="D1924">
        <v>39</v>
      </c>
      <c r="E1924" t="s">
        <v>777</v>
      </c>
      <c r="F1924" t="s">
        <v>3556</v>
      </c>
    </row>
    <row r="1925" spans="1:6" x14ac:dyDescent="0.25">
      <c r="A1925" t="str">
        <f t="shared" si="30"/>
        <v>2045+39+225XP0019X</v>
      </c>
      <c r="B1925">
        <v>4417</v>
      </c>
      <c r="C1925">
        <v>2045</v>
      </c>
      <c r="D1925">
        <v>39</v>
      </c>
      <c r="E1925" t="s">
        <v>779</v>
      </c>
      <c r="F1925" t="s">
        <v>3557</v>
      </c>
    </row>
    <row r="1926" spans="1:6" x14ac:dyDescent="0.25">
      <c r="A1926" t="str">
        <f t="shared" si="30"/>
        <v>2046+39+225XE0001X</v>
      </c>
      <c r="B1926">
        <v>4418</v>
      </c>
      <c r="C1926">
        <v>2046</v>
      </c>
      <c r="D1926">
        <v>39</v>
      </c>
      <c r="E1926" t="s">
        <v>768</v>
      </c>
      <c r="F1926" t="s">
        <v>3558</v>
      </c>
    </row>
    <row r="1927" spans="1:6" x14ac:dyDescent="0.25">
      <c r="A1927" t="str">
        <f t="shared" si="30"/>
        <v>2047+1+2080C0008X</v>
      </c>
      <c r="B1927">
        <v>4419</v>
      </c>
      <c r="C1927">
        <v>2047</v>
      </c>
      <c r="D1927">
        <v>1</v>
      </c>
      <c r="E1927" t="s">
        <v>1265</v>
      </c>
      <c r="F1927" t="s">
        <v>3559</v>
      </c>
    </row>
    <row r="1928" spans="1:6" x14ac:dyDescent="0.25">
      <c r="A1928" t="str">
        <f t="shared" si="30"/>
        <v>2048+7+2080C0008X</v>
      </c>
      <c r="B1928">
        <v>4420</v>
      </c>
      <c r="C1928">
        <v>2048</v>
      </c>
      <c r="D1928">
        <v>7</v>
      </c>
      <c r="E1928" t="s">
        <v>1265</v>
      </c>
      <c r="F1928" t="s">
        <v>3559</v>
      </c>
    </row>
    <row r="1929" spans="1:6" x14ac:dyDescent="0.25">
      <c r="A1929" t="str">
        <f t="shared" si="30"/>
        <v>2049+1+2083P0901X</v>
      </c>
      <c r="B1929">
        <v>4421</v>
      </c>
      <c r="C1929">
        <v>2049</v>
      </c>
      <c r="D1929">
        <v>1</v>
      </c>
      <c r="E1929" t="s">
        <v>1328</v>
      </c>
      <c r="F1929" t="s">
        <v>3560</v>
      </c>
    </row>
    <row r="1930" spans="1:6" x14ac:dyDescent="0.25">
      <c r="A1930" t="str">
        <f t="shared" si="30"/>
        <v>2050+7+2083P0901X</v>
      </c>
      <c r="B1930">
        <v>4422</v>
      </c>
      <c r="C1930">
        <v>2050</v>
      </c>
      <c r="D1930">
        <v>7</v>
      </c>
      <c r="E1930" s="43" t="s">
        <v>1328</v>
      </c>
      <c r="F1930" t="s">
        <v>3560</v>
      </c>
    </row>
    <row r="1931" spans="1:6" x14ac:dyDescent="0.25">
      <c r="A1931" t="str">
        <f t="shared" si="30"/>
        <v>2051+45+103K00000X</v>
      </c>
      <c r="B1931">
        <v>4423</v>
      </c>
      <c r="C1931">
        <v>2051</v>
      </c>
      <c r="D1931">
        <v>45</v>
      </c>
      <c r="E1931" t="s">
        <v>532</v>
      </c>
      <c r="F1931" t="s">
        <v>533</v>
      </c>
    </row>
    <row r="1932" spans="1:6" x14ac:dyDescent="0.25">
      <c r="A1932" t="str">
        <f t="shared" si="30"/>
        <v>2052+28+104100000X</v>
      </c>
      <c r="B1932">
        <v>4424</v>
      </c>
      <c r="C1932">
        <v>2052</v>
      </c>
      <c r="D1932">
        <v>28</v>
      </c>
      <c r="E1932" t="s">
        <v>521</v>
      </c>
      <c r="F1932" t="s">
        <v>3561</v>
      </c>
    </row>
    <row r="1933" spans="1:6" x14ac:dyDescent="0.25">
      <c r="A1933" t="str">
        <f t="shared" si="30"/>
        <v>2053+39+225XL0004X</v>
      </c>
      <c r="B1933">
        <v>4425</v>
      </c>
      <c r="C1933">
        <v>2053</v>
      </c>
      <c r="D1933">
        <v>39</v>
      </c>
      <c r="E1933" t="s">
        <v>775</v>
      </c>
      <c r="F1933" t="s">
        <v>3562</v>
      </c>
    </row>
    <row r="1934" spans="1:6" x14ac:dyDescent="0.25">
      <c r="A1934" t="str">
        <f t="shared" si="30"/>
        <v>2054+27+103G00000X</v>
      </c>
      <c r="B1934">
        <v>4426</v>
      </c>
      <c r="C1934">
        <v>2054</v>
      </c>
      <c r="D1934">
        <v>27</v>
      </c>
      <c r="E1934" t="s">
        <v>479</v>
      </c>
      <c r="F1934" t="s">
        <v>3535</v>
      </c>
    </row>
    <row r="1935" spans="1:6" x14ac:dyDescent="0.25">
      <c r="A1935" t="str">
        <f t="shared" si="30"/>
        <v>2055+1+174V00000X</v>
      </c>
      <c r="B1935">
        <v>4427</v>
      </c>
      <c r="C1935">
        <v>2055</v>
      </c>
      <c r="D1935">
        <v>1</v>
      </c>
      <c r="E1935" t="s">
        <v>1813</v>
      </c>
      <c r="F1935" t="s">
        <v>3563</v>
      </c>
    </row>
    <row r="1936" spans="1:6" x14ac:dyDescent="0.25">
      <c r="A1936" t="str">
        <f t="shared" si="30"/>
        <v>2056+7+174V00000X</v>
      </c>
      <c r="B1936">
        <v>4428</v>
      </c>
      <c r="C1936">
        <v>2056</v>
      </c>
      <c r="D1936">
        <v>7</v>
      </c>
      <c r="E1936" t="s">
        <v>1813</v>
      </c>
      <c r="F1936" t="s">
        <v>3563</v>
      </c>
    </row>
    <row r="1937" spans="1:6" x14ac:dyDescent="0.25">
      <c r="A1937" t="str">
        <f t="shared" si="30"/>
        <v>2057+46+174V00000X</v>
      </c>
      <c r="B1937">
        <v>4429</v>
      </c>
      <c r="C1937">
        <v>2057</v>
      </c>
      <c r="D1937">
        <v>46</v>
      </c>
      <c r="E1937" t="s">
        <v>1813</v>
      </c>
      <c r="F1937" t="s">
        <v>3563</v>
      </c>
    </row>
    <row r="1938" spans="1:6" x14ac:dyDescent="0.25">
      <c r="A1938" t="str">
        <f t="shared" si="30"/>
        <v>2058+1+204R00000X</v>
      </c>
      <c r="B1938">
        <v>4430</v>
      </c>
      <c r="C1938">
        <v>2058</v>
      </c>
      <c r="D1938">
        <v>1</v>
      </c>
      <c r="E1938" t="s">
        <v>1671</v>
      </c>
      <c r="F1938" t="s">
        <v>3564</v>
      </c>
    </row>
    <row r="1939" spans="1:6" x14ac:dyDescent="0.25">
      <c r="A1939" t="str">
        <f t="shared" si="30"/>
        <v>2059+7+204R00000X</v>
      </c>
      <c r="B1939">
        <v>4431</v>
      </c>
      <c r="C1939">
        <v>2059</v>
      </c>
      <c r="D1939">
        <v>7</v>
      </c>
      <c r="E1939" t="s">
        <v>1671</v>
      </c>
      <c r="F1939" t="s">
        <v>3564</v>
      </c>
    </row>
    <row r="1940" spans="1:6" x14ac:dyDescent="0.25">
      <c r="A1940" t="str">
        <f t="shared" si="30"/>
        <v>2060+39+225000000X</v>
      </c>
      <c r="B1940">
        <v>4432</v>
      </c>
      <c r="C1940">
        <v>2060</v>
      </c>
      <c r="D1940">
        <v>39</v>
      </c>
      <c r="E1940" t="s">
        <v>1554</v>
      </c>
      <c r="F1940" t="s">
        <v>3565</v>
      </c>
    </row>
    <row r="1941" spans="1:6" x14ac:dyDescent="0.25">
      <c r="A1941" t="str">
        <f t="shared" si="30"/>
        <v>2061+1+207RH0005X</v>
      </c>
      <c r="B1941">
        <v>4433</v>
      </c>
      <c r="C1941">
        <v>2061</v>
      </c>
      <c r="D1941">
        <v>1</v>
      </c>
      <c r="E1941" s="43" t="s">
        <v>1431</v>
      </c>
      <c r="F1941" t="s">
        <v>3566</v>
      </c>
    </row>
    <row r="1942" spans="1:6" x14ac:dyDescent="0.25">
      <c r="A1942" t="str">
        <f t="shared" si="30"/>
        <v>2062+7+207RH0005X</v>
      </c>
      <c r="B1942">
        <v>4434</v>
      </c>
      <c r="C1942">
        <v>2062</v>
      </c>
      <c r="D1942">
        <v>7</v>
      </c>
      <c r="E1942" t="s">
        <v>1431</v>
      </c>
      <c r="F1942" t="s">
        <v>3566</v>
      </c>
    </row>
    <row r="1943" spans="1:6" x14ac:dyDescent="0.25">
      <c r="A1943" t="str">
        <f t="shared" si="30"/>
        <v>2063+1+207VF0040X</v>
      </c>
      <c r="B1943">
        <v>4435</v>
      </c>
      <c r="C1943">
        <v>2063</v>
      </c>
      <c r="D1943">
        <v>1</v>
      </c>
      <c r="E1943" t="s">
        <v>1438</v>
      </c>
      <c r="F1943" t="s">
        <v>3567</v>
      </c>
    </row>
    <row r="1944" spans="1:6" x14ac:dyDescent="0.25">
      <c r="A1944" t="str">
        <f t="shared" si="30"/>
        <v>2064+7+207VF0040X</v>
      </c>
      <c r="B1944">
        <v>4436</v>
      </c>
      <c r="C1944">
        <v>2064</v>
      </c>
      <c r="D1944">
        <v>7</v>
      </c>
      <c r="E1944" t="s">
        <v>1438</v>
      </c>
      <c r="F1944" t="s">
        <v>3567</v>
      </c>
    </row>
    <row r="1945" spans="1:6" x14ac:dyDescent="0.25">
      <c r="A1945" t="str">
        <f t="shared" si="30"/>
        <v>2065+1+2084B0040X</v>
      </c>
      <c r="B1945">
        <v>4437</v>
      </c>
      <c r="C1945">
        <v>2065</v>
      </c>
      <c r="D1945">
        <v>1</v>
      </c>
      <c r="E1945" t="s">
        <v>1441</v>
      </c>
      <c r="F1945" t="s">
        <v>3568</v>
      </c>
    </row>
    <row r="1946" spans="1:6" x14ac:dyDescent="0.25">
      <c r="A1946" t="str">
        <f t="shared" si="30"/>
        <v>2066+7+2084B0040X</v>
      </c>
      <c r="B1946">
        <v>4438</v>
      </c>
      <c r="C1946">
        <v>2066</v>
      </c>
      <c r="D1946">
        <v>7</v>
      </c>
      <c r="E1946" t="s">
        <v>1441</v>
      </c>
      <c r="F1946" t="s">
        <v>3568</v>
      </c>
    </row>
    <row r="1947" spans="1:6" x14ac:dyDescent="0.25">
      <c r="A1947" t="str">
        <f t="shared" si="30"/>
        <v>2067+1+2088F0040X</v>
      </c>
      <c r="B1947">
        <v>4439</v>
      </c>
      <c r="C1947">
        <v>2067</v>
      </c>
      <c r="D1947">
        <v>1</v>
      </c>
      <c r="E1947" t="s">
        <v>1442</v>
      </c>
      <c r="F1947" t="s">
        <v>3569</v>
      </c>
    </row>
    <row r="1948" spans="1:6" x14ac:dyDescent="0.25">
      <c r="A1948" t="str">
        <f t="shared" si="30"/>
        <v>2068+7+2088F0040X</v>
      </c>
      <c r="B1948">
        <v>4440</v>
      </c>
      <c r="C1948">
        <v>2068</v>
      </c>
      <c r="D1948">
        <v>7</v>
      </c>
      <c r="E1948" t="s">
        <v>1442</v>
      </c>
      <c r="F1948" t="s">
        <v>3569</v>
      </c>
    </row>
    <row r="1949" spans="1:6" x14ac:dyDescent="0.25">
      <c r="A1949" t="str">
        <f t="shared" si="30"/>
        <v>2069+2+1223D0004X</v>
      </c>
      <c r="B1949">
        <v>4441</v>
      </c>
      <c r="C1949">
        <v>2069</v>
      </c>
      <c r="D1949">
        <v>2</v>
      </c>
      <c r="E1949" t="s">
        <v>3570</v>
      </c>
      <c r="F1949" t="s">
        <v>3571</v>
      </c>
    </row>
    <row r="1950" spans="1:6" x14ac:dyDescent="0.25">
      <c r="A1950" t="str">
        <f t="shared" si="30"/>
        <v>2070+50+1223S0112X</v>
      </c>
      <c r="B1950">
        <v>9400</v>
      </c>
      <c r="C1950">
        <v>2070</v>
      </c>
      <c r="D1950">
        <v>50</v>
      </c>
      <c r="E1950" t="s">
        <v>951</v>
      </c>
      <c r="F1950" t="s">
        <v>3728</v>
      </c>
    </row>
    <row r="1951" spans="1:6" x14ac:dyDescent="0.25">
      <c r="A1951" t="str">
        <f t="shared" si="30"/>
        <v>2070+51+1223S0112X</v>
      </c>
      <c r="B1951">
        <v>9401</v>
      </c>
      <c r="C1951">
        <v>2070</v>
      </c>
      <c r="D1951">
        <v>51</v>
      </c>
      <c r="E1951" t="s">
        <v>951</v>
      </c>
      <c r="F1951" t="s">
        <v>3728</v>
      </c>
    </row>
    <row r="1952" spans="1:6" x14ac:dyDescent="0.25">
      <c r="A1952" t="str">
        <f t="shared" si="30"/>
        <v>2070+51+193400000X</v>
      </c>
      <c r="B1952">
        <v>4467</v>
      </c>
      <c r="C1952">
        <v>2070</v>
      </c>
      <c r="D1952">
        <v>51</v>
      </c>
      <c r="E1952" t="s">
        <v>1447</v>
      </c>
      <c r="F1952" t="s">
        <v>3680</v>
      </c>
    </row>
    <row r="1953" spans="1:6" x14ac:dyDescent="0.25">
      <c r="A1953" t="str">
        <f t="shared" si="30"/>
        <v>2070+111+1223S0112X</v>
      </c>
      <c r="B1953">
        <v>9380</v>
      </c>
      <c r="C1953">
        <v>2070</v>
      </c>
      <c r="D1953">
        <v>111</v>
      </c>
      <c r="E1953" t="s">
        <v>951</v>
      </c>
      <c r="F1953" t="s">
        <v>3728</v>
      </c>
    </row>
    <row r="1954" spans="1:6" x14ac:dyDescent="0.25">
      <c r="A1954" t="str">
        <f t="shared" si="30"/>
        <v>2070+114+1223S0112X</v>
      </c>
      <c r="B1954">
        <v>9399</v>
      </c>
      <c r="C1954">
        <v>2070</v>
      </c>
      <c r="D1954">
        <v>114</v>
      </c>
      <c r="E1954" t="s">
        <v>951</v>
      </c>
      <c r="F1954" t="s">
        <v>3728</v>
      </c>
    </row>
    <row r="1955" spans="1:6" x14ac:dyDescent="0.25">
      <c r="A1955" t="str">
        <f t="shared" si="30"/>
        <v>2071+50+207K00000X</v>
      </c>
      <c r="B1955">
        <v>9403</v>
      </c>
      <c r="C1955">
        <v>2071</v>
      </c>
      <c r="D1955">
        <v>50</v>
      </c>
      <c r="E1955" t="s">
        <v>1070</v>
      </c>
      <c r="F1955" t="s">
        <v>3729</v>
      </c>
    </row>
    <row r="1956" spans="1:6" x14ac:dyDescent="0.25">
      <c r="A1956" t="str">
        <f t="shared" si="30"/>
        <v>2071+50+207KA0200X</v>
      </c>
      <c r="B1956">
        <v>9406</v>
      </c>
      <c r="C1956">
        <v>2071</v>
      </c>
      <c r="D1956">
        <v>50</v>
      </c>
      <c r="E1956" t="s">
        <v>1073</v>
      </c>
      <c r="F1956" t="s">
        <v>3730</v>
      </c>
    </row>
    <row r="1957" spans="1:6" x14ac:dyDescent="0.25">
      <c r="A1957" t="str">
        <f t="shared" si="30"/>
        <v>2071+50+207KI0005X</v>
      </c>
      <c r="B1957">
        <v>9409</v>
      </c>
      <c r="C1957">
        <v>2071</v>
      </c>
      <c r="D1957">
        <v>50</v>
      </c>
      <c r="E1957" t="s">
        <v>1076</v>
      </c>
      <c r="F1957" t="s">
        <v>3731</v>
      </c>
    </row>
    <row r="1958" spans="1:6" x14ac:dyDescent="0.25">
      <c r="A1958" t="str">
        <f t="shared" si="30"/>
        <v>2071+50+207RA0201X</v>
      </c>
      <c r="B1958">
        <v>9412</v>
      </c>
      <c r="C1958">
        <v>2071</v>
      </c>
      <c r="D1958">
        <v>50</v>
      </c>
      <c r="E1958" t="s">
        <v>1130</v>
      </c>
      <c r="F1958" t="s">
        <v>3732</v>
      </c>
    </row>
    <row r="1959" spans="1:6" x14ac:dyDescent="0.25">
      <c r="A1959" t="str">
        <f t="shared" si="30"/>
        <v>2071+51+193400000X</v>
      </c>
      <c r="B1959">
        <v>4468</v>
      </c>
      <c r="C1959">
        <v>2071</v>
      </c>
      <c r="D1959">
        <v>51</v>
      </c>
      <c r="E1959" t="s">
        <v>1447</v>
      </c>
      <c r="F1959" t="s">
        <v>3680</v>
      </c>
    </row>
    <row r="1960" spans="1:6" x14ac:dyDescent="0.25">
      <c r="A1960" t="str">
        <f t="shared" si="30"/>
        <v>2071+51+207K00000X</v>
      </c>
      <c r="B1960">
        <v>9404</v>
      </c>
      <c r="C1960">
        <v>2071</v>
      </c>
      <c r="D1960">
        <v>51</v>
      </c>
      <c r="E1960" t="s">
        <v>1070</v>
      </c>
      <c r="F1960" t="s">
        <v>3729</v>
      </c>
    </row>
    <row r="1961" spans="1:6" x14ac:dyDescent="0.25">
      <c r="A1961" t="str">
        <f t="shared" si="30"/>
        <v>2071+51+207KA0200X</v>
      </c>
      <c r="B1961">
        <v>9407</v>
      </c>
      <c r="C1961">
        <v>2071</v>
      </c>
      <c r="D1961">
        <v>51</v>
      </c>
      <c r="E1961" t="s">
        <v>1073</v>
      </c>
      <c r="F1961" t="s">
        <v>3730</v>
      </c>
    </row>
    <row r="1962" spans="1:6" x14ac:dyDescent="0.25">
      <c r="A1962" t="str">
        <f t="shared" si="30"/>
        <v>2071+51+207KI0005X</v>
      </c>
      <c r="B1962">
        <v>9410</v>
      </c>
      <c r="C1962">
        <v>2071</v>
      </c>
      <c r="D1962">
        <v>51</v>
      </c>
      <c r="E1962" t="s">
        <v>1076</v>
      </c>
      <c r="F1962" t="s">
        <v>3731</v>
      </c>
    </row>
    <row r="1963" spans="1:6" x14ac:dyDescent="0.25">
      <c r="A1963" t="str">
        <f t="shared" si="30"/>
        <v>2071+51+207RA0201X</v>
      </c>
      <c r="B1963">
        <v>9413</v>
      </c>
      <c r="C1963">
        <v>2071</v>
      </c>
      <c r="D1963">
        <v>51</v>
      </c>
      <c r="E1963" t="s">
        <v>1130</v>
      </c>
      <c r="F1963" t="s">
        <v>3732</v>
      </c>
    </row>
    <row r="1964" spans="1:6" x14ac:dyDescent="0.25">
      <c r="A1964" t="str">
        <f t="shared" si="30"/>
        <v>2071+114+207K00000X</v>
      </c>
      <c r="B1964">
        <v>9402</v>
      </c>
      <c r="C1964">
        <v>2071</v>
      </c>
      <c r="D1964">
        <v>114</v>
      </c>
      <c r="E1964" t="s">
        <v>1070</v>
      </c>
      <c r="F1964" t="s">
        <v>3729</v>
      </c>
    </row>
    <row r="1965" spans="1:6" x14ac:dyDescent="0.25">
      <c r="A1965" t="str">
        <f t="shared" si="30"/>
        <v>2071+114+207KA0200X</v>
      </c>
      <c r="B1965">
        <v>9405</v>
      </c>
      <c r="C1965">
        <v>2071</v>
      </c>
      <c r="D1965">
        <v>114</v>
      </c>
      <c r="E1965" t="s">
        <v>1073</v>
      </c>
      <c r="F1965" t="s">
        <v>3730</v>
      </c>
    </row>
    <row r="1966" spans="1:6" x14ac:dyDescent="0.25">
      <c r="A1966" t="str">
        <f t="shared" si="30"/>
        <v>2071+114+207KI0005X</v>
      </c>
      <c r="B1966">
        <v>9408</v>
      </c>
      <c r="C1966">
        <v>2071</v>
      </c>
      <c r="D1966">
        <v>114</v>
      </c>
      <c r="E1966" t="s">
        <v>1076</v>
      </c>
      <c r="F1966" t="s">
        <v>3731</v>
      </c>
    </row>
    <row r="1967" spans="1:6" x14ac:dyDescent="0.25">
      <c r="A1967" t="str">
        <f t="shared" si="30"/>
        <v>2071+114+207RA0201X</v>
      </c>
      <c r="B1967">
        <v>9411</v>
      </c>
      <c r="C1967">
        <v>2071</v>
      </c>
      <c r="D1967">
        <v>114</v>
      </c>
      <c r="E1967" t="s">
        <v>1130</v>
      </c>
      <c r="F1967" t="s">
        <v>3732</v>
      </c>
    </row>
    <row r="1968" spans="1:6" x14ac:dyDescent="0.25">
      <c r="A1968" t="str">
        <f t="shared" si="30"/>
        <v>2072+50+207L00000X</v>
      </c>
      <c r="B1968">
        <v>9415</v>
      </c>
      <c r="C1968">
        <v>2072</v>
      </c>
      <c r="D1968">
        <v>50</v>
      </c>
      <c r="E1968" t="s">
        <v>990</v>
      </c>
      <c r="F1968" t="s">
        <v>3733</v>
      </c>
    </row>
    <row r="1969" spans="1:6" x14ac:dyDescent="0.25">
      <c r="A1969" t="str">
        <f t="shared" si="30"/>
        <v>2072+50+207LC0200X</v>
      </c>
      <c r="B1969">
        <v>9418</v>
      </c>
      <c r="C1969">
        <v>2072</v>
      </c>
      <c r="D1969">
        <v>50</v>
      </c>
      <c r="E1969" t="s">
        <v>1079</v>
      </c>
      <c r="F1969" t="s">
        <v>3734</v>
      </c>
    </row>
    <row r="1970" spans="1:6" x14ac:dyDescent="0.25">
      <c r="A1970" t="str">
        <f t="shared" si="30"/>
        <v>2072+50+207LH0002X</v>
      </c>
      <c r="B1970">
        <v>9421</v>
      </c>
      <c r="C1970">
        <v>2072</v>
      </c>
      <c r="D1970">
        <v>50</v>
      </c>
      <c r="E1970" t="s">
        <v>1081</v>
      </c>
      <c r="F1970" t="s">
        <v>3735</v>
      </c>
    </row>
    <row r="1971" spans="1:6" x14ac:dyDescent="0.25">
      <c r="A1971" t="str">
        <f t="shared" si="30"/>
        <v>2072+50+207LP2900X</v>
      </c>
      <c r="B1971">
        <v>9424</v>
      </c>
      <c r="C1971">
        <v>2072</v>
      </c>
      <c r="D1971">
        <v>50</v>
      </c>
      <c r="E1971" t="s">
        <v>1083</v>
      </c>
      <c r="F1971" t="s">
        <v>3736</v>
      </c>
    </row>
    <row r="1972" spans="1:6" x14ac:dyDescent="0.25">
      <c r="A1972" t="str">
        <f t="shared" si="30"/>
        <v>2072+50+207LP3000X</v>
      </c>
      <c r="B1972">
        <v>9427</v>
      </c>
      <c r="C1972">
        <v>2072</v>
      </c>
      <c r="D1972">
        <v>50</v>
      </c>
      <c r="E1972" t="s">
        <v>1085</v>
      </c>
      <c r="F1972" t="s">
        <v>3737</v>
      </c>
    </row>
    <row r="1973" spans="1:6" x14ac:dyDescent="0.25">
      <c r="A1973" t="str">
        <f t="shared" si="30"/>
        <v>2072+51+193400000X</v>
      </c>
      <c r="B1973">
        <v>4469</v>
      </c>
      <c r="C1973">
        <v>2072</v>
      </c>
      <c r="D1973">
        <v>51</v>
      </c>
      <c r="E1973" t="s">
        <v>1447</v>
      </c>
      <c r="F1973" t="s">
        <v>3680</v>
      </c>
    </row>
    <row r="1974" spans="1:6" x14ac:dyDescent="0.25">
      <c r="A1974" t="str">
        <f t="shared" si="30"/>
        <v>2072+51+207L00000X</v>
      </c>
      <c r="B1974">
        <v>9416</v>
      </c>
      <c r="C1974">
        <v>2072</v>
      </c>
      <c r="D1974">
        <v>51</v>
      </c>
      <c r="E1974" t="s">
        <v>990</v>
      </c>
      <c r="F1974" t="s">
        <v>3733</v>
      </c>
    </row>
    <row r="1975" spans="1:6" x14ac:dyDescent="0.25">
      <c r="A1975" t="str">
        <f t="shared" si="30"/>
        <v>2072+51+207LC0200X</v>
      </c>
      <c r="B1975">
        <v>9419</v>
      </c>
      <c r="C1975">
        <v>2072</v>
      </c>
      <c r="D1975">
        <v>51</v>
      </c>
      <c r="E1975" t="s">
        <v>1079</v>
      </c>
      <c r="F1975" t="s">
        <v>3734</v>
      </c>
    </row>
    <row r="1976" spans="1:6" x14ac:dyDescent="0.25">
      <c r="A1976" t="str">
        <f t="shared" si="30"/>
        <v>2072+51+207LH0002X</v>
      </c>
      <c r="B1976">
        <v>9422</v>
      </c>
      <c r="C1976">
        <v>2072</v>
      </c>
      <c r="D1976">
        <v>51</v>
      </c>
      <c r="E1976" t="s">
        <v>1081</v>
      </c>
      <c r="F1976" t="s">
        <v>3735</v>
      </c>
    </row>
    <row r="1977" spans="1:6" x14ac:dyDescent="0.25">
      <c r="A1977" t="str">
        <f t="shared" si="30"/>
        <v>2072+51+207LP2900X</v>
      </c>
      <c r="B1977">
        <v>9425</v>
      </c>
      <c r="C1977">
        <v>2072</v>
      </c>
      <c r="D1977">
        <v>51</v>
      </c>
      <c r="E1977" t="s">
        <v>1083</v>
      </c>
      <c r="F1977" t="s">
        <v>3736</v>
      </c>
    </row>
    <row r="1978" spans="1:6" x14ac:dyDescent="0.25">
      <c r="A1978" t="str">
        <f t="shared" si="30"/>
        <v>2072+51+207LP3000X</v>
      </c>
      <c r="B1978">
        <v>9428</v>
      </c>
      <c r="C1978">
        <v>2072</v>
      </c>
      <c r="D1978">
        <v>51</v>
      </c>
      <c r="E1978" t="s">
        <v>1085</v>
      </c>
      <c r="F1978" t="s">
        <v>3737</v>
      </c>
    </row>
    <row r="1979" spans="1:6" x14ac:dyDescent="0.25">
      <c r="A1979" t="str">
        <f t="shared" si="30"/>
        <v>2072+114+207L00000X</v>
      </c>
      <c r="B1979">
        <v>9414</v>
      </c>
      <c r="C1979">
        <v>2072</v>
      </c>
      <c r="D1979">
        <v>114</v>
      </c>
      <c r="E1979" t="s">
        <v>990</v>
      </c>
      <c r="F1979" t="s">
        <v>3733</v>
      </c>
    </row>
    <row r="1980" spans="1:6" x14ac:dyDescent="0.25">
      <c r="A1980" t="str">
        <f t="shared" si="30"/>
        <v>2072+114+207LC0200X</v>
      </c>
      <c r="B1980">
        <v>9417</v>
      </c>
      <c r="C1980">
        <v>2072</v>
      </c>
      <c r="D1980">
        <v>114</v>
      </c>
      <c r="E1980" t="s">
        <v>1079</v>
      </c>
      <c r="F1980" t="s">
        <v>3734</v>
      </c>
    </row>
    <row r="1981" spans="1:6" x14ac:dyDescent="0.25">
      <c r="A1981" t="str">
        <f t="shared" si="30"/>
        <v>2072+114+207LH0002X</v>
      </c>
      <c r="B1981">
        <v>9420</v>
      </c>
      <c r="C1981">
        <v>2072</v>
      </c>
      <c r="D1981">
        <v>114</v>
      </c>
      <c r="E1981" t="s">
        <v>1081</v>
      </c>
      <c r="F1981" t="s">
        <v>3735</v>
      </c>
    </row>
    <row r="1982" spans="1:6" x14ac:dyDescent="0.25">
      <c r="A1982" t="str">
        <f t="shared" si="30"/>
        <v>2072+114+207LP2900X</v>
      </c>
      <c r="B1982">
        <v>9423</v>
      </c>
      <c r="C1982">
        <v>2072</v>
      </c>
      <c r="D1982">
        <v>114</v>
      </c>
      <c r="E1982" t="s">
        <v>1083</v>
      </c>
      <c r="F1982" t="s">
        <v>3736</v>
      </c>
    </row>
    <row r="1983" spans="1:6" x14ac:dyDescent="0.25">
      <c r="A1983" t="str">
        <f t="shared" si="30"/>
        <v>2072+114+207LP3000X</v>
      </c>
      <c r="B1983">
        <v>9426</v>
      </c>
      <c r="C1983">
        <v>2072</v>
      </c>
      <c r="D1983">
        <v>114</v>
      </c>
      <c r="E1983" t="s">
        <v>1085</v>
      </c>
      <c r="F1983" t="s">
        <v>3737</v>
      </c>
    </row>
    <row r="1984" spans="1:6" x14ac:dyDescent="0.25">
      <c r="A1984" t="str">
        <f t="shared" si="30"/>
        <v>2073+50+207RC0000X</v>
      </c>
      <c r="B1984">
        <v>9430</v>
      </c>
      <c r="C1984">
        <v>2073</v>
      </c>
      <c r="D1984">
        <v>50</v>
      </c>
      <c r="E1984" t="s">
        <v>1134</v>
      </c>
      <c r="F1984" t="s">
        <v>3738</v>
      </c>
    </row>
    <row r="1985" spans="1:6" x14ac:dyDescent="0.25">
      <c r="A1985" t="str">
        <f t="shared" si="30"/>
        <v>2073+50+207RI0011X</v>
      </c>
      <c r="B1985">
        <v>9433</v>
      </c>
      <c r="C1985">
        <v>2073</v>
      </c>
      <c r="D1985">
        <v>50</v>
      </c>
      <c r="E1985" t="s">
        <v>1150</v>
      </c>
      <c r="F1985" t="s">
        <v>3739</v>
      </c>
    </row>
    <row r="1986" spans="1:6" x14ac:dyDescent="0.25">
      <c r="A1986" t="str">
        <f t="shared" ref="A1986:A2049" si="31">C1986 &amp; "+" &amp; D1986 &amp; "+" &amp; E1986</f>
        <v>2073+50+2080P0202X</v>
      </c>
      <c r="B1986">
        <v>9436</v>
      </c>
      <c r="C1986">
        <v>2073</v>
      </c>
      <c r="D1986">
        <v>50</v>
      </c>
      <c r="E1986" t="s">
        <v>1277</v>
      </c>
      <c r="F1986" t="s">
        <v>3740</v>
      </c>
    </row>
    <row r="1987" spans="1:6" x14ac:dyDescent="0.25">
      <c r="A1987" t="str">
        <f t="shared" si="31"/>
        <v>2073+51+193400000X</v>
      </c>
      <c r="B1987">
        <v>4470</v>
      </c>
      <c r="C1987">
        <v>2073</v>
      </c>
      <c r="D1987">
        <v>51</v>
      </c>
      <c r="E1987" t="s">
        <v>1447</v>
      </c>
      <c r="F1987" t="s">
        <v>3680</v>
      </c>
    </row>
    <row r="1988" spans="1:6" x14ac:dyDescent="0.25">
      <c r="A1988" t="str">
        <f t="shared" si="31"/>
        <v>2073+51+207RC0000X</v>
      </c>
      <c r="B1988">
        <v>9431</v>
      </c>
      <c r="C1988">
        <v>2073</v>
      </c>
      <c r="D1988">
        <v>51</v>
      </c>
      <c r="E1988" t="s">
        <v>1134</v>
      </c>
      <c r="F1988" t="s">
        <v>3738</v>
      </c>
    </row>
    <row r="1989" spans="1:6" x14ac:dyDescent="0.25">
      <c r="A1989" t="str">
        <f t="shared" si="31"/>
        <v>2073+51+207RI0011X</v>
      </c>
      <c r="B1989">
        <v>9434</v>
      </c>
      <c r="C1989">
        <v>2073</v>
      </c>
      <c r="D1989">
        <v>51</v>
      </c>
      <c r="E1989" t="s">
        <v>1150</v>
      </c>
      <c r="F1989" t="s">
        <v>3739</v>
      </c>
    </row>
    <row r="1990" spans="1:6" x14ac:dyDescent="0.25">
      <c r="A1990" t="str">
        <f t="shared" si="31"/>
        <v>2073+51+2080P0202X</v>
      </c>
      <c r="B1990">
        <v>9437</v>
      </c>
      <c r="C1990">
        <v>2073</v>
      </c>
      <c r="D1990">
        <v>51</v>
      </c>
      <c r="E1990" t="s">
        <v>1277</v>
      </c>
      <c r="F1990" t="s">
        <v>3740</v>
      </c>
    </row>
    <row r="1991" spans="1:6" x14ac:dyDescent="0.25">
      <c r="A1991" t="str">
        <f t="shared" si="31"/>
        <v>2073+114+207RC0000X</v>
      </c>
      <c r="B1991">
        <v>9429</v>
      </c>
      <c r="C1991">
        <v>2073</v>
      </c>
      <c r="D1991">
        <v>114</v>
      </c>
      <c r="E1991" t="s">
        <v>1134</v>
      </c>
      <c r="F1991" t="s">
        <v>3738</v>
      </c>
    </row>
    <row r="1992" spans="1:6" x14ac:dyDescent="0.25">
      <c r="A1992" t="str">
        <f t="shared" si="31"/>
        <v>2073+114+207RI0011X</v>
      </c>
      <c r="B1992">
        <v>9432</v>
      </c>
      <c r="C1992">
        <v>2073</v>
      </c>
      <c r="D1992">
        <v>114</v>
      </c>
      <c r="E1992" t="s">
        <v>1150</v>
      </c>
      <c r="F1992" t="s">
        <v>3739</v>
      </c>
    </row>
    <row r="1993" spans="1:6" x14ac:dyDescent="0.25">
      <c r="A1993" t="str">
        <f t="shared" si="31"/>
        <v>2073+114+2080P0202X</v>
      </c>
      <c r="B1993">
        <v>9435</v>
      </c>
      <c r="C1993">
        <v>2073</v>
      </c>
      <c r="D1993">
        <v>114</v>
      </c>
      <c r="E1993" t="s">
        <v>1277</v>
      </c>
      <c r="F1993" t="s">
        <v>3740</v>
      </c>
    </row>
    <row r="1994" spans="1:6" x14ac:dyDescent="0.25">
      <c r="A1994" t="str">
        <f t="shared" si="31"/>
        <v>2074+50+2086S0129X</v>
      </c>
      <c r="B1994">
        <v>9439</v>
      </c>
      <c r="C1994">
        <v>2074</v>
      </c>
      <c r="D1994">
        <v>50</v>
      </c>
      <c r="E1994" t="s">
        <v>1399</v>
      </c>
      <c r="F1994" t="s">
        <v>3741</v>
      </c>
    </row>
    <row r="1995" spans="1:6" x14ac:dyDescent="0.25">
      <c r="A1995" t="str">
        <f t="shared" si="31"/>
        <v>2074+51+193400000X</v>
      </c>
      <c r="B1995">
        <v>4471</v>
      </c>
      <c r="C1995">
        <v>2074</v>
      </c>
      <c r="D1995">
        <v>51</v>
      </c>
      <c r="E1995" t="s">
        <v>1447</v>
      </c>
      <c r="F1995" t="s">
        <v>3680</v>
      </c>
    </row>
    <row r="1996" spans="1:6" x14ac:dyDescent="0.25">
      <c r="A1996" t="str">
        <f t="shared" si="31"/>
        <v>2074+51+2086S0129X</v>
      </c>
      <c r="B1996">
        <v>9440</v>
      </c>
      <c r="C1996">
        <v>2074</v>
      </c>
      <c r="D1996">
        <v>51</v>
      </c>
      <c r="E1996" t="s">
        <v>1399</v>
      </c>
      <c r="F1996" t="s">
        <v>3741</v>
      </c>
    </row>
    <row r="1997" spans="1:6" x14ac:dyDescent="0.25">
      <c r="A1997" t="str">
        <f t="shared" si="31"/>
        <v>2074+114+2086S0129X</v>
      </c>
      <c r="B1997">
        <v>9438</v>
      </c>
      <c r="C1997">
        <v>2074</v>
      </c>
      <c r="D1997">
        <v>114</v>
      </c>
      <c r="E1997" t="s">
        <v>1399</v>
      </c>
      <c r="F1997" t="s">
        <v>3741</v>
      </c>
    </row>
    <row r="1998" spans="1:6" x14ac:dyDescent="0.25">
      <c r="A1998" t="str">
        <f t="shared" si="31"/>
        <v>2075+50+207N00000X</v>
      </c>
      <c r="B1998">
        <v>9442</v>
      </c>
      <c r="C1998">
        <v>2075</v>
      </c>
      <c r="D1998">
        <v>50</v>
      </c>
      <c r="E1998" t="s">
        <v>1087</v>
      </c>
      <c r="F1998" t="s">
        <v>3742</v>
      </c>
    </row>
    <row r="1999" spans="1:6" x14ac:dyDescent="0.25">
      <c r="A1999" t="str">
        <f t="shared" si="31"/>
        <v>2075+50+207ND0101X</v>
      </c>
      <c r="B1999">
        <v>9446</v>
      </c>
      <c r="C1999">
        <v>2075</v>
      </c>
      <c r="D1999">
        <v>50</v>
      </c>
      <c r="E1999" t="s">
        <v>1090</v>
      </c>
      <c r="F1999" t="s">
        <v>3743</v>
      </c>
    </row>
    <row r="2000" spans="1:6" x14ac:dyDescent="0.25">
      <c r="A2000" t="str">
        <f t="shared" si="31"/>
        <v>2075+50+207ND0900X</v>
      </c>
      <c r="B2000">
        <v>9449</v>
      </c>
      <c r="C2000">
        <v>2075</v>
      </c>
      <c r="D2000">
        <v>50</v>
      </c>
      <c r="E2000" t="s">
        <v>1092</v>
      </c>
      <c r="F2000" t="s">
        <v>3744</v>
      </c>
    </row>
    <row r="2001" spans="1:6" x14ac:dyDescent="0.25">
      <c r="A2001" t="str">
        <f t="shared" si="31"/>
        <v>2075+50+207NI0002X</v>
      </c>
      <c r="B2001">
        <v>9452</v>
      </c>
      <c r="C2001">
        <v>2075</v>
      </c>
      <c r="D2001">
        <v>50</v>
      </c>
      <c r="E2001" t="s">
        <v>1094</v>
      </c>
      <c r="F2001" t="s">
        <v>3745</v>
      </c>
    </row>
    <row r="2002" spans="1:6" x14ac:dyDescent="0.25">
      <c r="A2002" t="str">
        <f t="shared" si="31"/>
        <v>2075+50+207NP0225X</v>
      </c>
      <c r="B2002">
        <v>9455</v>
      </c>
      <c r="C2002">
        <v>2075</v>
      </c>
      <c r="D2002">
        <v>50</v>
      </c>
      <c r="E2002" t="s">
        <v>1096</v>
      </c>
      <c r="F2002" t="s">
        <v>3746</v>
      </c>
    </row>
    <row r="2003" spans="1:6" x14ac:dyDescent="0.25">
      <c r="A2003" t="str">
        <f t="shared" si="31"/>
        <v>2075+50+207NS0135X</v>
      </c>
      <c r="B2003">
        <v>9458</v>
      </c>
      <c r="C2003">
        <v>2075</v>
      </c>
      <c r="D2003">
        <v>50</v>
      </c>
      <c r="E2003" t="s">
        <v>1098</v>
      </c>
      <c r="F2003" t="s">
        <v>3747</v>
      </c>
    </row>
    <row r="2004" spans="1:6" x14ac:dyDescent="0.25">
      <c r="A2004" t="str">
        <f t="shared" si="31"/>
        <v>2075+51+193400000X</v>
      </c>
      <c r="B2004">
        <v>4472</v>
      </c>
      <c r="C2004">
        <v>2075</v>
      </c>
      <c r="D2004">
        <v>51</v>
      </c>
      <c r="E2004" t="s">
        <v>1447</v>
      </c>
      <c r="F2004" t="s">
        <v>3680</v>
      </c>
    </row>
    <row r="2005" spans="1:6" x14ac:dyDescent="0.25">
      <c r="A2005" t="str">
        <f t="shared" si="31"/>
        <v>2075+51+207N00000X</v>
      </c>
      <c r="B2005">
        <v>9443</v>
      </c>
      <c r="C2005">
        <v>2075</v>
      </c>
      <c r="D2005">
        <v>51</v>
      </c>
      <c r="E2005" t="s">
        <v>1087</v>
      </c>
      <c r="F2005" t="s">
        <v>3742</v>
      </c>
    </row>
    <row r="2006" spans="1:6" x14ac:dyDescent="0.25">
      <c r="A2006" t="str">
        <f t="shared" si="31"/>
        <v>2075+51+207ND0101X</v>
      </c>
      <c r="B2006">
        <v>9447</v>
      </c>
      <c r="C2006">
        <v>2075</v>
      </c>
      <c r="D2006">
        <v>51</v>
      </c>
      <c r="E2006" t="s">
        <v>1090</v>
      </c>
      <c r="F2006" t="s">
        <v>3743</v>
      </c>
    </row>
    <row r="2007" spans="1:6" x14ac:dyDescent="0.25">
      <c r="A2007" t="str">
        <f t="shared" si="31"/>
        <v>2075+51+207ND0900X</v>
      </c>
      <c r="B2007">
        <v>9450</v>
      </c>
      <c r="C2007">
        <v>2075</v>
      </c>
      <c r="D2007">
        <v>51</v>
      </c>
      <c r="E2007" t="s">
        <v>1092</v>
      </c>
      <c r="F2007" t="s">
        <v>3744</v>
      </c>
    </row>
    <row r="2008" spans="1:6" x14ac:dyDescent="0.25">
      <c r="A2008" t="str">
        <f t="shared" si="31"/>
        <v>2075+51+207NI0002X</v>
      </c>
      <c r="B2008">
        <v>9453</v>
      </c>
      <c r="C2008">
        <v>2075</v>
      </c>
      <c r="D2008">
        <v>51</v>
      </c>
      <c r="E2008" t="s">
        <v>1094</v>
      </c>
      <c r="F2008" t="s">
        <v>3745</v>
      </c>
    </row>
    <row r="2009" spans="1:6" x14ac:dyDescent="0.25">
      <c r="A2009" t="str">
        <f t="shared" si="31"/>
        <v>2075+51+207NP0225X</v>
      </c>
      <c r="B2009">
        <v>9456</v>
      </c>
      <c r="C2009">
        <v>2075</v>
      </c>
      <c r="D2009">
        <v>51</v>
      </c>
      <c r="E2009" t="s">
        <v>1096</v>
      </c>
      <c r="F2009" t="s">
        <v>3746</v>
      </c>
    </row>
    <row r="2010" spans="1:6" x14ac:dyDescent="0.25">
      <c r="A2010" t="str">
        <f t="shared" si="31"/>
        <v>2075+51+207NS0135X</v>
      </c>
      <c r="B2010">
        <v>9459</v>
      </c>
      <c r="C2010">
        <v>2075</v>
      </c>
      <c r="D2010">
        <v>51</v>
      </c>
      <c r="E2010" t="s">
        <v>1098</v>
      </c>
      <c r="F2010" t="s">
        <v>3747</v>
      </c>
    </row>
    <row r="2011" spans="1:6" x14ac:dyDescent="0.25">
      <c r="A2011" t="str">
        <f t="shared" si="31"/>
        <v>2075+114+207N00000X</v>
      </c>
      <c r="B2011">
        <v>9441</v>
      </c>
      <c r="C2011">
        <v>2075</v>
      </c>
      <c r="D2011">
        <v>114</v>
      </c>
      <c r="E2011" t="s">
        <v>1087</v>
      </c>
      <c r="F2011" t="s">
        <v>3742</v>
      </c>
    </row>
    <row r="2012" spans="1:6" x14ac:dyDescent="0.25">
      <c r="A2012" t="str">
        <f t="shared" si="31"/>
        <v>2075+114+207ND0101X</v>
      </c>
      <c r="B2012">
        <v>9445</v>
      </c>
      <c r="C2012">
        <v>2075</v>
      </c>
      <c r="D2012">
        <v>114</v>
      </c>
      <c r="E2012" t="s">
        <v>1090</v>
      </c>
      <c r="F2012" t="s">
        <v>3743</v>
      </c>
    </row>
    <row r="2013" spans="1:6" x14ac:dyDescent="0.25">
      <c r="A2013" t="str">
        <f t="shared" si="31"/>
        <v>2075+114+207ND0900X</v>
      </c>
      <c r="B2013">
        <v>9448</v>
      </c>
      <c r="C2013">
        <v>2075</v>
      </c>
      <c r="D2013">
        <v>114</v>
      </c>
      <c r="E2013" t="s">
        <v>1092</v>
      </c>
      <c r="F2013" t="s">
        <v>3744</v>
      </c>
    </row>
    <row r="2014" spans="1:6" x14ac:dyDescent="0.25">
      <c r="A2014" t="str">
        <f t="shared" si="31"/>
        <v>2075+114+207NI0002X</v>
      </c>
      <c r="B2014">
        <v>9451</v>
      </c>
      <c r="C2014">
        <v>2075</v>
      </c>
      <c r="D2014">
        <v>114</v>
      </c>
      <c r="E2014" t="s">
        <v>1094</v>
      </c>
      <c r="F2014" t="s">
        <v>3745</v>
      </c>
    </row>
    <row r="2015" spans="1:6" x14ac:dyDescent="0.25">
      <c r="A2015" t="str">
        <f t="shared" si="31"/>
        <v>2075+114+207NP0225X</v>
      </c>
      <c r="B2015">
        <v>9454</v>
      </c>
      <c r="C2015">
        <v>2075</v>
      </c>
      <c r="D2015">
        <v>114</v>
      </c>
      <c r="E2015" t="s">
        <v>1096</v>
      </c>
      <c r="F2015" t="s">
        <v>3746</v>
      </c>
    </row>
    <row r="2016" spans="1:6" x14ac:dyDescent="0.25">
      <c r="A2016" t="str">
        <f t="shared" si="31"/>
        <v>2075+114+207NS0135X</v>
      </c>
      <c r="B2016">
        <v>9457</v>
      </c>
      <c r="C2016">
        <v>2075</v>
      </c>
      <c r="D2016">
        <v>114</v>
      </c>
      <c r="E2016" t="s">
        <v>1098</v>
      </c>
      <c r="F2016" t="s">
        <v>3747</v>
      </c>
    </row>
    <row r="2017" spans="1:6" x14ac:dyDescent="0.25">
      <c r="A2017" t="str">
        <f t="shared" si="31"/>
        <v>2076+50+207P00000X</v>
      </c>
      <c r="B2017">
        <v>9461</v>
      </c>
      <c r="C2017">
        <v>2076</v>
      </c>
      <c r="D2017">
        <v>50</v>
      </c>
      <c r="E2017" t="s">
        <v>1100</v>
      </c>
      <c r="F2017" t="s">
        <v>3748</v>
      </c>
    </row>
    <row r="2018" spans="1:6" x14ac:dyDescent="0.25">
      <c r="A2018" t="str">
        <f t="shared" si="31"/>
        <v>2076+50+207PE0004X</v>
      </c>
      <c r="B2018">
        <v>9464</v>
      </c>
      <c r="C2018">
        <v>2076</v>
      </c>
      <c r="D2018">
        <v>50</v>
      </c>
      <c r="E2018" t="s">
        <v>1103</v>
      </c>
      <c r="F2018" t="s">
        <v>3749</v>
      </c>
    </row>
    <row r="2019" spans="1:6" x14ac:dyDescent="0.25">
      <c r="A2019" t="str">
        <f t="shared" si="31"/>
        <v>2076+50+207PE0005X</v>
      </c>
      <c r="B2019">
        <v>9467</v>
      </c>
      <c r="C2019">
        <v>2076</v>
      </c>
      <c r="D2019">
        <v>50</v>
      </c>
      <c r="E2019" t="s">
        <v>1105</v>
      </c>
      <c r="F2019" t="s">
        <v>3750</v>
      </c>
    </row>
    <row r="2020" spans="1:6" x14ac:dyDescent="0.25">
      <c r="A2020" t="str">
        <f t="shared" si="31"/>
        <v>2076+50+207PH0002X</v>
      </c>
      <c r="B2020">
        <v>9470</v>
      </c>
      <c r="C2020">
        <v>2076</v>
      </c>
      <c r="D2020">
        <v>50</v>
      </c>
      <c r="E2020" t="s">
        <v>1107</v>
      </c>
      <c r="F2020" t="s">
        <v>3751</v>
      </c>
    </row>
    <row r="2021" spans="1:6" x14ac:dyDescent="0.25">
      <c r="A2021" t="str">
        <f t="shared" si="31"/>
        <v>2076+50+207PP0204X</v>
      </c>
      <c r="B2021">
        <v>9473</v>
      </c>
      <c r="C2021">
        <v>2076</v>
      </c>
      <c r="D2021">
        <v>50</v>
      </c>
      <c r="E2021" t="s">
        <v>1109</v>
      </c>
      <c r="F2021" t="s">
        <v>3752</v>
      </c>
    </row>
    <row r="2022" spans="1:6" x14ac:dyDescent="0.25">
      <c r="A2022" t="str">
        <f t="shared" si="31"/>
        <v>2076+50+207PS0010X</v>
      </c>
      <c r="B2022">
        <v>9476</v>
      </c>
      <c r="C2022">
        <v>2076</v>
      </c>
      <c r="D2022">
        <v>50</v>
      </c>
      <c r="E2022" t="s">
        <v>1111</v>
      </c>
      <c r="F2022" t="s">
        <v>3753</v>
      </c>
    </row>
    <row r="2023" spans="1:6" x14ac:dyDescent="0.25">
      <c r="A2023" t="str">
        <f t="shared" si="31"/>
        <v>2076+50+207PT0002X</v>
      </c>
      <c r="B2023">
        <v>9479</v>
      </c>
      <c r="C2023">
        <v>2076</v>
      </c>
      <c r="D2023">
        <v>50</v>
      </c>
      <c r="E2023" t="s">
        <v>1113</v>
      </c>
      <c r="F2023" t="s">
        <v>3754</v>
      </c>
    </row>
    <row r="2024" spans="1:6" x14ac:dyDescent="0.25">
      <c r="A2024" t="str">
        <f t="shared" si="31"/>
        <v>2076+50+2080P0204X</v>
      </c>
      <c r="B2024">
        <v>9482</v>
      </c>
      <c r="C2024">
        <v>2076</v>
      </c>
      <c r="D2024">
        <v>50</v>
      </c>
      <c r="E2024" t="s">
        <v>1281</v>
      </c>
      <c r="F2024" t="s">
        <v>3755</v>
      </c>
    </row>
    <row r="2025" spans="1:6" x14ac:dyDescent="0.25">
      <c r="A2025" t="str">
        <f t="shared" si="31"/>
        <v>2076+51+193400000X</v>
      </c>
      <c r="B2025">
        <v>4473</v>
      </c>
      <c r="C2025">
        <v>2076</v>
      </c>
      <c r="D2025">
        <v>51</v>
      </c>
      <c r="E2025" t="s">
        <v>1447</v>
      </c>
      <c r="F2025" t="s">
        <v>3680</v>
      </c>
    </row>
    <row r="2026" spans="1:6" x14ac:dyDescent="0.25">
      <c r="A2026" t="str">
        <f t="shared" si="31"/>
        <v>2076+51+207P00000X</v>
      </c>
      <c r="B2026">
        <v>9462</v>
      </c>
      <c r="C2026">
        <v>2076</v>
      </c>
      <c r="D2026">
        <v>51</v>
      </c>
      <c r="E2026" t="s">
        <v>1100</v>
      </c>
      <c r="F2026" t="s">
        <v>3748</v>
      </c>
    </row>
    <row r="2027" spans="1:6" x14ac:dyDescent="0.25">
      <c r="A2027" t="str">
        <f t="shared" si="31"/>
        <v>2076+51+207PE0004X</v>
      </c>
      <c r="B2027">
        <v>9465</v>
      </c>
      <c r="C2027">
        <v>2076</v>
      </c>
      <c r="D2027">
        <v>51</v>
      </c>
      <c r="E2027" t="s">
        <v>1103</v>
      </c>
      <c r="F2027" t="s">
        <v>3749</v>
      </c>
    </row>
    <row r="2028" spans="1:6" x14ac:dyDescent="0.25">
      <c r="A2028" t="str">
        <f t="shared" si="31"/>
        <v>2076+51+207PE0005X</v>
      </c>
      <c r="B2028">
        <v>9468</v>
      </c>
      <c r="C2028">
        <v>2076</v>
      </c>
      <c r="D2028">
        <v>51</v>
      </c>
      <c r="E2028" t="s">
        <v>1105</v>
      </c>
      <c r="F2028" t="s">
        <v>3750</v>
      </c>
    </row>
    <row r="2029" spans="1:6" x14ac:dyDescent="0.25">
      <c r="A2029" t="str">
        <f t="shared" si="31"/>
        <v>2076+51+207PH0002X</v>
      </c>
      <c r="B2029">
        <v>9471</v>
      </c>
      <c r="C2029">
        <v>2076</v>
      </c>
      <c r="D2029">
        <v>51</v>
      </c>
      <c r="E2029" t="s">
        <v>1107</v>
      </c>
      <c r="F2029" t="s">
        <v>3751</v>
      </c>
    </row>
    <row r="2030" spans="1:6" x14ac:dyDescent="0.25">
      <c r="A2030" t="str">
        <f t="shared" si="31"/>
        <v>2076+51+207PP0204X</v>
      </c>
      <c r="B2030">
        <v>9474</v>
      </c>
      <c r="C2030">
        <v>2076</v>
      </c>
      <c r="D2030">
        <v>51</v>
      </c>
      <c r="E2030" t="s">
        <v>1109</v>
      </c>
      <c r="F2030" t="s">
        <v>3752</v>
      </c>
    </row>
    <row r="2031" spans="1:6" x14ac:dyDescent="0.25">
      <c r="A2031" t="str">
        <f t="shared" si="31"/>
        <v>2076+51+207PS0010X</v>
      </c>
      <c r="B2031">
        <v>9477</v>
      </c>
      <c r="C2031">
        <v>2076</v>
      </c>
      <c r="D2031">
        <v>51</v>
      </c>
      <c r="E2031" t="s">
        <v>1111</v>
      </c>
      <c r="F2031" t="s">
        <v>3753</v>
      </c>
    </row>
    <row r="2032" spans="1:6" x14ac:dyDescent="0.25">
      <c r="A2032" t="str">
        <f t="shared" si="31"/>
        <v>2076+51+207PT0002X</v>
      </c>
      <c r="B2032">
        <v>9480</v>
      </c>
      <c r="C2032">
        <v>2076</v>
      </c>
      <c r="D2032">
        <v>51</v>
      </c>
      <c r="E2032" t="s">
        <v>1113</v>
      </c>
      <c r="F2032" t="s">
        <v>3754</v>
      </c>
    </row>
    <row r="2033" spans="1:6" x14ac:dyDescent="0.25">
      <c r="A2033" t="str">
        <f t="shared" si="31"/>
        <v>2076+51+2080P0204X</v>
      </c>
      <c r="B2033">
        <v>9483</v>
      </c>
      <c r="C2033">
        <v>2076</v>
      </c>
      <c r="D2033">
        <v>51</v>
      </c>
      <c r="E2033" t="s">
        <v>1281</v>
      </c>
      <c r="F2033" t="s">
        <v>3755</v>
      </c>
    </row>
    <row r="2034" spans="1:6" x14ac:dyDescent="0.25">
      <c r="A2034" t="str">
        <f t="shared" si="31"/>
        <v>2076+114+207P00000X</v>
      </c>
      <c r="B2034">
        <v>9460</v>
      </c>
      <c r="C2034">
        <v>2076</v>
      </c>
      <c r="D2034">
        <v>114</v>
      </c>
      <c r="E2034" t="s">
        <v>1100</v>
      </c>
      <c r="F2034" t="s">
        <v>3748</v>
      </c>
    </row>
    <row r="2035" spans="1:6" x14ac:dyDescent="0.25">
      <c r="A2035" t="str">
        <f t="shared" si="31"/>
        <v>2076+114+207PE0004X</v>
      </c>
      <c r="B2035">
        <v>9463</v>
      </c>
      <c r="C2035">
        <v>2076</v>
      </c>
      <c r="D2035">
        <v>114</v>
      </c>
      <c r="E2035" t="s">
        <v>1103</v>
      </c>
      <c r="F2035" t="s">
        <v>3749</v>
      </c>
    </row>
    <row r="2036" spans="1:6" x14ac:dyDescent="0.25">
      <c r="A2036" t="str">
        <f t="shared" si="31"/>
        <v>2076+114+207PE0005X</v>
      </c>
      <c r="B2036">
        <v>9466</v>
      </c>
      <c r="C2036">
        <v>2076</v>
      </c>
      <c r="D2036">
        <v>114</v>
      </c>
      <c r="E2036" t="s">
        <v>1105</v>
      </c>
      <c r="F2036" t="s">
        <v>3750</v>
      </c>
    </row>
    <row r="2037" spans="1:6" x14ac:dyDescent="0.25">
      <c r="A2037" t="str">
        <f t="shared" si="31"/>
        <v>2076+114+207PH0002X</v>
      </c>
      <c r="B2037">
        <v>9469</v>
      </c>
      <c r="C2037">
        <v>2076</v>
      </c>
      <c r="D2037">
        <v>114</v>
      </c>
      <c r="E2037" t="s">
        <v>1107</v>
      </c>
      <c r="F2037" t="s">
        <v>3751</v>
      </c>
    </row>
    <row r="2038" spans="1:6" x14ac:dyDescent="0.25">
      <c r="A2038" t="str">
        <f t="shared" si="31"/>
        <v>2076+114+207PP0204X</v>
      </c>
      <c r="B2038">
        <v>9472</v>
      </c>
      <c r="C2038">
        <v>2076</v>
      </c>
      <c r="D2038">
        <v>114</v>
      </c>
      <c r="E2038" t="s">
        <v>1109</v>
      </c>
      <c r="F2038" t="s">
        <v>3752</v>
      </c>
    </row>
    <row r="2039" spans="1:6" x14ac:dyDescent="0.25">
      <c r="A2039" t="str">
        <f t="shared" si="31"/>
        <v>2076+114+207PS0010X</v>
      </c>
      <c r="B2039">
        <v>9475</v>
      </c>
      <c r="C2039">
        <v>2076</v>
      </c>
      <c r="D2039">
        <v>114</v>
      </c>
      <c r="E2039" t="s">
        <v>1111</v>
      </c>
      <c r="F2039" t="s">
        <v>3753</v>
      </c>
    </row>
    <row r="2040" spans="1:6" x14ac:dyDescent="0.25">
      <c r="A2040" t="str">
        <f t="shared" si="31"/>
        <v>2076+114+207PT0002X</v>
      </c>
      <c r="B2040">
        <v>9478</v>
      </c>
      <c r="C2040">
        <v>2076</v>
      </c>
      <c r="D2040">
        <v>114</v>
      </c>
      <c r="E2040" t="s">
        <v>1113</v>
      </c>
      <c r="F2040" t="s">
        <v>3754</v>
      </c>
    </row>
    <row r="2041" spans="1:6" x14ac:dyDescent="0.25">
      <c r="A2041" t="str">
        <f t="shared" si="31"/>
        <v>2076+114+2080P0204X</v>
      </c>
      <c r="B2041">
        <v>9481</v>
      </c>
      <c r="C2041">
        <v>2076</v>
      </c>
      <c r="D2041">
        <v>114</v>
      </c>
      <c r="E2041" t="s">
        <v>1281</v>
      </c>
      <c r="F2041" t="s">
        <v>3755</v>
      </c>
    </row>
    <row r="2042" spans="1:6" x14ac:dyDescent="0.25">
      <c r="A2042" t="str">
        <f t="shared" si="31"/>
        <v>2077+50+207Q00000X</v>
      </c>
      <c r="B2042">
        <v>9485</v>
      </c>
      <c r="C2042">
        <v>2077</v>
      </c>
      <c r="D2042">
        <v>50</v>
      </c>
      <c r="E2042" t="s">
        <v>1114</v>
      </c>
      <c r="F2042" t="s">
        <v>3756</v>
      </c>
    </row>
    <row r="2043" spans="1:6" x14ac:dyDescent="0.25">
      <c r="A2043" t="str">
        <f t="shared" si="31"/>
        <v>2077+50+207QA0000X</v>
      </c>
      <c r="B2043">
        <v>9488</v>
      </c>
      <c r="C2043">
        <v>2077</v>
      </c>
      <c r="D2043">
        <v>50</v>
      </c>
      <c r="E2043" t="s">
        <v>1117</v>
      </c>
      <c r="F2043" t="s">
        <v>3757</v>
      </c>
    </row>
    <row r="2044" spans="1:6" x14ac:dyDescent="0.25">
      <c r="A2044" t="str">
        <f t="shared" si="31"/>
        <v>2077+50+207QA0505X</v>
      </c>
      <c r="B2044">
        <v>9491</v>
      </c>
      <c r="C2044">
        <v>2077</v>
      </c>
      <c r="D2044">
        <v>50</v>
      </c>
      <c r="E2044" t="s">
        <v>1119</v>
      </c>
      <c r="F2044" t="s">
        <v>3758</v>
      </c>
    </row>
    <row r="2045" spans="1:6" x14ac:dyDescent="0.25">
      <c r="A2045" t="str">
        <f t="shared" si="31"/>
        <v>2077+50+207QB0002X</v>
      </c>
      <c r="B2045">
        <v>9494</v>
      </c>
      <c r="C2045">
        <v>2077</v>
      </c>
      <c r="D2045">
        <v>50</v>
      </c>
      <c r="E2045" t="s">
        <v>1121</v>
      </c>
      <c r="F2045" t="s">
        <v>3759</v>
      </c>
    </row>
    <row r="2046" spans="1:6" x14ac:dyDescent="0.25">
      <c r="A2046" t="str">
        <f t="shared" si="31"/>
        <v>2077+50+207QH0002X</v>
      </c>
      <c r="B2046">
        <v>9497</v>
      </c>
      <c r="C2046">
        <v>2077</v>
      </c>
      <c r="D2046">
        <v>50</v>
      </c>
      <c r="E2046" t="s">
        <v>1122</v>
      </c>
      <c r="F2046" t="s">
        <v>3760</v>
      </c>
    </row>
    <row r="2047" spans="1:6" x14ac:dyDescent="0.25">
      <c r="A2047" t="str">
        <f t="shared" si="31"/>
        <v>2077+50+207QS0010X</v>
      </c>
      <c r="B2047">
        <v>9500</v>
      </c>
      <c r="C2047">
        <v>2077</v>
      </c>
      <c r="D2047">
        <v>50</v>
      </c>
      <c r="E2047" t="s">
        <v>1124</v>
      </c>
      <c r="F2047" t="s">
        <v>3761</v>
      </c>
    </row>
    <row r="2048" spans="1:6" x14ac:dyDescent="0.25">
      <c r="A2048" t="str">
        <f t="shared" si="31"/>
        <v>2077+50+207QS1201X</v>
      </c>
      <c r="B2048">
        <v>9503</v>
      </c>
      <c r="C2048">
        <v>2077</v>
      </c>
      <c r="D2048">
        <v>50</v>
      </c>
      <c r="E2048" t="s">
        <v>1428</v>
      </c>
      <c r="F2048" t="s">
        <v>3762</v>
      </c>
    </row>
    <row r="2049" spans="1:6" x14ac:dyDescent="0.25">
      <c r="A2049" t="str">
        <f t="shared" si="31"/>
        <v>2077+51+193400000X</v>
      </c>
      <c r="B2049">
        <v>4474</v>
      </c>
      <c r="C2049">
        <v>2077</v>
      </c>
      <c r="D2049">
        <v>51</v>
      </c>
      <c r="E2049" t="s">
        <v>1447</v>
      </c>
      <c r="F2049" t="s">
        <v>3680</v>
      </c>
    </row>
    <row r="2050" spans="1:6" x14ac:dyDescent="0.25">
      <c r="A2050" t="str">
        <f t="shared" ref="A2050:A2061" si="32">C2050 &amp; "+" &amp; D2050 &amp; "+" &amp; E2050</f>
        <v>2077+51+207Q00000X</v>
      </c>
      <c r="B2050">
        <v>9486</v>
      </c>
      <c r="C2050">
        <v>2077</v>
      </c>
      <c r="D2050">
        <v>51</v>
      </c>
      <c r="E2050" t="s">
        <v>1114</v>
      </c>
      <c r="F2050" t="s">
        <v>3756</v>
      </c>
    </row>
    <row r="2051" spans="1:6" x14ac:dyDescent="0.25">
      <c r="A2051" t="str">
        <f t="shared" si="32"/>
        <v>2077+51+207QA0000X</v>
      </c>
      <c r="B2051">
        <v>9489</v>
      </c>
      <c r="C2051">
        <v>2077</v>
      </c>
      <c r="D2051">
        <v>51</v>
      </c>
      <c r="E2051" t="s">
        <v>1117</v>
      </c>
      <c r="F2051" t="s">
        <v>3757</v>
      </c>
    </row>
    <row r="2052" spans="1:6" x14ac:dyDescent="0.25">
      <c r="A2052" t="str">
        <f t="shared" si="32"/>
        <v>2077+51+207QA0505X</v>
      </c>
      <c r="B2052">
        <v>9492</v>
      </c>
      <c r="C2052">
        <v>2077</v>
      </c>
      <c r="D2052">
        <v>51</v>
      </c>
      <c r="E2052" t="s">
        <v>1119</v>
      </c>
      <c r="F2052" t="s">
        <v>3758</v>
      </c>
    </row>
    <row r="2053" spans="1:6" x14ac:dyDescent="0.25">
      <c r="A2053" t="str">
        <f t="shared" si="32"/>
        <v>2077+51+207QB0002X</v>
      </c>
      <c r="B2053">
        <v>9495</v>
      </c>
      <c r="C2053">
        <v>2077</v>
      </c>
      <c r="D2053">
        <v>51</v>
      </c>
      <c r="E2053" t="s">
        <v>1121</v>
      </c>
      <c r="F2053" t="s">
        <v>3759</v>
      </c>
    </row>
    <row r="2054" spans="1:6" x14ac:dyDescent="0.25">
      <c r="A2054" t="str">
        <f t="shared" si="32"/>
        <v>2077+51+207QH0002X</v>
      </c>
      <c r="B2054">
        <v>9498</v>
      </c>
      <c r="C2054">
        <v>2077</v>
      </c>
      <c r="D2054">
        <v>51</v>
      </c>
      <c r="E2054" t="s">
        <v>1122</v>
      </c>
      <c r="F2054" t="s">
        <v>3760</v>
      </c>
    </row>
    <row r="2055" spans="1:6" x14ac:dyDescent="0.25">
      <c r="A2055" t="str">
        <f t="shared" si="32"/>
        <v>2077+51+207QS0010X</v>
      </c>
      <c r="B2055">
        <v>9501</v>
      </c>
      <c r="C2055">
        <v>2077</v>
      </c>
      <c r="D2055">
        <v>51</v>
      </c>
      <c r="E2055" t="s">
        <v>1124</v>
      </c>
      <c r="F2055" t="s">
        <v>3761</v>
      </c>
    </row>
    <row r="2056" spans="1:6" x14ac:dyDescent="0.25">
      <c r="A2056" t="str">
        <f t="shared" si="32"/>
        <v>2077+51+207QS1201X</v>
      </c>
      <c r="B2056">
        <v>9504</v>
      </c>
      <c r="C2056">
        <v>2077</v>
      </c>
      <c r="D2056">
        <v>51</v>
      </c>
      <c r="E2056" t="s">
        <v>1428</v>
      </c>
      <c r="F2056" t="s">
        <v>3762</v>
      </c>
    </row>
    <row r="2057" spans="1:6" x14ac:dyDescent="0.25">
      <c r="A2057" t="str">
        <f t="shared" si="32"/>
        <v>2077+114+207Q00000X</v>
      </c>
      <c r="B2057">
        <v>9484</v>
      </c>
      <c r="C2057">
        <v>2077</v>
      </c>
      <c r="D2057">
        <v>114</v>
      </c>
      <c r="E2057" t="s">
        <v>1114</v>
      </c>
      <c r="F2057" t="s">
        <v>3756</v>
      </c>
    </row>
    <row r="2058" spans="1:6" x14ac:dyDescent="0.25">
      <c r="A2058" t="str">
        <f t="shared" si="32"/>
        <v>2077+114+207QA0000X</v>
      </c>
      <c r="B2058">
        <v>9487</v>
      </c>
      <c r="C2058">
        <v>2077</v>
      </c>
      <c r="D2058">
        <v>114</v>
      </c>
      <c r="E2058" t="s">
        <v>1117</v>
      </c>
      <c r="F2058" t="s">
        <v>3757</v>
      </c>
    </row>
    <row r="2059" spans="1:6" x14ac:dyDescent="0.25">
      <c r="A2059" t="str">
        <f t="shared" si="32"/>
        <v>2077+114+207QA0505X</v>
      </c>
      <c r="B2059">
        <v>9490</v>
      </c>
      <c r="C2059">
        <v>2077</v>
      </c>
      <c r="D2059">
        <v>114</v>
      </c>
      <c r="E2059" t="s">
        <v>1119</v>
      </c>
      <c r="F2059" t="s">
        <v>3758</v>
      </c>
    </row>
    <row r="2060" spans="1:6" x14ac:dyDescent="0.25">
      <c r="A2060" t="str">
        <f t="shared" si="32"/>
        <v>2077+114+207QB0002X</v>
      </c>
      <c r="B2060">
        <v>9493</v>
      </c>
      <c r="C2060">
        <v>2077</v>
      </c>
      <c r="D2060">
        <v>114</v>
      </c>
      <c r="E2060" t="s">
        <v>1121</v>
      </c>
      <c r="F2060" t="s">
        <v>3759</v>
      </c>
    </row>
    <row r="2061" spans="1:6" x14ac:dyDescent="0.25">
      <c r="A2061" t="str">
        <f t="shared" si="32"/>
        <v>2077+114+207QH0002X</v>
      </c>
      <c r="B2061">
        <v>9496</v>
      </c>
      <c r="C2061">
        <v>2077</v>
      </c>
      <c r="D2061">
        <v>114</v>
      </c>
      <c r="E2061" t="s">
        <v>1122</v>
      </c>
      <c r="F2061" t="s">
        <v>3760</v>
      </c>
    </row>
    <row r="2062" spans="1:6" x14ac:dyDescent="0.25">
      <c r="A2062" t="str">
        <f t="shared" ref="A2062:A2125" si="33">C2062 &amp; "+" &amp; D2062 &amp; "+" &amp; E2062</f>
        <v>2077+114+207QS0010X</v>
      </c>
      <c r="B2062">
        <v>9499</v>
      </c>
      <c r="C2062">
        <v>2077</v>
      </c>
      <c r="D2062">
        <v>114</v>
      </c>
      <c r="E2062" t="s">
        <v>1124</v>
      </c>
      <c r="F2062" t="s">
        <v>3761</v>
      </c>
    </row>
    <row r="2063" spans="1:6" x14ac:dyDescent="0.25">
      <c r="A2063" t="str">
        <f t="shared" si="33"/>
        <v>2077+114+207QS1201X</v>
      </c>
      <c r="B2063">
        <v>9502</v>
      </c>
      <c r="C2063">
        <v>2077</v>
      </c>
      <c r="D2063">
        <v>114</v>
      </c>
      <c r="E2063" t="s">
        <v>1428</v>
      </c>
      <c r="F2063" t="s">
        <v>3762</v>
      </c>
    </row>
    <row r="2064" spans="1:6" x14ac:dyDescent="0.25">
      <c r="A2064" t="str">
        <f t="shared" si="33"/>
        <v>2078+50+207RG0100X</v>
      </c>
      <c r="B2064">
        <v>9506</v>
      </c>
      <c r="C2064">
        <v>2078</v>
      </c>
      <c r="D2064">
        <v>50</v>
      </c>
      <c r="E2064" t="s">
        <v>1140</v>
      </c>
      <c r="F2064" t="s">
        <v>3763</v>
      </c>
    </row>
    <row r="2065" spans="1:6" x14ac:dyDescent="0.25">
      <c r="A2065" t="str">
        <f t="shared" si="33"/>
        <v>2078+51+193400000X</v>
      </c>
      <c r="B2065">
        <v>4475</v>
      </c>
      <c r="C2065">
        <v>2078</v>
      </c>
      <c r="D2065">
        <v>51</v>
      </c>
      <c r="E2065" t="s">
        <v>1447</v>
      </c>
      <c r="F2065" t="s">
        <v>3680</v>
      </c>
    </row>
    <row r="2066" spans="1:6" x14ac:dyDescent="0.25">
      <c r="A2066" t="str">
        <f t="shared" si="33"/>
        <v>2078+51+207RG0100X</v>
      </c>
      <c r="B2066">
        <v>9507</v>
      </c>
      <c r="C2066">
        <v>2078</v>
      </c>
      <c r="D2066">
        <v>51</v>
      </c>
      <c r="E2066" t="s">
        <v>1140</v>
      </c>
      <c r="F2066" t="s">
        <v>3763</v>
      </c>
    </row>
    <row r="2067" spans="1:6" x14ac:dyDescent="0.25">
      <c r="A2067" t="str">
        <f t="shared" si="33"/>
        <v>2078+114+207RG0100X</v>
      </c>
      <c r="B2067">
        <v>9505</v>
      </c>
      <c r="C2067">
        <v>2078</v>
      </c>
      <c r="D2067">
        <v>114</v>
      </c>
      <c r="E2067" t="s">
        <v>1140</v>
      </c>
      <c r="F2067" t="s">
        <v>3763</v>
      </c>
    </row>
    <row r="2068" spans="1:6" x14ac:dyDescent="0.25">
      <c r="A2068" t="str">
        <f t="shared" si="33"/>
        <v>2078+114+207RI0008X</v>
      </c>
      <c r="B2068">
        <v>9508</v>
      </c>
      <c r="C2068">
        <v>2078</v>
      </c>
      <c r="D2068">
        <v>114</v>
      </c>
      <c r="E2068" t="s">
        <v>1148</v>
      </c>
      <c r="F2068" t="s">
        <v>3764</v>
      </c>
    </row>
    <row r="2069" spans="1:6" x14ac:dyDescent="0.25">
      <c r="A2069" t="str">
        <f t="shared" si="33"/>
        <v>2078+114+2080P0206X</v>
      </c>
      <c r="B2069">
        <v>9511</v>
      </c>
      <c r="C2069">
        <v>2078</v>
      </c>
      <c r="D2069">
        <v>114</v>
      </c>
      <c r="E2069" t="s">
        <v>1285</v>
      </c>
      <c r="F2069" t="s">
        <v>3765</v>
      </c>
    </row>
    <row r="2070" spans="1:6" x14ac:dyDescent="0.25">
      <c r="A2070" t="str">
        <f t="shared" si="33"/>
        <v>2079+50+2083P0011X</v>
      </c>
      <c r="B2070">
        <v>9518</v>
      </c>
      <c r="C2070">
        <v>2079</v>
      </c>
      <c r="D2070">
        <v>50</v>
      </c>
      <c r="E2070" t="s">
        <v>1324</v>
      </c>
      <c r="F2070" t="s">
        <v>3766</v>
      </c>
    </row>
    <row r="2071" spans="1:6" x14ac:dyDescent="0.25">
      <c r="A2071" t="str">
        <f t="shared" si="33"/>
        <v>2079+50+2083P0500X</v>
      </c>
      <c r="B2071">
        <v>9521</v>
      </c>
      <c r="C2071">
        <v>2079</v>
      </c>
      <c r="D2071">
        <v>50</v>
      </c>
      <c r="E2071" t="s">
        <v>1326</v>
      </c>
      <c r="F2071" t="s">
        <v>3767</v>
      </c>
    </row>
    <row r="2072" spans="1:6" x14ac:dyDescent="0.25">
      <c r="A2072" t="str">
        <f t="shared" si="33"/>
        <v>2079+50+2083P0901X</v>
      </c>
      <c r="B2072">
        <v>9524</v>
      </c>
      <c r="C2072">
        <v>2079</v>
      </c>
      <c r="D2072">
        <v>50</v>
      </c>
      <c r="E2072" t="s">
        <v>1328</v>
      </c>
      <c r="F2072" t="s">
        <v>3768</v>
      </c>
    </row>
    <row r="2073" spans="1:6" x14ac:dyDescent="0.25">
      <c r="A2073" t="str">
        <f t="shared" si="33"/>
        <v>2079+50+2083S0010X</v>
      </c>
      <c r="B2073">
        <v>9527</v>
      </c>
      <c r="C2073">
        <v>2079</v>
      </c>
      <c r="D2073">
        <v>50</v>
      </c>
      <c r="E2073" t="s">
        <v>1329</v>
      </c>
      <c r="F2073" t="s">
        <v>3769</v>
      </c>
    </row>
    <row r="2074" spans="1:6" x14ac:dyDescent="0.25">
      <c r="A2074" t="str">
        <f t="shared" si="33"/>
        <v>2079+50+2083T0002X</v>
      </c>
      <c r="B2074">
        <v>9530</v>
      </c>
      <c r="C2074">
        <v>2079</v>
      </c>
      <c r="D2074">
        <v>50</v>
      </c>
      <c r="E2074" t="s">
        <v>1330</v>
      </c>
      <c r="F2074" t="s">
        <v>3770</v>
      </c>
    </row>
    <row r="2075" spans="1:6" x14ac:dyDescent="0.25">
      <c r="A2075" t="str">
        <f t="shared" si="33"/>
        <v>2079+50+2083X0100X</v>
      </c>
      <c r="B2075">
        <v>9533</v>
      </c>
      <c r="C2075">
        <v>2079</v>
      </c>
      <c r="D2075">
        <v>50</v>
      </c>
      <c r="E2075" t="s">
        <v>1331</v>
      </c>
      <c r="F2075" t="s">
        <v>3771</v>
      </c>
    </row>
    <row r="2076" spans="1:6" x14ac:dyDescent="0.25">
      <c r="A2076" t="str">
        <f t="shared" si="33"/>
        <v>2079+50+208D00000X</v>
      </c>
      <c r="B2076">
        <v>9536</v>
      </c>
      <c r="C2076">
        <v>2079</v>
      </c>
      <c r="D2076">
        <v>50</v>
      </c>
      <c r="E2076" t="s">
        <v>1409</v>
      </c>
      <c r="F2076" t="s">
        <v>3772</v>
      </c>
    </row>
    <row r="2077" spans="1:6" x14ac:dyDescent="0.25">
      <c r="A2077" t="str">
        <f t="shared" si="33"/>
        <v>2079+50+208M00000X</v>
      </c>
      <c r="B2077">
        <v>9539</v>
      </c>
      <c r="C2077">
        <v>2079</v>
      </c>
      <c r="D2077">
        <v>50</v>
      </c>
      <c r="E2077" t="s">
        <v>1414</v>
      </c>
      <c r="F2077" t="s">
        <v>3773</v>
      </c>
    </row>
    <row r="2078" spans="1:6" x14ac:dyDescent="0.25">
      <c r="A2078" t="str">
        <f t="shared" si="33"/>
        <v>2079+51+193400000X</v>
      </c>
      <c r="B2078">
        <v>4476</v>
      </c>
      <c r="C2078">
        <v>2079</v>
      </c>
      <c r="D2078">
        <v>51</v>
      </c>
      <c r="E2078" t="s">
        <v>1447</v>
      </c>
      <c r="F2078" t="s">
        <v>3680</v>
      </c>
    </row>
    <row r="2079" spans="1:6" x14ac:dyDescent="0.25">
      <c r="A2079" t="str">
        <f t="shared" si="33"/>
        <v>2079+51+2083P0011X</v>
      </c>
      <c r="B2079">
        <v>9519</v>
      </c>
      <c r="C2079">
        <v>2079</v>
      </c>
      <c r="D2079">
        <v>51</v>
      </c>
      <c r="E2079" t="s">
        <v>1324</v>
      </c>
      <c r="F2079" t="s">
        <v>3766</v>
      </c>
    </row>
    <row r="2080" spans="1:6" x14ac:dyDescent="0.25">
      <c r="A2080" t="str">
        <f t="shared" si="33"/>
        <v>2079+51+2083P0500X</v>
      </c>
      <c r="B2080">
        <v>9522</v>
      </c>
      <c r="C2080">
        <v>2079</v>
      </c>
      <c r="D2080">
        <v>51</v>
      </c>
      <c r="E2080" t="s">
        <v>1326</v>
      </c>
      <c r="F2080" t="s">
        <v>3767</v>
      </c>
    </row>
    <row r="2081" spans="1:6" x14ac:dyDescent="0.25">
      <c r="A2081" t="str">
        <f t="shared" si="33"/>
        <v>2079+51+2083P0901X</v>
      </c>
      <c r="B2081">
        <v>9525</v>
      </c>
      <c r="C2081">
        <v>2079</v>
      </c>
      <c r="D2081">
        <v>51</v>
      </c>
      <c r="E2081" t="s">
        <v>1328</v>
      </c>
      <c r="F2081" t="s">
        <v>3768</v>
      </c>
    </row>
    <row r="2082" spans="1:6" x14ac:dyDescent="0.25">
      <c r="A2082" t="str">
        <f t="shared" si="33"/>
        <v>2079+51+2083S0010X</v>
      </c>
      <c r="B2082">
        <v>9528</v>
      </c>
      <c r="C2082">
        <v>2079</v>
      </c>
      <c r="D2082">
        <v>51</v>
      </c>
      <c r="E2082" t="s">
        <v>1329</v>
      </c>
      <c r="F2082" t="s">
        <v>3769</v>
      </c>
    </row>
    <row r="2083" spans="1:6" x14ac:dyDescent="0.25">
      <c r="A2083" t="str">
        <f t="shared" si="33"/>
        <v>2079+51+2083T0002X</v>
      </c>
      <c r="B2083">
        <v>9531</v>
      </c>
      <c r="C2083">
        <v>2079</v>
      </c>
      <c r="D2083">
        <v>51</v>
      </c>
      <c r="E2083" t="s">
        <v>1330</v>
      </c>
      <c r="F2083" t="s">
        <v>3770</v>
      </c>
    </row>
    <row r="2084" spans="1:6" x14ac:dyDescent="0.25">
      <c r="A2084" t="str">
        <f t="shared" si="33"/>
        <v>2079+51+2083X0100X</v>
      </c>
      <c r="B2084">
        <v>9534</v>
      </c>
      <c r="C2084">
        <v>2079</v>
      </c>
      <c r="D2084">
        <v>51</v>
      </c>
      <c r="E2084" t="s">
        <v>1331</v>
      </c>
      <c r="F2084" t="s">
        <v>3771</v>
      </c>
    </row>
    <row r="2085" spans="1:6" x14ac:dyDescent="0.25">
      <c r="A2085" t="str">
        <f t="shared" si="33"/>
        <v>2079+51+208D00000X</v>
      </c>
      <c r="B2085">
        <v>9537</v>
      </c>
      <c r="C2085">
        <v>2079</v>
      </c>
      <c r="D2085">
        <v>51</v>
      </c>
      <c r="E2085" t="s">
        <v>1409</v>
      </c>
      <c r="F2085" t="s">
        <v>3772</v>
      </c>
    </row>
    <row r="2086" spans="1:6" x14ac:dyDescent="0.25">
      <c r="A2086" t="str">
        <f t="shared" si="33"/>
        <v>2079+51+208M00000X</v>
      </c>
      <c r="B2086">
        <v>9540</v>
      </c>
      <c r="C2086">
        <v>2079</v>
      </c>
      <c r="D2086">
        <v>51</v>
      </c>
      <c r="E2086" t="s">
        <v>1414</v>
      </c>
      <c r="F2086" t="s">
        <v>3773</v>
      </c>
    </row>
    <row r="2087" spans="1:6" x14ac:dyDescent="0.25">
      <c r="A2087" t="str">
        <f t="shared" si="33"/>
        <v>2079+114+2083A0100X</v>
      </c>
      <c r="B2087">
        <v>9514</v>
      </c>
      <c r="C2087">
        <v>2079</v>
      </c>
      <c r="D2087">
        <v>114</v>
      </c>
      <c r="E2087" t="s">
        <v>1321</v>
      </c>
      <c r="F2087" t="s">
        <v>3774</v>
      </c>
    </row>
    <row r="2088" spans="1:6" x14ac:dyDescent="0.25">
      <c r="A2088" t="str">
        <f t="shared" si="33"/>
        <v>2079+114+2083P0011X</v>
      </c>
      <c r="B2088">
        <v>9517</v>
      </c>
      <c r="C2088">
        <v>2079</v>
      </c>
      <c r="D2088">
        <v>114</v>
      </c>
      <c r="E2088" t="s">
        <v>1324</v>
      </c>
      <c r="F2088" t="s">
        <v>3766</v>
      </c>
    </row>
    <row r="2089" spans="1:6" x14ac:dyDescent="0.25">
      <c r="A2089" t="str">
        <f t="shared" si="33"/>
        <v>2079+114+2083P0500X</v>
      </c>
      <c r="B2089">
        <v>9520</v>
      </c>
      <c r="C2089">
        <v>2079</v>
      </c>
      <c r="D2089">
        <v>114</v>
      </c>
      <c r="E2089" t="s">
        <v>1326</v>
      </c>
      <c r="F2089" t="s">
        <v>3767</v>
      </c>
    </row>
    <row r="2090" spans="1:6" x14ac:dyDescent="0.25">
      <c r="A2090" t="str">
        <f t="shared" si="33"/>
        <v>2079+114+2083P0901X</v>
      </c>
      <c r="B2090">
        <v>9523</v>
      </c>
      <c r="C2090">
        <v>2079</v>
      </c>
      <c r="D2090">
        <v>114</v>
      </c>
      <c r="E2090" t="s">
        <v>1328</v>
      </c>
      <c r="F2090" t="s">
        <v>3768</v>
      </c>
    </row>
    <row r="2091" spans="1:6" x14ac:dyDescent="0.25">
      <c r="A2091" t="str">
        <f t="shared" si="33"/>
        <v>2079+114+2083S0010X</v>
      </c>
      <c r="B2091">
        <v>9526</v>
      </c>
      <c r="C2091">
        <v>2079</v>
      </c>
      <c r="D2091">
        <v>114</v>
      </c>
      <c r="E2091" t="s">
        <v>1329</v>
      </c>
      <c r="F2091" t="s">
        <v>3769</v>
      </c>
    </row>
    <row r="2092" spans="1:6" x14ac:dyDescent="0.25">
      <c r="A2092" t="str">
        <f t="shared" si="33"/>
        <v>2079+114+2083T0002X</v>
      </c>
      <c r="B2092">
        <v>9529</v>
      </c>
      <c r="C2092">
        <v>2079</v>
      </c>
      <c r="D2092">
        <v>114</v>
      </c>
      <c r="E2092" t="s">
        <v>1330</v>
      </c>
      <c r="F2092" t="s">
        <v>3770</v>
      </c>
    </row>
    <row r="2093" spans="1:6" x14ac:dyDescent="0.25">
      <c r="A2093" t="str">
        <f t="shared" si="33"/>
        <v>2079+114+2083X0100X</v>
      </c>
      <c r="B2093">
        <v>9532</v>
      </c>
      <c r="C2093">
        <v>2079</v>
      </c>
      <c r="D2093">
        <v>114</v>
      </c>
      <c r="E2093" t="s">
        <v>1331</v>
      </c>
      <c r="F2093" t="s">
        <v>3771</v>
      </c>
    </row>
    <row r="2094" spans="1:6" x14ac:dyDescent="0.25">
      <c r="A2094" t="str">
        <f t="shared" si="33"/>
        <v>2079+114+208D00000X</v>
      </c>
      <c r="B2094">
        <v>9535</v>
      </c>
      <c r="C2094">
        <v>2079</v>
      </c>
      <c r="D2094">
        <v>114</v>
      </c>
      <c r="E2094" t="s">
        <v>1409</v>
      </c>
      <c r="F2094" t="s">
        <v>3772</v>
      </c>
    </row>
    <row r="2095" spans="1:6" x14ac:dyDescent="0.25">
      <c r="A2095" t="str">
        <f t="shared" si="33"/>
        <v>2079+114+208M00000X</v>
      </c>
      <c r="B2095">
        <v>9538</v>
      </c>
      <c r="C2095">
        <v>2079</v>
      </c>
      <c r="D2095">
        <v>114</v>
      </c>
      <c r="E2095" t="s">
        <v>1414</v>
      </c>
      <c r="F2095" t="s">
        <v>3773</v>
      </c>
    </row>
    <row r="2096" spans="1:6" x14ac:dyDescent="0.25">
      <c r="A2096" t="str">
        <f t="shared" si="33"/>
        <v>2080+50+204E00000X</v>
      </c>
      <c r="B2096">
        <v>9542</v>
      </c>
      <c r="C2096">
        <v>2080</v>
      </c>
      <c r="D2096">
        <v>50</v>
      </c>
      <c r="E2096" t="s">
        <v>1065</v>
      </c>
      <c r="F2096" t="s">
        <v>3775</v>
      </c>
    </row>
    <row r="2097" spans="1:6" x14ac:dyDescent="0.25">
      <c r="A2097" t="str">
        <f t="shared" si="33"/>
        <v>2080+50+204F00000X</v>
      </c>
      <c r="B2097">
        <v>9545</v>
      </c>
      <c r="C2097">
        <v>2080</v>
      </c>
      <c r="D2097">
        <v>50</v>
      </c>
      <c r="E2097" t="s">
        <v>1068</v>
      </c>
      <c r="F2097" t="s">
        <v>3776</v>
      </c>
    </row>
    <row r="2098" spans="1:6" x14ac:dyDescent="0.25">
      <c r="A2098" t="str">
        <f t="shared" si="33"/>
        <v>2080+50+208600000X</v>
      </c>
      <c r="B2098">
        <v>9548</v>
      </c>
      <c r="C2098">
        <v>2080</v>
      </c>
      <c r="D2098">
        <v>50</v>
      </c>
      <c r="E2098" t="s">
        <v>1389</v>
      </c>
      <c r="F2098" t="s">
        <v>3777</v>
      </c>
    </row>
    <row r="2099" spans="1:6" x14ac:dyDescent="0.25">
      <c r="A2099" t="str">
        <f t="shared" si="33"/>
        <v>2080+50+2086H0002X</v>
      </c>
      <c r="B2099">
        <v>9551</v>
      </c>
      <c r="C2099">
        <v>2080</v>
      </c>
      <c r="D2099">
        <v>50</v>
      </c>
      <c r="E2099" t="s">
        <v>1390</v>
      </c>
      <c r="F2099" t="s">
        <v>3778</v>
      </c>
    </row>
    <row r="2100" spans="1:6" x14ac:dyDescent="0.25">
      <c r="A2100" t="str">
        <f t="shared" si="33"/>
        <v>2080+50+2086S0102X</v>
      </c>
      <c r="B2100">
        <v>9554</v>
      </c>
      <c r="C2100">
        <v>2080</v>
      </c>
      <c r="D2100">
        <v>50</v>
      </c>
      <c r="E2100" t="s">
        <v>1392</v>
      </c>
      <c r="F2100" t="s">
        <v>3779</v>
      </c>
    </row>
    <row r="2101" spans="1:6" x14ac:dyDescent="0.25">
      <c r="A2101" t="str">
        <f t="shared" si="33"/>
        <v>2080+50+2086S0127X</v>
      </c>
      <c r="B2101">
        <v>9557</v>
      </c>
      <c r="C2101">
        <v>2080</v>
      </c>
      <c r="D2101">
        <v>50</v>
      </c>
      <c r="E2101" t="s">
        <v>1397</v>
      </c>
      <c r="F2101" t="s">
        <v>3780</v>
      </c>
    </row>
    <row r="2102" spans="1:6" x14ac:dyDescent="0.25">
      <c r="A2102" t="str">
        <f t="shared" si="33"/>
        <v>2080+51+193400000X</v>
      </c>
      <c r="B2102">
        <v>4477</v>
      </c>
      <c r="C2102">
        <v>2080</v>
      </c>
      <c r="D2102">
        <v>51</v>
      </c>
      <c r="E2102" t="s">
        <v>1447</v>
      </c>
      <c r="F2102" t="s">
        <v>3680</v>
      </c>
    </row>
    <row r="2103" spans="1:6" x14ac:dyDescent="0.25">
      <c r="A2103" t="str">
        <f t="shared" si="33"/>
        <v>2080+51+204E00000X</v>
      </c>
      <c r="B2103">
        <v>9543</v>
      </c>
      <c r="C2103">
        <v>2080</v>
      </c>
      <c r="D2103">
        <v>51</v>
      </c>
      <c r="E2103" t="s">
        <v>1065</v>
      </c>
      <c r="F2103" t="s">
        <v>3775</v>
      </c>
    </row>
    <row r="2104" spans="1:6" x14ac:dyDescent="0.25">
      <c r="A2104" t="str">
        <f t="shared" si="33"/>
        <v>2080+51+204F00000X</v>
      </c>
      <c r="B2104">
        <v>9546</v>
      </c>
      <c r="C2104">
        <v>2080</v>
      </c>
      <c r="D2104">
        <v>51</v>
      </c>
      <c r="E2104" t="s">
        <v>1068</v>
      </c>
      <c r="F2104" t="s">
        <v>3776</v>
      </c>
    </row>
    <row r="2105" spans="1:6" x14ac:dyDescent="0.25">
      <c r="A2105" t="str">
        <f t="shared" si="33"/>
        <v>2080+51+208600000X</v>
      </c>
      <c r="B2105">
        <v>9549</v>
      </c>
      <c r="C2105">
        <v>2080</v>
      </c>
      <c r="D2105">
        <v>51</v>
      </c>
      <c r="E2105" t="s">
        <v>1389</v>
      </c>
      <c r="F2105" t="s">
        <v>3777</v>
      </c>
    </row>
    <row r="2106" spans="1:6" x14ac:dyDescent="0.25">
      <c r="A2106" t="str">
        <f t="shared" si="33"/>
        <v>2080+51+2086H0002X</v>
      </c>
      <c r="B2106">
        <v>9552</v>
      </c>
      <c r="C2106">
        <v>2080</v>
      </c>
      <c r="D2106">
        <v>51</v>
      </c>
      <c r="E2106" t="s">
        <v>1390</v>
      </c>
      <c r="F2106" t="s">
        <v>3778</v>
      </c>
    </row>
    <row r="2107" spans="1:6" x14ac:dyDescent="0.25">
      <c r="A2107" t="str">
        <f t="shared" si="33"/>
        <v>2080+51+2086S0102X</v>
      </c>
      <c r="B2107">
        <v>9555</v>
      </c>
      <c r="C2107">
        <v>2080</v>
      </c>
      <c r="D2107">
        <v>51</v>
      </c>
      <c r="E2107" t="s">
        <v>1392</v>
      </c>
      <c r="F2107" t="s">
        <v>3779</v>
      </c>
    </row>
    <row r="2108" spans="1:6" x14ac:dyDescent="0.25">
      <c r="A2108" t="str">
        <f t="shared" si="33"/>
        <v>2080+51+2086S0127X</v>
      </c>
      <c r="B2108">
        <v>9558</v>
      </c>
      <c r="C2108">
        <v>2080</v>
      </c>
      <c r="D2108">
        <v>51</v>
      </c>
      <c r="E2108" t="s">
        <v>1397</v>
      </c>
      <c r="F2108" t="s">
        <v>3780</v>
      </c>
    </row>
    <row r="2109" spans="1:6" x14ac:dyDescent="0.25">
      <c r="A2109" t="str">
        <f t="shared" si="33"/>
        <v>2080+114+204E00000X</v>
      </c>
      <c r="B2109">
        <v>9541</v>
      </c>
      <c r="C2109">
        <v>2080</v>
      </c>
      <c r="D2109">
        <v>114</v>
      </c>
      <c r="E2109" t="s">
        <v>1065</v>
      </c>
      <c r="F2109" t="s">
        <v>3775</v>
      </c>
    </row>
    <row r="2110" spans="1:6" x14ac:dyDescent="0.25">
      <c r="A2110" t="str">
        <f t="shared" si="33"/>
        <v>2080+114+204F00000X</v>
      </c>
      <c r="B2110">
        <v>9544</v>
      </c>
      <c r="C2110">
        <v>2080</v>
      </c>
      <c r="D2110">
        <v>114</v>
      </c>
      <c r="E2110" t="s">
        <v>1068</v>
      </c>
      <c r="F2110" t="s">
        <v>3776</v>
      </c>
    </row>
    <row r="2111" spans="1:6" x14ac:dyDescent="0.25">
      <c r="A2111" t="str">
        <f t="shared" si="33"/>
        <v>2080+114+208600000X</v>
      </c>
      <c r="B2111">
        <v>9547</v>
      </c>
      <c r="C2111">
        <v>2080</v>
      </c>
      <c r="D2111">
        <v>114</v>
      </c>
      <c r="E2111" t="s">
        <v>1389</v>
      </c>
      <c r="F2111" t="s">
        <v>3777</v>
      </c>
    </row>
    <row r="2112" spans="1:6" x14ac:dyDescent="0.25">
      <c r="A2112" t="str">
        <f t="shared" si="33"/>
        <v>2080+114+2086H0002X</v>
      </c>
      <c r="B2112">
        <v>9550</v>
      </c>
      <c r="C2112">
        <v>2080</v>
      </c>
      <c r="D2112">
        <v>114</v>
      </c>
      <c r="E2112" t="s">
        <v>1390</v>
      </c>
      <c r="F2112" t="s">
        <v>3778</v>
      </c>
    </row>
    <row r="2113" spans="1:6" x14ac:dyDescent="0.25">
      <c r="A2113" t="str">
        <f t="shared" si="33"/>
        <v>2080+114+2086S0102X</v>
      </c>
      <c r="B2113">
        <v>9553</v>
      </c>
      <c r="C2113">
        <v>2080</v>
      </c>
      <c r="D2113">
        <v>114</v>
      </c>
      <c r="E2113" t="s">
        <v>1392</v>
      </c>
      <c r="F2113" t="s">
        <v>3779</v>
      </c>
    </row>
    <row r="2114" spans="1:6" x14ac:dyDescent="0.25">
      <c r="A2114" t="str">
        <f t="shared" si="33"/>
        <v>2080+114+2086S0127X</v>
      </c>
      <c r="B2114">
        <v>9556</v>
      </c>
      <c r="C2114">
        <v>2080</v>
      </c>
      <c r="D2114">
        <v>114</v>
      </c>
      <c r="E2114" t="s">
        <v>1397</v>
      </c>
      <c r="F2114" t="s">
        <v>3780</v>
      </c>
    </row>
    <row r="2115" spans="1:6" x14ac:dyDescent="0.25">
      <c r="A2115" t="str">
        <f t="shared" si="33"/>
        <v>2081+50+207QG0300X</v>
      </c>
      <c r="B2115">
        <v>9560</v>
      </c>
      <c r="C2115">
        <v>2081</v>
      </c>
      <c r="D2115">
        <v>50</v>
      </c>
      <c r="E2115" t="s">
        <v>997</v>
      </c>
      <c r="F2115" t="s">
        <v>3781</v>
      </c>
    </row>
    <row r="2116" spans="1:6" x14ac:dyDescent="0.25">
      <c r="A2116" t="str">
        <f t="shared" si="33"/>
        <v>2081+51+193400000X</v>
      </c>
      <c r="B2116">
        <v>4478</v>
      </c>
      <c r="C2116">
        <v>2081</v>
      </c>
      <c r="D2116">
        <v>51</v>
      </c>
      <c r="E2116" t="s">
        <v>1447</v>
      </c>
      <c r="F2116" t="s">
        <v>3680</v>
      </c>
    </row>
    <row r="2117" spans="1:6" x14ac:dyDescent="0.25">
      <c r="A2117" t="str">
        <f t="shared" si="33"/>
        <v>2081+51+207QG0300X</v>
      </c>
      <c r="B2117">
        <v>9561</v>
      </c>
      <c r="C2117">
        <v>2081</v>
      </c>
      <c r="D2117">
        <v>51</v>
      </c>
      <c r="E2117" t="s">
        <v>997</v>
      </c>
      <c r="F2117" t="s">
        <v>3781</v>
      </c>
    </row>
    <row r="2118" spans="1:6" x14ac:dyDescent="0.25">
      <c r="A2118" t="str">
        <f t="shared" si="33"/>
        <v>2081+114+207QG0300X</v>
      </c>
      <c r="B2118">
        <v>9559</v>
      </c>
      <c r="C2118">
        <v>2081</v>
      </c>
      <c r="D2118">
        <v>114</v>
      </c>
      <c r="E2118" t="s">
        <v>997</v>
      </c>
      <c r="F2118" t="s">
        <v>3781</v>
      </c>
    </row>
    <row r="2119" spans="1:6" x14ac:dyDescent="0.25">
      <c r="A2119" t="str">
        <f t="shared" si="33"/>
        <v>2082+50+207XS0106X</v>
      </c>
      <c r="B2119">
        <v>9563</v>
      </c>
      <c r="C2119">
        <v>2082</v>
      </c>
      <c r="D2119">
        <v>50</v>
      </c>
      <c r="E2119" t="s">
        <v>1201</v>
      </c>
      <c r="F2119" t="s">
        <v>3782</v>
      </c>
    </row>
    <row r="2120" spans="1:6" x14ac:dyDescent="0.25">
      <c r="A2120" t="str">
        <f t="shared" si="33"/>
        <v>2082+50+2082S0105X</v>
      </c>
      <c r="B2120">
        <v>9566</v>
      </c>
      <c r="C2120">
        <v>2082</v>
      </c>
      <c r="D2120">
        <v>50</v>
      </c>
      <c r="E2120" t="s">
        <v>1318</v>
      </c>
      <c r="F2120" t="s">
        <v>3783</v>
      </c>
    </row>
    <row r="2121" spans="1:6" x14ac:dyDescent="0.25">
      <c r="A2121" t="str">
        <f t="shared" si="33"/>
        <v>2082+50+2086S0105X</v>
      </c>
      <c r="B2121">
        <v>9569</v>
      </c>
      <c r="C2121">
        <v>2082</v>
      </c>
      <c r="D2121">
        <v>50</v>
      </c>
      <c r="E2121" t="s">
        <v>1393</v>
      </c>
      <c r="F2121" t="s">
        <v>3784</v>
      </c>
    </row>
    <row r="2122" spans="1:6" x14ac:dyDescent="0.25">
      <c r="A2122" t="str">
        <f t="shared" si="33"/>
        <v>2082+51+193400000X</v>
      </c>
      <c r="B2122">
        <v>4479</v>
      </c>
      <c r="C2122">
        <v>2082</v>
      </c>
      <c r="D2122">
        <v>51</v>
      </c>
      <c r="E2122" t="s">
        <v>1447</v>
      </c>
      <c r="F2122" t="s">
        <v>3680</v>
      </c>
    </row>
    <row r="2123" spans="1:6" x14ac:dyDescent="0.25">
      <c r="A2123" t="str">
        <f t="shared" si="33"/>
        <v>2082+51+207XS0106X</v>
      </c>
      <c r="B2123">
        <v>9564</v>
      </c>
      <c r="C2123">
        <v>2082</v>
      </c>
      <c r="D2123">
        <v>51</v>
      </c>
      <c r="E2123" t="s">
        <v>1201</v>
      </c>
      <c r="F2123" t="s">
        <v>3782</v>
      </c>
    </row>
    <row r="2124" spans="1:6" x14ac:dyDescent="0.25">
      <c r="A2124" t="str">
        <f t="shared" si="33"/>
        <v>2082+51+2082S0105X</v>
      </c>
      <c r="B2124">
        <v>9567</v>
      </c>
      <c r="C2124">
        <v>2082</v>
      </c>
      <c r="D2124">
        <v>51</v>
      </c>
      <c r="E2124" t="s">
        <v>1318</v>
      </c>
      <c r="F2124" t="s">
        <v>3783</v>
      </c>
    </row>
    <row r="2125" spans="1:6" x14ac:dyDescent="0.25">
      <c r="A2125" t="str">
        <f t="shared" si="33"/>
        <v>2082+51+2086S0105X</v>
      </c>
      <c r="B2125">
        <v>9570</v>
      </c>
      <c r="C2125">
        <v>2082</v>
      </c>
      <c r="D2125">
        <v>51</v>
      </c>
      <c r="E2125" t="s">
        <v>1393</v>
      </c>
      <c r="F2125" t="s">
        <v>3784</v>
      </c>
    </row>
    <row r="2126" spans="1:6" x14ac:dyDescent="0.25">
      <c r="A2126" t="str">
        <f t="shared" ref="A2126:A2189" si="34">C2126 &amp; "+" &amp; D2126 &amp; "+" &amp; E2126</f>
        <v>2082+114+207XS0106X</v>
      </c>
      <c r="B2126">
        <v>9562</v>
      </c>
      <c r="C2126">
        <v>2082</v>
      </c>
      <c r="D2126">
        <v>114</v>
      </c>
      <c r="E2126" t="s">
        <v>1201</v>
      </c>
      <c r="F2126" t="s">
        <v>3782</v>
      </c>
    </row>
    <row r="2127" spans="1:6" x14ac:dyDescent="0.25">
      <c r="A2127" t="str">
        <f t="shared" si="34"/>
        <v>2082+114+2082S0105X</v>
      </c>
      <c r="B2127">
        <v>9565</v>
      </c>
      <c r="C2127">
        <v>2082</v>
      </c>
      <c r="D2127">
        <v>114</v>
      </c>
      <c r="E2127" t="s">
        <v>1318</v>
      </c>
      <c r="F2127" t="s">
        <v>3783</v>
      </c>
    </row>
    <row r="2128" spans="1:6" x14ac:dyDescent="0.25">
      <c r="A2128" t="str">
        <f t="shared" si="34"/>
        <v>2082+114+2086S0105X</v>
      </c>
      <c r="B2128">
        <v>9568</v>
      </c>
      <c r="C2128">
        <v>2082</v>
      </c>
      <c r="D2128">
        <v>114</v>
      </c>
      <c r="E2128" t="s">
        <v>1393</v>
      </c>
      <c r="F2128" t="s">
        <v>3784</v>
      </c>
    </row>
    <row r="2129" spans="1:6" x14ac:dyDescent="0.25">
      <c r="A2129" t="str">
        <f t="shared" si="34"/>
        <v>2083+50+2080N0001X</v>
      </c>
      <c r="B2129">
        <v>9611</v>
      </c>
      <c r="C2129">
        <v>2083</v>
      </c>
      <c r="D2129">
        <v>50</v>
      </c>
      <c r="E2129" t="s">
        <v>1040</v>
      </c>
      <c r="F2129" t="s">
        <v>3785</v>
      </c>
    </row>
    <row r="2130" spans="1:6" x14ac:dyDescent="0.25">
      <c r="A2130" t="str">
        <f t="shared" si="34"/>
        <v>2083+51+193400000X</v>
      </c>
      <c r="B2130">
        <v>4480</v>
      </c>
      <c r="C2130">
        <v>2083</v>
      </c>
      <c r="D2130">
        <v>51</v>
      </c>
      <c r="E2130" t="s">
        <v>1447</v>
      </c>
      <c r="F2130" t="s">
        <v>3680</v>
      </c>
    </row>
    <row r="2131" spans="1:6" x14ac:dyDescent="0.25">
      <c r="A2131" t="str">
        <f t="shared" si="34"/>
        <v>2083+51+2080N0001X</v>
      </c>
      <c r="B2131">
        <v>9612</v>
      </c>
      <c r="C2131">
        <v>2083</v>
      </c>
      <c r="D2131">
        <v>51</v>
      </c>
      <c r="E2131" t="s">
        <v>1040</v>
      </c>
      <c r="F2131" t="s">
        <v>3785</v>
      </c>
    </row>
    <row r="2132" spans="1:6" x14ac:dyDescent="0.25">
      <c r="A2132" t="str">
        <f t="shared" si="34"/>
        <v>2083+114+2080N0001X</v>
      </c>
      <c r="B2132">
        <v>9610</v>
      </c>
      <c r="C2132">
        <v>2083</v>
      </c>
      <c r="D2132">
        <v>114</v>
      </c>
      <c r="E2132" t="s">
        <v>1040</v>
      </c>
      <c r="F2132" t="s">
        <v>3785</v>
      </c>
    </row>
    <row r="2133" spans="1:6" x14ac:dyDescent="0.25">
      <c r="A2133" t="str">
        <f t="shared" si="34"/>
        <v>2084+50+207RN0300X</v>
      </c>
      <c r="B2133">
        <v>9614</v>
      </c>
      <c r="C2133">
        <v>2084</v>
      </c>
      <c r="D2133">
        <v>50</v>
      </c>
      <c r="E2133" t="s">
        <v>1154</v>
      </c>
      <c r="F2133" t="s">
        <v>3786</v>
      </c>
    </row>
    <row r="2134" spans="1:6" x14ac:dyDescent="0.25">
      <c r="A2134" t="str">
        <f t="shared" si="34"/>
        <v>2084+50+2080P0210X</v>
      </c>
      <c r="B2134">
        <v>9617</v>
      </c>
      <c r="C2134">
        <v>2084</v>
      </c>
      <c r="D2134">
        <v>50</v>
      </c>
      <c r="E2134" t="s">
        <v>1289</v>
      </c>
      <c r="F2134" t="s">
        <v>3787</v>
      </c>
    </row>
    <row r="2135" spans="1:6" x14ac:dyDescent="0.25">
      <c r="A2135" t="str">
        <f t="shared" si="34"/>
        <v>2084+51+193400000X</v>
      </c>
      <c r="B2135">
        <v>4481</v>
      </c>
      <c r="C2135">
        <v>2084</v>
      </c>
      <c r="D2135">
        <v>51</v>
      </c>
      <c r="E2135" t="s">
        <v>1447</v>
      </c>
      <c r="F2135" t="s">
        <v>3680</v>
      </c>
    </row>
    <row r="2136" spans="1:6" x14ac:dyDescent="0.25">
      <c r="A2136" t="str">
        <f t="shared" si="34"/>
        <v>2084+51+207RN0300X</v>
      </c>
      <c r="B2136">
        <v>9615</v>
      </c>
      <c r="C2136">
        <v>2084</v>
      </c>
      <c r="D2136">
        <v>51</v>
      </c>
      <c r="E2136" t="s">
        <v>1154</v>
      </c>
      <c r="F2136" t="s">
        <v>3786</v>
      </c>
    </row>
    <row r="2137" spans="1:6" x14ac:dyDescent="0.25">
      <c r="A2137" t="str">
        <f t="shared" si="34"/>
        <v>2084+51+2080P0210X</v>
      </c>
      <c r="B2137">
        <v>9618</v>
      </c>
      <c r="C2137">
        <v>2084</v>
      </c>
      <c r="D2137">
        <v>51</v>
      </c>
      <c r="E2137" t="s">
        <v>1289</v>
      </c>
      <c r="F2137" t="s">
        <v>3787</v>
      </c>
    </row>
    <row r="2138" spans="1:6" x14ac:dyDescent="0.25">
      <c r="A2138" t="str">
        <f t="shared" si="34"/>
        <v>2084+114+207RN0300X</v>
      </c>
      <c r="B2138">
        <v>9613</v>
      </c>
      <c r="C2138">
        <v>2084</v>
      </c>
      <c r="D2138">
        <v>114</v>
      </c>
      <c r="E2138" t="s">
        <v>1154</v>
      </c>
      <c r="F2138" t="s">
        <v>3786</v>
      </c>
    </row>
    <row r="2139" spans="1:6" x14ac:dyDescent="0.25">
      <c r="A2139" t="str">
        <f t="shared" si="34"/>
        <v>2084+114+2080P0210X</v>
      </c>
      <c r="B2139">
        <v>9616</v>
      </c>
      <c r="C2139">
        <v>2084</v>
      </c>
      <c r="D2139">
        <v>114</v>
      </c>
      <c r="E2139" t="s">
        <v>1289</v>
      </c>
      <c r="F2139" t="s">
        <v>3787</v>
      </c>
    </row>
    <row r="2140" spans="1:6" x14ac:dyDescent="0.25">
      <c r="A2140" t="str">
        <f t="shared" si="34"/>
        <v>2085+50+207T00000X</v>
      </c>
      <c r="B2140">
        <v>9620</v>
      </c>
      <c r="C2140">
        <v>2085</v>
      </c>
      <c r="D2140">
        <v>50</v>
      </c>
      <c r="E2140" t="s">
        <v>1166</v>
      </c>
      <c r="F2140" t="s">
        <v>3788</v>
      </c>
    </row>
    <row r="2141" spans="1:6" x14ac:dyDescent="0.25">
      <c r="A2141" t="str">
        <f t="shared" si="34"/>
        <v>2085+51+193400000X</v>
      </c>
      <c r="B2141">
        <v>4482</v>
      </c>
      <c r="C2141">
        <v>2085</v>
      </c>
      <c r="D2141">
        <v>51</v>
      </c>
      <c r="E2141" t="s">
        <v>1447</v>
      </c>
      <c r="F2141" t="s">
        <v>3680</v>
      </c>
    </row>
    <row r="2142" spans="1:6" x14ac:dyDescent="0.25">
      <c r="A2142" t="str">
        <f t="shared" si="34"/>
        <v>2085+51+207T00000X</v>
      </c>
      <c r="B2142">
        <v>9621</v>
      </c>
      <c r="C2142">
        <v>2085</v>
      </c>
      <c r="D2142">
        <v>51</v>
      </c>
      <c r="E2142" t="s">
        <v>1166</v>
      </c>
      <c r="F2142" t="s">
        <v>3788</v>
      </c>
    </row>
    <row r="2143" spans="1:6" x14ac:dyDescent="0.25">
      <c r="A2143" t="str">
        <f t="shared" si="34"/>
        <v>2085+114+207T00000X</v>
      </c>
      <c r="B2143">
        <v>9619</v>
      </c>
      <c r="C2143">
        <v>2085</v>
      </c>
      <c r="D2143">
        <v>114</v>
      </c>
      <c r="E2143" t="s">
        <v>1166</v>
      </c>
      <c r="F2143" t="s">
        <v>3788</v>
      </c>
    </row>
    <row r="2144" spans="1:6" x14ac:dyDescent="0.25">
      <c r="A2144" t="str">
        <f t="shared" si="34"/>
        <v>2086+50+2084B0040X</v>
      </c>
      <c r="B2144">
        <v>9653</v>
      </c>
      <c r="C2144">
        <v>2086</v>
      </c>
      <c r="D2144">
        <v>50</v>
      </c>
      <c r="E2144" t="s">
        <v>1441</v>
      </c>
      <c r="F2144" t="s">
        <v>3789</v>
      </c>
    </row>
    <row r="2145" spans="1:6" x14ac:dyDescent="0.25">
      <c r="A2145" t="str">
        <f t="shared" si="34"/>
        <v>2086+50+2084N0008X</v>
      </c>
      <c r="B2145">
        <v>9623</v>
      </c>
      <c r="C2145">
        <v>2086</v>
      </c>
      <c r="D2145">
        <v>50</v>
      </c>
      <c r="E2145" t="s">
        <v>1340</v>
      </c>
      <c r="F2145" t="s">
        <v>3790</v>
      </c>
    </row>
    <row r="2146" spans="1:6" x14ac:dyDescent="0.25">
      <c r="A2146" t="str">
        <f t="shared" si="34"/>
        <v>2086+50+2084N0400X</v>
      </c>
      <c r="B2146">
        <v>9626</v>
      </c>
      <c r="C2146">
        <v>2086</v>
      </c>
      <c r="D2146">
        <v>50</v>
      </c>
      <c r="E2146" t="s">
        <v>1343</v>
      </c>
      <c r="F2146" t="s">
        <v>3791</v>
      </c>
    </row>
    <row r="2147" spans="1:6" x14ac:dyDescent="0.25">
      <c r="A2147" t="str">
        <f t="shared" si="34"/>
        <v>2086+50+2084N0402X</v>
      </c>
      <c r="B2147">
        <v>9629</v>
      </c>
      <c r="C2147">
        <v>2086</v>
      </c>
      <c r="D2147">
        <v>50</v>
      </c>
      <c r="E2147" t="s">
        <v>1345</v>
      </c>
      <c r="F2147" t="s">
        <v>3792</v>
      </c>
    </row>
    <row r="2148" spans="1:6" x14ac:dyDescent="0.25">
      <c r="A2148" t="str">
        <f t="shared" si="34"/>
        <v>2086+50+2084N0600X</v>
      </c>
      <c r="B2148">
        <v>9632</v>
      </c>
      <c r="C2148">
        <v>2086</v>
      </c>
      <c r="D2148">
        <v>50</v>
      </c>
      <c r="E2148" t="s">
        <v>1347</v>
      </c>
      <c r="F2148" t="s">
        <v>3793</v>
      </c>
    </row>
    <row r="2149" spans="1:6" x14ac:dyDescent="0.25">
      <c r="A2149" t="str">
        <f t="shared" si="34"/>
        <v>2086+50+2084P0005X</v>
      </c>
      <c r="B2149">
        <v>9635</v>
      </c>
      <c r="C2149">
        <v>2086</v>
      </c>
      <c r="D2149">
        <v>50</v>
      </c>
      <c r="E2149" t="s">
        <v>1348</v>
      </c>
      <c r="F2149" t="s">
        <v>3794</v>
      </c>
    </row>
    <row r="2150" spans="1:6" x14ac:dyDescent="0.25">
      <c r="A2150" t="str">
        <f t="shared" si="34"/>
        <v>2086+50+2084P0015X</v>
      </c>
      <c r="B2150">
        <v>9638</v>
      </c>
      <c r="C2150">
        <v>2086</v>
      </c>
      <c r="D2150">
        <v>50</v>
      </c>
      <c r="E2150" t="s">
        <v>1350</v>
      </c>
      <c r="F2150" t="s">
        <v>3795</v>
      </c>
    </row>
    <row r="2151" spans="1:6" x14ac:dyDescent="0.25">
      <c r="A2151" t="str">
        <f t="shared" si="34"/>
        <v>2086+50+2084P2900X</v>
      </c>
      <c r="B2151">
        <v>9641</v>
      </c>
      <c r="C2151">
        <v>2086</v>
      </c>
      <c r="D2151">
        <v>50</v>
      </c>
      <c r="E2151" t="s">
        <v>1359</v>
      </c>
      <c r="F2151" t="s">
        <v>3796</v>
      </c>
    </row>
    <row r="2152" spans="1:6" x14ac:dyDescent="0.25">
      <c r="A2152" t="str">
        <f t="shared" si="34"/>
        <v>2086+50+2084S0010X</v>
      </c>
      <c r="B2152">
        <v>9644</v>
      </c>
      <c r="C2152">
        <v>2086</v>
      </c>
      <c r="D2152">
        <v>50</v>
      </c>
      <c r="E2152" t="s">
        <v>1360</v>
      </c>
      <c r="F2152" t="s">
        <v>3797</v>
      </c>
    </row>
    <row r="2153" spans="1:6" x14ac:dyDescent="0.25">
      <c r="A2153" t="str">
        <f t="shared" si="34"/>
        <v>2086+50+2084S0012X</v>
      </c>
      <c r="B2153">
        <v>9647</v>
      </c>
      <c r="C2153">
        <v>2086</v>
      </c>
      <c r="D2153">
        <v>50</v>
      </c>
      <c r="E2153" t="s">
        <v>1361</v>
      </c>
      <c r="F2153" t="s">
        <v>3798</v>
      </c>
    </row>
    <row r="2154" spans="1:6" x14ac:dyDescent="0.25">
      <c r="A2154" t="str">
        <f t="shared" si="34"/>
        <v>2086+50+2084V0102X</v>
      </c>
      <c r="B2154">
        <v>9650</v>
      </c>
      <c r="C2154">
        <v>2086</v>
      </c>
      <c r="D2154">
        <v>50</v>
      </c>
      <c r="E2154" t="s">
        <v>1363</v>
      </c>
      <c r="F2154" t="s">
        <v>3799</v>
      </c>
    </row>
    <row r="2155" spans="1:6" x14ac:dyDescent="0.25">
      <c r="A2155" t="str">
        <f t="shared" si="34"/>
        <v>2086+51+193400000X</v>
      </c>
      <c r="B2155">
        <v>4483</v>
      </c>
      <c r="C2155">
        <v>2086</v>
      </c>
      <c r="D2155">
        <v>51</v>
      </c>
      <c r="E2155" t="s">
        <v>1447</v>
      </c>
      <c r="F2155" t="s">
        <v>3680</v>
      </c>
    </row>
    <row r="2156" spans="1:6" x14ac:dyDescent="0.25">
      <c r="A2156" t="str">
        <f t="shared" si="34"/>
        <v>2086+51+2084B0040X</v>
      </c>
      <c r="B2156">
        <v>9654</v>
      </c>
      <c r="C2156">
        <v>2086</v>
      </c>
      <c r="D2156">
        <v>51</v>
      </c>
      <c r="E2156" t="s">
        <v>1441</v>
      </c>
      <c r="F2156" t="s">
        <v>3789</v>
      </c>
    </row>
    <row r="2157" spans="1:6" x14ac:dyDescent="0.25">
      <c r="A2157" t="str">
        <f t="shared" si="34"/>
        <v>2086+51+2084N0008X</v>
      </c>
      <c r="B2157">
        <v>9624</v>
      </c>
      <c r="C2157">
        <v>2086</v>
      </c>
      <c r="D2157">
        <v>51</v>
      </c>
      <c r="E2157" t="s">
        <v>1340</v>
      </c>
      <c r="F2157" t="s">
        <v>3790</v>
      </c>
    </row>
    <row r="2158" spans="1:6" x14ac:dyDescent="0.25">
      <c r="A2158" t="str">
        <f t="shared" si="34"/>
        <v>2086+51+2084N0400X</v>
      </c>
      <c r="B2158">
        <v>9627</v>
      </c>
      <c r="C2158">
        <v>2086</v>
      </c>
      <c r="D2158">
        <v>51</v>
      </c>
      <c r="E2158" t="s">
        <v>1343</v>
      </c>
      <c r="F2158" t="s">
        <v>3791</v>
      </c>
    </row>
    <row r="2159" spans="1:6" x14ac:dyDescent="0.25">
      <c r="A2159" t="str">
        <f t="shared" si="34"/>
        <v>2086+51+2084N0402X</v>
      </c>
      <c r="B2159">
        <v>9630</v>
      </c>
      <c r="C2159">
        <v>2086</v>
      </c>
      <c r="D2159">
        <v>51</v>
      </c>
      <c r="E2159" t="s">
        <v>1345</v>
      </c>
      <c r="F2159" t="s">
        <v>3792</v>
      </c>
    </row>
    <row r="2160" spans="1:6" x14ac:dyDescent="0.25">
      <c r="A2160" t="str">
        <f t="shared" si="34"/>
        <v>2086+51+2084N0600X</v>
      </c>
      <c r="B2160">
        <v>9633</v>
      </c>
      <c r="C2160">
        <v>2086</v>
      </c>
      <c r="D2160">
        <v>51</v>
      </c>
      <c r="E2160" t="s">
        <v>1347</v>
      </c>
      <c r="F2160" t="s">
        <v>3793</v>
      </c>
    </row>
    <row r="2161" spans="1:6" x14ac:dyDescent="0.25">
      <c r="A2161" t="str">
        <f t="shared" si="34"/>
        <v>2086+51+2084P0005X</v>
      </c>
      <c r="B2161">
        <v>9636</v>
      </c>
      <c r="C2161">
        <v>2086</v>
      </c>
      <c r="D2161">
        <v>51</v>
      </c>
      <c r="E2161" t="s">
        <v>1348</v>
      </c>
      <c r="F2161" t="s">
        <v>3794</v>
      </c>
    </row>
    <row r="2162" spans="1:6" x14ac:dyDescent="0.25">
      <c r="A2162" t="str">
        <f t="shared" si="34"/>
        <v>2086+51+2084P0015X</v>
      </c>
      <c r="B2162">
        <v>9639</v>
      </c>
      <c r="C2162">
        <v>2086</v>
      </c>
      <c r="D2162">
        <v>51</v>
      </c>
      <c r="E2162" t="s">
        <v>1350</v>
      </c>
      <c r="F2162" t="s">
        <v>3795</v>
      </c>
    </row>
    <row r="2163" spans="1:6" x14ac:dyDescent="0.25">
      <c r="A2163" t="str">
        <f t="shared" si="34"/>
        <v>2086+51+2084P2900X</v>
      </c>
      <c r="B2163">
        <v>9642</v>
      </c>
      <c r="C2163">
        <v>2086</v>
      </c>
      <c r="D2163">
        <v>51</v>
      </c>
      <c r="E2163" t="s">
        <v>1359</v>
      </c>
      <c r="F2163" t="s">
        <v>3796</v>
      </c>
    </row>
    <row r="2164" spans="1:6" x14ac:dyDescent="0.25">
      <c r="A2164" t="str">
        <f t="shared" si="34"/>
        <v>2086+51+2084S0010X</v>
      </c>
      <c r="B2164">
        <v>9645</v>
      </c>
      <c r="C2164">
        <v>2086</v>
      </c>
      <c r="D2164">
        <v>51</v>
      </c>
      <c r="E2164" t="s">
        <v>1360</v>
      </c>
      <c r="F2164" t="s">
        <v>3797</v>
      </c>
    </row>
    <row r="2165" spans="1:6" x14ac:dyDescent="0.25">
      <c r="A2165" t="str">
        <f t="shared" si="34"/>
        <v>2086+51+2084S0012X</v>
      </c>
      <c r="B2165">
        <v>9648</v>
      </c>
      <c r="C2165">
        <v>2086</v>
      </c>
      <c r="D2165">
        <v>51</v>
      </c>
      <c r="E2165" t="s">
        <v>1361</v>
      </c>
      <c r="F2165" t="s">
        <v>3798</v>
      </c>
    </row>
    <row r="2166" spans="1:6" x14ac:dyDescent="0.25">
      <c r="A2166" t="str">
        <f t="shared" si="34"/>
        <v>2086+51+2084V0102X</v>
      </c>
      <c r="B2166">
        <v>9651</v>
      </c>
      <c r="C2166">
        <v>2086</v>
      </c>
      <c r="D2166">
        <v>51</v>
      </c>
      <c r="E2166" t="s">
        <v>1363</v>
      </c>
      <c r="F2166" t="s">
        <v>3799</v>
      </c>
    </row>
    <row r="2167" spans="1:6" x14ac:dyDescent="0.25">
      <c r="A2167" t="str">
        <f t="shared" si="34"/>
        <v>2086+114+2084B0040X</v>
      </c>
      <c r="B2167">
        <v>9652</v>
      </c>
      <c r="C2167">
        <v>2086</v>
      </c>
      <c r="D2167">
        <v>114</v>
      </c>
      <c r="E2167" t="s">
        <v>1441</v>
      </c>
      <c r="F2167" t="s">
        <v>3789</v>
      </c>
    </row>
    <row r="2168" spans="1:6" x14ac:dyDescent="0.25">
      <c r="A2168" t="str">
        <f t="shared" si="34"/>
        <v>2086+114+2084N0008X</v>
      </c>
      <c r="B2168">
        <v>9622</v>
      </c>
      <c r="C2168">
        <v>2086</v>
      </c>
      <c r="D2168">
        <v>114</v>
      </c>
      <c r="E2168" t="s">
        <v>1340</v>
      </c>
      <c r="F2168" t="s">
        <v>3790</v>
      </c>
    </row>
    <row r="2169" spans="1:6" x14ac:dyDescent="0.25">
      <c r="A2169" t="str">
        <f t="shared" si="34"/>
        <v>2086+114+2084N0400X</v>
      </c>
      <c r="B2169">
        <v>9625</v>
      </c>
      <c r="C2169">
        <v>2086</v>
      </c>
      <c r="D2169">
        <v>114</v>
      </c>
      <c r="E2169" t="s">
        <v>1343</v>
      </c>
      <c r="F2169" t="s">
        <v>3791</v>
      </c>
    </row>
    <row r="2170" spans="1:6" x14ac:dyDescent="0.25">
      <c r="A2170" t="str">
        <f t="shared" si="34"/>
        <v>2086+114+2084N0402X</v>
      </c>
      <c r="B2170">
        <v>9628</v>
      </c>
      <c r="C2170">
        <v>2086</v>
      </c>
      <c r="D2170">
        <v>114</v>
      </c>
      <c r="E2170" t="s">
        <v>1345</v>
      </c>
      <c r="F2170" t="s">
        <v>3792</v>
      </c>
    </row>
    <row r="2171" spans="1:6" x14ac:dyDescent="0.25">
      <c r="A2171" t="str">
        <f t="shared" si="34"/>
        <v>2086+114+2084N0600X</v>
      </c>
      <c r="B2171">
        <v>9631</v>
      </c>
      <c r="C2171">
        <v>2086</v>
      </c>
      <c r="D2171">
        <v>114</v>
      </c>
      <c r="E2171" t="s">
        <v>1347</v>
      </c>
      <c r="F2171" t="s">
        <v>3793</v>
      </c>
    </row>
    <row r="2172" spans="1:6" x14ac:dyDescent="0.25">
      <c r="A2172" t="str">
        <f t="shared" si="34"/>
        <v>2086+114+2084P0005X</v>
      </c>
      <c r="B2172">
        <v>9634</v>
      </c>
      <c r="C2172">
        <v>2086</v>
      </c>
      <c r="D2172">
        <v>114</v>
      </c>
      <c r="E2172" t="s">
        <v>1348</v>
      </c>
      <c r="F2172" t="s">
        <v>3794</v>
      </c>
    </row>
    <row r="2173" spans="1:6" x14ac:dyDescent="0.25">
      <c r="A2173" t="str">
        <f t="shared" si="34"/>
        <v>2086+114+2084P0015X</v>
      </c>
      <c r="B2173">
        <v>9637</v>
      </c>
      <c r="C2173">
        <v>2086</v>
      </c>
      <c r="D2173">
        <v>114</v>
      </c>
      <c r="E2173" t="s">
        <v>1350</v>
      </c>
      <c r="F2173" t="s">
        <v>3795</v>
      </c>
    </row>
    <row r="2174" spans="1:6" x14ac:dyDescent="0.25">
      <c r="A2174" t="str">
        <f t="shared" si="34"/>
        <v>2086+114+2084P2900X</v>
      </c>
      <c r="B2174">
        <v>9640</v>
      </c>
      <c r="C2174">
        <v>2086</v>
      </c>
      <c r="D2174">
        <v>114</v>
      </c>
      <c r="E2174" t="s">
        <v>1359</v>
      </c>
      <c r="F2174" t="s">
        <v>3796</v>
      </c>
    </row>
    <row r="2175" spans="1:6" x14ac:dyDescent="0.25">
      <c r="A2175" t="str">
        <f t="shared" si="34"/>
        <v>2086+114+2084S0010X</v>
      </c>
      <c r="B2175">
        <v>9643</v>
      </c>
      <c r="C2175">
        <v>2086</v>
      </c>
      <c r="D2175">
        <v>114</v>
      </c>
      <c r="E2175" t="s">
        <v>1360</v>
      </c>
      <c r="F2175" t="s">
        <v>3797</v>
      </c>
    </row>
    <row r="2176" spans="1:6" x14ac:dyDescent="0.25">
      <c r="A2176" t="str">
        <f t="shared" si="34"/>
        <v>2086+114+2084S0012X</v>
      </c>
      <c r="B2176">
        <v>9646</v>
      </c>
      <c r="C2176">
        <v>2086</v>
      </c>
      <c r="D2176">
        <v>114</v>
      </c>
      <c r="E2176" t="s">
        <v>1361</v>
      </c>
      <c r="F2176" t="s">
        <v>3798</v>
      </c>
    </row>
    <row r="2177" spans="1:6" x14ac:dyDescent="0.25">
      <c r="A2177" t="str">
        <f t="shared" si="34"/>
        <v>2086+114+2084V0102X</v>
      </c>
      <c r="B2177">
        <v>9649</v>
      </c>
      <c r="C2177">
        <v>2086</v>
      </c>
      <c r="D2177">
        <v>114</v>
      </c>
      <c r="E2177" t="s">
        <v>1363</v>
      </c>
      <c r="F2177" t="s">
        <v>3799</v>
      </c>
    </row>
    <row r="2178" spans="1:6" x14ac:dyDescent="0.25">
      <c r="A2178" t="str">
        <f t="shared" si="34"/>
        <v>2087+50+204C00000X</v>
      </c>
      <c r="B2178">
        <v>9656</v>
      </c>
      <c r="C2178">
        <v>2087</v>
      </c>
      <c r="D2178">
        <v>50</v>
      </c>
      <c r="E2178" t="s">
        <v>1059</v>
      </c>
      <c r="F2178" t="s">
        <v>3800</v>
      </c>
    </row>
    <row r="2179" spans="1:6" x14ac:dyDescent="0.25">
      <c r="A2179" t="str">
        <f t="shared" si="34"/>
        <v>2087+50+207U00000X</v>
      </c>
      <c r="B2179">
        <v>9659</v>
      </c>
      <c r="C2179">
        <v>2087</v>
      </c>
      <c r="D2179">
        <v>50</v>
      </c>
      <c r="E2179" t="s">
        <v>1169</v>
      </c>
      <c r="F2179" t="s">
        <v>3801</v>
      </c>
    </row>
    <row r="2180" spans="1:6" x14ac:dyDescent="0.25">
      <c r="A2180" t="str">
        <f t="shared" si="34"/>
        <v>2087+50+207UN0901X</v>
      </c>
      <c r="B2180">
        <v>9662</v>
      </c>
      <c r="C2180">
        <v>2087</v>
      </c>
      <c r="D2180">
        <v>50</v>
      </c>
      <c r="E2180" t="s">
        <v>1171</v>
      </c>
      <c r="F2180" t="s">
        <v>3802</v>
      </c>
    </row>
    <row r="2181" spans="1:6" x14ac:dyDescent="0.25">
      <c r="A2181" t="str">
        <f t="shared" si="34"/>
        <v>2087+50+207UN0902X</v>
      </c>
      <c r="B2181">
        <v>9665</v>
      </c>
      <c r="C2181">
        <v>2087</v>
      </c>
      <c r="D2181">
        <v>50</v>
      </c>
      <c r="E2181" t="s">
        <v>1173</v>
      </c>
      <c r="F2181" t="s">
        <v>3803</v>
      </c>
    </row>
    <row r="2182" spans="1:6" x14ac:dyDescent="0.25">
      <c r="A2182" t="str">
        <f t="shared" si="34"/>
        <v>2087+50+207UN0903X</v>
      </c>
      <c r="B2182">
        <v>9668</v>
      </c>
      <c r="C2182">
        <v>2087</v>
      </c>
      <c r="D2182">
        <v>50</v>
      </c>
      <c r="E2182" t="s">
        <v>1175</v>
      </c>
      <c r="F2182" t="s">
        <v>3804</v>
      </c>
    </row>
    <row r="2183" spans="1:6" x14ac:dyDescent="0.25">
      <c r="A2183" t="str">
        <f t="shared" si="34"/>
        <v>2087+51+193400000X</v>
      </c>
      <c r="B2183">
        <v>4484</v>
      </c>
      <c r="C2183">
        <v>2087</v>
      </c>
      <c r="D2183">
        <v>51</v>
      </c>
      <c r="E2183" t="s">
        <v>1447</v>
      </c>
      <c r="F2183" t="s">
        <v>3680</v>
      </c>
    </row>
    <row r="2184" spans="1:6" x14ac:dyDescent="0.25">
      <c r="A2184" t="str">
        <f t="shared" si="34"/>
        <v>2087+51+204C00000X</v>
      </c>
      <c r="B2184">
        <v>9657</v>
      </c>
      <c r="C2184">
        <v>2087</v>
      </c>
      <c r="D2184">
        <v>51</v>
      </c>
      <c r="E2184" t="s">
        <v>1059</v>
      </c>
      <c r="F2184" t="s">
        <v>3800</v>
      </c>
    </row>
    <row r="2185" spans="1:6" x14ac:dyDescent="0.25">
      <c r="A2185" t="str">
        <f t="shared" si="34"/>
        <v>2087+51+207U00000X</v>
      </c>
      <c r="B2185">
        <v>9660</v>
      </c>
      <c r="C2185">
        <v>2087</v>
      </c>
      <c r="D2185">
        <v>51</v>
      </c>
      <c r="E2185" t="s">
        <v>1169</v>
      </c>
      <c r="F2185" t="s">
        <v>3801</v>
      </c>
    </row>
    <row r="2186" spans="1:6" x14ac:dyDescent="0.25">
      <c r="A2186" t="str">
        <f t="shared" si="34"/>
        <v>2087+51+207UN0901X</v>
      </c>
      <c r="B2186">
        <v>9663</v>
      </c>
      <c r="C2186">
        <v>2087</v>
      </c>
      <c r="D2186">
        <v>51</v>
      </c>
      <c r="E2186" t="s">
        <v>1171</v>
      </c>
      <c r="F2186" t="s">
        <v>3802</v>
      </c>
    </row>
    <row r="2187" spans="1:6" x14ac:dyDescent="0.25">
      <c r="A2187" t="str">
        <f t="shared" si="34"/>
        <v>2087+51+207UN0902X</v>
      </c>
      <c r="B2187">
        <v>9666</v>
      </c>
      <c r="C2187">
        <v>2087</v>
      </c>
      <c r="D2187">
        <v>51</v>
      </c>
      <c r="E2187" t="s">
        <v>1173</v>
      </c>
      <c r="F2187" t="s">
        <v>3803</v>
      </c>
    </row>
    <row r="2188" spans="1:6" x14ac:dyDescent="0.25">
      <c r="A2188" t="str">
        <f t="shared" si="34"/>
        <v>2087+51+207UN0903X</v>
      </c>
      <c r="B2188">
        <v>9669</v>
      </c>
      <c r="C2188">
        <v>2087</v>
      </c>
      <c r="D2188">
        <v>51</v>
      </c>
      <c r="E2188" t="s">
        <v>1175</v>
      </c>
      <c r="F2188" t="s">
        <v>3804</v>
      </c>
    </row>
    <row r="2189" spans="1:6" x14ac:dyDescent="0.25">
      <c r="A2189" t="str">
        <f t="shared" si="34"/>
        <v>2087+114+204C00000X</v>
      </c>
      <c r="B2189">
        <v>9655</v>
      </c>
      <c r="C2189">
        <v>2087</v>
      </c>
      <c r="D2189">
        <v>114</v>
      </c>
      <c r="E2189" t="s">
        <v>1059</v>
      </c>
      <c r="F2189" t="s">
        <v>3800</v>
      </c>
    </row>
    <row r="2190" spans="1:6" x14ac:dyDescent="0.25">
      <c r="A2190" t="str">
        <f t="shared" ref="A2190:A2253" si="35">C2190 &amp; "+" &amp; D2190 &amp; "+" &amp; E2190</f>
        <v>2087+114+207U00000X</v>
      </c>
      <c r="B2190">
        <v>9658</v>
      </c>
      <c r="C2190">
        <v>2087</v>
      </c>
      <c r="D2190">
        <v>114</v>
      </c>
      <c r="E2190" t="s">
        <v>1169</v>
      </c>
      <c r="F2190" t="s">
        <v>3801</v>
      </c>
    </row>
    <row r="2191" spans="1:6" x14ac:dyDescent="0.25">
      <c r="A2191" t="str">
        <f t="shared" si="35"/>
        <v>2087+114+207UN0901X</v>
      </c>
      <c r="B2191">
        <v>9661</v>
      </c>
      <c r="C2191">
        <v>2087</v>
      </c>
      <c r="D2191">
        <v>114</v>
      </c>
      <c r="E2191" t="s">
        <v>1171</v>
      </c>
      <c r="F2191" t="s">
        <v>3802</v>
      </c>
    </row>
    <row r="2192" spans="1:6" x14ac:dyDescent="0.25">
      <c r="A2192" t="str">
        <f t="shared" si="35"/>
        <v>2087+114+207UN0902X</v>
      </c>
      <c r="B2192">
        <v>9664</v>
      </c>
      <c r="C2192">
        <v>2087</v>
      </c>
      <c r="D2192">
        <v>114</v>
      </c>
      <c r="E2192" t="s">
        <v>1173</v>
      </c>
      <c r="F2192" t="s">
        <v>3803</v>
      </c>
    </row>
    <row r="2193" spans="1:6" x14ac:dyDescent="0.25">
      <c r="A2193" t="str">
        <f t="shared" si="35"/>
        <v>2087+114+207UN0903X</v>
      </c>
      <c r="B2193">
        <v>9667</v>
      </c>
      <c r="C2193">
        <v>2087</v>
      </c>
      <c r="D2193">
        <v>114</v>
      </c>
      <c r="E2193" t="s">
        <v>1175</v>
      </c>
      <c r="F2193" t="s">
        <v>3804</v>
      </c>
    </row>
    <row r="2194" spans="1:6" x14ac:dyDescent="0.25">
      <c r="A2194" t="str">
        <f t="shared" si="35"/>
        <v>2088+50+207V00000X</v>
      </c>
      <c r="B2194">
        <v>9671</v>
      </c>
      <c r="C2194">
        <v>2088</v>
      </c>
      <c r="D2194">
        <v>50</v>
      </c>
      <c r="E2194" t="s">
        <v>1176</v>
      </c>
      <c r="F2194" t="s">
        <v>3805</v>
      </c>
    </row>
    <row r="2195" spans="1:6" x14ac:dyDescent="0.25">
      <c r="A2195" t="str">
        <f t="shared" si="35"/>
        <v>2088+50+207VB0002X</v>
      </c>
      <c r="B2195">
        <v>9674</v>
      </c>
      <c r="C2195">
        <v>2088</v>
      </c>
      <c r="D2195">
        <v>50</v>
      </c>
      <c r="E2195" t="s">
        <v>1179</v>
      </c>
      <c r="F2195" t="s">
        <v>3806</v>
      </c>
    </row>
    <row r="2196" spans="1:6" x14ac:dyDescent="0.25">
      <c r="A2196" t="str">
        <f t="shared" si="35"/>
        <v>2088+50+207VC0200X</v>
      </c>
      <c r="B2196">
        <v>9677</v>
      </c>
      <c r="C2196">
        <v>2088</v>
      </c>
      <c r="D2196">
        <v>50</v>
      </c>
      <c r="E2196" t="s">
        <v>1180</v>
      </c>
      <c r="F2196" t="s">
        <v>3807</v>
      </c>
    </row>
    <row r="2197" spans="1:6" x14ac:dyDescent="0.25">
      <c r="A2197" t="str">
        <f t="shared" si="35"/>
        <v>2088+50+207VE0102X</v>
      </c>
      <c r="B2197">
        <v>9680</v>
      </c>
      <c r="C2197">
        <v>2088</v>
      </c>
      <c r="D2197">
        <v>50</v>
      </c>
      <c r="E2197" t="s">
        <v>1182</v>
      </c>
      <c r="F2197" t="s">
        <v>3808</v>
      </c>
    </row>
    <row r="2198" spans="1:6" x14ac:dyDescent="0.25">
      <c r="A2198" t="str">
        <f t="shared" si="35"/>
        <v>2088+50+207VF0040X</v>
      </c>
      <c r="B2198">
        <v>9686</v>
      </c>
      <c r="C2198">
        <v>2088</v>
      </c>
      <c r="D2198">
        <v>50</v>
      </c>
      <c r="E2198" t="s">
        <v>1438</v>
      </c>
      <c r="F2198" t="s">
        <v>3809</v>
      </c>
    </row>
    <row r="2199" spans="1:6" x14ac:dyDescent="0.25">
      <c r="A2199" t="str">
        <f t="shared" si="35"/>
        <v>2088+50+207VH0002X</v>
      </c>
      <c r="B2199">
        <v>9683</v>
      </c>
      <c r="C2199">
        <v>2088</v>
      </c>
      <c r="D2199">
        <v>50</v>
      </c>
      <c r="E2199" t="s">
        <v>1186</v>
      </c>
      <c r="F2199" t="s">
        <v>3810</v>
      </c>
    </row>
    <row r="2200" spans="1:6" x14ac:dyDescent="0.25">
      <c r="A2200" t="str">
        <f t="shared" si="35"/>
        <v>2088+51+193400000X</v>
      </c>
      <c r="B2200">
        <v>4485</v>
      </c>
      <c r="C2200">
        <v>2088</v>
      </c>
      <c r="D2200">
        <v>51</v>
      </c>
      <c r="E2200" t="s">
        <v>1447</v>
      </c>
      <c r="F2200" t="s">
        <v>3680</v>
      </c>
    </row>
    <row r="2201" spans="1:6" x14ac:dyDescent="0.25">
      <c r="A2201" t="str">
        <f t="shared" si="35"/>
        <v>2088+51+207V00000X</v>
      </c>
      <c r="B2201">
        <v>9672</v>
      </c>
      <c r="C2201">
        <v>2088</v>
      </c>
      <c r="D2201">
        <v>51</v>
      </c>
      <c r="E2201" t="s">
        <v>1176</v>
      </c>
      <c r="F2201" t="s">
        <v>3805</v>
      </c>
    </row>
    <row r="2202" spans="1:6" x14ac:dyDescent="0.25">
      <c r="A2202" t="str">
        <f t="shared" si="35"/>
        <v>2088+51+207VB0002X</v>
      </c>
      <c r="B2202">
        <v>9675</v>
      </c>
      <c r="C2202">
        <v>2088</v>
      </c>
      <c r="D2202">
        <v>51</v>
      </c>
      <c r="E2202" t="s">
        <v>1179</v>
      </c>
      <c r="F2202" t="s">
        <v>3806</v>
      </c>
    </row>
    <row r="2203" spans="1:6" x14ac:dyDescent="0.25">
      <c r="A2203" t="str">
        <f t="shared" si="35"/>
        <v>2088+51+207VC0200X</v>
      </c>
      <c r="B2203">
        <v>9678</v>
      </c>
      <c r="C2203">
        <v>2088</v>
      </c>
      <c r="D2203">
        <v>51</v>
      </c>
      <c r="E2203" t="s">
        <v>1180</v>
      </c>
      <c r="F2203" t="s">
        <v>3807</v>
      </c>
    </row>
    <row r="2204" spans="1:6" x14ac:dyDescent="0.25">
      <c r="A2204" t="str">
        <f t="shared" si="35"/>
        <v>2088+51+207VE0102X</v>
      </c>
      <c r="B2204">
        <v>9681</v>
      </c>
      <c r="C2204">
        <v>2088</v>
      </c>
      <c r="D2204">
        <v>51</v>
      </c>
      <c r="E2204" t="s">
        <v>1182</v>
      </c>
      <c r="F2204" t="s">
        <v>3808</v>
      </c>
    </row>
    <row r="2205" spans="1:6" x14ac:dyDescent="0.25">
      <c r="A2205" t="str">
        <f t="shared" si="35"/>
        <v>2088+51+207VF0040X</v>
      </c>
      <c r="B2205">
        <v>9687</v>
      </c>
      <c r="C2205">
        <v>2088</v>
      </c>
      <c r="D2205">
        <v>51</v>
      </c>
      <c r="E2205" t="s">
        <v>1438</v>
      </c>
      <c r="F2205" t="s">
        <v>3809</v>
      </c>
    </row>
    <row r="2206" spans="1:6" x14ac:dyDescent="0.25">
      <c r="A2206" t="str">
        <f t="shared" si="35"/>
        <v>2088+51+207VH0002X</v>
      </c>
      <c r="B2206">
        <v>9684</v>
      </c>
      <c r="C2206">
        <v>2088</v>
      </c>
      <c r="D2206">
        <v>51</v>
      </c>
      <c r="E2206" t="s">
        <v>1186</v>
      </c>
      <c r="F2206" t="s">
        <v>3810</v>
      </c>
    </row>
    <row r="2207" spans="1:6" x14ac:dyDescent="0.25">
      <c r="A2207" t="str">
        <f t="shared" si="35"/>
        <v>2088+114+207V00000X</v>
      </c>
      <c r="B2207">
        <v>9670</v>
      </c>
      <c r="C2207">
        <v>2088</v>
      </c>
      <c r="D2207">
        <v>114</v>
      </c>
      <c r="E2207" t="s">
        <v>1176</v>
      </c>
      <c r="F2207" t="s">
        <v>3805</v>
      </c>
    </row>
    <row r="2208" spans="1:6" x14ac:dyDescent="0.25">
      <c r="A2208" t="str">
        <f t="shared" si="35"/>
        <v>2088+114+207VB0002X</v>
      </c>
      <c r="B2208">
        <v>9673</v>
      </c>
      <c r="C2208">
        <v>2088</v>
      </c>
      <c r="D2208">
        <v>114</v>
      </c>
      <c r="E2208" t="s">
        <v>1179</v>
      </c>
      <c r="F2208" t="s">
        <v>3806</v>
      </c>
    </row>
    <row r="2209" spans="1:6" x14ac:dyDescent="0.25">
      <c r="A2209" t="str">
        <f t="shared" si="35"/>
        <v>2088+114+207VC0200X</v>
      </c>
      <c r="B2209">
        <v>9676</v>
      </c>
      <c r="C2209">
        <v>2088</v>
      </c>
      <c r="D2209">
        <v>114</v>
      </c>
      <c r="E2209" t="s">
        <v>1180</v>
      </c>
      <c r="F2209" t="s">
        <v>3807</v>
      </c>
    </row>
    <row r="2210" spans="1:6" x14ac:dyDescent="0.25">
      <c r="A2210" t="str">
        <f t="shared" si="35"/>
        <v>2088+114+207VE0102X</v>
      </c>
      <c r="B2210">
        <v>9679</v>
      </c>
      <c r="C2210">
        <v>2088</v>
      </c>
      <c r="D2210">
        <v>114</v>
      </c>
      <c r="E2210" t="s">
        <v>1182</v>
      </c>
      <c r="F2210" t="s">
        <v>3808</v>
      </c>
    </row>
    <row r="2211" spans="1:6" x14ac:dyDescent="0.25">
      <c r="A2211" t="str">
        <f t="shared" si="35"/>
        <v>2088+114+207VF0040X</v>
      </c>
      <c r="B2211">
        <v>9685</v>
      </c>
      <c r="C2211">
        <v>2088</v>
      </c>
      <c r="D2211">
        <v>114</v>
      </c>
      <c r="E2211" t="s">
        <v>1438</v>
      </c>
      <c r="F2211" t="s">
        <v>3809</v>
      </c>
    </row>
    <row r="2212" spans="1:6" x14ac:dyDescent="0.25">
      <c r="A2212" t="str">
        <f t="shared" si="35"/>
        <v>2088+114+207VH0002X</v>
      </c>
      <c r="B2212">
        <v>9682</v>
      </c>
      <c r="C2212">
        <v>2088</v>
      </c>
      <c r="D2212">
        <v>114</v>
      </c>
      <c r="E2212" t="s">
        <v>1186</v>
      </c>
      <c r="F2212" t="s">
        <v>3810</v>
      </c>
    </row>
    <row r="2213" spans="1:6" x14ac:dyDescent="0.25">
      <c r="A2213" t="str">
        <f t="shared" si="35"/>
        <v>2089+50+207RH0003X</v>
      </c>
      <c r="B2213">
        <v>9689</v>
      </c>
      <c r="C2213">
        <v>2089</v>
      </c>
      <c r="D2213">
        <v>50</v>
      </c>
      <c r="E2213" t="s">
        <v>1008</v>
      </c>
      <c r="F2213" t="s">
        <v>3811</v>
      </c>
    </row>
    <row r="2214" spans="1:6" x14ac:dyDescent="0.25">
      <c r="A2214" t="str">
        <f t="shared" si="35"/>
        <v>2089+51+193400000X</v>
      </c>
      <c r="B2214">
        <v>4486</v>
      </c>
      <c r="C2214">
        <v>2089</v>
      </c>
      <c r="D2214">
        <v>51</v>
      </c>
      <c r="E2214" t="s">
        <v>1447</v>
      </c>
      <c r="F2214" t="s">
        <v>3680</v>
      </c>
    </row>
    <row r="2215" spans="1:6" x14ac:dyDescent="0.25">
      <c r="A2215" t="str">
        <f t="shared" si="35"/>
        <v>2089+51+207RH0003X</v>
      </c>
      <c r="B2215">
        <v>9690</v>
      </c>
      <c r="C2215">
        <v>2089</v>
      </c>
      <c r="D2215">
        <v>51</v>
      </c>
      <c r="E2215" t="s">
        <v>1008</v>
      </c>
      <c r="F2215" t="s">
        <v>3811</v>
      </c>
    </row>
    <row r="2216" spans="1:6" x14ac:dyDescent="0.25">
      <c r="A2216" t="str">
        <f t="shared" si="35"/>
        <v>2089+114+207RH0003X</v>
      </c>
      <c r="B2216">
        <v>9688</v>
      </c>
      <c r="C2216">
        <v>2089</v>
      </c>
      <c r="D2216">
        <v>114</v>
      </c>
      <c r="E2216" t="s">
        <v>1008</v>
      </c>
      <c r="F2216" t="s">
        <v>3811</v>
      </c>
    </row>
    <row r="2217" spans="1:6" x14ac:dyDescent="0.25">
      <c r="A2217" t="str">
        <f t="shared" si="35"/>
        <v>2090+50+207W00000X</v>
      </c>
      <c r="B2217">
        <v>9692</v>
      </c>
      <c r="C2217">
        <v>2090</v>
      </c>
      <c r="D2217">
        <v>50</v>
      </c>
      <c r="E2217" t="s">
        <v>1193</v>
      </c>
      <c r="F2217" t="s">
        <v>3812</v>
      </c>
    </row>
    <row r="2218" spans="1:6" x14ac:dyDescent="0.25">
      <c r="A2218" t="str">
        <f t="shared" si="35"/>
        <v>2090+51+193400000X</v>
      </c>
      <c r="B2218">
        <v>4487</v>
      </c>
      <c r="C2218">
        <v>2090</v>
      </c>
      <c r="D2218">
        <v>51</v>
      </c>
      <c r="E2218" t="s">
        <v>1447</v>
      </c>
      <c r="F2218" t="s">
        <v>3680</v>
      </c>
    </row>
    <row r="2219" spans="1:6" x14ac:dyDescent="0.25">
      <c r="A2219" t="str">
        <f t="shared" si="35"/>
        <v>2090+51+207W00000X</v>
      </c>
      <c r="B2219">
        <v>9693</v>
      </c>
      <c r="C2219">
        <v>2090</v>
      </c>
      <c r="D2219">
        <v>51</v>
      </c>
      <c r="E2219" t="s">
        <v>1193</v>
      </c>
      <c r="F2219" t="s">
        <v>3812</v>
      </c>
    </row>
    <row r="2220" spans="1:6" x14ac:dyDescent="0.25">
      <c r="A2220" t="str">
        <f t="shared" si="35"/>
        <v>2090+114+207W00000X</v>
      </c>
      <c r="B2220">
        <v>9691</v>
      </c>
      <c r="C2220">
        <v>2090</v>
      </c>
      <c r="D2220">
        <v>114</v>
      </c>
      <c r="E2220" t="s">
        <v>1193</v>
      </c>
      <c r="F2220" t="s">
        <v>3812</v>
      </c>
    </row>
    <row r="2221" spans="1:6" x14ac:dyDescent="0.25">
      <c r="A2221" t="str">
        <f t="shared" si="35"/>
        <v>2091+50+207X00000X</v>
      </c>
      <c r="B2221">
        <v>9695</v>
      </c>
      <c r="C2221">
        <v>2091</v>
      </c>
      <c r="D2221">
        <v>50</v>
      </c>
      <c r="E2221" t="s">
        <v>1196</v>
      </c>
      <c r="F2221" t="s">
        <v>3813</v>
      </c>
    </row>
    <row r="2222" spans="1:6" x14ac:dyDescent="0.25">
      <c r="A2222" t="str">
        <f t="shared" si="35"/>
        <v>2091+50+207XP3100X</v>
      </c>
      <c r="B2222">
        <v>9698</v>
      </c>
      <c r="C2222">
        <v>2091</v>
      </c>
      <c r="D2222">
        <v>50</v>
      </c>
      <c r="E2222" t="s">
        <v>1199</v>
      </c>
      <c r="F2222" t="s">
        <v>3814</v>
      </c>
    </row>
    <row r="2223" spans="1:6" x14ac:dyDescent="0.25">
      <c r="A2223" t="str">
        <f t="shared" si="35"/>
        <v>2091+50+207XS0114X</v>
      </c>
      <c r="B2223">
        <v>9701</v>
      </c>
      <c r="C2223">
        <v>2091</v>
      </c>
      <c r="D2223">
        <v>50</v>
      </c>
      <c r="E2223" t="s">
        <v>1204</v>
      </c>
      <c r="F2223" t="s">
        <v>3815</v>
      </c>
    </row>
    <row r="2224" spans="1:6" x14ac:dyDescent="0.25">
      <c r="A2224" t="str">
        <f t="shared" si="35"/>
        <v>2091+50+207XS0117X</v>
      </c>
      <c r="B2224">
        <v>9704</v>
      </c>
      <c r="C2224">
        <v>2091</v>
      </c>
      <c r="D2224">
        <v>50</v>
      </c>
      <c r="E2224" t="s">
        <v>1206</v>
      </c>
      <c r="F2224" t="s">
        <v>3816</v>
      </c>
    </row>
    <row r="2225" spans="1:6" x14ac:dyDescent="0.25">
      <c r="A2225" t="str">
        <f t="shared" si="35"/>
        <v>2091+50+207XX0004X</v>
      </c>
      <c r="B2225">
        <v>9707</v>
      </c>
      <c r="C2225">
        <v>2091</v>
      </c>
      <c r="D2225">
        <v>50</v>
      </c>
      <c r="E2225" t="s">
        <v>1208</v>
      </c>
      <c r="F2225" t="s">
        <v>3817</v>
      </c>
    </row>
    <row r="2226" spans="1:6" x14ac:dyDescent="0.25">
      <c r="A2226" t="str">
        <f t="shared" si="35"/>
        <v>2091+50+207XX0005X</v>
      </c>
      <c r="B2226">
        <v>9710</v>
      </c>
      <c r="C2226">
        <v>2091</v>
      </c>
      <c r="D2226">
        <v>50</v>
      </c>
      <c r="E2226" t="s">
        <v>1209</v>
      </c>
      <c r="F2226" t="s">
        <v>3818</v>
      </c>
    </row>
    <row r="2227" spans="1:6" x14ac:dyDescent="0.25">
      <c r="A2227" t="str">
        <f t="shared" si="35"/>
        <v>2091+50+207XX0801X</v>
      </c>
      <c r="B2227">
        <v>9713</v>
      </c>
      <c r="C2227">
        <v>2091</v>
      </c>
      <c r="D2227">
        <v>50</v>
      </c>
      <c r="E2227" t="s">
        <v>1211</v>
      </c>
      <c r="F2227" t="s">
        <v>3819</v>
      </c>
    </row>
    <row r="2228" spans="1:6" x14ac:dyDescent="0.25">
      <c r="A2228" t="str">
        <f t="shared" si="35"/>
        <v>2091+51+193400000X</v>
      </c>
      <c r="B2228">
        <v>4488</v>
      </c>
      <c r="C2228">
        <v>2091</v>
      </c>
      <c r="D2228">
        <v>51</v>
      </c>
      <c r="E2228" t="s">
        <v>1447</v>
      </c>
      <c r="F2228" t="s">
        <v>3680</v>
      </c>
    </row>
    <row r="2229" spans="1:6" x14ac:dyDescent="0.25">
      <c r="A2229" t="str">
        <f t="shared" si="35"/>
        <v>2091+51+207X00000X</v>
      </c>
      <c r="B2229">
        <v>9696</v>
      </c>
      <c r="C2229">
        <v>2091</v>
      </c>
      <c r="D2229">
        <v>51</v>
      </c>
      <c r="E2229" t="s">
        <v>1196</v>
      </c>
      <c r="F2229" t="s">
        <v>3813</v>
      </c>
    </row>
    <row r="2230" spans="1:6" x14ac:dyDescent="0.25">
      <c r="A2230" t="str">
        <f t="shared" si="35"/>
        <v>2091+51+207XP3100X</v>
      </c>
      <c r="B2230">
        <v>9699</v>
      </c>
      <c r="C2230">
        <v>2091</v>
      </c>
      <c r="D2230">
        <v>51</v>
      </c>
      <c r="E2230" t="s">
        <v>1199</v>
      </c>
      <c r="F2230" t="s">
        <v>3814</v>
      </c>
    </row>
    <row r="2231" spans="1:6" x14ac:dyDescent="0.25">
      <c r="A2231" t="str">
        <f t="shared" si="35"/>
        <v>2091+51+207XS0114X</v>
      </c>
      <c r="B2231">
        <v>9702</v>
      </c>
      <c r="C2231">
        <v>2091</v>
      </c>
      <c r="D2231">
        <v>51</v>
      </c>
      <c r="E2231" t="s">
        <v>1204</v>
      </c>
      <c r="F2231" t="s">
        <v>3815</v>
      </c>
    </row>
    <row r="2232" spans="1:6" x14ac:dyDescent="0.25">
      <c r="A2232" t="str">
        <f t="shared" si="35"/>
        <v>2091+51+207XS0117X</v>
      </c>
      <c r="B2232">
        <v>9705</v>
      </c>
      <c r="C2232">
        <v>2091</v>
      </c>
      <c r="D2232">
        <v>51</v>
      </c>
      <c r="E2232" t="s">
        <v>1206</v>
      </c>
      <c r="F2232" t="s">
        <v>3816</v>
      </c>
    </row>
    <row r="2233" spans="1:6" x14ac:dyDescent="0.25">
      <c r="A2233" t="str">
        <f t="shared" si="35"/>
        <v>2091+51+207XX0004X</v>
      </c>
      <c r="B2233">
        <v>9708</v>
      </c>
      <c r="C2233">
        <v>2091</v>
      </c>
      <c r="D2233">
        <v>51</v>
      </c>
      <c r="E2233" t="s">
        <v>1208</v>
      </c>
      <c r="F2233" t="s">
        <v>3817</v>
      </c>
    </row>
    <row r="2234" spans="1:6" x14ac:dyDescent="0.25">
      <c r="A2234" t="str">
        <f t="shared" si="35"/>
        <v>2091+51+207XX0005X</v>
      </c>
      <c r="B2234">
        <v>9711</v>
      </c>
      <c r="C2234">
        <v>2091</v>
      </c>
      <c r="D2234">
        <v>51</v>
      </c>
      <c r="E2234" t="s">
        <v>1209</v>
      </c>
      <c r="F2234" t="s">
        <v>3818</v>
      </c>
    </row>
    <row r="2235" spans="1:6" x14ac:dyDescent="0.25">
      <c r="A2235" t="str">
        <f t="shared" si="35"/>
        <v>2091+51+207XX0801X</v>
      </c>
      <c r="B2235">
        <v>9714</v>
      </c>
      <c r="C2235">
        <v>2091</v>
      </c>
      <c r="D2235">
        <v>51</v>
      </c>
      <c r="E2235" t="s">
        <v>1211</v>
      </c>
      <c r="F2235" t="s">
        <v>3819</v>
      </c>
    </row>
    <row r="2236" spans="1:6" x14ac:dyDescent="0.25">
      <c r="A2236" t="str">
        <f t="shared" si="35"/>
        <v>2091+114+207X00000X</v>
      </c>
      <c r="B2236">
        <v>9694</v>
      </c>
      <c r="C2236">
        <v>2091</v>
      </c>
      <c r="D2236">
        <v>114</v>
      </c>
      <c r="E2236" t="s">
        <v>1196</v>
      </c>
      <c r="F2236" t="s">
        <v>3813</v>
      </c>
    </row>
    <row r="2237" spans="1:6" x14ac:dyDescent="0.25">
      <c r="A2237" t="str">
        <f t="shared" si="35"/>
        <v>2091+114+207XP3100X</v>
      </c>
      <c r="B2237">
        <v>9697</v>
      </c>
      <c r="C2237">
        <v>2091</v>
      </c>
      <c r="D2237">
        <v>114</v>
      </c>
      <c r="E2237" t="s">
        <v>1199</v>
      </c>
      <c r="F2237" t="s">
        <v>3814</v>
      </c>
    </row>
    <row r="2238" spans="1:6" x14ac:dyDescent="0.25">
      <c r="A2238" t="str">
        <f t="shared" si="35"/>
        <v>2091+114+207XS0114X</v>
      </c>
      <c r="B2238">
        <v>9700</v>
      </c>
      <c r="C2238">
        <v>2091</v>
      </c>
      <c r="D2238">
        <v>114</v>
      </c>
      <c r="E2238" t="s">
        <v>1204</v>
      </c>
      <c r="F2238" t="s">
        <v>3815</v>
      </c>
    </row>
    <row r="2239" spans="1:6" x14ac:dyDescent="0.25">
      <c r="A2239" t="str">
        <f t="shared" si="35"/>
        <v>2091+114+207XS0117X</v>
      </c>
      <c r="B2239">
        <v>9703</v>
      </c>
      <c r="C2239">
        <v>2091</v>
      </c>
      <c r="D2239">
        <v>114</v>
      </c>
      <c r="E2239" t="s">
        <v>1206</v>
      </c>
      <c r="F2239" t="s">
        <v>3816</v>
      </c>
    </row>
    <row r="2240" spans="1:6" x14ac:dyDescent="0.25">
      <c r="A2240" t="str">
        <f t="shared" si="35"/>
        <v>2091+114+207XX0004X</v>
      </c>
      <c r="B2240">
        <v>9706</v>
      </c>
      <c r="C2240">
        <v>2091</v>
      </c>
      <c r="D2240">
        <v>114</v>
      </c>
      <c r="E2240" t="s">
        <v>1208</v>
      </c>
      <c r="F2240" t="s">
        <v>3817</v>
      </c>
    </row>
    <row r="2241" spans="1:6" x14ac:dyDescent="0.25">
      <c r="A2241" t="str">
        <f t="shared" si="35"/>
        <v>2091+114+207XX0005X</v>
      </c>
      <c r="B2241">
        <v>9709</v>
      </c>
      <c r="C2241">
        <v>2091</v>
      </c>
      <c r="D2241">
        <v>114</v>
      </c>
      <c r="E2241" t="s">
        <v>1209</v>
      </c>
      <c r="F2241" t="s">
        <v>3818</v>
      </c>
    </row>
    <row r="2242" spans="1:6" x14ac:dyDescent="0.25">
      <c r="A2242" t="str">
        <f t="shared" si="35"/>
        <v>2091+114+207XX0801X</v>
      </c>
      <c r="B2242">
        <v>9712</v>
      </c>
      <c r="C2242">
        <v>2091</v>
      </c>
      <c r="D2242">
        <v>114</v>
      </c>
      <c r="E2242" t="s">
        <v>1211</v>
      </c>
      <c r="F2242" t="s">
        <v>3819</v>
      </c>
    </row>
    <row r="2243" spans="1:6" x14ac:dyDescent="0.25">
      <c r="A2243" t="str">
        <f t="shared" si="35"/>
        <v>2092+50+207Y00000X</v>
      </c>
      <c r="B2243">
        <v>9716</v>
      </c>
      <c r="C2243">
        <v>2092</v>
      </c>
      <c r="D2243">
        <v>50</v>
      </c>
      <c r="E2243" t="s">
        <v>1213</v>
      </c>
      <c r="F2243" t="s">
        <v>3820</v>
      </c>
    </row>
    <row r="2244" spans="1:6" x14ac:dyDescent="0.25">
      <c r="A2244" t="str">
        <f t="shared" si="35"/>
        <v>2092+50+207YP0228X</v>
      </c>
      <c r="B2244">
        <v>9719</v>
      </c>
      <c r="C2244">
        <v>2092</v>
      </c>
      <c r="D2244">
        <v>50</v>
      </c>
      <c r="E2244" t="s">
        <v>1216</v>
      </c>
      <c r="F2244" t="s">
        <v>3821</v>
      </c>
    </row>
    <row r="2245" spans="1:6" x14ac:dyDescent="0.25">
      <c r="A2245" t="str">
        <f t="shared" si="35"/>
        <v>2092+50+207YS0012X</v>
      </c>
      <c r="B2245">
        <v>9722</v>
      </c>
      <c r="C2245">
        <v>2092</v>
      </c>
      <c r="D2245">
        <v>50</v>
      </c>
      <c r="E2245" t="s">
        <v>1218</v>
      </c>
      <c r="F2245" t="s">
        <v>3822</v>
      </c>
    </row>
    <row r="2246" spans="1:6" x14ac:dyDescent="0.25">
      <c r="A2246" t="str">
        <f t="shared" si="35"/>
        <v>2092+50+207YX0901X</v>
      </c>
      <c r="B2246">
        <v>9728</v>
      </c>
      <c r="C2246">
        <v>2092</v>
      </c>
      <c r="D2246">
        <v>50</v>
      </c>
      <c r="E2246" t="s">
        <v>1227</v>
      </c>
      <c r="F2246" t="s">
        <v>3823</v>
      </c>
    </row>
    <row r="2247" spans="1:6" x14ac:dyDescent="0.25">
      <c r="A2247" t="str">
        <f t="shared" si="35"/>
        <v>2092+51+193400000X</v>
      </c>
      <c r="B2247">
        <v>4489</v>
      </c>
      <c r="C2247">
        <v>2092</v>
      </c>
      <c r="D2247">
        <v>51</v>
      </c>
      <c r="E2247" t="s">
        <v>1447</v>
      </c>
      <c r="F2247" t="s">
        <v>3680</v>
      </c>
    </row>
    <row r="2248" spans="1:6" x14ac:dyDescent="0.25">
      <c r="A2248" t="str">
        <f t="shared" si="35"/>
        <v>2092+51+207Y00000X</v>
      </c>
      <c r="B2248">
        <v>9717</v>
      </c>
      <c r="C2248">
        <v>2092</v>
      </c>
      <c r="D2248">
        <v>51</v>
      </c>
      <c r="E2248" t="s">
        <v>1213</v>
      </c>
      <c r="F2248" t="s">
        <v>3820</v>
      </c>
    </row>
    <row r="2249" spans="1:6" x14ac:dyDescent="0.25">
      <c r="A2249" t="str">
        <f t="shared" si="35"/>
        <v>2092+51+207YP0228X</v>
      </c>
      <c r="B2249">
        <v>9720</v>
      </c>
      <c r="C2249">
        <v>2092</v>
      </c>
      <c r="D2249">
        <v>51</v>
      </c>
      <c r="E2249" t="s">
        <v>1216</v>
      </c>
      <c r="F2249" t="s">
        <v>3821</v>
      </c>
    </row>
    <row r="2250" spans="1:6" x14ac:dyDescent="0.25">
      <c r="A2250" t="str">
        <f t="shared" si="35"/>
        <v>2092+51+207YS0012X</v>
      </c>
      <c r="B2250">
        <v>9723</v>
      </c>
      <c r="C2250">
        <v>2092</v>
      </c>
      <c r="D2250">
        <v>51</v>
      </c>
      <c r="E2250" t="s">
        <v>1218</v>
      </c>
      <c r="F2250" t="s">
        <v>3822</v>
      </c>
    </row>
    <row r="2251" spans="1:6" x14ac:dyDescent="0.25">
      <c r="A2251" t="str">
        <f t="shared" si="35"/>
        <v>2092+51+207YX0901X</v>
      </c>
      <c r="B2251">
        <v>9729</v>
      </c>
      <c r="C2251">
        <v>2092</v>
      </c>
      <c r="D2251">
        <v>51</v>
      </c>
      <c r="E2251" t="s">
        <v>1227</v>
      </c>
      <c r="F2251" t="s">
        <v>3823</v>
      </c>
    </row>
    <row r="2252" spans="1:6" x14ac:dyDescent="0.25">
      <c r="A2252" t="str">
        <f t="shared" si="35"/>
        <v>2092+114+207Y00000X</v>
      </c>
      <c r="B2252">
        <v>9715</v>
      </c>
      <c r="C2252">
        <v>2092</v>
      </c>
      <c r="D2252">
        <v>114</v>
      </c>
      <c r="E2252" t="s">
        <v>1213</v>
      </c>
      <c r="F2252" t="s">
        <v>3820</v>
      </c>
    </row>
    <row r="2253" spans="1:6" x14ac:dyDescent="0.25">
      <c r="A2253" t="str">
        <f t="shared" si="35"/>
        <v>2092+114+207YP0228X</v>
      </c>
      <c r="B2253">
        <v>9718</v>
      </c>
      <c r="C2253">
        <v>2092</v>
      </c>
      <c r="D2253">
        <v>114</v>
      </c>
      <c r="E2253" t="s">
        <v>1216</v>
      </c>
      <c r="F2253" t="s">
        <v>3821</v>
      </c>
    </row>
    <row r="2254" spans="1:6" x14ac:dyDescent="0.25">
      <c r="A2254" t="str">
        <f t="shared" ref="A2254:A2317" si="36">C2254 &amp; "+" &amp; D2254 &amp; "+" &amp; E2254</f>
        <v>2092+114+207YS0012X</v>
      </c>
      <c r="B2254">
        <v>9721</v>
      </c>
      <c r="C2254">
        <v>2092</v>
      </c>
      <c r="D2254">
        <v>114</v>
      </c>
      <c r="E2254" t="s">
        <v>1218</v>
      </c>
      <c r="F2254" t="s">
        <v>3822</v>
      </c>
    </row>
    <row r="2255" spans="1:6" x14ac:dyDescent="0.25">
      <c r="A2255" t="str">
        <f t="shared" si="36"/>
        <v>2092+114+207YX0602X</v>
      </c>
      <c r="B2255">
        <v>9724</v>
      </c>
      <c r="C2255">
        <v>2092</v>
      </c>
      <c r="D2255">
        <v>114</v>
      </c>
      <c r="E2255" t="s">
        <v>1225</v>
      </c>
      <c r="F2255" t="s">
        <v>3824</v>
      </c>
    </row>
    <row r="2256" spans="1:6" x14ac:dyDescent="0.25">
      <c r="A2256" t="str">
        <f t="shared" si="36"/>
        <v>2092+114+207YX0901X</v>
      </c>
      <c r="B2256">
        <v>9727</v>
      </c>
      <c r="C2256">
        <v>2092</v>
      </c>
      <c r="D2256">
        <v>114</v>
      </c>
      <c r="E2256" t="s">
        <v>1227</v>
      </c>
      <c r="F2256" t="s">
        <v>3823</v>
      </c>
    </row>
    <row r="2257" spans="1:6" x14ac:dyDescent="0.25">
      <c r="A2257" t="str">
        <f t="shared" si="36"/>
        <v>2093+50+202C00000X</v>
      </c>
      <c r="B2257">
        <v>9731</v>
      </c>
      <c r="C2257">
        <v>2093</v>
      </c>
      <c r="D2257">
        <v>50</v>
      </c>
      <c r="E2257" t="s">
        <v>1056</v>
      </c>
      <c r="F2257" t="s">
        <v>3825</v>
      </c>
    </row>
    <row r="2258" spans="1:6" x14ac:dyDescent="0.25">
      <c r="A2258" t="str">
        <f t="shared" si="36"/>
        <v>2093+50+207ZB0001X</v>
      </c>
      <c r="B2258">
        <v>9734</v>
      </c>
      <c r="C2258">
        <v>2093</v>
      </c>
      <c r="D2258">
        <v>50</v>
      </c>
      <c r="E2258" t="s">
        <v>1231</v>
      </c>
      <c r="F2258" t="s">
        <v>3826</v>
      </c>
    </row>
    <row r="2259" spans="1:6" x14ac:dyDescent="0.25">
      <c r="A2259" t="str">
        <f t="shared" si="36"/>
        <v>2093+50+207ZC0500X</v>
      </c>
      <c r="B2259">
        <v>9737</v>
      </c>
      <c r="C2259">
        <v>2093</v>
      </c>
      <c r="D2259">
        <v>50</v>
      </c>
      <c r="E2259" t="s">
        <v>1236</v>
      </c>
      <c r="F2259" t="s">
        <v>3827</v>
      </c>
    </row>
    <row r="2260" spans="1:6" x14ac:dyDescent="0.25">
      <c r="A2260" t="str">
        <f t="shared" si="36"/>
        <v>2093+50+207ZD0900X</v>
      </c>
      <c r="B2260">
        <v>9740</v>
      </c>
      <c r="C2260">
        <v>2093</v>
      </c>
      <c r="D2260">
        <v>50</v>
      </c>
      <c r="E2260" t="s">
        <v>1238</v>
      </c>
      <c r="F2260" t="s">
        <v>3828</v>
      </c>
    </row>
    <row r="2261" spans="1:6" x14ac:dyDescent="0.25">
      <c r="A2261" t="str">
        <f t="shared" si="36"/>
        <v>2093+50+207ZF0201X</v>
      </c>
      <c r="B2261">
        <v>9743</v>
      </c>
      <c r="C2261">
        <v>2093</v>
      </c>
      <c r="D2261">
        <v>50</v>
      </c>
      <c r="E2261" t="s">
        <v>1240</v>
      </c>
      <c r="F2261" t="s">
        <v>3829</v>
      </c>
    </row>
    <row r="2262" spans="1:6" x14ac:dyDescent="0.25">
      <c r="A2262" t="str">
        <f t="shared" si="36"/>
        <v>2093+50+207ZI0100X</v>
      </c>
      <c r="B2262">
        <v>9746</v>
      </c>
      <c r="C2262">
        <v>2093</v>
      </c>
      <c r="D2262">
        <v>50</v>
      </c>
      <c r="E2262" t="s">
        <v>1242</v>
      </c>
      <c r="F2262" t="s">
        <v>3830</v>
      </c>
    </row>
    <row r="2263" spans="1:6" x14ac:dyDescent="0.25">
      <c r="A2263" t="str">
        <f t="shared" si="36"/>
        <v>2093+50+207ZM0300X</v>
      </c>
      <c r="B2263">
        <v>9749</v>
      </c>
      <c r="C2263">
        <v>2093</v>
      </c>
      <c r="D2263">
        <v>50</v>
      </c>
      <c r="E2263" t="s">
        <v>1244</v>
      </c>
      <c r="F2263" t="s">
        <v>3831</v>
      </c>
    </row>
    <row r="2264" spans="1:6" x14ac:dyDescent="0.25">
      <c r="A2264" t="str">
        <f t="shared" si="36"/>
        <v>2093+50+207ZN0500X</v>
      </c>
      <c r="B2264">
        <v>9752</v>
      </c>
      <c r="C2264">
        <v>2093</v>
      </c>
      <c r="D2264">
        <v>50</v>
      </c>
      <c r="E2264" t="s">
        <v>1246</v>
      </c>
      <c r="F2264" t="s">
        <v>3832</v>
      </c>
    </row>
    <row r="2265" spans="1:6" x14ac:dyDescent="0.25">
      <c r="A2265" t="str">
        <f t="shared" si="36"/>
        <v>2093+50+207ZP0007X</v>
      </c>
      <c r="B2265">
        <v>9755</v>
      </c>
      <c r="C2265">
        <v>2093</v>
      </c>
      <c r="D2265">
        <v>50</v>
      </c>
      <c r="E2265" t="s">
        <v>1248</v>
      </c>
      <c r="F2265" t="s">
        <v>3833</v>
      </c>
    </row>
    <row r="2266" spans="1:6" x14ac:dyDescent="0.25">
      <c r="A2266" t="str">
        <f t="shared" si="36"/>
        <v>2093+50+207ZP0101X</v>
      </c>
      <c r="B2266">
        <v>9758</v>
      </c>
      <c r="C2266">
        <v>2093</v>
      </c>
      <c r="D2266">
        <v>50</v>
      </c>
      <c r="E2266" t="s">
        <v>1250</v>
      </c>
      <c r="F2266" t="s">
        <v>3834</v>
      </c>
    </row>
    <row r="2267" spans="1:6" x14ac:dyDescent="0.25">
      <c r="A2267" t="str">
        <f t="shared" si="36"/>
        <v>2093+50+207ZP0104X</v>
      </c>
      <c r="B2267">
        <v>9761</v>
      </c>
      <c r="C2267">
        <v>2093</v>
      </c>
      <c r="D2267">
        <v>50</v>
      </c>
      <c r="E2267" t="s">
        <v>1254</v>
      </c>
      <c r="F2267" t="s">
        <v>3835</v>
      </c>
    </row>
    <row r="2268" spans="1:6" x14ac:dyDescent="0.25">
      <c r="A2268" t="str">
        <f t="shared" si="36"/>
        <v>2093+50+207ZP0213X</v>
      </c>
      <c r="B2268">
        <v>9764</v>
      </c>
      <c r="C2268">
        <v>2093</v>
      </c>
      <c r="D2268">
        <v>50</v>
      </c>
      <c r="E2268" t="s">
        <v>1258</v>
      </c>
      <c r="F2268" t="s">
        <v>3836</v>
      </c>
    </row>
    <row r="2269" spans="1:6" x14ac:dyDescent="0.25">
      <c r="A2269" t="str">
        <f t="shared" si="36"/>
        <v>2093+51+193400000X</v>
      </c>
      <c r="B2269">
        <v>4490</v>
      </c>
      <c r="C2269">
        <v>2093</v>
      </c>
      <c r="D2269">
        <v>51</v>
      </c>
      <c r="E2269" t="s">
        <v>1447</v>
      </c>
      <c r="F2269" t="s">
        <v>3680</v>
      </c>
    </row>
    <row r="2270" spans="1:6" x14ac:dyDescent="0.25">
      <c r="A2270" t="str">
        <f t="shared" si="36"/>
        <v>2093+51+202C00000X</v>
      </c>
      <c r="B2270">
        <v>9732</v>
      </c>
      <c r="C2270">
        <v>2093</v>
      </c>
      <c r="D2270">
        <v>51</v>
      </c>
      <c r="E2270" t="s">
        <v>1056</v>
      </c>
      <c r="F2270" t="s">
        <v>3825</v>
      </c>
    </row>
    <row r="2271" spans="1:6" x14ac:dyDescent="0.25">
      <c r="A2271" t="str">
        <f t="shared" si="36"/>
        <v>2093+51+207ZB0001X</v>
      </c>
      <c r="B2271">
        <v>9735</v>
      </c>
      <c r="C2271">
        <v>2093</v>
      </c>
      <c r="D2271">
        <v>51</v>
      </c>
      <c r="E2271" t="s">
        <v>1231</v>
      </c>
      <c r="F2271" t="s">
        <v>3826</v>
      </c>
    </row>
    <row r="2272" spans="1:6" x14ac:dyDescent="0.25">
      <c r="A2272" t="str">
        <f t="shared" si="36"/>
        <v>2093+51+207ZC0500X</v>
      </c>
      <c r="B2272">
        <v>9738</v>
      </c>
      <c r="C2272">
        <v>2093</v>
      </c>
      <c r="D2272">
        <v>51</v>
      </c>
      <c r="E2272" t="s">
        <v>1236</v>
      </c>
      <c r="F2272" t="s">
        <v>3827</v>
      </c>
    </row>
    <row r="2273" spans="1:6" x14ac:dyDescent="0.25">
      <c r="A2273" t="str">
        <f t="shared" si="36"/>
        <v>2093+51+207ZD0900X</v>
      </c>
      <c r="B2273">
        <v>9741</v>
      </c>
      <c r="C2273">
        <v>2093</v>
      </c>
      <c r="D2273">
        <v>51</v>
      </c>
      <c r="E2273" t="s">
        <v>1238</v>
      </c>
      <c r="F2273" t="s">
        <v>3828</v>
      </c>
    </row>
    <row r="2274" spans="1:6" x14ac:dyDescent="0.25">
      <c r="A2274" t="str">
        <f t="shared" si="36"/>
        <v>2093+51+207ZF0201X</v>
      </c>
      <c r="B2274">
        <v>9744</v>
      </c>
      <c r="C2274">
        <v>2093</v>
      </c>
      <c r="D2274">
        <v>51</v>
      </c>
      <c r="E2274" t="s">
        <v>1240</v>
      </c>
      <c r="F2274" t="s">
        <v>3829</v>
      </c>
    </row>
    <row r="2275" spans="1:6" x14ac:dyDescent="0.25">
      <c r="A2275" t="str">
        <f t="shared" si="36"/>
        <v>2093+51+207ZI0100X</v>
      </c>
      <c r="B2275">
        <v>9747</v>
      </c>
      <c r="C2275">
        <v>2093</v>
      </c>
      <c r="D2275">
        <v>51</v>
      </c>
      <c r="E2275" t="s">
        <v>1242</v>
      </c>
      <c r="F2275" t="s">
        <v>3830</v>
      </c>
    </row>
    <row r="2276" spans="1:6" x14ac:dyDescent="0.25">
      <c r="A2276" t="str">
        <f t="shared" si="36"/>
        <v>2093+51+207ZM0300X</v>
      </c>
      <c r="B2276">
        <v>9750</v>
      </c>
      <c r="C2276">
        <v>2093</v>
      </c>
      <c r="D2276">
        <v>51</v>
      </c>
      <c r="E2276" t="s">
        <v>1244</v>
      </c>
      <c r="F2276" t="s">
        <v>3831</v>
      </c>
    </row>
    <row r="2277" spans="1:6" x14ac:dyDescent="0.25">
      <c r="A2277" t="str">
        <f t="shared" si="36"/>
        <v>2093+51+207ZN0500X</v>
      </c>
      <c r="B2277">
        <v>9753</v>
      </c>
      <c r="C2277">
        <v>2093</v>
      </c>
      <c r="D2277">
        <v>51</v>
      </c>
      <c r="E2277" t="s">
        <v>1246</v>
      </c>
      <c r="F2277" t="s">
        <v>3832</v>
      </c>
    </row>
    <row r="2278" spans="1:6" x14ac:dyDescent="0.25">
      <c r="A2278" t="str">
        <f t="shared" si="36"/>
        <v>2093+51+207ZP0007X</v>
      </c>
      <c r="B2278">
        <v>9756</v>
      </c>
      <c r="C2278">
        <v>2093</v>
      </c>
      <c r="D2278">
        <v>51</v>
      </c>
      <c r="E2278" t="s">
        <v>1248</v>
      </c>
      <c r="F2278" t="s">
        <v>3833</v>
      </c>
    </row>
    <row r="2279" spans="1:6" x14ac:dyDescent="0.25">
      <c r="A2279" t="str">
        <f t="shared" si="36"/>
        <v>2093+51+207ZP0101X</v>
      </c>
      <c r="B2279">
        <v>9759</v>
      </c>
      <c r="C2279">
        <v>2093</v>
      </c>
      <c r="D2279">
        <v>51</v>
      </c>
      <c r="E2279" t="s">
        <v>1250</v>
      </c>
      <c r="F2279" t="s">
        <v>3834</v>
      </c>
    </row>
    <row r="2280" spans="1:6" x14ac:dyDescent="0.25">
      <c r="A2280" t="str">
        <f t="shared" si="36"/>
        <v>2093+51+207ZP0104X</v>
      </c>
      <c r="B2280">
        <v>9762</v>
      </c>
      <c r="C2280">
        <v>2093</v>
      </c>
      <c r="D2280">
        <v>51</v>
      </c>
      <c r="E2280" t="s">
        <v>1254</v>
      </c>
      <c r="F2280" t="s">
        <v>3835</v>
      </c>
    </row>
    <row r="2281" spans="1:6" x14ac:dyDescent="0.25">
      <c r="A2281" t="str">
        <f t="shared" si="36"/>
        <v>2093+51+207ZP0213X</v>
      </c>
      <c r="B2281">
        <v>9765</v>
      </c>
      <c r="C2281">
        <v>2093</v>
      </c>
      <c r="D2281">
        <v>51</v>
      </c>
      <c r="E2281" t="s">
        <v>1258</v>
      </c>
      <c r="F2281" t="s">
        <v>3836</v>
      </c>
    </row>
    <row r="2282" spans="1:6" x14ac:dyDescent="0.25">
      <c r="A2282" t="str">
        <f t="shared" si="36"/>
        <v>2093+114+202C00000X</v>
      </c>
      <c r="B2282">
        <v>9730</v>
      </c>
      <c r="C2282">
        <v>2093</v>
      </c>
      <c r="D2282">
        <v>114</v>
      </c>
      <c r="E2282" t="s">
        <v>1056</v>
      </c>
      <c r="F2282" t="s">
        <v>3825</v>
      </c>
    </row>
    <row r="2283" spans="1:6" x14ac:dyDescent="0.25">
      <c r="A2283" t="str">
        <f t="shared" si="36"/>
        <v>2093+114+207ZB0001X</v>
      </c>
      <c r="B2283">
        <v>9733</v>
      </c>
      <c r="C2283">
        <v>2093</v>
      </c>
      <c r="D2283">
        <v>114</v>
      </c>
      <c r="E2283" t="s">
        <v>1231</v>
      </c>
      <c r="F2283" t="s">
        <v>3826</v>
      </c>
    </row>
    <row r="2284" spans="1:6" x14ac:dyDescent="0.25">
      <c r="A2284" t="str">
        <f t="shared" si="36"/>
        <v>2093+114+207ZC0500X</v>
      </c>
      <c r="B2284">
        <v>9736</v>
      </c>
      <c r="C2284">
        <v>2093</v>
      </c>
      <c r="D2284">
        <v>114</v>
      </c>
      <c r="E2284" t="s">
        <v>1236</v>
      </c>
      <c r="F2284" t="s">
        <v>3827</v>
      </c>
    </row>
    <row r="2285" spans="1:6" x14ac:dyDescent="0.25">
      <c r="A2285" t="str">
        <f t="shared" si="36"/>
        <v>2093+114+207ZD0900X</v>
      </c>
      <c r="B2285">
        <v>9739</v>
      </c>
      <c r="C2285">
        <v>2093</v>
      </c>
      <c r="D2285">
        <v>114</v>
      </c>
      <c r="E2285" t="s">
        <v>1238</v>
      </c>
      <c r="F2285" t="s">
        <v>3828</v>
      </c>
    </row>
    <row r="2286" spans="1:6" x14ac:dyDescent="0.25">
      <c r="A2286" t="str">
        <f t="shared" si="36"/>
        <v>2093+114+207ZF0201X</v>
      </c>
      <c r="B2286">
        <v>9742</v>
      </c>
      <c r="C2286">
        <v>2093</v>
      </c>
      <c r="D2286">
        <v>114</v>
      </c>
      <c r="E2286" t="s">
        <v>1240</v>
      </c>
      <c r="F2286" t="s">
        <v>3829</v>
      </c>
    </row>
    <row r="2287" spans="1:6" x14ac:dyDescent="0.25">
      <c r="A2287" t="str">
        <f t="shared" si="36"/>
        <v>2093+114+207ZI0100X</v>
      </c>
      <c r="B2287">
        <v>9745</v>
      </c>
      <c r="C2287">
        <v>2093</v>
      </c>
      <c r="D2287">
        <v>114</v>
      </c>
      <c r="E2287" t="s">
        <v>1242</v>
      </c>
      <c r="F2287" t="s">
        <v>3830</v>
      </c>
    </row>
    <row r="2288" spans="1:6" x14ac:dyDescent="0.25">
      <c r="A2288" t="str">
        <f t="shared" si="36"/>
        <v>2093+114+207ZM0300X</v>
      </c>
      <c r="B2288">
        <v>9748</v>
      </c>
      <c r="C2288">
        <v>2093</v>
      </c>
      <c r="D2288">
        <v>114</v>
      </c>
      <c r="E2288" t="s">
        <v>1244</v>
      </c>
      <c r="F2288" t="s">
        <v>3831</v>
      </c>
    </row>
    <row r="2289" spans="1:6" x14ac:dyDescent="0.25">
      <c r="A2289" t="str">
        <f t="shared" si="36"/>
        <v>2093+114+207ZN0500X</v>
      </c>
      <c r="B2289">
        <v>9751</v>
      </c>
      <c r="C2289">
        <v>2093</v>
      </c>
      <c r="D2289">
        <v>114</v>
      </c>
      <c r="E2289" t="s">
        <v>1246</v>
      </c>
      <c r="F2289" t="s">
        <v>3832</v>
      </c>
    </row>
    <row r="2290" spans="1:6" x14ac:dyDescent="0.25">
      <c r="A2290" t="str">
        <f t="shared" si="36"/>
        <v>2093+114+207ZP0007X</v>
      </c>
      <c r="B2290">
        <v>9754</v>
      </c>
      <c r="C2290">
        <v>2093</v>
      </c>
      <c r="D2290">
        <v>114</v>
      </c>
      <c r="E2290" t="s">
        <v>1248</v>
      </c>
      <c r="F2290" t="s">
        <v>3833</v>
      </c>
    </row>
    <row r="2291" spans="1:6" x14ac:dyDescent="0.25">
      <c r="A2291" t="str">
        <f t="shared" si="36"/>
        <v>2093+114+207ZP0101X</v>
      </c>
      <c r="B2291">
        <v>9757</v>
      </c>
      <c r="C2291">
        <v>2093</v>
      </c>
      <c r="D2291">
        <v>114</v>
      </c>
      <c r="E2291" t="s">
        <v>1250</v>
      </c>
      <c r="F2291" t="s">
        <v>3834</v>
      </c>
    </row>
    <row r="2292" spans="1:6" x14ac:dyDescent="0.25">
      <c r="A2292" t="str">
        <f t="shared" si="36"/>
        <v>2093+114+207ZP0104X</v>
      </c>
      <c r="B2292">
        <v>9760</v>
      </c>
      <c r="C2292">
        <v>2093</v>
      </c>
      <c r="D2292">
        <v>114</v>
      </c>
      <c r="E2292" t="s">
        <v>1254</v>
      </c>
      <c r="F2292" t="s">
        <v>3835</v>
      </c>
    </row>
    <row r="2293" spans="1:6" x14ac:dyDescent="0.25">
      <c r="A2293" t="str">
        <f t="shared" si="36"/>
        <v>2093+114+207ZP0213X</v>
      </c>
      <c r="B2293">
        <v>9763</v>
      </c>
      <c r="C2293">
        <v>2093</v>
      </c>
      <c r="D2293">
        <v>114</v>
      </c>
      <c r="E2293" t="s">
        <v>1258</v>
      </c>
      <c r="F2293" t="s">
        <v>3836</v>
      </c>
    </row>
    <row r="2294" spans="1:6" x14ac:dyDescent="0.25">
      <c r="A2294" t="str">
        <f t="shared" si="36"/>
        <v>2094+50+2086S0120X</v>
      </c>
      <c r="B2294">
        <v>9767</v>
      </c>
      <c r="C2294">
        <v>2094</v>
      </c>
      <c r="D2294">
        <v>50</v>
      </c>
      <c r="E2294" t="s">
        <v>1050</v>
      </c>
      <c r="F2294" t="s">
        <v>3837</v>
      </c>
    </row>
    <row r="2295" spans="1:6" x14ac:dyDescent="0.25">
      <c r="A2295" t="str">
        <f t="shared" si="36"/>
        <v>2094+51+193400000X</v>
      </c>
      <c r="B2295">
        <v>4491</v>
      </c>
      <c r="C2295">
        <v>2094</v>
      </c>
      <c r="D2295">
        <v>51</v>
      </c>
      <c r="E2295" t="s">
        <v>1447</v>
      </c>
      <c r="F2295" t="s">
        <v>3680</v>
      </c>
    </row>
    <row r="2296" spans="1:6" x14ac:dyDescent="0.25">
      <c r="A2296" t="str">
        <f t="shared" si="36"/>
        <v>2094+51+2086S0120X</v>
      </c>
      <c r="B2296">
        <v>9768</v>
      </c>
      <c r="C2296">
        <v>2094</v>
      </c>
      <c r="D2296">
        <v>51</v>
      </c>
      <c r="E2296" t="s">
        <v>1050</v>
      </c>
      <c r="F2296" t="s">
        <v>3837</v>
      </c>
    </row>
    <row r="2297" spans="1:6" x14ac:dyDescent="0.25">
      <c r="A2297" t="str">
        <f t="shared" si="36"/>
        <v>2094+114+2086S0120X</v>
      </c>
      <c r="B2297">
        <v>9766</v>
      </c>
      <c r="C2297">
        <v>2094</v>
      </c>
      <c r="D2297">
        <v>114</v>
      </c>
      <c r="E2297" t="s">
        <v>1050</v>
      </c>
      <c r="F2297" t="s">
        <v>3837</v>
      </c>
    </row>
    <row r="2298" spans="1:6" x14ac:dyDescent="0.25">
      <c r="A2298" t="str">
        <f t="shared" si="36"/>
        <v>2095+50+207VM0101X</v>
      </c>
      <c r="B2298">
        <v>9770</v>
      </c>
      <c r="C2298">
        <v>2095</v>
      </c>
      <c r="D2298">
        <v>50</v>
      </c>
      <c r="E2298" t="s">
        <v>1034</v>
      </c>
      <c r="F2298" t="s">
        <v>3838</v>
      </c>
    </row>
    <row r="2299" spans="1:6" x14ac:dyDescent="0.25">
      <c r="A2299" t="str">
        <f t="shared" si="36"/>
        <v>2095+51+193400000X</v>
      </c>
      <c r="B2299">
        <v>4492</v>
      </c>
      <c r="C2299">
        <v>2095</v>
      </c>
      <c r="D2299">
        <v>51</v>
      </c>
      <c r="E2299" t="s">
        <v>1447</v>
      </c>
      <c r="F2299" t="s">
        <v>3680</v>
      </c>
    </row>
    <row r="2300" spans="1:6" x14ac:dyDescent="0.25">
      <c r="A2300" t="str">
        <f t="shared" si="36"/>
        <v>2095+51+207VM0101X</v>
      </c>
      <c r="B2300">
        <v>9771</v>
      </c>
      <c r="C2300">
        <v>2095</v>
      </c>
      <c r="D2300">
        <v>51</v>
      </c>
      <c r="E2300" t="s">
        <v>1034</v>
      </c>
      <c r="F2300" t="s">
        <v>3838</v>
      </c>
    </row>
    <row r="2301" spans="1:6" x14ac:dyDescent="0.25">
      <c r="A2301" t="str">
        <f t="shared" si="36"/>
        <v>2095+114+207VM0101X</v>
      </c>
      <c r="B2301">
        <v>9769</v>
      </c>
      <c r="C2301">
        <v>2095</v>
      </c>
      <c r="D2301">
        <v>114</v>
      </c>
      <c r="E2301" t="s">
        <v>1034</v>
      </c>
      <c r="F2301" t="s">
        <v>3838</v>
      </c>
    </row>
    <row r="2302" spans="1:6" x14ac:dyDescent="0.25">
      <c r="A2302" t="str">
        <f t="shared" si="36"/>
        <v>2096+50+208100000X</v>
      </c>
      <c r="B2302">
        <v>9773</v>
      </c>
      <c r="C2302">
        <v>2096</v>
      </c>
      <c r="D2302">
        <v>50</v>
      </c>
      <c r="E2302" t="s">
        <v>1302</v>
      </c>
      <c r="F2302" t="s">
        <v>3839</v>
      </c>
    </row>
    <row r="2303" spans="1:6" x14ac:dyDescent="0.25">
      <c r="A2303" t="str">
        <f t="shared" si="36"/>
        <v>2096+50+2081H0002X</v>
      </c>
      <c r="B2303">
        <v>9776</v>
      </c>
      <c r="C2303">
        <v>2096</v>
      </c>
      <c r="D2303">
        <v>50</v>
      </c>
      <c r="E2303" t="s">
        <v>1304</v>
      </c>
      <c r="F2303" t="s">
        <v>3840</v>
      </c>
    </row>
    <row r="2304" spans="1:6" x14ac:dyDescent="0.25">
      <c r="A2304" t="str">
        <f t="shared" si="36"/>
        <v>2096+50+2081N0008X</v>
      </c>
      <c r="B2304">
        <v>9779</v>
      </c>
      <c r="C2304">
        <v>2096</v>
      </c>
      <c r="D2304">
        <v>50</v>
      </c>
      <c r="E2304" t="s">
        <v>1306</v>
      </c>
      <c r="F2304" t="s">
        <v>3841</v>
      </c>
    </row>
    <row r="2305" spans="1:6" x14ac:dyDescent="0.25">
      <c r="A2305" t="str">
        <f t="shared" si="36"/>
        <v>2096+50+2081P0004X</v>
      </c>
      <c r="B2305">
        <v>9782</v>
      </c>
      <c r="C2305">
        <v>2096</v>
      </c>
      <c r="D2305">
        <v>50</v>
      </c>
      <c r="E2305" t="s">
        <v>1308</v>
      </c>
      <c r="F2305" t="s">
        <v>3842</v>
      </c>
    </row>
    <row r="2306" spans="1:6" x14ac:dyDescent="0.25">
      <c r="A2306" t="str">
        <f t="shared" si="36"/>
        <v>2096+50+2081P0010X</v>
      </c>
      <c r="B2306">
        <v>9785</v>
      </c>
      <c r="C2306">
        <v>2096</v>
      </c>
      <c r="D2306">
        <v>50</v>
      </c>
      <c r="E2306" t="s">
        <v>1310</v>
      </c>
      <c r="F2306" t="s">
        <v>3843</v>
      </c>
    </row>
    <row r="2307" spans="1:6" x14ac:dyDescent="0.25">
      <c r="A2307" t="str">
        <f t="shared" si="36"/>
        <v>2096+50+2081P2900X</v>
      </c>
      <c r="B2307">
        <v>9788</v>
      </c>
      <c r="C2307">
        <v>2096</v>
      </c>
      <c r="D2307">
        <v>50</v>
      </c>
      <c r="E2307" t="s">
        <v>1312</v>
      </c>
      <c r="F2307" t="s">
        <v>3844</v>
      </c>
    </row>
    <row r="2308" spans="1:6" x14ac:dyDescent="0.25">
      <c r="A2308" t="str">
        <f t="shared" si="36"/>
        <v>2096+50+2081S0010X</v>
      </c>
      <c r="B2308">
        <v>9791</v>
      </c>
      <c r="C2308">
        <v>2096</v>
      </c>
      <c r="D2308">
        <v>50</v>
      </c>
      <c r="E2308" t="s">
        <v>1313</v>
      </c>
      <c r="F2308" t="s">
        <v>3845</v>
      </c>
    </row>
    <row r="2309" spans="1:6" x14ac:dyDescent="0.25">
      <c r="A2309" t="str">
        <f t="shared" si="36"/>
        <v>2096+50+208VP0000X</v>
      </c>
      <c r="B2309">
        <v>9794</v>
      </c>
      <c r="C2309">
        <v>2096</v>
      </c>
      <c r="D2309">
        <v>50</v>
      </c>
      <c r="E2309" t="s">
        <v>1416</v>
      </c>
      <c r="F2309" t="s">
        <v>3846</v>
      </c>
    </row>
    <row r="2310" spans="1:6" x14ac:dyDescent="0.25">
      <c r="A2310" t="str">
        <f t="shared" si="36"/>
        <v>2096+50+208VP0014X</v>
      </c>
      <c r="B2310">
        <v>9797</v>
      </c>
      <c r="C2310">
        <v>2096</v>
      </c>
      <c r="D2310">
        <v>50</v>
      </c>
      <c r="E2310" t="s">
        <v>1418</v>
      </c>
      <c r="F2310" t="s">
        <v>3847</v>
      </c>
    </row>
    <row r="2311" spans="1:6" x14ac:dyDescent="0.25">
      <c r="A2311" t="str">
        <f t="shared" si="36"/>
        <v>2096+51+193400000X</v>
      </c>
      <c r="B2311">
        <v>4493</v>
      </c>
      <c r="C2311">
        <v>2096</v>
      </c>
      <c r="D2311">
        <v>51</v>
      </c>
      <c r="E2311" t="s">
        <v>1447</v>
      </c>
      <c r="F2311" t="s">
        <v>3680</v>
      </c>
    </row>
    <row r="2312" spans="1:6" x14ac:dyDescent="0.25">
      <c r="A2312" t="str">
        <f t="shared" si="36"/>
        <v>2096+51+208100000X</v>
      </c>
      <c r="B2312">
        <v>9774</v>
      </c>
      <c r="C2312">
        <v>2096</v>
      </c>
      <c r="D2312">
        <v>51</v>
      </c>
      <c r="E2312" t="s">
        <v>1302</v>
      </c>
      <c r="F2312" t="s">
        <v>3839</v>
      </c>
    </row>
    <row r="2313" spans="1:6" x14ac:dyDescent="0.25">
      <c r="A2313" t="str">
        <f t="shared" si="36"/>
        <v>2096+51+2081H0002X</v>
      </c>
      <c r="B2313">
        <v>9777</v>
      </c>
      <c r="C2313">
        <v>2096</v>
      </c>
      <c r="D2313">
        <v>51</v>
      </c>
      <c r="E2313" t="s">
        <v>1304</v>
      </c>
      <c r="F2313" t="s">
        <v>3840</v>
      </c>
    </row>
    <row r="2314" spans="1:6" x14ac:dyDescent="0.25">
      <c r="A2314" t="str">
        <f t="shared" si="36"/>
        <v>2096+51+2081N0008X</v>
      </c>
      <c r="B2314">
        <v>9780</v>
      </c>
      <c r="C2314">
        <v>2096</v>
      </c>
      <c r="D2314">
        <v>51</v>
      </c>
      <c r="E2314" t="s">
        <v>1306</v>
      </c>
      <c r="F2314" t="s">
        <v>3841</v>
      </c>
    </row>
    <row r="2315" spans="1:6" x14ac:dyDescent="0.25">
      <c r="A2315" t="str">
        <f t="shared" si="36"/>
        <v>2096+51+2081P0004X</v>
      </c>
      <c r="B2315">
        <v>9783</v>
      </c>
      <c r="C2315">
        <v>2096</v>
      </c>
      <c r="D2315">
        <v>51</v>
      </c>
      <c r="E2315" t="s">
        <v>1308</v>
      </c>
      <c r="F2315" t="s">
        <v>3842</v>
      </c>
    </row>
    <row r="2316" spans="1:6" x14ac:dyDescent="0.25">
      <c r="A2316" t="str">
        <f t="shared" si="36"/>
        <v>2096+51+2081P0010X</v>
      </c>
      <c r="B2316">
        <v>9786</v>
      </c>
      <c r="C2316">
        <v>2096</v>
      </c>
      <c r="D2316">
        <v>51</v>
      </c>
      <c r="E2316" t="s">
        <v>1310</v>
      </c>
      <c r="F2316" t="s">
        <v>3843</v>
      </c>
    </row>
    <row r="2317" spans="1:6" x14ac:dyDescent="0.25">
      <c r="A2317" t="str">
        <f t="shared" si="36"/>
        <v>2096+51+2081P2900X</v>
      </c>
      <c r="B2317">
        <v>9789</v>
      </c>
      <c r="C2317">
        <v>2096</v>
      </c>
      <c r="D2317">
        <v>51</v>
      </c>
      <c r="E2317" t="s">
        <v>1312</v>
      </c>
      <c r="F2317" t="s">
        <v>3844</v>
      </c>
    </row>
    <row r="2318" spans="1:6" x14ac:dyDescent="0.25">
      <c r="A2318" t="str">
        <f t="shared" ref="A2318:A2381" si="37">C2318 &amp; "+" &amp; D2318 &amp; "+" &amp; E2318</f>
        <v>2096+51+2081S0010X</v>
      </c>
      <c r="B2318">
        <v>9792</v>
      </c>
      <c r="C2318">
        <v>2096</v>
      </c>
      <c r="D2318">
        <v>51</v>
      </c>
      <c r="E2318" t="s">
        <v>1313</v>
      </c>
      <c r="F2318" t="s">
        <v>3845</v>
      </c>
    </row>
    <row r="2319" spans="1:6" x14ac:dyDescent="0.25">
      <c r="A2319" t="str">
        <f t="shared" si="37"/>
        <v>2096+51+208VP0000X</v>
      </c>
      <c r="B2319">
        <v>9795</v>
      </c>
      <c r="C2319">
        <v>2096</v>
      </c>
      <c r="D2319">
        <v>51</v>
      </c>
      <c r="E2319" t="s">
        <v>1416</v>
      </c>
      <c r="F2319" t="s">
        <v>3846</v>
      </c>
    </row>
    <row r="2320" spans="1:6" x14ac:dyDescent="0.25">
      <c r="A2320" t="str">
        <f t="shared" si="37"/>
        <v>2096+51+208VP0014X</v>
      </c>
      <c r="B2320">
        <v>9798</v>
      </c>
      <c r="C2320">
        <v>2096</v>
      </c>
      <c r="D2320">
        <v>51</v>
      </c>
      <c r="E2320" t="s">
        <v>1418</v>
      </c>
      <c r="F2320" t="s">
        <v>3847</v>
      </c>
    </row>
    <row r="2321" spans="1:6" x14ac:dyDescent="0.25">
      <c r="A2321" t="str">
        <f t="shared" si="37"/>
        <v>2096+114+208100000X</v>
      </c>
      <c r="B2321">
        <v>9772</v>
      </c>
      <c r="C2321">
        <v>2096</v>
      </c>
      <c r="D2321">
        <v>114</v>
      </c>
      <c r="E2321" t="s">
        <v>1302</v>
      </c>
      <c r="F2321" t="s">
        <v>3839</v>
      </c>
    </row>
    <row r="2322" spans="1:6" x14ac:dyDescent="0.25">
      <c r="A2322" t="str">
        <f t="shared" si="37"/>
        <v>2096+114+2081H0002X</v>
      </c>
      <c r="B2322">
        <v>9775</v>
      </c>
      <c r="C2322">
        <v>2096</v>
      </c>
      <c r="D2322">
        <v>114</v>
      </c>
      <c r="E2322" t="s">
        <v>1304</v>
      </c>
      <c r="F2322" t="s">
        <v>3840</v>
      </c>
    </row>
    <row r="2323" spans="1:6" x14ac:dyDescent="0.25">
      <c r="A2323" t="str">
        <f t="shared" si="37"/>
        <v>2096+114+2081N0008X</v>
      </c>
      <c r="B2323">
        <v>9778</v>
      </c>
      <c r="C2323">
        <v>2096</v>
      </c>
      <c r="D2323">
        <v>114</v>
      </c>
      <c r="E2323" t="s">
        <v>1306</v>
      </c>
      <c r="F2323" t="s">
        <v>3841</v>
      </c>
    </row>
    <row r="2324" spans="1:6" x14ac:dyDescent="0.25">
      <c r="A2324" t="str">
        <f t="shared" si="37"/>
        <v>2096+114+2081P0004X</v>
      </c>
      <c r="B2324">
        <v>9781</v>
      </c>
      <c r="C2324">
        <v>2096</v>
      </c>
      <c r="D2324">
        <v>114</v>
      </c>
      <c r="E2324" t="s">
        <v>1308</v>
      </c>
      <c r="F2324" t="s">
        <v>3842</v>
      </c>
    </row>
    <row r="2325" spans="1:6" x14ac:dyDescent="0.25">
      <c r="A2325" t="str">
        <f t="shared" si="37"/>
        <v>2096+114+2081P0010X</v>
      </c>
      <c r="B2325">
        <v>9784</v>
      </c>
      <c r="C2325">
        <v>2096</v>
      </c>
      <c r="D2325">
        <v>114</v>
      </c>
      <c r="E2325" t="s">
        <v>1310</v>
      </c>
      <c r="F2325" t="s">
        <v>3843</v>
      </c>
    </row>
    <row r="2326" spans="1:6" x14ac:dyDescent="0.25">
      <c r="A2326" t="str">
        <f t="shared" si="37"/>
        <v>2096+114+2081P2900X</v>
      </c>
      <c r="B2326">
        <v>9787</v>
      </c>
      <c r="C2326">
        <v>2096</v>
      </c>
      <c r="D2326">
        <v>114</v>
      </c>
      <c r="E2326" t="s">
        <v>1312</v>
      </c>
      <c r="F2326" t="s">
        <v>3844</v>
      </c>
    </row>
    <row r="2327" spans="1:6" x14ac:dyDescent="0.25">
      <c r="A2327" t="str">
        <f t="shared" si="37"/>
        <v>2096+114+2081S0010X</v>
      </c>
      <c r="B2327">
        <v>9790</v>
      </c>
      <c r="C2327">
        <v>2096</v>
      </c>
      <c r="D2327">
        <v>114</v>
      </c>
      <c r="E2327" t="s">
        <v>1313</v>
      </c>
      <c r="F2327" t="s">
        <v>3845</v>
      </c>
    </row>
    <row r="2328" spans="1:6" x14ac:dyDescent="0.25">
      <c r="A2328" t="str">
        <f t="shared" si="37"/>
        <v>2096+114+208VP0000X</v>
      </c>
      <c r="B2328">
        <v>9793</v>
      </c>
      <c r="C2328">
        <v>2096</v>
      </c>
      <c r="D2328">
        <v>114</v>
      </c>
      <c r="E2328" t="s">
        <v>1416</v>
      </c>
      <c r="F2328" t="s">
        <v>3846</v>
      </c>
    </row>
    <row r="2329" spans="1:6" x14ac:dyDescent="0.25">
      <c r="A2329" t="str">
        <f t="shared" si="37"/>
        <v>2096+114+208VP0014X</v>
      </c>
      <c r="B2329">
        <v>9796</v>
      </c>
      <c r="C2329">
        <v>2096</v>
      </c>
      <c r="D2329">
        <v>114</v>
      </c>
      <c r="E2329" t="s">
        <v>1418</v>
      </c>
      <c r="F2329" t="s">
        <v>3847</v>
      </c>
    </row>
    <row r="2330" spans="1:6" x14ac:dyDescent="0.25">
      <c r="A2330" t="str">
        <f t="shared" si="37"/>
        <v>2097+50+207YS0123X</v>
      </c>
      <c r="B2330">
        <v>9800</v>
      </c>
      <c r="C2330">
        <v>2097</v>
      </c>
      <c r="D2330">
        <v>50</v>
      </c>
      <c r="E2330" t="s">
        <v>1220</v>
      </c>
      <c r="F2330" t="s">
        <v>3848</v>
      </c>
    </row>
    <row r="2331" spans="1:6" x14ac:dyDescent="0.25">
      <c r="A2331" t="str">
        <f t="shared" si="37"/>
        <v>2097+50+207YX0007X</v>
      </c>
      <c r="B2331">
        <v>9803</v>
      </c>
      <c r="C2331">
        <v>2097</v>
      </c>
      <c r="D2331">
        <v>50</v>
      </c>
      <c r="E2331" t="s">
        <v>1223</v>
      </c>
      <c r="F2331" t="s">
        <v>3849</v>
      </c>
    </row>
    <row r="2332" spans="1:6" x14ac:dyDescent="0.25">
      <c r="A2332" t="str">
        <f t="shared" si="37"/>
        <v>2097+50+207YX0905X</v>
      </c>
      <c r="B2332">
        <v>9806</v>
      </c>
      <c r="C2332">
        <v>2097</v>
      </c>
      <c r="D2332">
        <v>50</v>
      </c>
      <c r="E2332" t="s">
        <v>1229</v>
      </c>
      <c r="F2332" t="s">
        <v>3850</v>
      </c>
    </row>
    <row r="2333" spans="1:6" x14ac:dyDescent="0.25">
      <c r="A2333" t="str">
        <f t="shared" si="37"/>
        <v>2097+50+208200000X</v>
      </c>
      <c r="B2333">
        <v>9809</v>
      </c>
      <c r="C2333">
        <v>2097</v>
      </c>
      <c r="D2333">
        <v>50</v>
      </c>
      <c r="E2333" t="s">
        <v>1314</v>
      </c>
      <c r="F2333" t="s">
        <v>3851</v>
      </c>
    </row>
    <row r="2334" spans="1:6" x14ac:dyDescent="0.25">
      <c r="A2334" t="str">
        <f t="shared" si="37"/>
        <v>2097+50+2082S0099X</v>
      </c>
      <c r="B2334">
        <v>9812</v>
      </c>
      <c r="C2334">
        <v>2097</v>
      </c>
      <c r="D2334">
        <v>50</v>
      </c>
      <c r="E2334" t="s">
        <v>1316</v>
      </c>
      <c r="F2334" t="s">
        <v>3852</v>
      </c>
    </row>
    <row r="2335" spans="1:6" x14ac:dyDescent="0.25">
      <c r="A2335" t="str">
        <f t="shared" si="37"/>
        <v>2097+50+2086S0122X</v>
      </c>
      <c r="B2335">
        <v>9815</v>
      </c>
      <c r="C2335">
        <v>2097</v>
      </c>
      <c r="D2335">
        <v>50</v>
      </c>
      <c r="E2335" t="s">
        <v>1395</v>
      </c>
      <c r="F2335" t="s">
        <v>3853</v>
      </c>
    </row>
    <row r="2336" spans="1:6" x14ac:dyDescent="0.25">
      <c r="A2336" t="str">
        <f t="shared" si="37"/>
        <v>2097+51+193400000X</v>
      </c>
      <c r="B2336">
        <v>4494</v>
      </c>
      <c r="C2336">
        <v>2097</v>
      </c>
      <c r="D2336">
        <v>51</v>
      </c>
      <c r="E2336" t="s">
        <v>1447</v>
      </c>
      <c r="F2336" t="s">
        <v>3680</v>
      </c>
    </row>
    <row r="2337" spans="1:6" x14ac:dyDescent="0.25">
      <c r="A2337" t="str">
        <f t="shared" si="37"/>
        <v>2097+51+207YS0123X</v>
      </c>
      <c r="B2337">
        <v>9801</v>
      </c>
      <c r="C2337">
        <v>2097</v>
      </c>
      <c r="D2337">
        <v>51</v>
      </c>
      <c r="E2337" t="s">
        <v>1220</v>
      </c>
      <c r="F2337" t="s">
        <v>3848</v>
      </c>
    </row>
    <row r="2338" spans="1:6" x14ac:dyDescent="0.25">
      <c r="A2338" t="str">
        <f t="shared" si="37"/>
        <v>2097+51+207YX0007X</v>
      </c>
      <c r="B2338">
        <v>9804</v>
      </c>
      <c r="C2338">
        <v>2097</v>
      </c>
      <c r="D2338">
        <v>51</v>
      </c>
      <c r="E2338" t="s">
        <v>1223</v>
      </c>
      <c r="F2338" t="s">
        <v>3849</v>
      </c>
    </row>
    <row r="2339" spans="1:6" x14ac:dyDescent="0.25">
      <c r="A2339" t="str">
        <f t="shared" si="37"/>
        <v>2097+51+207YX0905X</v>
      </c>
      <c r="B2339">
        <v>9807</v>
      </c>
      <c r="C2339">
        <v>2097</v>
      </c>
      <c r="D2339">
        <v>51</v>
      </c>
      <c r="E2339" t="s">
        <v>1229</v>
      </c>
      <c r="F2339" t="s">
        <v>3850</v>
      </c>
    </row>
    <row r="2340" spans="1:6" x14ac:dyDescent="0.25">
      <c r="A2340" t="str">
        <f t="shared" si="37"/>
        <v>2097+51+208200000X</v>
      </c>
      <c r="B2340">
        <v>9810</v>
      </c>
      <c r="C2340">
        <v>2097</v>
      </c>
      <c r="D2340">
        <v>51</v>
      </c>
      <c r="E2340" t="s">
        <v>1314</v>
      </c>
      <c r="F2340" t="s">
        <v>3851</v>
      </c>
    </row>
    <row r="2341" spans="1:6" x14ac:dyDescent="0.25">
      <c r="A2341" t="str">
        <f t="shared" si="37"/>
        <v>2097+51+2082S0099X</v>
      </c>
      <c r="B2341">
        <v>9813</v>
      </c>
      <c r="C2341">
        <v>2097</v>
      </c>
      <c r="D2341">
        <v>51</v>
      </c>
      <c r="E2341" t="s">
        <v>1316</v>
      </c>
      <c r="F2341" t="s">
        <v>3852</v>
      </c>
    </row>
    <row r="2342" spans="1:6" x14ac:dyDescent="0.25">
      <c r="A2342" t="str">
        <f t="shared" si="37"/>
        <v>2097+51+2086S0122X</v>
      </c>
      <c r="B2342">
        <v>9816</v>
      </c>
      <c r="C2342">
        <v>2097</v>
      </c>
      <c r="D2342">
        <v>51</v>
      </c>
      <c r="E2342" t="s">
        <v>1395</v>
      </c>
      <c r="F2342" t="s">
        <v>3853</v>
      </c>
    </row>
    <row r="2343" spans="1:6" x14ac:dyDescent="0.25">
      <c r="A2343" t="str">
        <f t="shared" si="37"/>
        <v>2097+114+207YS0123X</v>
      </c>
      <c r="B2343">
        <v>9799</v>
      </c>
      <c r="C2343">
        <v>2097</v>
      </c>
      <c r="D2343">
        <v>114</v>
      </c>
      <c r="E2343" t="s">
        <v>1220</v>
      </c>
      <c r="F2343" t="s">
        <v>3848</v>
      </c>
    </row>
    <row r="2344" spans="1:6" x14ac:dyDescent="0.25">
      <c r="A2344" t="str">
        <f t="shared" si="37"/>
        <v>2097+114+207YX0007X</v>
      </c>
      <c r="B2344">
        <v>9802</v>
      </c>
      <c r="C2344">
        <v>2097</v>
      </c>
      <c r="D2344">
        <v>114</v>
      </c>
      <c r="E2344" t="s">
        <v>1223</v>
      </c>
      <c r="F2344" t="s">
        <v>3849</v>
      </c>
    </row>
    <row r="2345" spans="1:6" x14ac:dyDescent="0.25">
      <c r="A2345" t="str">
        <f t="shared" si="37"/>
        <v>2097+114+207YX0905X</v>
      </c>
      <c r="B2345">
        <v>9805</v>
      </c>
      <c r="C2345">
        <v>2097</v>
      </c>
      <c r="D2345">
        <v>114</v>
      </c>
      <c r="E2345" t="s">
        <v>1229</v>
      </c>
      <c r="F2345" t="s">
        <v>3850</v>
      </c>
    </row>
    <row r="2346" spans="1:6" x14ac:dyDescent="0.25">
      <c r="A2346" t="str">
        <f t="shared" si="37"/>
        <v>2097+114+208200000X</v>
      </c>
      <c r="B2346">
        <v>9808</v>
      </c>
      <c r="C2346">
        <v>2097</v>
      </c>
      <c r="D2346">
        <v>114</v>
      </c>
      <c r="E2346" t="s">
        <v>1314</v>
      </c>
      <c r="F2346" t="s">
        <v>3851</v>
      </c>
    </row>
    <row r="2347" spans="1:6" x14ac:dyDescent="0.25">
      <c r="A2347" t="str">
        <f t="shared" si="37"/>
        <v>2097+114+2082S0099X</v>
      </c>
      <c r="B2347">
        <v>9811</v>
      </c>
      <c r="C2347">
        <v>2097</v>
      </c>
      <c r="D2347">
        <v>114</v>
      </c>
      <c r="E2347" t="s">
        <v>1316</v>
      </c>
      <c r="F2347" t="s">
        <v>3852</v>
      </c>
    </row>
    <row r="2348" spans="1:6" x14ac:dyDescent="0.25">
      <c r="A2348" t="str">
        <f t="shared" si="37"/>
        <v>2097+114+2086S0122X</v>
      </c>
      <c r="B2348">
        <v>9814</v>
      </c>
      <c r="C2348">
        <v>2097</v>
      </c>
      <c r="D2348">
        <v>114</v>
      </c>
      <c r="E2348" t="s">
        <v>1395</v>
      </c>
      <c r="F2348" t="s">
        <v>3853</v>
      </c>
    </row>
    <row r="2349" spans="1:6" x14ac:dyDescent="0.25">
      <c r="A2349" t="str">
        <f t="shared" si="37"/>
        <v>2098+50+208C00000X</v>
      </c>
      <c r="B2349">
        <v>9818</v>
      </c>
      <c r="C2349">
        <v>2098</v>
      </c>
      <c r="D2349">
        <v>50</v>
      </c>
      <c r="E2349" t="s">
        <v>1406</v>
      </c>
      <c r="F2349" t="s">
        <v>3854</v>
      </c>
    </row>
    <row r="2350" spans="1:6" x14ac:dyDescent="0.25">
      <c r="A2350" t="str">
        <f t="shared" si="37"/>
        <v>2098+51+193400000X</v>
      </c>
      <c r="B2350">
        <v>4495</v>
      </c>
      <c r="C2350">
        <v>2098</v>
      </c>
      <c r="D2350">
        <v>51</v>
      </c>
      <c r="E2350" t="s">
        <v>1447</v>
      </c>
      <c r="F2350" t="s">
        <v>3680</v>
      </c>
    </row>
    <row r="2351" spans="1:6" x14ac:dyDescent="0.25">
      <c r="A2351" t="str">
        <f t="shared" si="37"/>
        <v>2098+51+208C00000X</v>
      </c>
      <c r="B2351">
        <v>9819</v>
      </c>
      <c r="C2351">
        <v>2098</v>
      </c>
      <c r="D2351">
        <v>51</v>
      </c>
      <c r="E2351" t="s">
        <v>1406</v>
      </c>
      <c r="F2351" t="s">
        <v>3854</v>
      </c>
    </row>
    <row r="2352" spans="1:6" x14ac:dyDescent="0.25">
      <c r="A2352" t="str">
        <f t="shared" si="37"/>
        <v>2098+114+208C00000X</v>
      </c>
      <c r="B2352">
        <v>9817</v>
      </c>
      <c r="C2352">
        <v>2098</v>
      </c>
      <c r="D2352">
        <v>114</v>
      </c>
      <c r="E2352" t="s">
        <v>1406</v>
      </c>
      <c r="F2352" t="s">
        <v>3854</v>
      </c>
    </row>
    <row r="2353" spans="1:6" x14ac:dyDescent="0.25">
      <c r="A2353" t="str">
        <f t="shared" si="37"/>
        <v>2099+50+2084B0002X</v>
      </c>
      <c r="B2353">
        <v>9821</v>
      </c>
      <c r="C2353">
        <v>2099</v>
      </c>
      <c r="D2353">
        <v>50</v>
      </c>
      <c r="E2353" t="s">
        <v>1332</v>
      </c>
      <c r="F2353" t="s">
        <v>3855</v>
      </c>
    </row>
    <row r="2354" spans="1:6" x14ac:dyDescent="0.25">
      <c r="A2354" t="str">
        <f t="shared" si="37"/>
        <v>2099+50+2084B0040X</v>
      </c>
      <c r="B2354">
        <v>9842</v>
      </c>
      <c r="C2354">
        <v>2099</v>
      </c>
      <c r="D2354">
        <v>50</v>
      </c>
      <c r="E2354" t="s">
        <v>1441</v>
      </c>
      <c r="F2354" t="s">
        <v>3789</v>
      </c>
    </row>
    <row r="2355" spans="1:6" x14ac:dyDescent="0.25">
      <c r="A2355" t="str">
        <f t="shared" si="37"/>
        <v>2099+50+2084F0202X</v>
      </c>
      <c r="B2355">
        <v>9824</v>
      </c>
      <c r="C2355">
        <v>2099</v>
      </c>
      <c r="D2355">
        <v>50</v>
      </c>
      <c r="E2355" t="s">
        <v>1337</v>
      </c>
      <c r="F2355" t="s">
        <v>3856</v>
      </c>
    </row>
    <row r="2356" spans="1:6" x14ac:dyDescent="0.25">
      <c r="A2356" t="str">
        <f t="shared" si="37"/>
        <v>2099+50+2084H0002X</v>
      </c>
      <c r="B2356">
        <v>9827</v>
      </c>
      <c r="C2356">
        <v>2099</v>
      </c>
      <c r="D2356">
        <v>50</v>
      </c>
      <c r="E2356" t="s">
        <v>1339</v>
      </c>
      <c r="F2356" t="s">
        <v>3857</v>
      </c>
    </row>
    <row r="2357" spans="1:6" x14ac:dyDescent="0.25">
      <c r="A2357" t="str">
        <f t="shared" si="37"/>
        <v>2099+50+2084P0800X</v>
      </c>
      <c r="B2357">
        <v>9830</v>
      </c>
      <c r="C2357">
        <v>2099</v>
      </c>
      <c r="D2357">
        <v>50</v>
      </c>
      <c r="E2357" t="s">
        <v>1352</v>
      </c>
      <c r="F2357" t="s">
        <v>3858</v>
      </c>
    </row>
    <row r="2358" spans="1:6" x14ac:dyDescent="0.25">
      <c r="A2358" t="str">
        <f t="shared" si="37"/>
        <v>2099+50+2084P0802X</v>
      </c>
      <c r="B2358">
        <v>9833</v>
      </c>
      <c r="C2358">
        <v>2099</v>
      </c>
      <c r="D2358">
        <v>50</v>
      </c>
      <c r="E2358" t="s">
        <v>1354</v>
      </c>
      <c r="F2358" t="s">
        <v>3859</v>
      </c>
    </row>
    <row r="2359" spans="1:6" x14ac:dyDescent="0.25">
      <c r="A2359" t="str">
        <f t="shared" si="37"/>
        <v>2099+50+2084P0804X</v>
      </c>
      <c r="B2359">
        <v>9836</v>
      </c>
      <c r="C2359">
        <v>2099</v>
      </c>
      <c r="D2359">
        <v>50</v>
      </c>
      <c r="E2359" t="s">
        <v>1356</v>
      </c>
      <c r="F2359" t="s">
        <v>3860</v>
      </c>
    </row>
    <row r="2360" spans="1:6" x14ac:dyDescent="0.25">
      <c r="A2360" t="str">
        <f t="shared" si="37"/>
        <v>2099+50+2084P0805X</v>
      </c>
      <c r="B2360">
        <v>9839</v>
      </c>
      <c r="C2360">
        <v>2099</v>
      </c>
      <c r="D2360">
        <v>50</v>
      </c>
      <c r="E2360" t="s">
        <v>1358</v>
      </c>
      <c r="F2360" t="s">
        <v>3861</v>
      </c>
    </row>
    <row r="2361" spans="1:6" x14ac:dyDescent="0.25">
      <c r="A2361" t="str">
        <f t="shared" si="37"/>
        <v>2099+51+193400000X</v>
      </c>
      <c r="B2361">
        <v>4496</v>
      </c>
      <c r="C2361">
        <v>2099</v>
      </c>
      <c r="D2361">
        <v>51</v>
      </c>
      <c r="E2361" t="s">
        <v>1447</v>
      </c>
      <c r="F2361" t="s">
        <v>3680</v>
      </c>
    </row>
    <row r="2362" spans="1:6" x14ac:dyDescent="0.25">
      <c r="A2362" t="str">
        <f t="shared" si="37"/>
        <v>2099+51+2084B0002X</v>
      </c>
      <c r="B2362">
        <v>9822</v>
      </c>
      <c r="C2362">
        <v>2099</v>
      </c>
      <c r="D2362">
        <v>51</v>
      </c>
      <c r="E2362" t="s">
        <v>1332</v>
      </c>
      <c r="F2362" t="s">
        <v>3855</v>
      </c>
    </row>
    <row r="2363" spans="1:6" x14ac:dyDescent="0.25">
      <c r="A2363" t="str">
        <f t="shared" si="37"/>
        <v>2099+51+2084B0040X</v>
      </c>
      <c r="B2363">
        <v>9843</v>
      </c>
      <c r="C2363">
        <v>2099</v>
      </c>
      <c r="D2363">
        <v>51</v>
      </c>
      <c r="E2363" t="s">
        <v>1441</v>
      </c>
      <c r="F2363" t="s">
        <v>3789</v>
      </c>
    </row>
    <row r="2364" spans="1:6" x14ac:dyDescent="0.25">
      <c r="A2364" t="str">
        <f t="shared" si="37"/>
        <v>2099+51+2084F0202X</v>
      </c>
      <c r="B2364">
        <v>9825</v>
      </c>
      <c r="C2364">
        <v>2099</v>
      </c>
      <c r="D2364">
        <v>51</v>
      </c>
      <c r="E2364" t="s">
        <v>1337</v>
      </c>
      <c r="F2364" t="s">
        <v>3856</v>
      </c>
    </row>
    <row r="2365" spans="1:6" x14ac:dyDescent="0.25">
      <c r="A2365" t="str">
        <f t="shared" si="37"/>
        <v>2099+51+2084H0002X</v>
      </c>
      <c r="B2365">
        <v>9828</v>
      </c>
      <c r="C2365">
        <v>2099</v>
      </c>
      <c r="D2365">
        <v>51</v>
      </c>
      <c r="E2365" t="s">
        <v>1339</v>
      </c>
      <c r="F2365" t="s">
        <v>3857</v>
      </c>
    </row>
    <row r="2366" spans="1:6" x14ac:dyDescent="0.25">
      <c r="A2366" t="str">
        <f t="shared" si="37"/>
        <v>2099+51+2084P0800X</v>
      </c>
      <c r="B2366">
        <v>9831</v>
      </c>
      <c r="C2366">
        <v>2099</v>
      </c>
      <c r="D2366">
        <v>51</v>
      </c>
      <c r="E2366" t="s">
        <v>1352</v>
      </c>
      <c r="F2366" t="s">
        <v>3858</v>
      </c>
    </row>
    <row r="2367" spans="1:6" x14ac:dyDescent="0.25">
      <c r="A2367" t="str">
        <f t="shared" si="37"/>
        <v>2099+51+2084P0802X</v>
      </c>
      <c r="B2367">
        <v>9834</v>
      </c>
      <c r="C2367">
        <v>2099</v>
      </c>
      <c r="D2367">
        <v>51</v>
      </c>
      <c r="E2367" t="s">
        <v>1354</v>
      </c>
      <c r="F2367" t="s">
        <v>3859</v>
      </c>
    </row>
    <row r="2368" spans="1:6" x14ac:dyDescent="0.25">
      <c r="A2368" t="str">
        <f t="shared" si="37"/>
        <v>2099+51+2084P0804X</v>
      </c>
      <c r="B2368">
        <v>9837</v>
      </c>
      <c r="C2368">
        <v>2099</v>
      </c>
      <c r="D2368">
        <v>51</v>
      </c>
      <c r="E2368" t="s">
        <v>1356</v>
      </c>
      <c r="F2368" t="s">
        <v>3860</v>
      </c>
    </row>
    <row r="2369" spans="1:6" x14ac:dyDescent="0.25">
      <c r="A2369" t="str">
        <f t="shared" si="37"/>
        <v>2099+51+2084P0805X</v>
      </c>
      <c r="B2369">
        <v>9840</v>
      </c>
      <c r="C2369">
        <v>2099</v>
      </c>
      <c r="D2369">
        <v>51</v>
      </c>
      <c r="E2369" t="s">
        <v>1358</v>
      </c>
      <c r="F2369" t="s">
        <v>3861</v>
      </c>
    </row>
    <row r="2370" spans="1:6" x14ac:dyDescent="0.25">
      <c r="A2370" t="str">
        <f t="shared" si="37"/>
        <v>2099+114+2084B0002X</v>
      </c>
      <c r="B2370">
        <v>9820</v>
      </c>
      <c r="C2370">
        <v>2099</v>
      </c>
      <c r="D2370">
        <v>114</v>
      </c>
      <c r="E2370" t="s">
        <v>1332</v>
      </c>
      <c r="F2370" t="s">
        <v>3855</v>
      </c>
    </row>
    <row r="2371" spans="1:6" x14ac:dyDescent="0.25">
      <c r="A2371" t="str">
        <f t="shared" si="37"/>
        <v>2099+114+2084B0040X</v>
      </c>
      <c r="B2371">
        <v>9841</v>
      </c>
      <c r="C2371">
        <v>2099</v>
      </c>
      <c r="D2371">
        <v>114</v>
      </c>
      <c r="E2371" t="s">
        <v>1441</v>
      </c>
      <c r="F2371" t="s">
        <v>3789</v>
      </c>
    </row>
    <row r="2372" spans="1:6" x14ac:dyDescent="0.25">
      <c r="A2372" t="str">
        <f t="shared" si="37"/>
        <v>2099+114+2084F0202X</v>
      </c>
      <c r="B2372">
        <v>9823</v>
      </c>
      <c r="C2372">
        <v>2099</v>
      </c>
      <c r="D2372">
        <v>114</v>
      </c>
      <c r="E2372" t="s">
        <v>1337</v>
      </c>
      <c r="F2372" t="s">
        <v>3856</v>
      </c>
    </row>
    <row r="2373" spans="1:6" x14ac:dyDescent="0.25">
      <c r="A2373" t="str">
        <f t="shared" si="37"/>
        <v>2099+114+2084H0002X</v>
      </c>
      <c r="B2373">
        <v>9826</v>
      </c>
      <c r="C2373">
        <v>2099</v>
      </c>
      <c r="D2373">
        <v>114</v>
      </c>
      <c r="E2373" t="s">
        <v>1339</v>
      </c>
      <c r="F2373" t="s">
        <v>3857</v>
      </c>
    </row>
    <row r="2374" spans="1:6" x14ac:dyDescent="0.25">
      <c r="A2374" t="str">
        <f t="shared" si="37"/>
        <v>2099+114+2084P0800X</v>
      </c>
      <c r="B2374">
        <v>9829</v>
      </c>
      <c r="C2374">
        <v>2099</v>
      </c>
      <c r="D2374">
        <v>114</v>
      </c>
      <c r="E2374" t="s">
        <v>1352</v>
      </c>
      <c r="F2374" t="s">
        <v>3858</v>
      </c>
    </row>
    <row r="2375" spans="1:6" x14ac:dyDescent="0.25">
      <c r="A2375" t="str">
        <f t="shared" si="37"/>
        <v>2099+114+2084P0802X</v>
      </c>
      <c r="B2375">
        <v>9832</v>
      </c>
      <c r="C2375">
        <v>2099</v>
      </c>
      <c r="D2375">
        <v>114</v>
      </c>
      <c r="E2375" t="s">
        <v>1354</v>
      </c>
      <c r="F2375" t="s">
        <v>3859</v>
      </c>
    </row>
    <row r="2376" spans="1:6" x14ac:dyDescent="0.25">
      <c r="A2376" t="str">
        <f t="shared" si="37"/>
        <v>2099+114+2084P0804X</v>
      </c>
      <c r="B2376">
        <v>9835</v>
      </c>
      <c r="C2376">
        <v>2099</v>
      </c>
      <c r="D2376">
        <v>114</v>
      </c>
      <c r="E2376" t="s">
        <v>1356</v>
      </c>
      <c r="F2376" t="s">
        <v>3860</v>
      </c>
    </row>
    <row r="2377" spans="1:6" x14ac:dyDescent="0.25">
      <c r="A2377" t="str">
        <f t="shared" si="37"/>
        <v>2099+114+2084P0805X</v>
      </c>
      <c r="B2377">
        <v>9838</v>
      </c>
      <c r="C2377">
        <v>2099</v>
      </c>
      <c r="D2377">
        <v>114</v>
      </c>
      <c r="E2377" t="s">
        <v>1358</v>
      </c>
      <c r="F2377" t="s">
        <v>3861</v>
      </c>
    </row>
    <row r="2378" spans="1:6" x14ac:dyDescent="0.25">
      <c r="A2378" t="str">
        <f t="shared" si="37"/>
        <v>2100+50+207RP1001X</v>
      </c>
      <c r="B2378">
        <v>9845</v>
      </c>
      <c r="C2378">
        <v>2100</v>
      </c>
      <c r="D2378">
        <v>50</v>
      </c>
      <c r="E2378" t="s">
        <v>1157</v>
      </c>
      <c r="F2378" t="s">
        <v>3862</v>
      </c>
    </row>
    <row r="2379" spans="1:6" x14ac:dyDescent="0.25">
      <c r="A2379" t="str">
        <f t="shared" si="37"/>
        <v>2100+51+193400000X</v>
      </c>
      <c r="B2379">
        <v>4497</v>
      </c>
      <c r="C2379">
        <v>2100</v>
      </c>
      <c r="D2379">
        <v>51</v>
      </c>
      <c r="E2379" t="s">
        <v>1447</v>
      </c>
      <c r="F2379" t="s">
        <v>3680</v>
      </c>
    </row>
    <row r="2380" spans="1:6" x14ac:dyDescent="0.25">
      <c r="A2380" t="str">
        <f t="shared" si="37"/>
        <v>2100+51+207RP1001X</v>
      </c>
      <c r="B2380">
        <v>9846</v>
      </c>
      <c r="C2380">
        <v>2100</v>
      </c>
      <c r="D2380">
        <v>51</v>
      </c>
      <c r="E2380" t="s">
        <v>1157</v>
      </c>
      <c r="F2380" t="s">
        <v>3862</v>
      </c>
    </row>
    <row r="2381" spans="1:6" x14ac:dyDescent="0.25">
      <c r="A2381" t="str">
        <f t="shared" si="37"/>
        <v>2100+114+207RP1001X</v>
      </c>
      <c r="B2381">
        <v>9844</v>
      </c>
      <c r="C2381">
        <v>2100</v>
      </c>
      <c r="D2381">
        <v>114</v>
      </c>
      <c r="E2381" t="s">
        <v>1157</v>
      </c>
      <c r="F2381" t="s">
        <v>3862</v>
      </c>
    </row>
    <row r="2382" spans="1:6" x14ac:dyDescent="0.25">
      <c r="A2382" t="str">
        <f t="shared" ref="A2382:A2445" si="38">C2382 &amp; "+" &amp; D2382 &amp; "+" &amp; E2382</f>
        <v>2100+115+225B00000X</v>
      </c>
      <c r="B2382">
        <v>10101</v>
      </c>
      <c r="C2382">
        <v>2100</v>
      </c>
      <c r="D2382">
        <v>115</v>
      </c>
      <c r="E2382" t="s">
        <v>1595</v>
      </c>
      <c r="F2382" t="s">
        <v>3863</v>
      </c>
    </row>
    <row r="2383" spans="1:6" x14ac:dyDescent="0.25">
      <c r="A2383" t="str">
        <f t="shared" si="38"/>
        <v>2101+50+2084D0003X</v>
      </c>
      <c r="B2383">
        <v>9848</v>
      </c>
      <c r="C2383">
        <v>2101</v>
      </c>
      <c r="D2383">
        <v>50</v>
      </c>
      <c r="E2383" t="s">
        <v>1335</v>
      </c>
      <c r="F2383" t="s">
        <v>3864</v>
      </c>
    </row>
    <row r="2384" spans="1:6" x14ac:dyDescent="0.25">
      <c r="A2384" t="str">
        <f t="shared" si="38"/>
        <v>2101+50+2085B0100X</v>
      </c>
      <c r="B2384">
        <v>9851</v>
      </c>
      <c r="C2384">
        <v>2101</v>
      </c>
      <c r="D2384">
        <v>50</v>
      </c>
      <c r="E2384" t="s">
        <v>1366</v>
      </c>
      <c r="F2384" t="s">
        <v>3865</v>
      </c>
    </row>
    <row r="2385" spans="1:6" x14ac:dyDescent="0.25">
      <c r="A2385" t="str">
        <f t="shared" si="38"/>
        <v>2101+50+2085D0003X</v>
      </c>
      <c r="B2385">
        <v>9854</v>
      </c>
      <c r="C2385">
        <v>2101</v>
      </c>
      <c r="D2385">
        <v>50</v>
      </c>
      <c r="E2385" t="s">
        <v>1367</v>
      </c>
      <c r="F2385" t="s">
        <v>3866</v>
      </c>
    </row>
    <row r="2386" spans="1:6" x14ac:dyDescent="0.25">
      <c r="A2386" t="str">
        <f t="shared" si="38"/>
        <v>2101+50+2085H0002X</v>
      </c>
      <c r="B2386">
        <v>9857</v>
      </c>
      <c r="C2386">
        <v>2101</v>
      </c>
      <c r="D2386">
        <v>50</v>
      </c>
      <c r="E2386" t="s">
        <v>1368</v>
      </c>
      <c r="F2386" t="s">
        <v>3867</v>
      </c>
    </row>
    <row r="2387" spans="1:6" x14ac:dyDescent="0.25">
      <c r="A2387" t="str">
        <f t="shared" si="38"/>
        <v>2101+50+2085N0700X</v>
      </c>
      <c r="B2387">
        <v>9860</v>
      </c>
      <c r="C2387">
        <v>2101</v>
      </c>
      <c r="D2387">
        <v>50</v>
      </c>
      <c r="E2387" t="s">
        <v>1370</v>
      </c>
      <c r="F2387" t="s">
        <v>3868</v>
      </c>
    </row>
    <row r="2388" spans="1:6" x14ac:dyDescent="0.25">
      <c r="A2388" t="str">
        <f t="shared" si="38"/>
        <v>2101+50+2085N0904X</v>
      </c>
      <c r="B2388">
        <v>9863</v>
      </c>
      <c r="C2388">
        <v>2101</v>
      </c>
      <c r="D2388">
        <v>50</v>
      </c>
      <c r="E2388" t="s">
        <v>1372</v>
      </c>
      <c r="F2388" t="s">
        <v>3869</v>
      </c>
    </row>
    <row r="2389" spans="1:6" x14ac:dyDescent="0.25">
      <c r="A2389" t="str">
        <f t="shared" si="38"/>
        <v>2101+50+2085P0229X</v>
      </c>
      <c r="B2389">
        <v>9866</v>
      </c>
      <c r="C2389">
        <v>2101</v>
      </c>
      <c r="D2389">
        <v>50</v>
      </c>
      <c r="E2389" t="s">
        <v>1374</v>
      </c>
      <c r="F2389" t="s">
        <v>3870</v>
      </c>
    </row>
    <row r="2390" spans="1:6" x14ac:dyDescent="0.25">
      <c r="A2390" t="str">
        <f t="shared" si="38"/>
        <v>2101+50+2085R0202X</v>
      </c>
      <c r="B2390">
        <v>9869</v>
      </c>
      <c r="C2390">
        <v>2101</v>
      </c>
      <c r="D2390">
        <v>50</v>
      </c>
      <c r="E2390" t="s">
        <v>1379</v>
      </c>
      <c r="F2390" t="s">
        <v>3871</v>
      </c>
    </row>
    <row r="2391" spans="1:6" x14ac:dyDescent="0.25">
      <c r="A2391" t="str">
        <f t="shared" si="38"/>
        <v>2101+50+2085R0204X</v>
      </c>
      <c r="B2391">
        <v>9872</v>
      </c>
      <c r="C2391">
        <v>2101</v>
      </c>
      <c r="D2391">
        <v>50</v>
      </c>
      <c r="E2391" t="s">
        <v>1384</v>
      </c>
      <c r="F2391" t="s">
        <v>3872</v>
      </c>
    </row>
    <row r="2392" spans="1:6" x14ac:dyDescent="0.25">
      <c r="A2392" t="str">
        <f t="shared" si="38"/>
        <v>2101+50+2085R0205X</v>
      </c>
      <c r="B2392">
        <v>9875</v>
      </c>
      <c r="C2392">
        <v>2101</v>
      </c>
      <c r="D2392">
        <v>50</v>
      </c>
      <c r="E2392" t="s">
        <v>1386</v>
      </c>
      <c r="F2392" t="s">
        <v>3873</v>
      </c>
    </row>
    <row r="2393" spans="1:6" x14ac:dyDescent="0.25">
      <c r="A2393" t="str">
        <f t="shared" si="38"/>
        <v>2101+50+2085U0001X</v>
      </c>
      <c r="B2393">
        <v>9878</v>
      </c>
      <c r="C2393">
        <v>2101</v>
      </c>
      <c r="D2393">
        <v>50</v>
      </c>
      <c r="E2393" t="s">
        <v>1388</v>
      </c>
      <c r="F2393" t="s">
        <v>3874</v>
      </c>
    </row>
    <row r="2394" spans="1:6" x14ac:dyDescent="0.25">
      <c r="A2394" t="str">
        <f t="shared" si="38"/>
        <v>2101+51+193400000X</v>
      </c>
      <c r="B2394">
        <v>4498</v>
      </c>
      <c r="C2394">
        <v>2101</v>
      </c>
      <c r="D2394">
        <v>51</v>
      </c>
      <c r="E2394" t="s">
        <v>1447</v>
      </c>
      <c r="F2394" t="s">
        <v>3680</v>
      </c>
    </row>
    <row r="2395" spans="1:6" x14ac:dyDescent="0.25">
      <c r="A2395" t="str">
        <f t="shared" si="38"/>
        <v>2101+51+2084D0003X</v>
      </c>
      <c r="B2395">
        <v>9849</v>
      </c>
      <c r="C2395">
        <v>2101</v>
      </c>
      <c r="D2395">
        <v>51</v>
      </c>
      <c r="E2395" t="s">
        <v>1335</v>
      </c>
      <c r="F2395" t="s">
        <v>3864</v>
      </c>
    </row>
    <row r="2396" spans="1:6" x14ac:dyDescent="0.25">
      <c r="A2396" t="str">
        <f t="shared" si="38"/>
        <v>2101+51+2085B0100X</v>
      </c>
      <c r="B2396">
        <v>9852</v>
      </c>
      <c r="C2396">
        <v>2101</v>
      </c>
      <c r="D2396">
        <v>51</v>
      </c>
      <c r="E2396" t="s">
        <v>1366</v>
      </c>
      <c r="F2396" t="s">
        <v>3865</v>
      </c>
    </row>
    <row r="2397" spans="1:6" x14ac:dyDescent="0.25">
      <c r="A2397" t="str">
        <f t="shared" si="38"/>
        <v>2101+51+2085D0003X</v>
      </c>
      <c r="B2397">
        <v>9855</v>
      </c>
      <c r="C2397">
        <v>2101</v>
      </c>
      <c r="D2397">
        <v>51</v>
      </c>
      <c r="E2397" t="s">
        <v>1367</v>
      </c>
      <c r="F2397" t="s">
        <v>3866</v>
      </c>
    </row>
    <row r="2398" spans="1:6" x14ac:dyDescent="0.25">
      <c r="A2398" t="str">
        <f t="shared" si="38"/>
        <v>2101+51+2085H0002X</v>
      </c>
      <c r="B2398">
        <v>9858</v>
      </c>
      <c r="C2398">
        <v>2101</v>
      </c>
      <c r="D2398">
        <v>51</v>
      </c>
      <c r="E2398" t="s">
        <v>1368</v>
      </c>
      <c r="F2398" t="s">
        <v>3867</v>
      </c>
    </row>
    <row r="2399" spans="1:6" x14ac:dyDescent="0.25">
      <c r="A2399" t="str">
        <f t="shared" si="38"/>
        <v>2101+51+2085N0700X</v>
      </c>
      <c r="B2399">
        <v>9861</v>
      </c>
      <c r="C2399">
        <v>2101</v>
      </c>
      <c r="D2399">
        <v>51</v>
      </c>
      <c r="E2399" t="s">
        <v>1370</v>
      </c>
      <c r="F2399" t="s">
        <v>3868</v>
      </c>
    </row>
    <row r="2400" spans="1:6" x14ac:dyDescent="0.25">
      <c r="A2400" t="str">
        <f t="shared" si="38"/>
        <v>2101+51+2085N0904X</v>
      </c>
      <c r="B2400">
        <v>9864</v>
      </c>
      <c r="C2400">
        <v>2101</v>
      </c>
      <c r="D2400">
        <v>51</v>
      </c>
      <c r="E2400" t="s">
        <v>1372</v>
      </c>
      <c r="F2400" t="s">
        <v>3869</v>
      </c>
    </row>
    <row r="2401" spans="1:6" x14ac:dyDescent="0.25">
      <c r="A2401" t="str">
        <f t="shared" si="38"/>
        <v>2101+51+2085P0229X</v>
      </c>
      <c r="B2401">
        <v>9867</v>
      </c>
      <c r="C2401">
        <v>2101</v>
      </c>
      <c r="D2401">
        <v>51</v>
      </c>
      <c r="E2401" t="s">
        <v>1374</v>
      </c>
      <c r="F2401" t="s">
        <v>3870</v>
      </c>
    </row>
    <row r="2402" spans="1:6" x14ac:dyDescent="0.25">
      <c r="A2402" t="str">
        <f t="shared" si="38"/>
        <v>2101+51+2085R0202X</v>
      </c>
      <c r="B2402">
        <v>9870</v>
      </c>
      <c r="C2402">
        <v>2101</v>
      </c>
      <c r="D2402">
        <v>51</v>
      </c>
      <c r="E2402" t="s">
        <v>1379</v>
      </c>
      <c r="F2402" t="s">
        <v>3871</v>
      </c>
    </row>
    <row r="2403" spans="1:6" x14ac:dyDescent="0.25">
      <c r="A2403" t="str">
        <f t="shared" si="38"/>
        <v>2101+51+2085R0204X</v>
      </c>
      <c r="B2403">
        <v>9873</v>
      </c>
      <c r="C2403">
        <v>2101</v>
      </c>
      <c r="D2403">
        <v>51</v>
      </c>
      <c r="E2403" t="s">
        <v>1384</v>
      </c>
      <c r="F2403" t="s">
        <v>3872</v>
      </c>
    </row>
    <row r="2404" spans="1:6" x14ac:dyDescent="0.25">
      <c r="A2404" t="str">
        <f t="shared" si="38"/>
        <v>2101+51+2085R0205X</v>
      </c>
      <c r="B2404">
        <v>9876</v>
      </c>
      <c r="C2404">
        <v>2101</v>
      </c>
      <c r="D2404">
        <v>51</v>
      </c>
      <c r="E2404" t="s">
        <v>1386</v>
      </c>
      <c r="F2404" t="s">
        <v>3873</v>
      </c>
    </row>
    <row r="2405" spans="1:6" x14ac:dyDescent="0.25">
      <c r="A2405" t="str">
        <f t="shared" si="38"/>
        <v>2101+51+2085U0001X</v>
      </c>
      <c r="B2405">
        <v>9879</v>
      </c>
      <c r="C2405">
        <v>2101</v>
      </c>
      <c r="D2405">
        <v>51</v>
      </c>
      <c r="E2405" t="s">
        <v>1388</v>
      </c>
      <c r="F2405" t="s">
        <v>3874</v>
      </c>
    </row>
    <row r="2406" spans="1:6" x14ac:dyDescent="0.25">
      <c r="A2406" t="str">
        <f t="shared" si="38"/>
        <v>2101+111+1223X0008X</v>
      </c>
      <c r="B2406">
        <v>9386</v>
      </c>
      <c r="C2406">
        <v>2101</v>
      </c>
      <c r="D2406">
        <v>111</v>
      </c>
      <c r="E2406" t="s">
        <v>959</v>
      </c>
      <c r="F2406" t="s">
        <v>3875</v>
      </c>
    </row>
    <row r="2407" spans="1:6" x14ac:dyDescent="0.25">
      <c r="A2407" t="str">
        <f t="shared" si="38"/>
        <v>2101+114+2084D0003X</v>
      </c>
      <c r="B2407">
        <v>9847</v>
      </c>
      <c r="C2407">
        <v>2101</v>
      </c>
      <c r="D2407">
        <v>114</v>
      </c>
      <c r="E2407" t="s">
        <v>1335</v>
      </c>
      <c r="F2407" t="s">
        <v>3864</v>
      </c>
    </row>
    <row r="2408" spans="1:6" x14ac:dyDescent="0.25">
      <c r="A2408" t="str">
        <f t="shared" si="38"/>
        <v>2101+114+2085B0100X</v>
      </c>
      <c r="B2408">
        <v>9850</v>
      </c>
      <c r="C2408">
        <v>2101</v>
      </c>
      <c r="D2408">
        <v>114</v>
      </c>
      <c r="E2408" t="s">
        <v>1366</v>
      </c>
      <c r="F2408" t="s">
        <v>3865</v>
      </c>
    </row>
    <row r="2409" spans="1:6" x14ac:dyDescent="0.25">
      <c r="A2409" t="str">
        <f t="shared" si="38"/>
        <v>2101+114+2085D0003X</v>
      </c>
      <c r="B2409">
        <v>9853</v>
      </c>
      <c r="C2409">
        <v>2101</v>
      </c>
      <c r="D2409">
        <v>114</v>
      </c>
      <c r="E2409" t="s">
        <v>1367</v>
      </c>
      <c r="F2409" t="s">
        <v>3866</v>
      </c>
    </row>
    <row r="2410" spans="1:6" x14ac:dyDescent="0.25">
      <c r="A2410" t="str">
        <f t="shared" si="38"/>
        <v>2101+114+2085H0002X</v>
      </c>
      <c r="B2410">
        <v>9856</v>
      </c>
      <c r="C2410">
        <v>2101</v>
      </c>
      <c r="D2410">
        <v>114</v>
      </c>
      <c r="E2410" t="s">
        <v>1368</v>
      </c>
      <c r="F2410" t="s">
        <v>3867</v>
      </c>
    </row>
    <row r="2411" spans="1:6" x14ac:dyDescent="0.25">
      <c r="A2411" t="str">
        <f t="shared" si="38"/>
        <v>2101+114+2085N0700X</v>
      </c>
      <c r="B2411">
        <v>9859</v>
      </c>
      <c r="C2411">
        <v>2101</v>
      </c>
      <c r="D2411">
        <v>114</v>
      </c>
      <c r="E2411" t="s">
        <v>1370</v>
      </c>
      <c r="F2411" t="s">
        <v>3868</v>
      </c>
    </row>
    <row r="2412" spans="1:6" x14ac:dyDescent="0.25">
      <c r="A2412" t="str">
        <f t="shared" si="38"/>
        <v>2101+114+2085N0904X</v>
      </c>
      <c r="B2412">
        <v>9862</v>
      </c>
      <c r="C2412">
        <v>2101</v>
      </c>
      <c r="D2412">
        <v>114</v>
      </c>
      <c r="E2412" t="s">
        <v>1372</v>
      </c>
      <c r="F2412" t="s">
        <v>3869</v>
      </c>
    </row>
    <row r="2413" spans="1:6" x14ac:dyDescent="0.25">
      <c r="A2413" t="str">
        <f t="shared" si="38"/>
        <v>2101+114+2085P0229X</v>
      </c>
      <c r="B2413">
        <v>9865</v>
      </c>
      <c r="C2413">
        <v>2101</v>
      </c>
      <c r="D2413">
        <v>114</v>
      </c>
      <c r="E2413" t="s">
        <v>1374</v>
      </c>
      <c r="F2413" t="s">
        <v>3870</v>
      </c>
    </row>
    <row r="2414" spans="1:6" x14ac:dyDescent="0.25">
      <c r="A2414" t="str">
        <f t="shared" si="38"/>
        <v>2101+114+2085R0202X</v>
      </c>
      <c r="B2414">
        <v>9868</v>
      </c>
      <c r="C2414">
        <v>2101</v>
      </c>
      <c r="D2414">
        <v>114</v>
      </c>
      <c r="E2414" t="s">
        <v>1379</v>
      </c>
      <c r="F2414" t="s">
        <v>3871</v>
      </c>
    </row>
    <row r="2415" spans="1:6" x14ac:dyDescent="0.25">
      <c r="A2415" t="str">
        <f t="shared" si="38"/>
        <v>2101+114+2085R0204X</v>
      </c>
      <c r="B2415">
        <v>9871</v>
      </c>
      <c r="C2415">
        <v>2101</v>
      </c>
      <c r="D2415">
        <v>114</v>
      </c>
      <c r="E2415" t="s">
        <v>1384</v>
      </c>
      <c r="F2415" t="s">
        <v>3872</v>
      </c>
    </row>
    <row r="2416" spans="1:6" x14ac:dyDescent="0.25">
      <c r="A2416" t="str">
        <f t="shared" si="38"/>
        <v>2101+114+2085R0205X</v>
      </c>
      <c r="B2416">
        <v>9874</v>
      </c>
      <c r="C2416">
        <v>2101</v>
      </c>
      <c r="D2416">
        <v>114</v>
      </c>
      <c r="E2416" t="s">
        <v>1386</v>
      </c>
      <c r="F2416" t="s">
        <v>3873</v>
      </c>
    </row>
    <row r="2417" spans="1:6" x14ac:dyDescent="0.25">
      <c r="A2417" t="str">
        <f t="shared" si="38"/>
        <v>2101+114+2085U0001X</v>
      </c>
      <c r="B2417">
        <v>9877</v>
      </c>
      <c r="C2417">
        <v>2101</v>
      </c>
      <c r="D2417">
        <v>114</v>
      </c>
      <c r="E2417" t="s">
        <v>1388</v>
      </c>
      <c r="F2417" t="s">
        <v>3874</v>
      </c>
    </row>
    <row r="2418" spans="1:6" x14ac:dyDescent="0.25">
      <c r="A2418" t="str">
        <f t="shared" si="38"/>
        <v>2102+50+208G00000X</v>
      </c>
      <c r="B2418">
        <v>9881</v>
      </c>
      <c r="C2418">
        <v>2102</v>
      </c>
      <c r="D2418">
        <v>50</v>
      </c>
      <c r="E2418" t="s">
        <v>1411</v>
      </c>
      <c r="F2418" t="s">
        <v>3876</v>
      </c>
    </row>
    <row r="2419" spans="1:6" x14ac:dyDescent="0.25">
      <c r="A2419" t="str">
        <f t="shared" si="38"/>
        <v>2102+51+193400000X</v>
      </c>
      <c r="B2419">
        <v>4499</v>
      </c>
      <c r="C2419">
        <v>2102</v>
      </c>
      <c r="D2419">
        <v>51</v>
      </c>
      <c r="E2419" t="s">
        <v>1447</v>
      </c>
      <c r="F2419" t="s">
        <v>3680</v>
      </c>
    </row>
    <row r="2420" spans="1:6" x14ac:dyDescent="0.25">
      <c r="A2420" t="str">
        <f t="shared" si="38"/>
        <v>2102+51+208G00000X</v>
      </c>
      <c r="B2420">
        <v>9882</v>
      </c>
      <c r="C2420">
        <v>2102</v>
      </c>
      <c r="D2420">
        <v>51</v>
      </c>
      <c r="E2420" t="s">
        <v>1411</v>
      </c>
      <c r="F2420" t="s">
        <v>3876</v>
      </c>
    </row>
    <row r="2421" spans="1:6" x14ac:dyDescent="0.25">
      <c r="A2421" t="str">
        <f t="shared" si="38"/>
        <v>2102+114+208G00000X</v>
      </c>
      <c r="B2421">
        <v>9880</v>
      </c>
      <c r="C2421">
        <v>2102</v>
      </c>
      <c r="D2421">
        <v>114</v>
      </c>
      <c r="E2421" t="s">
        <v>1411</v>
      </c>
      <c r="F2421" t="s">
        <v>3876</v>
      </c>
    </row>
    <row r="2422" spans="1:6" x14ac:dyDescent="0.25">
      <c r="A2422" t="str">
        <f t="shared" si="38"/>
        <v>2103+50+208800000X</v>
      </c>
      <c r="B2422">
        <v>9884</v>
      </c>
      <c r="C2422">
        <v>2103</v>
      </c>
      <c r="D2422">
        <v>50</v>
      </c>
      <c r="E2422" t="s">
        <v>1401</v>
      </c>
      <c r="F2422" t="s">
        <v>3877</v>
      </c>
    </row>
    <row r="2423" spans="1:6" x14ac:dyDescent="0.25">
      <c r="A2423" t="str">
        <f t="shared" si="38"/>
        <v>2103+50+2088F0040X</v>
      </c>
      <c r="B2423">
        <v>9890</v>
      </c>
      <c r="C2423">
        <v>2103</v>
      </c>
      <c r="D2423">
        <v>50</v>
      </c>
      <c r="E2423" t="s">
        <v>1442</v>
      </c>
      <c r="F2423" t="s">
        <v>3878</v>
      </c>
    </row>
    <row r="2424" spans="1:6" x14ac:dyDescent="0.25">
      <c r="A2424" t="str">
        <f t="shared" si="38"/>
        <v>2103+50+2088P0231X</v>
      </c>
      <c r="B2424">
        <v>9887</v>
      </c>
      <c r="C2424">
        <v>2103</v>
      </c>
      <c r="D2424">
        <v>50</v>
      </c>
      <c r="E2424" t="s">
        <v>1404</v>
      </c>
      <c r="F2424" t="s">
        <v>3879</v>
      </c>
    </row>
    <row r="2425" spans="1:6" x14ac:dyDescent="0.25">
      <c r="A2425" t="str">
        <f t="shared" si="38"/>
        <v>2103+51+193400000X</v>
      </c>
      <c r="B2425">
        <v>4500</v>
      </c>
      <c r="C2425">
        <v>2103</v>
      </c>
      <c r="D2425">
        <v>51</v>
      </c>
      <c r="E2425" t="s">
        <v>1447</v>
      </c>
      <c r="F2425" t="s">
        <v>3680</v>
      </c>
    </row>
    <row r="2426" spans="1:6" x14ac:dyDescent="0.25">
      <c r="A2426" t="str">
        <f t="shared" si="38"/>
        <v>2103+51+208800000X</v>
      </c>
      <c r="B2426">
        <v>9885</v>
      </c>
      <c r="C2426">
        <v>2103</v>
      </c>
      <c r="D2426">
        <v>51</v>
      </c>
      <c r="E2426" t="s">
        <v>1401</v>
      </c>
      <c r="F2426" t="s">
        <v>3877</v>
      </c>
    </row>
    <row r="2427" spans="1:6" x14ac:dyDescent="0.25">
      <c r="A2427" t="str">
        <f t="shared" si="38"/>
        <v>2103+51+2088F0040X</v>
      </c>
      <c r="B2427">
        <v>9891</v>
      </c>
      <c r="C2427">
        <v>2103</v>
      </c>
      <c r="D2427">
        <v>51</v>
      </c>
      <c r="E2427" t="s">
        <v>1442</v>
      </c>
      <c r="F2427" t="s">
        <v>3878</v>
      </c>
    </row>
    <row r="2428" spans="1:6" x14ac:dyDescent="0.25">
      <c r="A2428" t="str">
        <f t="shared" si="38"/>
        <v>2103+51+2088P0231X</v>
      </c>
      <c r="B2428">
        <v>9888</v>
      </c>
      <c r="C2428">
        <v>2103</v>
      </c>
      <c r="D2428">
        <v>51</v>
      </c>
      <c r="E2428" t="s">
        <v>1404</v>
      </c>
      <c r="F2428" t="s">
        <v>3879</v>
      </c>
    </row>
    <row r="2429" spans="1:6" x14ac:dyDescent="0.25">
      <c r="A2429" t="str">
        <f t="shared" si="38"/>
        <v>2103+114+208800000X</v>
      </c>
      <c r="B2429">
        <v>9883</v>
      </c>
      <c r="C2429">
        <v>2103</v>
      </c>
      <c r="D2429">
        <v>114</v>
      </c>
      <c r="E2429" t="s">
        <v>1401</v>
      </c>
      <c r="F2429" t="s">
        <v>3877</v>
      </c>
    </row>
    <row r="2430" spans="1:6" x14ac:dyDescent="0.25">
      <c r="A2430" t="str">
        <f t="shared" si="38"/>
        <v>2103+114+2088F0040X</v>
      </c>
      <c r="B2430">
        <v>9889</v>
      </c>
      <c r="C2430">
        <v>2103</v>
      </c>
      <c r="D2430">
        <v>114</v>
      </c>
      <c r="E2430" t="s">
        <v>1442</v>
      </c>
      <c r="F2430" t="s">
        <v>3878</v>
      </c>
    </row>
    <row r="2431" spans="1:6" x14ac:dyDescent="0.25">
      <c r="A2431" t="str">
        <f t="shared" si="38"/>
        <v>2103+114+2088P0231X</v>
      </c>
      <c r="B2431">
        <v>9886</v>
      </c>
      <c r="C2431">
        <v>2103</v>
      </c>
      <c r="D2431">
        <v>114</v>
      </c>
      <c r="E2431" t="s">
        <v>1404</v>
      </c>
      <c r="F2431" t="s">
        <v>3879</v>
      </c>
    </row>
    <row r="2432" spans="1:6" x14ac:dyDescent="0.25">
      <c r="A2432" t="str">
        <f t="shared" si="38"/>
        <v>2104+50+207RE0101X</v>
      </c>
      <c r="B2432">
        <v>9893</v>
      </c>
      <c r="C2432">
        <v>2104</v>
      </c>
      <c r="D2432">
        <v>50</v>
      </c>
      <c r="E2432" t="s">
        <v>1003</v>
      </c>
      <c r="F2432" t="s">
        <v>3880</v>
      </c>
    </row>
    <row r="2433" spans="1:6" x14ac:dyDescent="0.25">
      <c r="A2433" t="str">
        <f t="shared" si="38"/>
        <v>2104+51+193400000X</v>
      </c>
      <c r="B2433">
        <v>4501</v>
      </c>
      <c r="C2433">
        <v>2104</v>
      </c>
      <c r="D2433">
        <v>51</v>
      </c>
      <c r="E2433" t="s">
        <v>1447</v>
      </c>
      <c r="F2433" t="s">
        <v>3680</v>
      </c>
    </row>
    <row r="2434" spans="1:6" x14ac:dyDescent="0.25">
      <c r="A2434" t="str">
        <f t="shared" si="38"/>
        <v>2104+51+207RE0101X</v>
      </c>
      <c r="B2434">
        <v>9894</v>
      </c>
      <c r="C2434">
        <v>2104</v>
      </c>
      <c r="D2434">
        <v>51</v>
      </c>
      <c r="E2434" t="s">
        <v>1003</v>
      </c>
      <c r="F2434" t="s">
        <v>3880</v>
      </c>
    </row>
    <row r="2435" spans="1:6" x14ac:dyDescent="0.25">
      <c r="A2435" t="str">
        <f t="shared" si="38"/>
        <v>2104+114+207RE0101X</v>
      </c>
      <c r="B2435">
        <v>9892</v>
      </c>
      <c r="C2435">
        <v>2104</v>
      </c>
      <c r="D2435">
        <v>114</v>
      </c>
      <c r="E2435" t="s">
        <v>1003</v>
      </c>
      <c r="F2435" t="s">
        <v>3880</v>
      </c>
    </row>
    <row r="2436" spans="1:6" x14ac:dyDescent="0.25">
      <c r="A2436" t="str">
        <f t="shared" si="38"/>
        <v>2105+50+208000000X</v>
      </c>
      <c r="B2436">
        <v>9896</v>
      </c>
      <c r="C2436">
        <v>2105</v>
      </c>
      <c r="D2436">
        <v>50</v>
      </c>
      <c r="E2436" t="s">
        <v>1259</v>
      </c>
      <c r="F2436" t="s">
        <v>3881</v>
      </c>
    </row>
    <row r="2437" spans="1:6" x14ac:dyDescent="0.25">
      <c r="A2437" t="str">
        <f t="shared" si="38"/>
        <v>2105+50+2080A0000X</v>
      </c>
      <c r="B2437">
        <v>9899</v>
      </c>
      <c r="C2437">
        <v>2105</v>
      </c>
      <c r="D2437">
        <v>50</v>
      </c>
      <c r="E2437" t="s">
        <v>1261</v>
      </c>
      <c r="F2437" t="s">
        <v>3882</v>
      </c>
    </row>
    <row r="2438" spans="1:6" x14ac:dyDescent="0.25">
      <c r="A2438" t="str">
        <f t="shared" si="38"/>
        <v>2105+50+2080H0002X</v>
      </c>
      <c r="B2438">
        <v>9902</v>
      </c>
      <c r="C2438">
        <v>2105</v>
      </c>
      <c r="D2438">
        <v>50</v>
      </c>
      <c r="E2438" t="s">
        <v>1267</v>
      </c>
      <c r="F2438" t="s">
        <v>3883</v>
      </c>
    </row>
    <row r="2439" spans="1:6" x14ac:dyDescent="0.25">
      <c r="A2439" t="str">
        <f t="shared" si="38"/>
        <v>2105+50+2080I0007X</v>
      </c>
      <c r="B2439">
        <v>9905</v>
      </c>
      <c r="C2439">
        <v>2105</v>
      </c>
      <c r="D2439">
        <v>50</v>
      </c>
      <c r="E2439" t="s">
        <v>1269</v>
      </c>
      <c r="F2439" t="s">
        <v>3884</v>
      </c>
    </row>
    <row r="2440" spans="1:6" x14ac:dyDescent="0.25">
      <c r="A2440" t="str">
        <f t="shared" si="38"/>
        <v>2105+50+2080P0006X</v>
      </c>
      <c r="B2440">
        <v>9908</v>
      </c>
      <c r="C2440">
        <v>2105</v>
      </c>
      <c r="D2440">
        <v>50</v>
      </c>
      <c r="E2440" t="s">
        <v>1271</v>
      </c>
      <c r="F2440" t="s">
        <v>3885</v>
      </c>
    </row>
    <row r="2441" spans="1:6" x14ac:dyDescent="0.25">
      <c r="A2441" t="str">
        <f t="shared" si="38"/>
        <v>2105+50+2080P0008X</v>
      </c>
      <c r="B2441">
        <v>9911</v>
      </c>
      <c r="C2441">
        <v>2105</v>
      </c>
      <c r="D2441">
        <v>50</v>
      </c>
      <c r="E2441" t="s">
        <v>1273</v>
      </c>
      <c r="F2441" t="s">
        <v>3886</v>
      </c>
    </row>
    <row r="2442" spans="1:6" x14ac:dyDescent="0.25">
      <c r="A2442" t="str">
        <f t="shared" si="38"/>
        <v>2105+50+2080P0203X</v>
      </c>
      <c r="B2442">
        <v>9914</v>
      </c>
      <c r="C2442">
        <v>2105</v>
      </c>
      <c r="D2442">
        <v>50</v>
      </c>
      <c r="E2442" t="s">
        <v>1279</v>
      </c>
      <c r="F2442" t="s">
        <v>3887</v>
      </c>
    </row>
    <row r="2443" spans="1:6" x14ac:dyDescent="0.25">
      <c r="A2443" t="str">
        <f t="shared" si="38"/>
        <v>2105+50+2080P0205X</v>
      </c>
      <c r="B2443">
        <v>9917</v>
      </c>
      <c r="C2443">
        <v>2105</v>
      </c>
      <c r="D2443">
        <v>50</v>
      </c>
      <c r="E2443" t="s">
        <v>1283</v>
      </c>
      <c r="F2443" t="s">
        <v>3888</v>
      </c>
    </row>
    <row r="2444" spans="1:6" x14ac:dyDescent="0.25">
      <c r="A2444" t="str">
        <f t="shared" si="38"/>
        <v>2105+50+2080P0208X</v>
      </c>
      <c r="B2444">
        <v>9920</v>
      </c>
      <c r="C2444">
        <v>2105</v>
      </c>
      <c r="D2444">
        <v>50</v>
      </c>
      <c r="E2444" t="s">
        <v>1287</v>
      </c>
      <c r="F2444" t="s">
        <v>3889</v>
      </c>
    </row>
    <row r="2445" spans="1:6" x14ac:dyDescent="0.25">
      <c r="A2445" t="str">
        <f t="shared" si="38"/>
        <v>2105+50+2080P0214X</v>
      </c>
      <c r="B2445">
        <v>9923</v>
      </c>
      <c r="C2445">
        <v>2105</v>
      </c>
      <c r="D2445">
        <v>50</v>
      </c>
      <c r="E2445" t="s">
        <v>1291</v>
      </c>
      <c r="F2445" t="s">
        <v>3890</v>
      </c>
    </row>
    <row r="2446" spans="1:6" x14ac:dyDescent="0.25">
      <c r="A2446" t="str">
        <f t="shared" ref="A2446:A2509" si="39">C2446 &amp; "+" &amp; D2446 &amp; "+" &amp; E2446</f>
        <v>2105+50+2080P0216X</v>
      </c>
      <c r="B2446">
        <v>9926</v>
      </c>
      <c r="C2446">
        <v>2105</v>
      </c>
      <c r="D2446">
        <v>50</v>
      </c>
      <c r="E2446" t="s">
        <v>1293</v>
      </c>
      <c r="F2446" t="s">
        <v>3891</v>
      </c>
    </row>
    <row r="2447" spans="1:6" x14ac:dyDescent="0.25">
      <c r="A2447" t="str">
        <f t="shared" si="39"/>
        <v>2105+50+2080S0010X</v>
      </c>
      <c r="B2447">
        <v>9929</v>
      </c>
      <c r="C2447">
        <v>2105</v>
      </c>
      <c r="D2447">
        <v>50</v>
      </c>
      <c r="E2447" t="s">
        <v>1294</v>
      </c>
      <c r="F2447" t="s">
        <v>3892</v>
      </c>
    </row>
    <row r="2448" spans="1:6" x14ac:dyDescent="0.25">
      <c r="A2448" t="str">
        <f t="shared" si="39"/>
        <v>2105+50+2080S0012X</v>
      </c>
      <c r="B2448">
        <v>9932</v>
      </c>
      <c r="C2448">
        <v>2105</v>
      </c>
      <c r="D2448">
        <v>50</v>
      </c>
      <c r="E2448" t="s">
        <v>1296</v>
      </c>
      <c r="F2448" t="s">
        <v>3893</v>
      </c>
    </row>
    <row r="2449" spans="1:6" x14ac:dyDescent="0.25">
      <c r="A2449" t="str">
        <f t="shared" si="39"/>
        <v>2105+50+2080T0002X</v>
      </c>
      <c r="B2449">
        <v>9935</v>
      </c>
      <c r="C2449">
        <v>2105</v>
      </c>
      <c r="D2449">
        <v>50</v>
      </c>
      <c r="E2449" t="s">
        <v>1298</v>
      </c>
      <c r="F2449" t="s">
        <v>3894</v>
      </c>
    </row>
    <row r="2450" spans="1:6" x14ac:dyDescent="0.25">
      <c r="A2450" t="str">
        <f t="shared" si="39"/>
        <v>2105+50+2080T0004X</v>
      </c>
      <c r="B2450">
        <v>9938</v>
      </c>
      <c r="C2450">
        <v>2105</v>
      </c>
      <c r="D2450">
        <v>50</v>
      </c>
      <c r="E2450" t="s">
        <v>1300</v>
      </c>
      <c r="F2450" t="s">
        <v>3895</v>
      </c>
    </row>
    <row r="2451" spans="1:6" x14ac:dyDescent="0.25">
      <c r="A2451" t="str">
        <f t="shared" si="39"/>
        <v>2105+51+193400000X</v>
      </c>
      <c r="B2451">
        <v>4502</v>
      </c>
      <c r="C2451">
        <v>2105</v>
      </c>
      <c r="D2451">
        <v>51</v>
      </c>
      <c r="E2451" t="s">
        <v>1447</v>
      </c>
      <c r="F2451" t="s">
        <v>3680</v>
      </c>
    </row>
    <row r="2452" spans="1:6" x14ac:dyDescent="0.25">
      <c r="A2452" t="str">
        <f t="shared" si="39"/>
        <v>2105+51+208000000X</v>
      </c>
      <c r="B2452">
        <v>9897</v>
      </c>
      <c r="C2452">
        <v>2105</v>
      </c>
      <c r="D2452">
        <v>51</v>
      </c>
      <c r="E2452" t="s">
        <v>1259</v>
      </c>
      <c r="F2452" t="s">
        <v>3881</v>
      </c>
    </row>
    <row r="2453" spans="1:6" x14ac:dyDescent="0.25">
      <c r="A2453" t="str">
        <f t="shared" si="39"/>
        <v>2105+51+2080A0000X</v>
      </c>
      <c r="B2453">
        <v>9900</v>
      </c>
      <c r="C2453">
        <v>2105</v>
      </c>
      <c r="D2453">
        <v>51</v>
      </c>
      <c r="E2453" t="s">
        <v>1261</v>
      </c>
      <c r="F2453" t="s">
        <v>3882</v>
      </c>
    </row>
    <row r="2454" spans="1:6" x14ac:dyDescent="0.25">
      <c r="A2454" t="str">
        <f t="shared" si="39"/>
        <v>2105+51+2080H0002X</v>
      </c>
      <c r="B2454">
        <v>9903</v>
      </c>
      <c r="C2454">
        <v>2105</v>
      </c>
      <c r="D2454">
        <v>51</v>
      </c>
      <c r="E2454" t="s">
        <v>1267</v>
      </c>
      <c r="F2454" t="s">
        <v>3883</v>
      </c>
    </row>
    <row r="2455" spans="1:6" x14ac:dyDescent="0.25">
      <c r="A2455" t="str">
        <f t="shared" si="39"/>
        <v>2105+51+2080I0007X</v>
      </c>
      <c r="B2455">
        <v>9906</v>
      </c>
      <c r="C2455">
        <v>2105</v>
      </c>
      <c r="D2455">
        <v>51</v>
      </c>
      <c r="E2455" t="s">
        <v>1269</v>
      </c>
      <c r="F2455" t="s">
        <v>3884</v>
      </c>
    </row>
    <row r="2456" spans="1:6" x14ac:dyDescent="0.25">
      <c r="A2456" t="str">
        <f t="shared" si="39"/>
        <v>2105+51+2080P0006X</v>
      </c>
      <c r="B2456">
        <v>9909</v>
      </c>
      <c r="C2456">
        <v>2105</v>
      </c>
      <c r="D2456">
        <v>51</v>
      </c>
      <c r="E2456" t="s">
        <v>1271</v>
      </c>
      <c r="F2456" t="s">
        <v>3885</v>
      </c>
    </row>
    <row r="2457" spans="1:6" x14ac:dyDescent="0.25">
      <c r="A2457" t="str">
        <f t="shared" si="39"/>
        <v>2105+51+2080P0008X</v>
      </c>
      <c r="B2457">
        <v>9912</v>
      </c>
      <c r="C2457">
        <v>2105</v>
      </c>
      <c r="D2457">
        <v>51</v>
      </c>
      <c r="E2457" t="s">
        <v>1273</v>
      </c>
      <c r="F2457" t="s">
        <v>3886</v>
      </c>
    </row>
    <row r="2458" spans="1:6" x14ac:dyDescent="0.25">
      <c r="A2458" t="str">
        <f t="shared" si="39"/>
        <v>2105+51+2080P0203X</v>
      </c>
      <c r="B2458">
        <v>9915</v>
      </c>
      <c r="C2458">
        <v>2105</v>
      </c>
      <c r="D2458">
        <v>51</v>
      </c>
      <c r="E2458" t="s">
        <v>1279</v>
      </c>
      <c r="F2458" t="s">
        <v>3887</v>
      </c>
    </row>
    <row r="2459" spans="1:6" x14ac:dyDescent="0.25">
      <c r="A2459" t="str">
        <f t="shared" si="39"/>
        <v>2105+51+2080P0205X</v>
      </c>
      <c r="B2459">
        <v>9918</v>
      </c>
      <c r="C2459">
        <v>2105</v>
      </c>
      <c r="D2459">
        <v>51</v>
      </c>
      <c r="E2459" t="s">
        <v>1283</v>
      </c>
      <c r="F2459" t="s">
        <v>3888</v>
      </c>
    </row>
    <row r="2460" spans="1:6" x14ac:dyDescent="0.25">
      <c r="A2460" t="str">
        <f t="shared" si="39"/>
        <v>2105+51+2080P0208X</v>
      </c>
      <c r="B2460">
        <v>9921</v>
      </c>
      <c r="C2460">
        <v>2105</v>
      </c>
      <c r="D2460">
        <v>51</v>
      </c>
      <c r="E2460" t="s">
        <v>1287</v>
      </c>
      <c r="F2460" t="s">
        <v>3889</v>
      </c>
    </row>
    <row r="2461" spans="1:6" x14ac:dyDescent="0.25">
      <c r="A2461" t="str">
        <f t="shared" si="39"/>
        <v>2105+51+2080P0214X</v>
      </c>
      <c r="B2461">
        <v>9924</v>
      </c>
      <c r="C2461">
        <v>2105</v>
      </c>
      <c r="D2461">
        <v>51</v>
      </c>
      <c r="E2461" t="s">
        <v>1291</v>
      </c>
      <c r="F2461" t="s">
        <v>3890</v>
      </c>
    </row>
    <row r="2462" spans="1:6" x14ac:dyDescent="0.25">
      <c r="A2462" t="str">
        <f t="shared" si="39"/>
        <v>2105+51+2080P0216X</v>
      </c>
      <c r="B2462">
        <v>9927</v>
      </c>
      <c r="C2462">
        <v>2105</v>
      </c>
      <c r="D2462">
        <v>51</v>
      </c>
      <c r="E2462" t="s">
        <v>1293</v>
      </c>
      <c r="F2462" t="s">
        <v>3891</v>
      </c>
    </row>
    <row r="2463" spans="1:6" x14ac:dyDescent="0.25">
      <c r="A2463" t="str">
        <f t="shared" si="39"/>
        <v>2105+51+2080S0010X</v>
      </c>
      <c r="B2463">
        <v>9930</v>
      </c>
      <c r="C2463">
        <v>2105</v>
      </c>
      <c r="D2463">
        <v>51</v>
      </c>
      <c r="E2463" t="s">
        <v>1294</v>
      </c>
      <c r="F2463" t="s">
        <v>3892</v>
      </c>
    </row>
    <row r="2464" spans="1:6" x14ac:dyDescent="0.25">
      <c r="A2464" t="str">
        <f t="shared" si="39"/>
        <v>2105+51+2080S0012X</v>
      </c>
      <c r="B2464">
        <v>9933</v>
      </c>
      <c r="C2464">
        <v>2105</v>
      </c>
      <c r="D2464">
        <v>51</v>
      </c>
      <c r="E2464" t="s">
        <v>1296</v>
      </c>
      <c r="F2464" t="s">
        <v>3893</v>
      </c>
    </row>
    <row r="2465" spans="1:6" x14ac:dyDescent="0.25">
      <c r="A2465" t="str">
        <f t="shared" si="39"/>
        <v>2105+51+2080T0002X</v>
      </c>
      <c r="B2465">
        <v>9936</v>
      </c>
      <c r="C2465">
        <v>2105</v>
      </c>
      <c r="D2465">
        <v>51</v>
      </c>
      <c r="E2465" t="s">
        <v>1298</v>
      </c>
      <c r="F2465" t="s">
        <v>3894</v>
      </c>
    </row>
    <row r="2466" spans="1:6" x14ac:dyDescent="0.25">
      <c r="A2466" t="str">
        <f t="shared" si="39"/>
        <v>2105+51+2080T0004X</v>
      </c>
      <c r="B2466">
        <v>9939</v>
      </c>
      <c r="C2466">
        <v>2105</v>
      </c>
      <c r="D2466">
        <v>51</v>
      </c>
      <c r="E2466" t="s">
        <v>1300</v>
      </c>
      <c r="F2466" t="s">
        <v>3895</v>
      </c>
    </row>
    <row r="2467" spans="1:6" x14ac:dyDescent="0.25">
      <c r="A2467" t="str">
        <f t="shared" si="39"/>
        <v>2105+114+208000000X</v>
      </c>
      <c r="B2467">
        <v>9895</v>
      </c>
      <c r="C2467">
        <v>2105</v>
      </c>
      <c r="D2467">
        <v>114</v>
      </c>
      <c r="E2467" t="s">
        <v>1259</v>
      </c>
      <c r="F2467" t="s">
        <v>3881</v>
      </c>
    </row>
    <row r="2468" spans="1:6" x14ac:dyDescent="0.25">
      <c r="A2468" t="str">
        <f t="shared" si="39"/>
        <v>2105+114+2080A0000X</v>
      </c>
      <c r="B2468">
        <v>9898</v>
      </c>
      <c r="C2468">
        <v>2105</v>
      </c>
      <c r="D2468">
        <v>114</v>
      </c>
      <c r="E2468" t="s">
        <v>1261</v>
      </c>
      <c r="F2468" t="s">
        <v>3882</v>
      </c>
    </row>
    <row r="2469" spans="1:6" x14ac:dyDescent="0.25">
      <c r="A2469" t="str">
        <f t="shared" si="39"/>
        <v>2105+114+2080H0002X</v>
      </c>
      <c r="B2469">
        <v>9901</v>
      </c>
      <c r="C2469">
        <v>2105</v>
      </c>
      <c r="D2469">
        <v>114</v>
      </c>
      <c r="E2469" t="s">
        <v>1267</v>
      </c>
      <c r="F2469" t="s">
        <v>3883</v>
      </c>
    </row>
    <row r="2470" spans="1:6" x14ac:dyDescent="0.25">
      <c r="A2470" t="str">
        <f t="shared" si="39"/>
        <v>2105+114+2080I0007X</v>
      </c>
      <c r="B2470">
        <v>9904</v>
      </c>
      <c r="C2470">
        <v>2105</v>
      </c>
      <c r="D2470">
        <v>114</v>
      </c>
      <c r="E2470" t="s">
        <v>1269</v>
      </c>
      <c r="F2470" t="s">
        <v>3884</v>
      </c>
    </row>
    <row r="2471" spans="1:6" x14ac:dyDescent="0.25">
      <c r="A2471" t="str">
        <f t="shared" si="39"/>
        <v>2105+114+2080P0006X</v>
      </c>
      <c r="B2471">
        <v>9907</v>
      </c>
      <c r="C2471">
        <v>2105</v>
      </c>
      <c r="D2471">
        <v>114</v>
      </c>
      <c r="E2471" t="s">
        <v>1271</v>
      </c>
      <c r="F2471" t="s">
        <v>3885</v>
      </c>
    </row>
    <row r="2472" spans="1:6" x14ac:dyDescent="0.25">
      <c r="A2472" t="str">
        <f t="shared" si="39"/>
        <v>2105+114+2080P0008X</v>
      </c>
      <c r="B2472">
        <v>9910</v>
      </c>
      <c r="C2472">
        <v>2105</v>
      </c>
      <c r="D2472">
        <v>114</v>
      </c>
      <c r="E2472" t="s">
        <v>1273</v>
      </c>
      <c r="F2472" t="s">
        <v>3886</v>
      </c>
    </row>
    <row r="2473" spans="1:6" x14ac:dyDescent="0.25">
      <c r="A2473" t="str">
        <f t="shared" si="39"/>
        <v>2105+114+2080P0203X</v>
      </c>
      <c r="B2473">
        <v>9913</v>
      </c>
      <c r="C2473">
        <v>2105</v>
      </c>
      <c r="D2473">
        <v>114</v>
      </c>
      <c r="E2473" t="s">
        <v>1279</v>
      </c>
      <c r="F2473" t="s">
        <v>3887</v>
      </c>
    </row>
    <row r="2474" spans="1:6" x14ac:dyDescent="0.25">
      <c r="A2474" t="str">
        <f t="shared" si="39"/>
        <v>2105+114+2080P0205X</v>
      </c>
      <c r="B2474">
        <v>9916</v>
      </c>
      <c r="C2474">
        <v>2105</v>
      </c>
      <c r="D2474">
        <v>114</v>
      </c>
      <c r="E2474" t="s">
        <v>1283</v>
      </c>
      <c r="F2474" t="s">
        <v>3888</v>
      </c>
    </row>
    <row r="2475" spans="1:6" x14ac:dyDescent="0.25">
      <c r="A2475" t="str">
        <f t="shared" si="39"/>
        <v>2105+114+2080P0208X</v>
      </c>
      <c r="B2475">
        <v>9919</v>
      </c>
      <c r="C2475">
        <v>2105</v>
      </c>
      <c r="D2475">
        <v>114</v>
      </c>
      <c r="E2475" t="s">
        <v>1287</v>
      </c>
      <c r="F2475" t="s">
        <v>3889</v>
      </c>
    </row>
    <row r="2476" spans="1:6" x14ac:dyDescent="0.25">
      <c r="A2476" t="str">
        <f t="shared" si="39"/>
        <v>2105+114+2080P0214X</v>
      </c>
      <c r="B2476">
        <v>9922</v>
      </c>
      <c r="C2476">
        <v>2105</v>
      </c>
      <c r="D2476">
        <v>114</v>
      </c>
      <c r="E2476" t="s">
        <v>1291</v>
      </c>
      <c r="F2476" t="s">
        <v>3890</v>
      </c>
    </row>
    <row r="2477" spans="1:6" x14ac:dyDescent="0.25">
      <c r="A2477" t="str">
        <f t="shared" si="39"/>
        <v>2105+114+2080P0216X</v>
      </c>
      <c r="B2477">
        <v>9925</v>
      </c>
      <c r="C2477">
        <v>2105</v>
      </c>
      <c r="D2477">
        <v>114</v>
      </c>
      <c r="E2477" t="s">
        <v>1293</v>
      </c>
      <c r="F2477" t="s">
        <v>3891</v>
      </c>
    </row>
    <row r="2478" spans="1:6" x14ac:dyDescent="0.25">
      <c r="A2478" t="str">
        <f t="shared" si="39"/>
        <v>2105+114+2080S0010X</v>
      </c>
      <c r="B2478">
        <v>9928</v>
      </c>
      <c r="C2478">
        <v>2105</v>
      </c>
      <c r="D2478">
        <v>114</v>
      </c>
      <c r="E2478" t="s">
        <v>1294</v>
      </c>
      <c r="F2478" t="s">
        <v>3892</v>
      </c>
    </row>
    <row r="2479" spans="1:6" x14ac:dyDescent="0.25">
      <c r="A2479" t="str">
        <f t="shared" si="39"/>
        <v>2105+114+2080S0012X</v>
      </c>
      <c r="B2479">
        <v>9931</v>
      </c>
      <c r="C2479">
        <v>2105</v>
      </c>
      <c r="D2479">
        <v>114</v>
      </c>
      <c r="E2479" t="s">
        <v>1296</v>
      </c>
      <c r="F2479" t="s">
        <v>3893</v>
      </c>
    </row>
    <row r="2480" spans="1:6" x14ac:dyDescent="0.25">
      <c r="A2480" t="str">
        <f t="shared" si="39"/>
        <v>2105+114+2080T0002X</v>
      </c>
      <c r="B2480">
        <v>9934</v>
      </c>
      <c r="C2480">
        <v>2105</v>
      </c>
      <c r="D2480">
        <v>114</v>
      </c>
      <c r="E2480" t="s">
        <v>1298</v>
      </c>
      <c r="F2480" t="s">
        <v>3894</v>
      </c>
    </row>
    <row r="2481" spans="1:6" x14ac:dyDescent="0.25">
      <c r="A2481" t="str">
        <f t="shared" si="39"/>
        <v>2105+114+2080T0004X</v>
      </c>
      <c r="B2481">
        <v>9937</v>
      </c>
      <c r="C2481">
        <v>2105</v>
      </c>
      <c r="D2481">
        <v>114</v>
      </c>
      <c r="E2481" t="s">
        <v>1300</v>
      </c>
      <c r="F2481" t="s">
        <v>3895</v>
      </c>
    </row>
    <row r="2482" spans="1:6" x14ac:dyDescent="0.25">
      <c r="A2482" t="str">
        <f t="shared" si="39"/>
        <v>2106+50+2085R0203X</v>
      </c>
      <c r="B2482">
        <v>9941</v>
      </c>
      <c r="C2482">
        <v>2106</v>
      </c>
      <c r="D2482">
        <v>50</v>
      </c>
      <c r="E2482" t="s">
        <v>1381</v>
      </c>
      <c r="F2482" t="s">
        <v>3896</v>
      </c>
    </row>
    <row r="2483" spans="1:6" x14ac:dyDescent="0.25">
      <c r="A2483" t="str">
        <f t="shared" si="39"/>
        <v>2106+51+193400000X</v>
      </c>
      <c r="B2483">
        <v>4503</v>
      </c>
      <c r="C2483">
        <v>2106</v>
      </c>
      <c r="D2483">
        <v>51</v>
      </c>
      <c r="E2483" t="s">
        <v>1447</v>
      </c>
      <c r="F2483" t="s">
        <v>3680</v>
      </c>
    </row>
    <row r="2484" spans="1:6" x14ac:dyDescent="0.25">
      <c r="A2484" t="str">
        <f t="shared" si="39"/>
        <v>2106+51+2085R0203X</v>
      </c>
      <c r="B2484">
        <v>9942</v>
      </c>
      <c r="C2484">
        <v>2106</v>
      </c>
      <c r="D2484">
        <v>51</v>
      </c>
      <c r="E2484" t="s">
        <v>1381</v>
      </c>
      <c r="F2484" t="s">
        <v>3896</v>
      </c>
    </row>
    <row r="2485" spans="1:6" x14ac:dyDescent="0.25">
      <c r="A2485" t="str">
        <f t="shared" si="39"/>
        <v>2106+114+2085R0203X</v>
      </c>
      <c r="B2485">
        <v>9940</v>
      </c>
      <c r="C2485">
        <v>2106</v>
      </c>
      <c r="D2485">
        <v>114</v>
      </c>
      <c r="E2485" t="s">
        <v>1381</v>
      </c>
      <c r="F2485" t="s">
        <v>3896</v>
      </c>
    </row>
    <row r="2486" spans="1:6" x14ac:dyDescent="0.25">
      <c r="A2486" t="str">
        <f t="shared" si="39"/>
        <v>2106+115+2471R0002X</v>
      </c>
      <c r="B2486">
        <v>10102</v>
      </c>
      <c r="C2486">
        <v>2106</v>
      </c>
      <c r="D2486">
        <v>115</v>
      </c>
      <c r="E2486" t="s">
        <v>1621</v>
      </c>
      <c r="F2486" t="s">
        <v>3897</v>
      </c>
    </row>
    <row r="2487" spans="1:6" x14ac:dyDescent="0.25">
      <c r="A2487" t="str">
        <f t="shared" si="39"/>
        <v>2107+51+193400000X</v>
      </c>
      <c r="B2487">
        <v>4504</v>
      </c>
      <c r="C2487">
        <v>2107</v>
      </c>
      <c r="D2487">
        <v>51</v>
      </c>
      <c r="E2487" t="s">
        <v>1447</v>
      </c>
      <c r="F2487" t="s">
        <v>3680</v>
      </c>
    </row>
    <row r="2488" spans="1:6" x14ac:dyDescent="0.25">
      <c r="A2488" t="str">
        <f t="shared" si="39"/>
        <v>2107+114+204D00000X</v>
      </c>
      <c r="B2488">
        <v>9943</v>
      </c>
      <c r="C2488">
        <v>2107</v>
      </c>
      <c r="D2488">
        <v>114</v>
      </c>
      <c r="E2488" t="s">
        <v>1062</v>
      </c>
      <c r="F2488" t="s">
        <v>3898</v>
      </c>
    </row>
    <row r="2489" spans="1:6" x14ac:dyDescent="0.25">
      <c r="A2489" t="str">
        <f t="shared" si="39"/>
        <v>2108+50+2080P0207X</v>
      </c>
      <c r="B2489">
        <v>9947</v>
      </c>
      <c r="C2489">
        <v>2108</v>
      </c>
      <c r="D2489">
        <v>50</v>
      </c>
      <c r="E2489" t="s">
        <v>1043</v>
      </c>
      <c r="F2489" t="s">
        <v>3899</v>
      </c>
    </row>
    <row r="2490" spans="1:6" x14ac:dyDescent="0.25">
      <c r="A2490" t="str">
        <f t="shared" si="39"/>
        <v>2108+51+193400000X</v>
      </c>
      <c r="B2490">
        <v>4505</v>
      </c>
      <c r="C2490">
        <v>2108</v>
      </c>
      <c r="D2490">
        <v>51</v>
      </c>
      <c r="E2490" t="s">
        <v>1447</v>
      </c>
      <c r="F2490" t="s">
        <v>3680</v>
      </c>
    </row>
    <row r="2491" spans="1:6" x14ac:dyDescent="0.25">
      <c r="A2491" t="str">
        <f t="shared" si="39"/>
        <v>2108+51+2080P0207X</v>
      </c>
      <c r="B2491">
        <v>9948</v>
      </c>
      <c r="C2491">
        <v>2108</v>
      </c>
      <c r="D2491">
        <v>51</v>
      </c>
      <c r="E2491" t="s">
        <v>1043</v>
      </c>
      <c r="F2491" t="s">
        <v>3899</v>
      </c>
    </row>
    <row r="2492" spans="1:6" x14ac:dyDescent="0.25">
      <c r="A2492" t="str">
        <f t="shared" si="39"/>
        <v>2108+114+2080P0207X</v>
      </c>
      <c r="B2492">
        <v>9946</v>
      </c>
      <c r="C2492">
        <v>2108</v>
      </c>
      <c r="D2492">
        <v>114</v>
      </c>
      <c r="E2492" t="s">
        <v>1043</v>
      </c>
      <c r="F2492" t="s">
        <v>3899</v>
      </c>
    </row>
    <row r="2493" spans="1:6" x14ac:dyDescent="0.25">
      <c r="A2493" t="str">
        <f t="shared" si="39"/>
        <v>2109+50+207RR0500X</v>
      </c>
      <c r="B2493">
        <v>9950</v>
      </c>
      <c r="C2493">
        <v>2109</v>
      </c>
      <c r="D2493">
        <v>50</v>
      </c>
      <c r="E2493" t="s">
        <v>1014</v>
      </c>
      <c r="F2493" t="s">
        <v>3900</v>
      </c>
    </row>
    <row r="2494" spans="1:6" x14ac:dyDescent="0.25">
      <c r="A2494" t="str">
        <f t="shared" si="39"/>
        <v>2109+51+193400000X</v>
      </c>
      <c r="B2494">
        <v>4506</v>
      </c>
      <c r="C2494">
        <v>2109</v>
      </c>
      <c r="D2494">
        <v>51</v>
      </c>
      <c r="E2494" t="s">
        <v>1447</v>
      </c>
      <c r="F2494" t="s">
        <v>3680</v>
      </c>
    </row>
    <row r="2495" spans="1:6" x14ac:dyDescent="0.25">
      <c r="A2495" t="str">
        <f t="shared" si="39"/>
        <v>2109+51+207RR0500X</v>
      </c>
      <c r="B2495">
        <v>9951</v>
      </c>
      <c r="C2495">
        <v>2109</v>
      </c>
      <c r="D2495">
        <v>51</v>
      </c>
      <c r="E2495" t="s">
        <v>1014</v>
      </c>
      <c r="F2495" t="s">
        <v>3900</v>
      </c>
    </row>
    <row r="2496" spans="1:6" x14ac:dyDescent="0.25">
      <c r="A2496" t="str">
        <f t="shared" si="39"/>
        <v>2109+114+207RR0500X</v>
      </c>
      <c r="B2496">
        <v>9949</v>
      </c>
      <c r="C2496">
        <v>2109</v>
      </c>
      <c r="D2496">
        <v>114</v>
      </c>
      <c r="E2496" t="s">
        <v>1014</v>
      </c>
      <c r="F2496" t="s">
        <v>3900</v>
      </c>
    </row>
    <row r="2497" spans="1:6" x14ac:dyDescent="0.25">
      <c r="A2497" t="str">
        <f t="shared" si="39"/>
        <v>2110+50+2086X0206X</v>
      </c>
      <c r="B2497">
        <v>9956</v>
      </c>
      <c r="C2497">
        <v>2110</v>
      </c>
      <c r="D2497">
        <v>50</v>
      </c>
      <c r="E2497" t="s">
        <v>1053</v>
      </c>
      <c r="F2497" t="s">
        <v>3901</v>
      </c>
    </row>
    <row r="2498" spans="1:6" x14ac:dyDescent="0.25">
      <c r="A2498" t="str">
        <f t="shared" si="39"/>
        <v>2110+51+193400000X</v>
      </c>
      <c r="B2498">
        <v>4507</v>
      </c>
      <c r="C2498">
        <v>2110</v>
      </c>
      <c r="D2498">
        <v>51</v>
      </c>
      <c r="E2498" t="s">
        <v>1447</v>
      </c>
      <c r="F2498" t="s">
        <v>3680</v>
      </c>
    </row>
    <row r="2499" spans="1:6" x14ac:dyDescent="0.25">
      <c r="A2499" t="str">
        <f t="shared" si="39"/>
        <v>2110+51+2086X0206X</v>
      </c>
      <c r="B2499">
        <v>9957</v>
      </c>
      <c r="C2499">
        <v>2110</v>
      </c>
      <c r="D2499">
        <v>51</v>
      </c>
      <c r="E2499" t="s">
        <v>1053</v>
      </c>
      <c r="F2499" t="s">
        <v>3901</v>
      </c>
    </row>
    <row r="2500" spans="1:6" x14ac:dyDescent="0.25">
      <c r="A2500" t="str">
        <f t="shared" si="39"/>
        <v>2110+114+2086X0206X</v>
      </c>
      <c r="B2500">
        <v>9955</v>
      </c>
      <c r="C2500">
        <v>2110</v>
      </c>
      <c r="D2500">
        <v>114</v>
      </c>
      <c r="E2500" t="s">
        <v>1053</v>
      </c>
      <c r="F2500" t="s">
        <v>3901</v>
      </c>
    </row>
    <row r="2501" spans="1:6" x14ac:dyDescent="0.25">
      <c r="A2501" t="str">
        <f t="shared" si="39"/>
        <v>2111+50+207VG0400X</v>
      </c>
      <c r="B2501">
        <v>9959</v>
      </c>
      <c r="C2501">
        <v>2111</v>
      </c>
      <c r="D2501">
        <v>50</v>
      </c>
      <c r="E2501" t="s">
        <v>1184</v>
      </c>
      <c r="F2501" t="s">
        <v>3902</v>
      </c>
    </row>
    <row r="2502" spans="1:6" x14ac:dyDescent="0.25">
      <c r="A2502" t="str">
        <f t="shared" si="39"/>
        <v>2111+50+207VX0201X</v>
      </c>
      <c r="B2502">
        <v>9962</v>
      </c>
      <c r="C2502">
        <v>2111</v>
      </c>
      <c r="D2502">
        <v>50</v>
      </c>
      <c r="E2502" t="s">
        <v>1191</v>
      </c>
      <c r="F2502" t="s">
        <v>3903</v>
      </c>
    </row>
    <row r="2503" spans="1:6" x14ac:dyDescent="0.25">
      <c r="A2503" t="str">
        <f t="shared" si="39"/>
        <v>2111+51+193400000X</v>
      </c>
      <c r="B2503">
        <v>4508</v>
      </c>
      <c r="C2503">
        <v>2111</v>
      </c>
      <c r="D2503">
        <v>51</v>
      </c>
      <c r="E2503" t="s">
        <v>1447</v>
      </c>
      <c r="F2503" t="s">
        <v>3680</v>
      </c>
    </row>
    <row r="2504" spans="1:6" x14ac:dyDescent="0.25">
      <c r="A2504" t="str">
        <f t="shared" si="39"/>
        <v>2111+51+207VG0400X</v>
      </c>
      <c r="B2504">
        <v>9960</v>
      </c>
      <c r="C2504">
        <v>2111</v>
      </c>
      <c r="D2504">
        <v>51</v>
      </c>
      <c r="E2504" t="s">
        <v>1184</v>
      </c>
      <c r="F2504" t="s">
        <v>3902</v>
      </c>
    </row>
    <row r="2505" spans="1:6" x14ac:dyDescent="0.25">
      <c r="A2505" t="str">
        <f t="shared" si="39"/>
        <v>2111+51+207VX0201X</v>
      </c>
      <c r="B2505">
        <v>9963</v>
      </c>
      <c r="C2505">
        <v>2111</v>
      </c>
      <c r="D2505">
        <v>51</v>
      </c>
      <c r="E2505" t="s">
        <v>1191</v>
      </c>
      <c r="F2505" t="s">
        <v>3903</v>
      </c>
    </row>
    <row r="2506" spans="1:6" x14ac:dyDescent="0.25">
      <c r="A2506" t="str">
        <f t="shared" si="39"/>
        <v>2111+114+207VG0400X</v>
      </c>
      <c r="B2506">
        <v>9958</v>
      </c>
      <c r="C2506">
        <v>2111</v>
      </c>
      <c r="D2506">
        <v>114</v>
      </c>
      <c r="E2506" t="s">
        <v>1184</v>
      </c>
      <c r="F2506" t="s">
        <v>3902</v>
      </c>
    </row>
    <row r="2507" spans="1:6" x14ac:dyDescent="0.25">
      <c r="A2507" t="str">
        <f t="shared" si="39"/>
        <v>2111+114+207VX0201X</v>
      </c>
      <c r="B2507">
        <v>9961</v>
      </c>
      <c r="C2507">
        <v>2111</v>
      </c>
      <c r="D2507">
        <v>114</v>
      </c>
      <c r="E2507" t="s">
        <v>1191</v>
      </c>
      <c r="F2507" t="s">
        <v>3903</v>
      </c>
    </row>
    <row r="2508" spans="1:6" x14ac:dyDescent="0.25">
      <c r="A2508" t="str">
        <f t="shared" si="39"/>
        <v>2112+50+207VX0000X</v>
      </c>
      <c r="B2508">
        <v>9965</v>
      </c>
      <c r="C2508">
        <v>2112</v>
      </c>
      <c r="D2508">
        <v>50</v>
      </c>
      <c r="E2508" t="s">
        <v>1188</v>
      </c>
      <c r="F2508" t="s">
        <v>3904</v>
      </c>
    </row>
    <row r="2509" spans="1:6" x14ac:dyDescent="0.25">
      <c r="A2509" t="str">
        <f t="shared" si="39"/>
        <v>2112+51+193400000X</v>
      </c>
      <c r="B2509">
        <v>4509</v>
      </c>
      <c r="C2509">
        <v>2112</v>
      </c>
      <c r="D2509">
        <v>51</v>
      </c>
      <c r="E2509" t="s">
        <v>1447</v>
      </c>
      <c r="F2509" t="s">
        <v>3680</v>
      </c>
    </row>
    <row r="2510" spans="1:6" x14ac:dyDescent="0.25">
      <c r="A2510" t="str">
        <f t="shared" ref="A2510:A2573" si="40">C2510 &amp; "+" &amp; D2510 &amp; "+" &amp; E2510</f>
        <v>2112+51+207VX0000X</v>
      </c>
      <c r="B2510">
        <v>9966</v>
      </c>
      <c r="C2510">
        <v>2112</v>
      </c>
      <c r="D2510">
        <v>51</v>
      </c>
      <c r="E2510" t="s">
        <v>1188</v>
      </c>
      <c r="F2510" t="s">
        <v>3904</v>
      </c>
    </row>
    <row r="2511" spans="1:6" x14ac:dyDescent="0.25">
      <c r="A2511" t="str">
        <f t="shared" si="40"/>
        <v>2112+114+207VX0000X</v>
      </c>
      <c r="B2511">
        <v>9964</v>
      </c>
      <c r="C2511">
        <v>2112</v>
      </c>
      <c r="D2511">
        <v>114</v>
      </c>
      <c r="E2511" t="s">
        <v>1188</v>
      </c>
      <c r="F2511" t="s">
        <v>3904</v>
      </c>
    </row>
    <row r="2512" spans="1:6" x14ac:dyDescent="0.25">
      <c r="A2512" t="str">
        <f t="shared" si="40"/>
        <v>2113+50+207ZC0006X</v>
      </c>
      <c r="B2512">
        <v>9968</v>
      </c>
      <c r="C2512">
        <v>2113</v>
      </c>
      <c r="D2512">
        <v>50</v>
      </c>
      <c r="E2512" t="s">
        <v>1233</v>
      </c>
      <c r="F2512" t="s">
        <v>3905</v>
      </c>
    </row>
    <row r="2513" spans="1:6" x14ac:dyDescent="0.25">
      <c r="A2513" t="str">
        <f t="shared" si="40"/>
        <v>2113+50+207ZP0102X</v>
      </c>
      <c r="B2513">
        <v>9971</v>
      </c>
      <c r="C2513">
        <v>2113</v>
      </c>
      <c r="D2513">
        <v>50</v>
      </c>
      <c r="E2513" t="s">
        <v>1252</v>
      </c>
      <c r="F2513" t="s">
        <v>3906</v>
      </c>
    </row>
    <row r="2514" spans="1:6" x14ac:dyDescent="0.25">
      <c r="A2514" t="str">
        <f t="shared" si="40"/>
        <v>2113+50+207ZP0105X</v>
      </c>
      <c r="B2514">
        <v>9974</v>
      </c>
      <c r="C2514">
        <v>2113</v>
      </c>
      <c r="D2514">
        <v>50</v>
      </c>
      <c r="E2514" t="s">
        <v>1256</v>
      </c>
      <c r="F2514" t="s">
        <v>3907</v>
      </c>
    </row>
    <row r="2515" spans="1:6" x14ac:dyDescent="0.25">
      <c r="A2515" t="str">
        <f t="shared" si="40"/>
        <v>2113+51+193400000X</v>
      </c>
      <c r="B2515">
        <v>4510</v>
      </c>
      <c r="C2515">
        <v>2113</v>
      </c>
      <c r="D2515">
        <v>51</v>
      </c>
      <c r="E2515" t="s">
        <v>1447</v>
      </c>
      <c r="F2515" t="s">
        <v>3680</v>
      </c>
    </row>
    <row r="2516" spans="1:6" x14ac:dyDescent="0.25">
      <c r="A2516" t="str">
        <f t="shared" si="40"/>
        <v>2113+51+207ZC0006X</v>
      </c>
      <c r="B2516">
        <v>9969</v>
      </c>
      <c r="C2516">
        <v>2113</v>
      </c>
      <c r="D2516">
        <v>51</v>
      </c>
      <c r="E2516" t="s">
        <v>1233</v>
      </c>
      <c r="F2516" t="s">
        <v>3905</v>
      </c>
    </row>
    <row r="2517" spans="1:6" x14ac:dyDescent="0.25">
      <c r="A2517" t="str">
        <f t="shared" si="40"/>
        <v>2113+51+207ZP0102X</v>
      </c>
      <c r="B2517">
        <v>9972</v>
      </c>
      <c r="C2517">
        <v>2113</v>
      </c>
      <c r="D2517">
        <v>51</v>
      </c>
      <c r="E2517" t="s">
        <v>1252</v>
      </c>
      <c r="F2517" t="s">
        <v>3906</v>
      </c>
    </row>
    <row r="2518" spans="1:6" x14ac:dyDescent="0.25">
      <c r="A2518" t="str">
        <f t="shared" si="40"/>
        <v>2113+51+207ZP0105X</v>
      </c>
      <c r="B2518">
        <v>9975</v>
      </c>
      <c r="C2518">
        <v>2113</v>
      </c>
      <c r="D2518">
        <v>51</v>
      </c>
      <c r="E2518" t="s">
        <v>1256</v>
      </c>
      <c r="F2518" t="s">
        <v>3907</v>
      </c>
    </row>
    <row r="2519" spans="1:6" x14ac:dyDescent="0.25">
      <c r="A2519" t="str">
        <f t="shared" si="40"/>
        <v>2113+114+207ZC0006X</v>
      </c>
      <c r="B2519">
        <v>9967</v>
      </c>
      <c r="C2519">
        <v>2113</v>
      </c>
      <c r="D2519">
        <v>114</v>
      </c>
      <c r="E2519" t="s">
        <v>1233</v>
      </c>
      <c r="F2519" t="s">
        <v>3905</v>
      </c>
    </row>
    <row r="2520" spans="1:6" x14ac:dyDescent="0.25">
      <c r="A2520" t="str">
        <f t="shared" si="40"/>
        <v>2113+114+207ZP0102X</v>
      </c>
      <c r="B2520">
        <v>9970</v>
      </c>
      <c r="C2520">
        <v>2113</v>
      </c>
      <c r="D2520">
        <v>114</v>
      </c>
      <c r="E2520" t="s">
        <v>1252</v>
      </c>
      <c r="F2520" t="s">
        <v>3906</v>
      </c>
    </row>
    <row r="2521" spans="1:6" x14ac:dyDescent="0.25">
      <c r="A2521" t="str">
        <f t="shared" si="40"/>
        <v>2113+114+207ZP0105X</v>
      </c>
      <c r="B2521">
        <v>9973</v>
      </c>
      <c r="C2521">
        <v>2113</v>
      </c>
      <c r="D2521">
        <v>114</v>
      </c>
      <c r="E2521" t="s">
        <v>1256</v>
      </c>
      <c r="F2521" t="s">
        <v>3907</v>
      </c>
    </row>
    <row r="2522" spans="1:6" x14ac:dyDescent="0.25">
      <c r="A2522" t="str">
        <f t="shared" si="40"/>
        <v>2114+50+207SC0300X</v>
      </c>
      <c r="B2522">
        <v>9989</v>
      </c>
      <c r="C2522">
        <v>2114</v>
      </c>
      <c r="D2522">
        <v>50</v>
      </c>
      <c r="E2522" t="s">
        <v>1021</v>
      </c>
      <c r="F2522" t="s">
        <v>3908</v>
      </c>
    </row>
    <row r="2523" spans="1:6" x14ac:dyDescent="0.25">
      <c r="A2523" t="str">
        <f t="shared" si="40"/>
        <v>2114+50+207SG0201X</v>
      </c>
      <c r="B2523">
        <v>9992</v>
      </c>
      <c r="C2523">
        <v>2114</v>
      </c>
      <c r="D2523">
        <v>50</v>
      </c>
      <c r="E2523" t="s">
        <v>1023</v>
      </c>
      <c r="F2523" t="s">
        <v>3909</v>
      </c>
    </row>
    <row r="2524" spans="1:6" x14ac:dyDescent="0.25">
      <c r="A2524" t="str">
        <f t="shared" si="40"/>
        <v>2114+50+207SG0202X</v>
      </c>
      <c r="B2524">
        <v>9995</v>
      </c>
      <c r="C2524">
        <v>2114</v>
      </c>
      <c r="D2524">
        <v>50</v>
      </c>
      <c r="E2524" t="s">
        <v>1025</v>
      </c>
      <c r="F2524" t="s">
        <v>3910</v>
      </c>
    </row>
    <row r="2525" spans="1:6" x14ac:dyDescent="0.25">
      <c r="A2525" t="str">
        <f t="shared" si="40"/>
        <v>2114+50+207SG0203X</v>
      </c>
      <c r="B2525">
        <v>9998</v>
      </c>
      <c r="C2525">
        <v>2114</v>
      </c>
      <c r="D2525">
        <v>50</v>
      </c>
      <c r="E2525" t="s">
        <v>1027</v>
      </c>
      <c r="F2525" t="s">
        <v>3911</v>
      </c>
    </row>
    <row r="2526" spans="1:6" x14ac:dyDescent="0.25">
      <c r="A2526" t="str">
        <f t="shared" si="40"/>
        <v>2114+50+207SG0205X</v>
      </c>
      <c r="B2526">
        <v>10001</v>
      </c>
      <c r="C2526">
        <v>2114</v>
      </c>
      <c r="D2526">
        <v>50</v>
      </c>
      <c r="E2526" t="s">
        <v>1029</v>
      </c>
      <c r="F2526" t="s">
        <v>3912</v>
      </c>
    </row>
    <row r="2527" spans="1:6" x14ac:dyDescent="0.25">
      <c r="A2527" t="str">
        <f t="shared" si="40"/>
        <v>2114+50+207SM0001X</v>
      </c>
      <c r="B2527">
        <v>10004</v>
      </c>
      <c r="C2527">
        <v>2114</v>
      </c>
      <c r="D2527">
        <v>50</v>
      </c>
      <c r="E2527" t="s">
        <v>1031</v>
      </c>
      <c r="F2527" t="s">
        <v>3913</v>
      </c>
    </row>
    <row r="2528" spans="1:6" x14ac:dyDescent="0.25">
      <c r="A2528" t="str">
        <f t="shared" si="40"/>
        <v>2114+51+193400000X</v>
      </c>
      <c r="B2528">
        <v>4511</v>
      </c>
      <c r="C2528">
        <v>2114</v>
      </c>
      <c r="D2528">
        <v>51</v>
      </c>
      <c r="E2528" t="s">
        <v>1447</v>
      </c>
      <c r="F2528" t="s">
        <v>3680</v>
      </c>
    </row>
    <row r="2529" spans="1:6" x14ac:dyDescent="0.25">
      <c r="A2529" t="str">
        <f t="shared" si="40"/>
        <v>2114+51+207SC0300X</v>
      </c>
      <c r="B2529">
        <v>9990</v>
      </c>
      <c r="C2529">
        <v>2114</v>
      </c>
      <c r="D2529">
        <v>51</v>
      </c>
      <c r="E2529" t="s">
        <v>1021</v>
      </c>
      <c r="F2529" t="s">
        <v>3908</v>
      </c>
    </row>
    <row r="2530" spans="1:6" x14ac:dyDescent="0.25">
      <c r="A2530" t="str">
        <f t="shared" si="40"/>
        <v>2114+51+207SG0201X</v>
      </c>
      <c r="B2530">
        <v>9993</v>
      </c>
      <c r="C2530">
        <v>2114</v>
      </c>
      <c r="D2530">
        <v>51</v>
      </c>
      <c r="E2530" t="s">
        <v>1023</v>
      </c>
      <c r="F2530" t="s">
        <v>3909</v>
      </c>
    </row>
    <row r="2531" spans="1:6" x14ac:dyDescent="0.25">
      <c r="A2531" t="str">
        <f t="shared" si="40"/>
        <v>2114+51+207SG0202X</v>
      </c>
      <c r="B2531">
        <v>9996</v>
      </c>
      <c r="C2531">
        <v>2114</v>
      </c>
      <c r="D2531">
        <v>51</v>
      </c>
      <c r="E2531" t="s">
        <v>1025</v>
      </c>
      <c r="F2531" t="s">
        <v>3910</v>
      </c>
    </row>
    <row r="2532" spans="1:6" x14ac:dyDescent="0.25">
      <c r="A2532" t="str">
        <f t="shared" si="40"/>
        <v>2114+51+207SG0203X</v>
      </c>
      <c r="B2532">
        <v>9999</v>
      </c>
      <c r="C2532">
        <v>2114</v>
      </c>
      <c r="D2532">
        <v>51</v>
      </c>
      <c r="E2532" t="s">
        <v>1027</v>
      </c>
      <c r="F2532" t="s">
        <v>3911</v>
      </c>
    </row>
    <row r="2533" spans="1:6" x14ac:dyDescent="0.25">
      <c r="A2533" t="str">
        <f t="shared" si="40"/>
        <v>2114+51+207SG0205X</v>
      </c>
      <c r="B2533">
        <v>10002</v>
      </c>
      <c r="C2533">
        <v>2114</v>
      </c>
      <c r="D2533">
        <v>51</v>
      </c>
      <c r="E2533" t="s">
        <v>1029</v>
      </c>
      <c r="F2533" t="s">
        <v>3912</v>
      </c>
    </row>
    <row r="2534" spans="1:6" x14ac:dyDescent="0.25">
      <c r="A2534" t="str">
        <f t="shared" si="40"/>
        <v>2114+51+207SM0001X</v>
      </c>
      <c r="B2534">
        <v>10005</v>
      </c>
      <c r="C2534">
        <v>2114</v>
      </c>
      <c r="D2534">
        <v>51</v>
      </c>
      <c r="E2534" t="s">
        <v>1031</v>
      </c>
      <c r="F2534" t="s">
        <v>3913</v>
      </c>
    </row>
    <row r="2535" spans="1:6" x14ac:dyDescent="0.25">
      <c r="A2535" t="str">
        <f t="shared" si="40"/>
        <v>2114+103+170300000X</v>
      </c>
      <c r="B2535">
        <v>9248</v>
      </c>
      <c r="C2535">
        <v>2114</v>
      </c>
      <c r="D2535">
        <v>103</v>
      </c>
      <c r="E2535" t="s">
        <v>535</v>
      </c>
      <c r="F2535" t="s">
        <v>3914</v>
      </c>
    </row>
    <row r="2536" spans="1:6" x14ac:dyDescent="0.25">
      <c r="A2536" t="str">
        <f t="shared" si="40"/>
        <v>2114+114+207SC0300X</v>
      </c>
      <c r="B2536">
        <v>9988</v>
      </c>
      <c r="C2536">
        <v>2114</v>
      </c>
      <c r="D2536">
        <v>114</v>
      </c>
      <c r="E2536" t="s">
        <v>1021</v>
      </c>
      <c r="F2536" t="s">
        <v>3908</v>
      </c>
    </row>
    <row r="2537" spans="1:6" x14ac:dyDescent="0.25">
      <c r="A2537" t="str">
        <f t="shared" si="40"/>
        <v>2114+114+207SG0201X</v>
      </c>
      <c r="B2537">
        <v>9991</v>
      </c>
      <c r="C2537">
        <v>2114</v>
      </c>
      <c r="D2537">
        <v>114</v>
      </c>
      <c r="E2537" t="s">
        <v>1023</v>
      </c>
      <c r="F2537" t="s">
        <v>3909</v>
      </c>
    </row>
    <row r="2538" spans="1:6" x14ac:dyDescent="0.25">
      <c r="A2538" t="str">
        <f t="shared" si="40"/>
        <v>2114+114+207SG0202X</v>
      </c>
      <c r="B2538">
        <v>9994</v>
      </c>
      <c r="C2538">
        <v>2114</v>
      </c>
      <c r="D2538">
        <v>114</v>
      </c>
      <c r="E2538" t="s">
        <v>1025</v>
      </c>
      <c r="F2538" t="s">
        <v>3910</v>
      </c>
    </row>
    <row r="2539" spans="1:6" x14ac:dyDescent="0.25">
      <c r="A2539" t="str">
        <f t="shared" si="40"/>
        <v>2114+114+207SG0203X</v>
      </c>
      <c r="B2539">
        <v>9997</v>
      </c>
      <c r="C2539">
        <v>2114</v>
      </c>
      <c r="D2539">
        <v>114</v>
      </c>
      <c r="E2539" t="s">
        <v>1027</v>
      </c>
      <c r="F2539" t="s">
        <v>3911</v>
      </c>
    </row>
    <row r="2540" spans="1:6" x14ac:dyDescent="0.25">
      <c r="A2540" t="str">
        <f t="shared" si="40"/>
        <v>2114+114+207SG0205X</v>
      </c>
      <c r="B2540">
        <v>10000</v>
      </c>
      <c r="C2540">
        <v>2114</v>
      </c>
      <c r="D2540">
        <v>114</v>
      </c>
      <c r="E2540" t="s">
        <v>1029</v>
      </c>
      <c r="F2540" t="s">
        <v>3912</v>
      </c>
    </row>
    <row r="2541" spans="1:6" x14ac:dyDescent="0.25">
      <c r="A2541" t="str">
        <f t="shared" si="40"/>
        <v>2114+114+207SM0001X</v>
      </c>
      <c r="B2541">
        <v>10003</v>
      </c>
      <c r="C2541">
        <v>2114</v>
      </c>
      <c r="D2541">
        <v>114</v>
      </c>
      <c r="E2541" t="s">
        <v>1031</v>
      </c>
      <c r="F2541" t="s">
        <v>3913</v>
      </c>
    </row>
    <row r="2542" spans="1:6" x14ac:dyDescent="0.25">
      <c r="A2542" t="str">
        <f t="shared" si="40"/>
        <v>2114+121+170100000X</v>
      </c>
      <c r="B2542">
        <v>10125</v>
      </c>
      <c r="C2542">
        <v>2114</v>
      </c>
      <c r="D2542">
        <v>121</v>
      </c>
      <c r="E2542" t="s">
        <v>1657</v>
      </c>
      <c r="F2542" t="s">
        <v>3915</v>
      </c>
    </row>
    <row r="2543" spans="1:6" x14ac:dyDescent="0.25">
      <c r="A2543" t="str">
        <f t="shared" si="40"/>
        <v>2115+50+207RX0202X</v>
      </c>
      <c r="B2543">
        <v>10016</v>
      </c>
      <c r="C2543">
        <v>2115</v>
      </c>
      <c r="D2543">
        <v>50</v>
      </c>
      <c r="E2543" t="s">
        <v>1017</v>
      </c>
      <c r="F2543" t="s">
        <v>3916</v>
      </c>
    </row>
    <row r="2544" spans="1:6" x14ac:dyDescent="0.25">
      <c r="A2544" t="str">
        <f t="shared" si="40"/>
        <v>2115+51+193400000X</v>
      </c>
      <c r="B2544">
        <v>4512</v>
      </c>
      <c r="C2544">
        <v>2115</v>
      </c>
      <c r="D2544">
        <v>51</v>
      </c>
      <c r="E2544" t="s">
        <v>1447</v>
      </c>
      <c r="F2544" t="s">
        <v>3680</v>
      </c>
    </row>
    <row r="2545" spans="1:6" x14ac:dyDescent="0.25">
      <c r="A2545" t="str">
        <f t="shared" si="40"/>
        <v>2115+51+207RX0202X</v>
      </c>
      <c r="B2545">
        <v>10017</v>
      </c>
      <c r="C2545">
        <v>2115</v>
      </c>
      <c r="D2545">
        <v>51</v>
      </c>
      <c r="E2545" t="s">
        <v>1017</v>
      </c>
      <c r="F2545" t="s">
        <v>3916</v>
      </c>
    </row>
    <row r="2546" spans="1:6" x14ac:dyDescent="0.25">
      <c r="A2546" t="str">
        <f t="shared" si="40"/>
        <v>2115+114+207RX0202X</v>
      </c>
      <c r="B2546">
        <v>10015</v>
      </c>
      <c r="C2546">
        <v>2115</v>
      </c>
      <c r="D2546">
        <v>114</v>
      </c>
      <c r="E2546" t="s">
        <v>1017</v>
      </c>
      <c r="F2546" t="s">
        <v>3916</v>
      </c>
    </row>
    <row r="2547" spans="1:6" x14ac:dyDescent="0.25">
      <c r="A2547" t="str">
        <f t="shared" si="40"/>
        <v>2116+50+207KA0200X</v>
      </c>
      <c r="B2547">
        <v>10019</v>
      </c>
      <c r="C2547">
        <v>2116</v>
      </c>
      <c r="D2547">
        <v>50</v>
      </c>
      <c r="E2547" t="s">
        <v>1073</v>
      </c>
      <c r="F2547" t="s">
        <v>3730</v>
      </c>
    </row>
    <row r="2548" spans="1:6" x14ac:dyDescent="0.25">
      <c r="A2548" t="str">
        <f t="shared" si="40"/>
        <v>2116+50+2080P0201X</v>
      </c>
      <c r="B2548">
        <v>10022</v>
      </c>
      <c r="C2548">
        <v>2116</v>
      </c>
      <c r="D2548">
        <v>50</v>
      </c>
      <c r="E2548" t="s">
        <v>1275</v>
      </c>
      <c r="F2548" t="s">
        <v>3917</v>
      </c>
    </row>
    <row r="2549" spans="1:6" x14ac:dyDescent="0.25">
      <c r="A2549" t="str">
        <f t="shared" si="40"/>
        <v>2116+51+193400000X</v>
      </c>
      <c r="B2549">
        <v>4513</v>
      </c>
      <c r="C2549">
        <v>2116</v>
      </c>
      <c r="D2549">
        <v>51</v>
      </c>
      <c r="E2549" t="s">
        <v>1447</v>
      </c>
      <c r="F2549" t="s">
        <v>3680</v>
      </c>
    </row>
    <row r="2550" spans="1:6" x14ac:dyDescent="0.25">
      <c r="A2550" t="str">
        <f t="shared" si="40"/>
        <v>2116+51+207KA0200X</v>
      </c>
      <c r="B2550">
        <v>10020</v>
      </c>
      <c r="C2550">
        <v>2116</v>
      </c>
      <c r="D2550">
        <v>51</v>
      </c>
      <c r="E2550" t="s">
        <v>1073</v>
      </c>
      <c r="F2550" t="s">
        <v>3730</v>
      </c>
    </row>
    <row r="2551" spans="1:6" x14ac:dyDescent="0.25">
      <c r="A2551" t="str">
        <f t="shared" si="40"/>
        <v>2116+51+2080P0201X</v>
      </c>
      <c r="B2551">
        <v>10023</v>
      </c>
      <c r="C2551">
        <v>2116</v>
      </c>
      <c r="D2551">
        <v>51</v>
      </c>
      <c r="E2551" t="s">
        <v>1275</v>
      </c>
      <c r="F2551" t="s">
        <v>3917</v>
      </c>
    </row>
    <row r="2552" spans="1:6" x14ac:dyDescent="0.25">
      <c r="A2552" t="str">
        <f t="shared" si="40"/>
        <v>2116+114+207KA0200X</v>
      </c>
      <c r="B2552">
        <v>10018</v>
      </c>
      <c r="C2552">
        <v>2116</v>
      </c>
      <c r="D2552">
        <v>114</v>
      </c>
      <c r="E2552" t="s">
        <v>1073</v>
      </c>
      <c r="F2552" t="s">
        <v>3730</v>
      </c>
    </row>
    <row r="2553" spans="1:6" x14ac:dyDescent="0.25">
      <c r="A2553" t="str">
        <f t="shared" si="40"/>
        <v>2116+114+2080P0201X</v>
      </c>
      <c r="B2553">
        <v>10021</v>
      </c>
      <c r="C2553">
        <v>2116</v>
      </c>
      <c r="D2553">
        <v>114</v>
      </c>
      <c r="E2553" t="s">
        <v>1275</v>
      </c>
      <c r="F2553" t="s">
        <v>3917</v>
      </c>
    </row>
    <row r="2554" spans="1:6" x14ac:dyDescent="0.25">
      <c r="A2554" t="str">
        <f t="shared" si="40"/>
        <v>2117+50+207L00000X</v>
      </c>
      <c r="B2554">
        <v>10025</v>
      </c>
      <c r="C2554">
        <v>2117</v>
      </c>
      <c r="D2554">
        <v>50</v>
      </c>
      <c r="E2554" t="s">
        <v>990</v>
      </c>
      <c r="F2554" t="s">
        <v>3733</v>
      </c>
    </row>
    <row r="2555" spans="1:6" x14ac:dyDescent="0.25">
      <c r="A2555" t="str">
        <f t="shared" si="40"/>
        <v>2117+51+193400000X</v>
      </c>
      <c r="B2555">
        <v>4514</v>
      </c>
      <c r="C2555">
        <v>2117</v>
      </c>
      <c r="D2555">
        <v>51</v>
      </c>
      <c r="E2555" t="s">
        <v>1447</v>
      </c>
      <c r="F2555" t="s">
        <v>3680</v>
      </c>
    </row>
    <row r="2556" spans="1:6" x14ac:dyDescent="0.25">
      <c r="A2556" t="str">
        <f t="shared" si="40"/>
        <v>2117+51+207L00000X</v>
      </c>
      <c r="B2556">
        <v>10026</v>
      </c>
      <c r="C2556">
        <v>2117</v>
      </c>
      <c r="D2556">
        <v>51</v>
      </c>
      <c r="E2556" t="s">
        <v>990</v>
      </c>
      <c r="F2556" t="s">
        <v>3733</v>
      </c>
    </row>
    <row r="2557" spans="1:6" x14ac:dyDescent="0.25">
      <c r="A2557" t="str">
        <f t="shared" si="40"/>
        <v>2117+114+207L00000X</v>
      </c>
      <c r="B2557">
        <v>10024</v>
      </c>
      <c r="C2557">
        <v>2117</v>
      </c>
      <c r="D2557">
        <v>114</v>
      </c>
      <c r="E2557" t="s">
        <v>990</v>
      </c>
      <c r="F2557" t="s">
        <v>3733</v>
      </c>
    </row>
    <row r="2558" spans="1:6" x14ac:dyDescent="0.25">
      <c r="A2558" t="str">
        <f t="shared" si="40"/>
        <v>2118+50+193200000X</v>
      </c>
      <c r="B2558">
        <v>4515</v>
      </c>
      <c r="C2558">
        <v>2118</v>
      </c>
      <c r="D2558">
        <v>50</v>
      </c>
      <c r="E2558" t="s">
        <v>1445</v>
      </c>
      <c r="F2558" t="s">
        <v>1444</v>
      </c>
    </row>
    <row r="2559" spans="1:6" x14ac:dyDescent="0.25">
      <c r="A2559" t="str">
        <f t="shared" si="40"/>
        <v>2121+59+261QF0400X</v>
      </c>
      <c r="B2559">
        <v>9080</v>
      </c>
      <c r="C2559">
        <v>2121</v>
      </c>
      <c r="D2559">
        <v>59</v>
      </c>
      <c r="E2559" t="s">
        <v>266</v>
      </c>
      <c r="F2559" t="s">
        <v>3676</v>
      </c>
    </row>
    <row r="2560" spans="1:6" x14ac:dyDescent="0.25">
      <c r="A2560" t="str">
        <f t="shared" si="40"/>
        <v>2121+93+261QF0400X</v>
      </c>
      <c r="B2560">
        <v>4516</v>
      </c>
      <c r="C2560">
        <v>2121</v>
      </c>
      <c r="D2560">
        <v>93</v>
      </c>
      <c r="E2560" t="s">
        <v>266</v>
      </c>
      <c r="F2560" t="s">
        <v>3572</v>
      </c>
    </row>
    <row r="2561" spans="1:6" x14ac:dyDescent="0.25">
      <c r="A2561" t="str">
        <f t="shared" si="40"/>
        <v>2122+59+261QR1300X</v>
      </c>
      <c r="B2561">
        <v>9081</v>
      </c>
      <c r="C2561">
        <v>2122</v>
      </c>
      <c r="D2561">
        <v>59</v>
      </c>
      <c r="E2561" t="s">
        <v>226</v>
      </c>
      <c r="F2561" t="s">
        <v>3608</v>
      </c>
    </row>
    <row r="2562" spans="1:6" x14ac:dyDescent="0.25">
      <c r="A2562" t="str">
        <f t="shared" si="40"/>
        <v>2122+92+261QR1300X</v>
      </c>
      <c r="B2562">
        <v>4517</v>
      </c>
      <c r="C2562">
        <v>2122</v>
      </c>
      <c r="D2562">
        <v>92</v>
      </c>
      <c r="E2562" t="s">
        <v>226</v>
      </c>
      <c r="F2562" t="s">
        <v>3573</v>
      </c>
    </row>
    <row r="2563" spans="1:6" x14ac:dyDescent="0.25">
      <c r="A2563" t="str">
        <f t="shared" si="40"/>
        <v>2123+1+2083C0008X</v>
      </c>
      <c r="B2563">
        <v>4518</v>
      </c>
      <c r="C2563">
        <v>2123</v>
      </c>
      <c r="D2563">
        <v>1</v>
      </c>
      <c r="E2563" t="s">
        <v>3574</v>
      </c>
      <c r="F2563" t="s">
        <v>3575</v>
      </c>
    </row>
    <row r="2564" spans="1:6" x14ac:dyDescent="0.25">
      <c r="A2564" t="str">
        <f t="shared" si="40"/>
        <v>2123+7+2083C0008X</v>
      </c>
      <c r="B2564">
        <v>4519</v>
      </c>
      <c r="C2564">
        <v>2123</v>
      </c>
      <c r="D2564">
        <v>7</v>
      </c>
      <c r="E2564" t="s">
        <v>3574</v>
      </c>
      <c r="F2564" t="s">
        <v>3575</v>
      </c>
    </row>
    <row r="2565" spans="1:6" x14ac:dyDescent="0.25">
      <c r="A2565" t="str">
        <f t="shared" si="40"/>
        <v>2124+1+207ZC0008X</v>
      </c>
      <c r="B2565">
        <v>4520</v>
      </c>
      <c r="C2565">
        <v>2124</v>
      </c>
      <c r="D2565">
        <v>1</v>
      </c>
      <c r="E2565" t="s">
        <v>3576</v>
      </c>
      <c r="F2565" t="s">
        <v>3577</v>
      </c>
    </row>
    <row r="2566" spans="1:6" x14ac:dyDescent="0.25">
      <c r="A2566" t="str">
        <f t="shared" si="40"/>
        <v>2124+7+207ZC0008X</v>
      </c>
      <c r="B2566">
        <v>4521</v>
      </c>
      <c r="C2566">
        <v>2124</v>
      </c>
      <c r="D2566">
        <v>7</v>
      </c>
      <c r="E2566" t="s">
        <v>3576</v>
      </c>
      <c r="F2566" t="s">
        <v>3577</v>
      </c>
    </row>
    <row r="2567" spans="1:6" x14ac:dyDescent="0.25">
      <c r="A2567" t="str">
        <f t="shared" si="40"/>
        <v>2125+52+273100000X</v>
      </c>
      <c r="B2567">
        <v>9049</v>
      </c>
      <c r="C2567">
        <v>2125</v>
      </c>
      <c r="D2567">
        <v>52</v>
      </c>
      <c r="E2567" t="s">
        <v>36</v>
      </c>
      <c r="F2567" t="s">
        <v>3918</v>
      </c>
    </row>
    <row r="2568" spans="1:6" x14ac:dyDescent="0.25">
      <c r="A2568" t="str">
        <f t="shared" si="40"/>
        <v>2125+52+275N00000X</v>
      </c>
      <c r="B2568">
        <v>4610</v>
      </c>
      <c r="C2568">
        <v>2125</v>
      </c>
      <c r="D2568">
        <v>52</v>
      </c>
      <c r="E2568" t="s">
        <v>48</v>
      </c>
      <c r="F2568" t="s">
        <v>3919</v>
      </c>
    </row>
    <row r="2569" spans="1:6" x14ac:dyDescent="0.25">
      <c r="A2569" t="str">
        <f t="shared" si="40"/>
        <v>2125+52+281P00000X</v>
      </c>
      <c r="B2569">
        <v>9050</v>
      </c>
      <c r="C2569">
        <v>2125</v>
      </c>
      <c r="D2569">
        <v>52</v>
      </c>
      <c r="E2569" t="s">
        <v>53</v>
      </c>
      <c r="F2569" t="s">
        <v>3658</v>
      </c>
    </row>
    <row r="2570" spans="1:6" x14ac:dyDescent="0.25">
      <c r="A2570" t="str">
        <f t="shared" si="40"/>
        <v>2125+52+281PC2000X</v>
      </c>
      <c r="B2570">
        <v>4603</v>
      </c>
      <c r="C2570">
        <v>2125</v>
      </c>
      <c r="D2570">
        <v>52</v>
      </c>
      <c r="E2570" t="s">
        <v>54</v>
      </c>
      <c r="F2570" t="s">
        <v>3591</v>
      </c>
    </row>
    <row r="2571" spans="1:6" x14ac:dyDescent="0.25">
      <c r="A2571" t="str">
        <f t="shared" si="40"/>
        <v>2125+52+282E00000X</v>
      </c>
      <c r="B2571">
        <v>4609</v>
      </c>
      <c r="C2571">
        <v>2125</v>
      </c>
      <c r="D2571">
        <v>52</v>
      </c>
      <c r="E2571" t="s">
        <v>56</v>
      </c>
      <c r="F2571" t="s">
        <v>3920</v>
      </c>
    </row>
    <row r="2572" spans="1:6" x14ac:dyDescent="0.25">
      <c r="A2572" t="str">
        <f t="shared" si="40"/>
        <v>2125+52+282N00000X</v>
      </c>
      <c r="B2572">
        <v>4604</v>
      </c>
      <c r="C2572">
        <v>2125</v>
      </c>
      <c r="D2572">
        <v>52</v>
      </c>
      <c r="E2572" t="s">
        <v>14</v>
      </c>
      <c r="F2572" t="s">
        <v>3659</v>
      </c>
    </row>
    <row r="2573" spans="1:6" x14ac:dyDescent="0.25">
      <c r="A2573" t="str">
        <f t="shared" si="40"/>
        <v>2125+52+282NW0100X</v>
      </c>
      <c r="B2573">
        <v>4607</v>
      </c>
      <c r="C2573">
        <v>2125</v>
      </c>
      <c r="D2573">
        <v>52</v>
      </c>
      <c r="E2573" t="s">
        <v>66</v>
      </c>
      <c r="F2573" t="s">
        <v>3592</v>
      </c>
    </row>
    <row r="2574" spans="1:6" x14ac:dyDescent="0.25">
      <c r="A2574" t="str">
        <f t="shared" ref="A2574:A2637" si="41">C2574 &amp; "+" &amp; D2574 &amp; "+" &amp; E2574</f>
        <v>2125+52+284300000X</v>
      </c>
      <c r="B2574">
        <v>4614</v>
      </c>
      <c r="C2574">
        <v>2125</v>
      </c>
      <c r="D2574">
        <v>52</v>
      </c>
      <c r="E2574" t="s">
        <v>73</v>
      </c>
      <c r="F2574" t="s">
        <v>3921</v>
      </c>
    </row>
    <row r="2575" spans="1:6" x14ac:dyDescent="0.25">
      <c r="A2575" t="str">
        <f t="shared" si="41"/>
        <v>2125+52+286500000X</v>
      </c>
      <c r="B2575">
        <v>9056</v>
      </c>
      <c r="C2575">
        <v>2125</v>
      </c>
      <c r="D2575">
        <v>52</v>
      </c>
      <c r="E2575" t="s">
        <v>75</v>
      </c>
      <c r="F2575" t="s">
        <v>3663</v>
      </c>
    </row>
    <row r="2576" spans="1:6" x14ac:dyDescent="0.25">
      <c r="A2576" t="str">
        <f t="shared" si="41"/>
        <v>2125+52+2865C1500X</v>
      </c>
      <c r="B2576">
        <v>9052</v>
      </c>
      <c r="C2576">
        <v>2125</v>
      </c>
      <c r="D2576">
        <v>52</v>
      </c>
      <c r="E2576" t="s">
        <v>77</v>
      </c>
      <c r="F2576" t="s">
        <v>3922</v>
      </c>
    </row>
    <row r="2577" spans="1:6" x14ac:dyDescent="0.25">
      <c r="A2577" t="str">
        <f t="shared" si="41"/>
        <v>2125+52+2865M2000X</v>
      </c>
      <c r="B2577">
        <v>9053</v>
      </c>
      <c r="C2577">
        <v>2125</v>
      </c>
      <c r="D2577">
        <v>52</v>
      </c>
      <c r="E2577" t="s">
        <v>79</v>
      </c>
      <c r="F2577" t="s">
        <v>3660</v>
      </c>
    </row>
    <row r="2578" spans="1:6" x14ac:dyDescent="0.25">
      <c r="A2578" t="str">
        <f t="shared" si="41"/>
        <v>2125+52+2865X1600X</v>
      </c>
      <c r="B2578">
        <v>9054</v>
      </c>
      <c r="C2578">
        <v>2125</v>
      </c>
      <c r="D2578">
        <v>52</v>
      </c>
      <c r="E2578" t="s">
        <v>81</v>
      </c>
      <c r="F2578" t="s">
        <v>3661</v>
      </c>
    </row>
    <row r="2579" spans="1:6" x14ac:dyDescent="0.25">
      <c r="A2579" t="str">
        <f t="shared" si="41"/>
        <v>2125+52+287300000X</v>
      </c>
      <c r="B2579">
        <v>9055</v>
      </c>
      <c r="C2579">
        <v>2125</v>
      </c>
      <c r="D2579">
        <v>52</v>
      </c>
      <c r="E2579" t="s">
        <v>83</v>
      </c>
      <c r="F2579" t="s">
        <v>3662</v>
      </c>
    </row>
    <row r="2580" spans="1:6" x14ac:dyDescent="0.25">
      <c r="A2580" t="str">
        <f t="shared" si="41"/>
        <v>2126+52+282NR1301X</v>
      </c>
      <c r="B2580">
        <v>4616</v>
      </c>
      <c r="C2580">
        <v>2126</v>
      </c>
      <c r="D2580">
        <v>52</v>
      </c>
      <c r="E2580" t="s">
        <v>62</v>
      </c>
      <c r="F2580" t="s">
        <v>3593</v>
      </c>
    </row>
    <row r="2581" spans="1:6" x14ac:dyDescent="0.25">
      <c r="A2581" t="str">
        <f t="shared" si="41"/>
        <v>2127+65+3416A0800X</v>
      </c>
      <c r="B2581">
        <v>4619</v>
      </c>
      <c r="C2581">
        <v>2127</v>
      </c>
      <c r="D2581">
        <v>65</v>
      </c>
      <c r="E2581" t="s">
        <v>881</v>
      </c>
      <c r="F2581" t="s">
        <v>3594</v>
      </c>
    </row>
    <row r="2582" spans="1:6" x14ac:dyDescent="0.25">
      <c r="A2582" t="str">
        <f t="shared" si="41"/>
        <v>2127+65+3418M1120X</v>
      </c>
      <c r="B2582">
        <v>9067</v>
      </c>
      <c r="C2582">
        <v>2127</v>
      </c>
      <c r="D2582">
        <v>65</v>
      </c>
      <c r="E2582" t="s">
        <v>885</v>
      </c>
      <c r="F2582" t="s">
        <v>3673</v>
      </c>
    </row>
    <row r="2583" spans="1:6" x14ac:dyDescent="0.25">
      <c r="A2583" t="str">
        <f t="shared" si="41"/>
        <v>2128+65+341600000X</v>
      </c>
      <c r="B2583">
        <v>4621</v>
      </c>
      <c r="C2583">
        <v>2128</v>
      </c>
      <c r="D2583">
        <v>65</v>
      </c>
      <c r="E2583" t="s">
        <v>901</v>
      </c>
      <c r="F2583" t="s">
        <v>3923</v>
      </c>
    </row>
    <row r="2584" spans="1:6" x14ac:dyDescent="0.25">
      <c r="A2584" t="str">
        <f t="shared" si="41"/>
        <v>2128+65+3416L0300X</v>
      </c>
      <c r="B2584">
        <v>4623</v>
      </c>
      <c r="C2584">
        <v>2128</v>
      </c>
      <c r="D2584">
        <v>65</v>
      </c>
      <c r="E2584" t="s">
        <v>904</v>
      </c>
      <c r="F2584" t="s">
        <v>3595</v>
      </c>
    </row>
    <row r="2585" spans="1:6" x14ac:dyDescent="0.25">
      <c r="A2585" t="str">
        <f t="shared" si="41"/>
        <v>2128+65+3416S0300X</v>
      </c>
      <c r="B2585">
        <v>9064</v>
      </c>
      <c r="C2585">
        <v>2128</v>
      </c>
      <c r="D2585">
        <v>65</v>
      </c>
      <c r="E2585" t="s">
        <v>906</v>
      </c>
      <c r="F2585" t="s">
        <v>3670</v>
      </c>
    </row>
    <row r="2586" spans="1:6" x14ac:dyDescent="0.25">
      <c r="A2586" t="str">
        <f t="shared" si="41"/>
        <v>2128+65+341800000X</v>
      </c>
      <c r="B2586">
        <v>9065</v>
      </c>
      <c r="C2586">
        <v>2128</v>
      </c>
      <c r="D2586">
        <v>65</v>
      </c>
      <c r="E2586" t="s">
        <v>907</v>
      </c>
      <c r="F2586" t="s">
        <v>3671</v>
      </c>
    </row>
    <row r="2587" spans="1:6" x14ac:dyDescent="0.25">
      <c r="A2587" t="str">
        <f t="shared" si="41"/>
        <v>2128+65+3418M1110X</v>
      </c>
      <c r="B2587">
        <v>9066</v>
      </c>
      <c r="C2587">
        <v>2128</v>
      </c>
      <c r="D2587">
        <v>65</v>
      </c>
      <c r="E2587" t="s">
        <v>909</v>
      </c>
      <c r="F2587" t="s">
        <v>3672</v>
      </c>
    </row>
    <row r="2588" spans="1:6" x14ac:dyDescent="0.25">
      <c r="A2588" t="str">
        <f t="shared" si="41"/>
        <v>2128+65+3418M1130X</v>
      </c>
      <c r="B2588">
        <v>9068</v>
      </c>
      <c r="C2588">
        <v>2128</v>
      </c>
      <c r="D2588">
        <v>65</v>
      </c>
      <c r="E2588" t="s">
        <v>911</v>
      </c>
      <c r="F2588" t="s">
        <v>3674</v>
      </c>
    </row>
    <row r="2589" spans="1:6" x14ac:dyDescent="0.25">
      <c r="A2589" t="str">
        <f t="shared" si="41"/>
        <v>2130+52+282NC2000X</v>
      </c>
      <c r="B2589">
        <v>4627</v>
      </c>
      <c r="C2589">
        <v>2130</v>
      </c>
      <c r="D2589">
        <v>52</v>
      </c>
      <c r="E2589" t="s">
        <v>21</v>
      </c>
      <c r="F2589" t="s">
        <v>3597</v>
      </c>
    </row>
    <row r="2590" spans="1:6" x14ac:dyDescent="0.25">
      <c r="A2590" t="str">
        <f t="shared" si="41"/>
        <v>2131+95+172A00000X</v>
      </c>
      <c r="B2590">
        <v>9368</v>
      </c>
      <c r="C2590">
        <v>2131</v>
      </c>
      <c r="D2590">
        <v>95</v>
      </c>
      <c r="E2590" t="s">
        <v>872</v>
      </c>
      <c r="F2590" t="s">
        <v>3924</v>
      </c>
    </row>
    <row r="2591" spans="1:6" x14ac:dyDescent="0.25">
      <c r="A2591" t="str">
        <f t="shared" si="41"/>
        <v>2131+95+343900000X</v>
      </c>
      <c r="B2591">
        <v>4630</v>
      </c>
      <c r="C2591">
        <v>2131</v>
      </c>
      <c r="D2591">
        <v>95</v>
      </c>
      <c r="E2591" t="s">
        <v>887</v>
      </c>
      <c r="F2591" t="s">
        <v>3925</v>
      </c>
    </row>
    <row r="2592" spans="1:6" x14ac:dyDescent="0.25">
      <c r="A2592" t="str">
        <f t="shared" si="41"/>
        <v>2132+95+176P00000X</v>
      </c>
      <c r="B2592">
        <v>9370</v>
      </c>
      <c r="C2592">
        <v>2132</v>
      </c>
      <c r="D2592">
        <v>95</v>
      </c>
      <c r="E2592" t="s">
        <v>876</v>
      </c>
      <c r="F2592" t="s">
        <v>3926</v>
      </c>
    </row>
    <row r="2593" spans="1:6" x14ac:dyDescent="0.25">
      <c r="A2593" t="str">
        <f t="shared" si="41"/>
        <v>2132+95+343900000X</v>
      </c>
      <c r="B2593">
        <v>4631</v>
      </c>
      <c r="C2593">
        <v>2132</v>
      </c>
      <c r="D2593">
        <v>95</v>
      </c>
      <c r="E2593" t="s">
        <v>887</v>
      </c>
      <c r="F2593" t="s">
        <v>3925</v>
      </c>
    </row>
    <row r="2594" spans="1:6" x14ac:dyDescent="0.25">
      <c r="A2594" t="str">
        <f t="shared" si="41"/>
        <v>2132+95+344800000X</v>
      </c>
      <c r="B2594">
        <v>9373</v>
      </c>
      <c r="C2594">
        <v>2132</v>
      </c>
      <c r="D2594">
        <v>95</v>
      </c>
      <c r="E2594" t="s">
        <v>918</v>
      </c>
      <c r="F2594" t="s">
        <v>3927</v>
      </c>
    </row>
    <row r="2595" spans="1:6" x14ac:dyDescent="0.25">
      <c r="A2595" t="str">
        <f t="shared" si="41"/>
        <v>2132+95+347D00000X</v>
      </c>
      <c r="B2595">
        <v>9372</v>
      </c>
      <c r="C2595">
        <v>2132</v>
      </c>
      <c r="D2595">
        <v>95</v>
      </c>
      <c r="E2595" t="s">
        <v>898</v>
      </c>
      <c r="F2595" t="s">
        <v>3928</v>
      </c>
    </row>
    <row r="2596" spans="1:6" x14ac:dyDescent="0.25">
      <c r="A2596" t="str">
        <f t="shared" si="41"/>
        <v>2132+95+347E00000X</v>
      </c>
      <c r="B2596">
        <v>4632</v>
      </c>
      <c r="C2596">
        <v>2132</v>
      </c>
      <c r="D2596">
        <v>95</v>
      </c>
      <c r="E2596" t="s">
        <v>900</v>
      </c>
      <c r="F2596" t="s">
        <v>3929</v>
      </c>
    </row>
    <row r="2597" spans="1:6" x14ac:dyDescent="0.25">
      <c r="A2597" t="str">
        <f t="shared" si="41"/>
        <v>2133+50+261QC1500X</v>
      </c>
      <c r="B2597">
        <v>10251</v>
      </c>
      <c r="C2597">
        <v>2133</v>
      </c>
      <c r="D2597">
        <v>50</v>
      </c>
      <c r="E2597" t="s">
        <v>249</v>
      </c>
      <c r="F2597" t="s">
        <v>3598</v>
      </c>
    </row>
    <row r="2598" spans="1:6" x14ac:dyDescent="0.25">
      <c r="A2598" t="str">
        <f t="shared" si="41"/>
        <v>2133+50+261QC1800X</v>
      </c>
      <c r="B2598">
        <v>10252</v>
      </c>
      <c r="C2598">
        <v>2133</v>
      </c>
      <c r="D2598">
        <v>50</v>
      </c>
      <c r="E2598" t="s">
        <v>252</v>
      </c>
      <c r="F2598" t="s">
        <v>3624</v>
      </c>
    </row>
    <row r="2599" spans="1:6" x14ac:dyDescent="0.25">
      <c r="A2599" t="str">
        <f t="shared" si="41"/>
        <v>2133+51+261QC1500X</v>
      </c>
      <c r="B2599">
        <v>9136</v>
      </c>
      <c r="C2599">
        <v>2133</v>
      </c>
      <c r="D2599">
        <v>51</v>
      </c>
      <c r="E2599" t="s">
        <v>249</v>
      </c>
      <c r="F2599" t="s">
        <v>3598</v>
      </c>
    </row>
    <row r="2600" spans="1:6" x14ac:dyDescent="0.25">
      <c r="A2600" t="str">
        <f t="shared" si="41"/>
        <v>2133+51+261QC1800X</v>
      </c>
      <c r="B2600">
        <v>9137</v>
      </c>
      <c r="C2600">
        <v>2133</v>
      </c>
      <c r="D2600">
        <v>51</v>
      </c>
      <c r="E2600" t="s">
        <v>252</v>
      </c>
      <c r="F2600" t="s">
        <v>3624</v>
      </c>
    </row>
    <row r="2601" spans="1:6" x14ac:dyDescent="0.25">
      <c r="A2601" t="str">
        <f t="shared" si="41"/>
        <v>2133+59+261QC1500X</v>
      </c>
      <c r="B2601">
        <v>4636</v>
      </c>
      <c r="C2601">
        <v>2133</v>
      </c>
      <c r="D2601">
        <v>59</v>
      </c>
      <c r="E2601" t="s">
        <v>249</v>
      </c>
      <c r="F2601" t="s">
        <v>3598</v>
      </c>
    </row>
    <row r="2602" spans="1:6" x14ac:dyDescent="0.25">
      <c r="A2602" t="str">
        <f t="shared" si="41"/>
        <v>2133+59+261QC1800X</v>
      </c>
      <c r="B2602">
        <v>9006</v>
      </c>
      <c r="C2602">
        <v>2133</v>
      </c>
      <c r="D2602">
        <v>59</v>
      </c>
      <c r="E2602" t="s">
        <v>252</v>
      </c>
      <c r="F2602" t="s">
        <v>3624</v>
      </c>
    </row>
    <row r="2603" spans="1:6" x14ac:dyDescent="0.25">
      <c r="A2603" t="str">
        <f t="shared" si="41"/>
        <v>2134+61+251K00000X</v>
      </c>
      <c r="B2603">
        <v>4646</v>
      </c>
      <c r="C2603">
        <v>2134</v>
      </c>
      <c r="D2603">
        <v>61</v>
      </c>
      <c r="E2603" t="s">
        <v>549</v>
      </c>
      <c r="F2603" t="s">
        <v>3930</v>
      </c>
    </row>
    <row r="2604" spans="1:6" x14ac:dyDescent="0.25">
      <c r="A2604" t="str">
        <f t="shared" si="41"/>
        <v>2135+52+282N00000X</v>
      </c>
      <c r="B2604">
        <v>4648</v>
      </c>
      <c r="C2604">
        <v>2135</v>
      </c>
      <c r="D2604">
        <v>52</v>
      </c>
      <c r="E2604" t="s">
        <v>14</v>
      </c>
      <c r="F2604" t="s">
        <v>3659</v>
      </c>
    </row>
    <row r="2605" spans="1:6" x14ac:dyDescent="0.25">
      <c r="A2605" t="str">
        <f t="shared" si="41"/>
        <v>2135+52+282NC0060X</v>
      </c>
      <c r="B2605">
        <v>4649</v>
      </c>
      <c r="C2605">
        <v>2135</v>
      </c>
      <c r="D2605">
        <v>52</v>
      </c>
      <c r="E2605" t="s">
        <v>60</v>
      </c>
      <c r="F2605" t="s">
        <v>3599</v>
      </c>
    </row>
    <row r="2606" spans="1:6" x14ac:dyDescent="0.25">
      <c r="A2606" t="str">
        <f t="shared" si="41"/>
        <v>2136+50+261QD0000X</v>
      </c>
      <c r="B2606">
        <v>10240</v>
      </c>
      <c r="C2606">
        <v>2136</v>
      </c>
      <c r="D2606">
        <v>50</v>
      </c>
      <c r="E2606" t="s">
        <v>254</v>
      </c>
      <c r="F2606" t="s">
        <v>3600</v>
      </c>
    </row>
    <row r="2607" spans="1:6" x14ac:dyDescent="0.25">
      <c r="A2607" t="str">
        <f t="shared" si="41"/>
        <v>2136+51+261QD0000X</v>
      </c>
      <c r="B2607">
        <v>9125</v>
      </c>
      <c r="C2607">
        <v>2136</v>
      </c>
      <c r="D2607">
        <v>51</v>
      </c>
      <c r="E2607" t="s">
        <v>254</v>
      </c>
      <c r="F2607" t="s">
        <v>3600</v>
      </c>
    </row>
    <row r="2608" spans="1:6" x14ac:dyDescent="0.25">
      <c r="A2608" t="str">
        <f t="shared" si="41"/>
        <v>2136+59+261QD0000X</v>
      </c>
      <c r="B2608">
        <v>4651</v>
      </c>
      <c r="C2608">
        <v>2136</v>
      </c>
      <c r="D2608">
        <v>59</v>
      </c>
      <c r="E2608" t="s">
        <v>254</v>
      </c>
      <c r="F2608" t="s">
        <v>3600</v>
      </c>
    </row>
    <row r="2609" spans="1:6" x14ac:dyDescent="0.25">
      <c r="A2609" t="str">
        <f t="shared" si="41"/>
        <v>2137+64+332B00000X</v>
      </c>
      <c r="B2609">
        <v>4662</v>
      </c>
      <c r="C2609">
        <v>2137</v>
      </c>
      <c r="D2609">
        <v>64</v>
      </c>
      <c r="E2609" t="s">
        <v>851</v>
      </c>
      <c r="F2609" t="s">
        <v>3641</v>
      </c>
    </row>
    <row r="2610" spans="1:6" x14ac:dyDescent="0.25">
      <c r="A2610" t="str">
        <f t="shared" si="41"/>
        <v>2137+64+332BC3200X</v>
      </c>
      <c r="B2610">
        <v>4663</v>
      </c>
      <c r="C2610">
        <v>2137</v>
      </c>
      <c r="D2610">
        <v>64</v>
      </c>
      <c r="E2610" t="s">
        <v>853</v>
      </c>
      <c r="F2610" t="s">
        <v>3601</v>
      </c>
    </row>
    <row r="2611" spans="1:6" x14ac:dyDescent="0.25">
      <c r="A2611" t="str">
        <f t="shared" si="41"/>
        <v>2137+64+332BD1200X</v>
      </c>
      <c r="B2611">
        <v>4664</v>
      </c>
      <c r="C2611">
        <v>2137</v>
      </c>
      <c r="D2611">
        <v>64</v>
      </c>
      <c r="E2611" t="s">
        <v>855</v>
      </c>
      <c r="F2611" t="s">
        <v>3602</v>
      </c>
    </row>
    <row r="2612" spans="1:6" x14ac:dyDescent="0.25">
      <c r="A2612" t="str">
        <f t="shared" si="41"/>
        <v>2137+64+332BN1400X</v>
      </c>
      <c r="B2612">
        <v>4665</v>
      </c>
      <c r="C2612">
        <v>2137</v>
      </c>
      <c r="D2612">
        <v>64</v>
      </c>
      <c r="E2612" t="s">
        <v>857</v>
      </c>
      <c r="F2612" t="s">
        <v>3603</v>
      </c>
    </row>
    <row r="2613" spans="1:6" x14ac:dyDescent="0.25">
      <c r="A2613" t="str">
        <f t="shared" si="41"/>
        <v>2137+64+332BP3500X</v>
      </c>
      <c r="B2613">
        <v>4667</v>
      </c>
      <c r="C2613">
        <v>2137</v>
      </c>
      <c r="D2613">
        <v>64</v>
      </c>
      <c r="E2613" t="s">
        <v>859</v>
      </c>
      <c r="F2613" t="s">
        <v>3605</v>
      </c>
    </row>
    <row r="2614" spans="1:6" x14ac:dyDescent="0.25">
      <c r="A2614" t="str">
        <f t="shared" si="41"/>
        <v>2137+64+332BX2000X</v>
      </c>
      <c r="B2614">
        <v>4666</v>
      </c>
      <c r="C2614">
        <v>2137</v>
      </c>
      <c r="D2614">
        <v>64</v>
      </c>
      <c r="E2614" t="s">
        <v>861</v>
      </c>
      <c r="F2614" t="s">
        <v>3604</v>
      </c>
    </row>
    <row r="2615" spans="1:6" x14ac:dyDescent="0.25">
      <c r="A2615" t="str">
        <f t="shared" si="41"/>
        <v>2137+64+332H00000X</v>
      </c>
      <c r="B2615">
        <v>4668</v>
      </c>
      <c r="C2615">
        <v>2137</v>
      </c>
      <c r="D2615">
        <v>64</v>
      </c>
      <c r="E2615" t="s">
        <v>863</v>
      </c>
      <c r="F2615" t="s">
        <v>3931</v>
      </c>
    </row>
    <row r="2616" spans="1:6" x14ac:dyDescent="0.25">
      <c r="A2616" t="str">
        <f t="shared" si="41"/>
        <v>2137+64+335G00000X</v>
      </c>
      <c r="B2616">
        <v>9059</v>
      </c>
      <c r="C2616">
        <v>2137</v>
      </c>
      <c r="D2616">
        <v>64</v>
      </c>
      <c r="E2616" t="s">
        <v>868</v>
      </c>
      <c r="F2616" t="s">
        <v>3666</v>
      </c>
    </row>
    <row r="2617" spans="1:6" x14ac:dyDescent="0.25">
      <c r="A2617" t="str">
        <f t="shared" si="41"/>
        <v>2137+64+335V00000X</v>
      </c>
      <c r="B2617">
        <v>4684</v>
      </c>
      <c r="C2617">
        <v>2137</v>
      </c>
      <c r="D2617">
        <v>64</v>
      </c>
      <c r="E2617" t="s">
        <v>870</v>
      </c>
      <c r="F2617" t="s">
        <v>3932</v>
      </c>
    </row>
    <row r="2618" spans="1:6" x14ac:dyDescent="0.25">
      <c r="A2618" t="str">
        <f t="shared" si="41"/>
        <v>2138+50+261QH0100X</v>
      </c>
      <c r="B2618">
        <v>10250</v>
      </c>
      <c r="C2618">
        <v>2138</v>
      </c>
      <c r="D2618">
        <v>50</v>
      </c>
      <c r="E2618" t="s">
        <v>205</v>
      </c>
      <c r="F2618" t="s">
        <v>3606</v>
      </c>
    </row>
    <row r="2619" spans="1:6" x14ac:dyDescent="0.25">
      <c r="A2619" t="str">
        <f t="shared" si="41"/>
        <v>2138+51+261QH0100X</v>
      </c>
      <c r="B2619">
        <v>9135</v>
      </c>
      <c r="C2619">
        <v>2138</v>
      </c>
      <c r="D2619">
        <v>51</v>
      </c>
      <c r="E2619" t="s">
        <v>205</v>
      </c>
      <c r="F2619" t="s">
        <v>3606</v>
      </c>
    </row>
    <row r="2620" spans="1:6" x14ac:dyDescent="0.25">
      <c r="A2620" t="str">
        <f t="shared" si="41"/>
        <v>2138+59+261QH0100X</v>
      </c>
      <c r="B2620">
        <v>4690</v>
      </c>
      <c r="C2620">
        <v>2138</v>
      </c>
      <c r="D2620">
        <v>59</v>
      </c>
      <c r="E2620" t="s">
        <v>205</v>
      </c>
      <c r="F2620" t="s">
        <v>3606</v>
      </c>
    </row>
    <row r="2621" spans="1:6" x14ac:dyDescent="0.25">
      <c r="A2621" t="str">
        <f t="shared" si="41"/>
        <v>2138+61+252Y00000X</v>
      </c>
      <c r="B2621">
        <v>9060</v>
      </c>
      <c r="C2621">
        <v>2138</v>
      </c>
      <c r="D2621">
        <v>61</v>
      </c>
      <c r="E2621" t="s">
        <v>554</v>
      </c>
      <c r="F2621" t="s">
        <v>3933</v>
      </c>
    </row>
    <row r="2622" spans="1:6" x14ac:dyDescent="0.25">
      <c r="A2622" t="str">
        <f t="shared" si="41"/>
        <v>2139+95+347C00000X</v>
      </c>
      <c r="B2622">
        <v>4691</v>
      </c>
      <c r="C2622">
        <v>2139</v>
      </c>
      <c r="D2622">
        <v>95</v>
      </c>
      <c r="E2622" t="s">
        <v>895</v>
      </c>
      <c r="F2622" t="s">
        <v>3934</v>
      </c>
    </row>
    <row r="2623" spans="1:6" x14ac:dyDescent="0.25">
      <c r="A2623" t="str">
        <f t="shared" si="41"/>
        <v>2141+59+261QR1300X</v>
      </c>
      <c r="B2623">
        <v>4694</v>
      </c>
      <c r="C2623">
        <v>2141</v>
      </c>
      <c r="D2623">
        <v>59</v>
      </c>
      <c r="E2623" t="s">
        <v>226</v>
      </c>
      <c r="F2623" t="s">
        <v>3608</v>
      </c>
    </row>
    <row r="2624" spans="1:6" x14ac:dyDescent="0.25">
      <c r="A2624" t="str">
        <f t="shared" si="41"/>
        <v>2142+68+261QE0700X</v>
      </c>
      <c r="B2624">
        <v>4696</v>
      </c>
      <c r="C2624">
        <v>2142</v>
      </c>
      <c r="D2624">
        <v>68</v>
      </c>
      <c r="E2624" t="s">
        <v>985</v>
      </c>
      <c r="F2624" t="s">
        <v>3609</v>
      </c>
    </row>
    <row r="2625" spans="1:6" x14ac:dyDescent="0.25">
      <c r="A2625" t="str">
        <f t="shared" si="41"/>
        <v>2143+67+261QR0200X</v>
      </c>
      <c r="B2625">
        <v>4699</v>
      </c>
      <c r="C2625">
        <v>2143</v>
      </c>
      <c r="D2625">
        <v>67</v>
      </c>
      <c r="E2625" t="s">
        <v>979</v>
      </c>
      <c r="F2625" t="s">
        <v>3935</v>
      </c>
    </row>
    <row r="2626" spans="1:6" x14ac:dyDescent="0.25">
      <c r="A2626" t="str">
        <f t="shared" si="41"/>
        <v>2144+84+253Z00000X</v>
      </c>
      <c r="B2626">
        <v>10075</v>
      </c>
      <c r="C2626">
        <v>2144</v>
      </c>
      <c r="D2626">
        <v>84</v>
      </c>
      <c r="E2626" t="s">
        <v>1527</v>
      </c>
      <c r="F2626" t="s">
        <v>3936</v>
      </c>
    </row>
    <row r="2627" spans="1:6" x14ac:dyDescent="0.25">
      <c r="A2627" t="str">
        <f t="shared" si="41"/>
        <v>2145+56+251E00000X</v>
      </c>
      <c r="B2627">
        <v>4740</v>
      </c>
      <c r="C2627">
        <v>2145</v>
      </c>
      <c r="D2627">
        <v>56</v>
      </c>
      <c r="E2627" t="s">
        <v>177</v>
      </c>
      <c r="F2627" t="s">
        <v>3655</v>
      </c>
    </row>
    <row r="2628" spans="1:6" x14ac:dyDescent="0.25">
      <c r="A2628" t="str">
        <f t="shared" si="41"/>
        <v>2146+57+251G00000X</v>
      </c>
      <c r="B2628">
        <v>4770</v>
      </c>
      <c r="C2628">
        <v>2146</v>
      </c>
      <c r="D2628">
        <v>57</v>
      </c>
      <c r="E2628" t="s">
        <v>193</v>
      </c>
      <c r="F2628" t="s">
        <v>3937</v>
      </c>
    </row>
    <row r="2629" spans="1:6" x14ac:dyDescent="0.25">
      <c r="A2629" t="str">
        <f t="shared" si="41"/>
        <v>2146+57+315D00000X</v>
      </c>
      <c r="B2629">
        <v>4771</v>
      </c>
      <c r="C2629">
        <v>2146</v>
      </c>
      <c r="D2629">
        <v>57</v>
      </c>
      <c r="E2629" t="s">
        <v>198</v>
      </c>
      <c r="F2629" t="s">
        <v>3938</v>
      </c>
    </row>
    <row r="2630" spans="1:6" x14ac:dyDescent="0.25">
      <c r="A2630" t="str">
        <f t="shared" si="41"/>
        <v>2147+59+261QR1300X</v>
      </c>
      <c r="B2630">
        <v>4773</v>
      </c>
      <c r="C2630">
        <v>2147</v>
      </c>
      <c r="D2630">
        <v>59</v>
      </c>
      <c r="E2630" t="s">
        <v>226</v>
      </c>
      <c r="F2630" t="s">
        <v>3608</v>
      </c>
    </row>
    <row r="2631" spans="1:6" x14ac:dyDescent="0.25">
      <c r="A2631" t="str">
        <f t="shared" si="41"/>
        <v>2148+54+315P00000X</v>
      </c>
      <c r="B2631">
        <v>9074</v>
      </c>
      <c r="C2631">
        <v>2148</v>
      </c>
      <c r="D2631">
        <v>54</v>
      </c>
      <c r="E2631" t="s">
        <v>125</v>
      </c>
      <c r="F2631" t="s">
        <v>3939</v>
      </c>
    </row>
    <row r="2632" spans="1:6" x14ac:dyDescent="0.25">
      <c r="A2632" t="str">
        <f t="shared" si="41"/>
        <v>2149+66+291900000X</v>
      </c>
      <c r="B2632">
        <v>4777</v>
      </c>
      <c r="C2632">
        <v>2149</v>
      </c>
      <c r="D2632">
        <v>66</v>
      </c>
      <c r="E2632" t="s">
        <v>967</v>
      </c>
      <c r="F2632" t="s">
        <v>3940</v>
      </c>
    </row>
    <row r="2633" spans="1:6" x14ac:dyDescent="0.25">
      <c r="A2633" t="str">
        <f t="shared" si="41"/>
        <v>2149+66+291U00000X</v>
      </c>
      <c r="B2633">
        <v>4776</v>
      </c>
      <c r="C2633">
        <v>2149</v>
      </c>
      <c r="D2633">
        <v>66</v>
      </c>
      <c r="E2633" t="s">
        <v>970</v>
      </c>
      <c r="F2633" t="s">
        <v>3941</v>
      </c>
    </row>
    <row r="2634" spans="1:6" x14ac:dyDescent="0.25">
      <c r="A2634" t="str">
        <f t="shared" si="41"/>
        <v>2149+66+292200000X</v>
      </c>
      <c r="B2634">
        <v>9058</v>
      </c>
      <c r="C2634">
        <v>2149</v>
      </c>
      <c r="D2634">
        <v>66</v>
      </c>
      <c r="E2634" t="s">
        <v>972</v>
      </c>
      <c r="F2634" t="s">
        <v>3665</v>
      </c>
    </row>
    <row r="2635" spans="1:6" x14ac:dyDescent="0.25">
      <c r="A2635" t="str">
        <f t="shared" si="41"/>
        <v>2149+66+293D00000X</v>
      </c>
      <c r="B2635">
        <v>4780</v>
      </c>
      <c r="C2635">
        <v>2149</v>
      </c>
      <c r="D2635">
        <v>66</v>
      </c>
      <c r="E2635" t="s">
        <v>974</v>
      </c>
      <c r="F2635" t="s">
        <v>3942</v>
      </c>
    </row>
    <row r="2636" spans="1:6" x14ac:dyDescent="0.25">
      <c r="A2636" t="str">
        <f t="shared" si="41"/>
        <v>2150+50+261QH0100X</v>
      </c>
      <c r="B2636">
        <v>10247</v>
      </c>
      <c r="C2636">
        <v>2150</v>
      </c>
      <c r="D2636">
        <v>50</v>
      </c>
      <c r="E2636" t="s">
        <v>205</v>
      </c>
      <c r="F2636" t="s">
        <v>3606</v>
      </c>
    </row>
    <row r="2637" spans="1:6" x14ac:dyDescent="0.25">
      <c r="A2637" t="str">
        <f t="shared" si="41"/>
        <v>2150+51+261QH0100X</v>
      </c>
      <c r="B2637">
        <v>9132</v>
      </c>
      <c r="C2637">
        <v>2150</v>
      </c>
      <c r="D2637">
        <v>51</v>
      </c>
      <c r="E2637" t="s">
        <v>205</v>
      </c>
      <c r="F2637" t="s">
        <v>3606</v>
      </c>
    </row>
    <row r="2638" spans="1:6" x14ac:dyDescent="0.25">
      <c r="A2638" t="str">
        <f t="shared" ref="A2638:A2701" si="42">C2638 &amp; "+" &amp; D2638 &amp; "+" &amp; E2638</f>
        <v>2150+59+261QH0100X</v>
      </c>
      <c r="B2638">
        <v>4782</v>
      </c>
      <c r="C2638">
        <v>2150</v>
      </c>
      <c r="D2638">
        <v>59</v>
      </c>
      <c r="E2638" t="s">
        <v>205</v>
      </c>
      <c r="F2638" t="s">
        <v>3606</v>
      </c>
    </row>
    <row r="2639" spans="1:6" x14ac:dyDescent="0.25">
      <c r="A2639" t="str">
        <f t="shared" si="42"/>
        <v>2151+52+283Q00000X</v>
      </c>
      <c r="B2639">
        <v>4783</v>
      </c>
      <c r="C2639">
        <v>2151</v>
      </c>
      <c r="D2639">
        <v>52</v>
      </c>
      <c r="E2639" t="s">
        <v>25</v>
      </c>
      <c r="F2639" t="s">
        <v>3943</v>
      </c>
    </row>
    <row r="2640" spans="1:6" x14ac:dyDescent="0.25">
      <c r="A2640" t="str">
        <f t="shared" si="42"/>
        <v>2152+52+283Q00000X</v>
      </c>
      <c r="B2640">
        <v>4785</v>
      </c>
      <c r="C2640">
        <v>2152</v>
      </c>
      <c r="D2640">
        <v>52</v>
      </c>
      <c r="E2640" t="s">
        <v>25</v>
      </c>
      <c r="F2640" t="s">
        <v>3943</v>
      </c>
    </row>
    <row r="2641" spans="1:6" x14ac:dyDescent="0.25">
      <c r="A2641" t="str">
        <f t="shared" si="42"/>
        <v>2153+67+261QR0207X</v>
      </c>
      <c r="B2641">
        <v>4787</v>
      </c>
      <c r="C2641">
        <v>2153</v>
      </c>
      <c r="D2641">
        <v>67</v>
      </c>
      <c r="E2641" t="s">
        <v>982</v>
      </c>
      <c r="F2641" t="s">
        <v>3944</v>
      </c>
    </row>
    <row r="2642" spans="1:6" x14ac:dyDescent="0.25">
      <c r="A2642" t="str">
        <f t="shared" si="42"/>
        <v>2153+67+261QR0208X</v>
      </c>
      <c r="B2642">
        <v>4786</v>
      </c>
      <c r="C2642">
        <v>2153</v>
      </c>
      <c r="D2642">
        <v>67</v>
      </c>
      <c r="E2642" t="s">
        <v>962</v>
      </c>
      <c r="F2642" t="s">
        <v>3664</v>
      </c>
    </row>
    <row r="2643" spans="1:6" x14ac:dyDescent="0.25">
      <c r="A2643" t="str">
        <f t="shared" si="42"/>
        <v>2154+50+363L00000X</v>
      </c>
      <c r="B2643">
        <v>10238</v>
      </c>
      <c r="C2643">
        <v>2154</v>
      </c>
      <c r="D2643">
        <v>50</v>
      </c>
      <c r="E2643" t="s">
        <v>230</v>
      </c>
      <c r="F2643" t="s">
        <v>3945</v>
      </c>
    </row>
    <row r="2644" spans="1:6" x14ac:dyDescent="0.25">
      <c r="A2644" t="str">
        <f t="shared" si="42"/>
        <v>2154+51+363L00000X</v>
      </c>
      <c r="B2644">
        <v>9123</v>
      </c>
      <c r="C2644">
        <v>2154</v>
      </c>
      <c r="D2644">
        <v>51</v>
      </c>
      <c r="E2644" t="s">
        <v>230</v>
      </c>
      <c r="F2644" t="s">
        <v>3945</v>
      </c>
    </row>
    <row r="2645" spans="1:6" x14ac:dyDescent="0.25">
      <c r="A2645" t="str">
        <f t="shared" si="42"/>
        <v>2156+50+261QH0100X</v>
      </c>
      <c r="B2645">
        <v>10243</v>
      </c>
      <c r="C2645">
        <v>2156</v>
      </c>
      <c r="D2645">
        <v>50</v>
      </c>
      <c r="E2645" t="s">
        <v>205</v>
      </c>
      <c r="F2645" t="s">
        <v>3606</v>
      </c>
    </row>
    <row r="2646" spans="1:6" x14ac:dyDescent="0.25">
      <c r="A2646" t="str">
        <f t="shared" si="42"/>
        <v>2156+50+261QM0855X</v>
      </c>
      <c r="B2646">
        <v>10244</v>
      </c>
      <c r="C2646">
        <v>2156</v>
      </c>
      <c r="D2646">
        <v>50</v>
      </c>
      <c r="E2646" t="s">
        <v>218</v>
      </c>
      <c r="F2646" t="s">
        <v>3610</v>
      </c>
    </row>
    <row r="2647" spans="1:6" x14ac:dyDescent="0.25">
      <c r="A2647" t="str">
        <f t="shared" si="42"/>
        <v>2156+50+261QM3000X</v>
      </c>
      <c r="B2647">
        <v>10245</v>
      </c>
      <c r="C2647">
        <v>2156</v>
      </c>
      <c r="D2647">
        <v>50</v>
      </c>
      <c r="E2647" t="s">
        <v>220</v>
      </c>
      <c r="F2647" t="s">
        <v>3634</v>
      </c>
    </row>
    <row r="2648" spans="1:6" x14ac:dyDescent="0.25">
      <c r="A2648" t="str">
        <f t="shared" si="42"/>
        <v>2156+51+261QH0100X</v>
      </c>
      <c r="B2648">
        <v>9128</v>
      </c>
      <c r="C2648">
        <v>2156</v>
      </c>
      <c r="D2648">
        <v>51</v>
      </c>
      <c r="E2648" t="s">
        <v>205</v>
      </c>
      <c r="F2648" t="s">
        <v>3606</v>
      </c>
    </row>
    <row r="2649" spans="1:6" x14ac:dyDescent="0.25">
      <c r="A2649" t="str">
        <f t="shared" si="42"/>
        <v>2156+51+261QM0855X</v>
      </c>
      <c r="B2649">
        <v>9129</v>
      </c>
      <c r="C2649">
        <v>2156</v>
      </c>
      <c r="D2649">
        <v>51</v>
      </c>
      <c r="E2649" t="s">
        <v>218</v>
      </c>
      <c r="F2649" t="s">
        <v>3610</v>
      </c>
    </row>
    <row r="2650" spans="1:6" x14ac:dyDescent="0.25">
      <c r="A2650" t="str">
        <f t="shared" si="42"/>
        <v>2156+51+261QM3000X</v>
      </c>
      <c r="B2650">
        <v>9130</v>
      </c>
      <c r="C2650">
        <v>2156</v>
      </c>
      <c r="D2650">
        <v>51</v>
      </c>
      <c r="E2650" t="s">
        <v>220</v>
      </c>
      <c r="F2650" t="s">
        <v>3634</v>
      </c>
    </row>
    <row r="2651" spans="1:6" x14ac:dyDescent="0.25">
      <c r="A2651" t="str">
        <f t="shared" si="42"/>
        <v>2156+59+261QH0100X</v>
      </c>
      <c r="B2651">
        <v>9010</v>
      </c>
      <c r="C2651">
        <v>2156</v>
      </c>
      <c r="D2651">
        <v>59</v>
      </c>
      <c r="E2651" t="s">
        <v>205</v>
      </c>
      <c r="F2651" t="s">
        <v>3606</v>
      </c>
    </row>
    <row r="2652" spans="1:6" x14ac:dyDescent="0.25">
      <c r="A2652" t="str">
        <f t="shared" si="42"/>
        <v>2156+59+261QM0855X</v>
      </c>
      <c r="B2652">
        <v>4794</v>
      </c>
      <c r="C2652">
        <v>2156</v>
      </c>
      <c r="D2652">
        <v>59</v>
      </c>
      <c r="E2652" t="s">
        <v>218</v>
      </c>
      <c r="F2652" t="s">
        <v>3610</v>
      </c>
    </row>
    <row r="2653" spans="1:6" x14ac:dyDescent="0.25">
      <c r="A2653" t="str">
        <f t="shared" si="42"/>
        <v>2156+59+261QM3000X</v>
      </c>
      <c r="B2653">
        <v>9019</v>
      </c>
      <c r="C2653">
        <v>2156</v>
      </c>
      <c r="D2653">
        <v>59</v>
      </c>
      <c r="E2653" t="s">
        <v>220</v>
      </c>
      <c r="F2653" t="s">
        <v>3634</v>
      </c>
    </row>
    <row r="2654" spans="1:6" x14ac:dyDescent="0.25">
      <c r="A2654" t="str">
        <f t="shared" si="42"/>
        <v>2157+64+335E00000X</v>
      </c>
      <c r="B2654">
        <v>4796</v>
      </c>
      <c r="C2654">
        <v>2157</v>
      </c>
      <c r="D2654">
        <v>64</v>
      </c>
      <c r="E2654" t="s">
        <v>865</v>
      </c>
      <c r="F2654" t="s">
        <v>3946</v>
      </c>
    </row>
    <row r="2655" spans="1:6" x14ac:dyDescent="0.25">
      <c r="A2655" t="str">
        <f t="shared" si="42"/>
        <v>2157+83+224900000X</v>
      </c>
      <c r="B2655">
        <v>10070</v>
      </c>
      <c r="C2655">
        <v>2157</v>
      </c>
      <c r="D2655">
        <v>83</v>
      </c>
      <c r="E2655" t="s">
        <v>1522</v>
      </c>
      <c r="F2655" t="s">
        <v>3947</v>
      </c>
    </row>
    <row r="2656" spans="1:6" x14ac:dyDescent="0.25">
      <c r="A2656" t="str">
        <f t="shared" si="42"/>
        <v>2157+83+224L00000X</v>
      </c>
      <c r="B2656">
        <v>10071</v>
      </c>
      <c r="C2656">
        <v>2157</v>
      </c>
      <c r="D2656">
        <v>83</v>
      </c>
      <c r="E2656" t="s">
        <v>1524</v>
      </c>
      <c r="F2656" t="s">
        <v>3948</v>
      </c>
    </row>
    <row r="2657" spans="1:6" x14ac:dyDescent="0.25">
      <c r="A2657" t="str">
        <f t="shared" si="42"/>
        <v>2158+52+273R00000X</v>
      </c>
      <c r="B2657">
        <v>4800</v>
      </c>
      <c r="C2657">
        <v>2158</v>
      </c>
      <c r="D2657">
        <v>52</v>
      </c>
      <c r="E2657" t="s">
        <v>40</v>
      </c>
      <c r="F2657" t="s">
        <v>3949</v>
      </c>
    </row>
    <row r="2658" spans="1:6" x14ac:dyDescent="0.25">
      <c r="A2658" t="str">
        <f t="shared" si="42"/>
        <v>2158+52+283Q00000X</v>
      </c>
      <c r="B2658">
        <v>4798</v>
      </c>
      <c r="C2658">
        <v>2158</v>
      </c>
      <c r="D2658">
        <v>52</v>
      </c>
      <c r="E2658" t="s">
        <v>25</v>
      </c>
      <c r="F2658" t="s">
        <v>3943</v>
      </c>
    </row>
    <row r="2659" spans="1:6" x14ac:dyDescent="0.25">
      <c r="A2659" t="str">
        <f t="shared" si="42"/>
        <v>2159+52+273Y00000X</v>
      </c>
      <c r="B2659">
        <v>4809</v>
      </c>
      <c r="C2659">
        <v>2159</v>
      </c>
      <c r="D2659">
        <v>52</v>
      </c>
      <c r="E2659" t="s">
        <v>44</v>
      </c>
      <c r="F2659" t="s">
        <v>3950</v>
      </c>
    </row>
    <row r="2660" spans="1:6" x14ac:dyDescent="0.25">
      <c r="A2660" t="str">
        <f t="shared" si="42"/>
        <v>2159+52+276400000X</v>
      </c>
      <c r="B2660">
        <v>9082</v>
      </c>
      <c r="C2660">
        <v>2159</v>
      </c>
      <c r="D2660">
        <v>52</v>
      </c>
      <c r="E2660" t="s">
        <v>51</v>
      </c>
      <c r="F2660" t="s">
        <v>3677</v>
      </c>
    </row>
    <row r="2661" spans="1:6" x14ac:dyDescent="0.25">
      <c r="A2661" t="str">
        <f t="shared" si="42"/>
        <v>2159+52+283X00000X</v>
      </c>
      <c r="B2661">
        <v>4807</v>
      </c>
      <c r="C2661">
        <v>2159</v>
      </c>
      <c r="D2661">
        <v>52</v>
      </c>
      <c r="E2661" t="s">
        <v>70</v>
      </c>
      <c r="F2661" t="s">
        <v>3951</v>
      </c>
    </row>
    <row r="2662" spans="1:6" x14ac:dyDescent="0.25">
      <c r="A2662" t="str">
        <f t="shared" si="42"/>
        <v>2159+52+283XC2000X</v>
      </c>
      <c r="B2662">
        <v>4808</v>
      </c>
      <c r="C2662">
        <v>2159</v>
      </c>
      <c r="D2662">
        <v>52</v>
      </c>
      <c r="E2662" t="s">
        <v>71</v>
      </c>
      <c r="F2662" t="s">
        <v>3611</v>
      </c>
    </row>
    <row r="2663" spans="1:6" x14ac:dyDescent="0.25">
      <c r="A2663" t="str">
        <f t="shared" si="42"/>
        <v>2160+55+261QR0400X</v>
      </c>
      <c r="B2663">
        <v>4814</v>
      </c>
      <c r="C2663">
        <v>2160</v>
      </c>
      <c r="D2663">
        <v>55</v>
      </c>
      <c r="E2663" t="s">
        <v>153</v>
      </c>
      <c r="F2663" t="s">
        <v>3612</v>
      </c>
    </row>
    <row r="2664" spans="1:6" x14ac:dyDescent="0.25">
      <c r="A2664" t="str">
        <f t="shared" si="42"/>
        <v>2160+55+261QR0401X</v>
      </c>
      <c r="B2664">
        <v>4815</v>
      </c>
      <c r="C2664">
        <v>2160</v>
      </c>
      <c r="D2664">
        <v>55</v>
      </c>
      <c r="E2664" t="s">
        <v>158</v>
      </c>
      <c r="F2664" t="s">
        <v>3613</v>
      </c>
    </row>
    <row r="2665" spans="1:6" x14ac:dyDescent="0.25">
      <c r="A2665" t="str">
        <f t="shared" si="42"/>
        <v>2160+55+261QR0404X</v>
      </c>
      <c r="B2665">
        <v>9061</v>
      </c>
      <c r="C2665">
        <v>2160</v>
      </c>
      <c r="D2665">
        <v>55</v>
      </c>
      <c r="E2665" t="s">
        <v>160</v>
      </c>
      <c r="F2665" t="s">
        <v>3667</v>
      </c>
    </row>
    <row r="2666" spans="1:6" x14ac:dyDescent="0.25">
      <c r="A2666" t="str">
        <f t="shared" si="42"/>
        <v>2160+55+261QR0405X</v>
      </c>
      <c r="B2666">
        <v>4816</v>
      </c>
      <c r="C2666">
        <v>2160</v>
      </c>
      <c r="D2666">
        <v>55</v>
      </c>
      <c r="E2666" t="s">
        <v>162</v>
      </c>
      <c r="F2666" t="s">
        <v>3614</v>
      </c>
    </row>
    <row r="2667" spans="1:6" x14ac:dyDescent="0.25">
      <c r="A2667" t="str">
        <f t="shared" si="42"/>
        <v>2160+55+320600000X</v>
      </c>
      <c r="B2667">
        <v>4827</v>
      </c>
      <c r="C2667">
        <v>2160</v>
      </c>
      <c r="D2667">
        <v>55</v>
      </c>
      <c r="E2667" t="s">
        <v>164</v>
      </c>
      <c r="F2667" t="s">
        <v>3952</v>
      </c>
    </row>
    <row r="2668" spans="1:6" x14ac:dyDescent="0.25">
      <c r="A2668" t="str">
        <f t="shared" si="42"/>
        <v>2160+55+320700000X</v>
      </c>
      <c r="B2668">
        <v>9062</v>
      </c>
      <c r="C2668">
        <v>2160</v>
      </c>
      <c r="D2668">
        <v>55</v>
      </c>
      <c r="E2668" t="s">
        <v>166</v>
      </c>
      <c r="F2668" t="s">
        <v>3668</v>
      </c>
    </row>
    <row r="2669" spans="1:6" x14ac:dyDescent="0.25">
      <c r="A2669" t="str">
        <f t="shared" si="42"/>
        <v>2160+55+320800000X</v>
      </c>
      <c r="B2669">
        <v>4819</v>
      </c>
      <c r="C2669">
        <v>2160</v>
      </c>
      <c r="D2669">
        <v>55</v>
      </c>
      <c r="E2669" t="s">
        <v>168</v>
      </c>
      <c r="F2669" t="s">
        <v>3953</v>
      </c>
    </row>
    <row r="2670" spans="1:6" x14ac:dyDescent="0.25">
      <c r="A2670" t="str">
        <f t="shared" si="42"/>
        <v>2160+55+320900000X</v>
      </c>
      <c r="B2670">
        <v>4818</v>
      </c>
      <c r="C2670">
        <v>2160</v>
      </c>
      <c r="D2670">
        <v>55</v>
      </c>
      <c r="E2670" t="s">
        <v>170</v>
      </c>
      <c r="F2670" t="s">
        <v>3954</v>
      </c>
    </row>
    <row r="2671" spans="1:6" x14ac:dyDescent="0.25">
      <c r="A2671" t="str">
        <f t="shared" si="42"/>
        <v>2160+55+324500000X</v>
      </c>
      <c r="B2671">
        <v>4832</v>
      </c>
      <c r="C2671">
        <v>2160</v>
      </c>
      <c r="D2671">
        <v>55</v>
      </c>
      <c r="E2671" t="s">
        <v>172</v>
      </c>
      <c r="F2671" t="s">
        <v>3955</v>
      </c>
    </row>
    <row r="2672" spans="1:6" x14ac:dyDescent="0.25">
      <c r="A2672" t="str">
        <f t="shared" si="42"/>
        <v>2160+55+3245S0500X</v>
      </c>
      <c r="B2672">
        <v>9063</v>
      </c>
      <c r="C2672">
        <v>2160</v>
      </c>
      <c r="D2672">
        <v>55</v>
      </c>
      <c r="E2672" t="s">
        <v>174</v>
      </c>
      <c r="F2672" t="s">
        <v>3669</v>
      </c>
    </row>
    <row r="2673" spans="1:6" x14ac:dyDescent="0.25">
      <c r="A2673" t="str">
        <f t="shared" si="42"/>
        <v>2161+52+323P00000X</v>
      </c>
      <c r="B2673">
        <v>4833</v>
      </c>
      <c r="C2673">
        <v>2161</v>
      </c>
      <c r="D2673">
        <v>52</v>
      </c>
      <c r="E2673" t="s">
        <v>30</v>
      </c>
      <c r="F2673" t="s">
        <v>3956</v>
      </c>
    </row>
    <row r="2674" spans="1:6" x14ac:dyDescent="0.25">
      <c r="A2674" t="str">
        <f t="shared" si="42"/>
        <v>2163+60+251300000X</v>
      </c>
      <c r="B2674">
        <v>4837</v>
      </c>
      <c r="C2674">
        <v>2163</v>
      </c>
      <c r="D2674">
        <v>60</v>
      </c>
      <c r="E2674" t="s">
        <v>546</v>
      </c>
      <c r="F2674" t="s">
        <v>3957</v>
      </c>
    </row>
    <row r="2675" spans="1:6" x14ac:dyDescent="0.25">
      <c r="A2675" t="str">
        <f t="shared" si="42"/>
        <v>2163+60+261QS1000X</v>
      </c>
      <c r="B2675">
        <v>4836</v>
      </c>
      <c r="C2675">
        <v>2163</v>
      </c>
      <c r="D2675">
        <v>60</v>
      </c>
      <c r="E2675" t="s">
        <v>200</v>
      </c>
      <c r="F2675" t="s">
        <v>3615</v>
      </c>
    </row>
    <row r="2676" spans="1:6" x14ac:dyDescent="0.25">
      <c r="A2676" t="str">
        <f t="shared" si="42"/>
        <v>2164+95+343800000X</v>
      </c>
      <c r="B2676">
        <v>4839</v>
      </c>
      <c r="C2676">
        <v>2164</v>
      </c>
      <c r="D2676">
        <v>95</v>
      </c>
      <c r="E2676" t="s">
        <v>914</v>
      </c>
      <c r="F2676" t="s">
        <v>3958</v>
      </c>
    </row>
    <row r="2677" spans="1:6" x14ac:dyDescent="0.25">
      <c r="A2677" t="str">
        <f t="shared" si="42"/>
        <v>2167+56+251E00000X</v>
      </c>
      <c r="B2677">
        <v>4843</v>
      </c>
      <c r="C2677">
        <v>2167</v>
      </c>
      <c r="D2677">
        <v>56</v>
      </c>
      <c r="E2677" t="s">
        <v>177</v>
      </c>
      <c r="F2677" t="s">
        <v>3655</v>
      </c>
    </row>
    <row r="2678" spans="1:6" x14ac:dyDescent="0.25">
      <c r="A2678" t="str">
        <f t="shared" si="42"/>
        <v>2168+50+261QH0100X</v>
      </c>
      <c r="B2678">
        <v>10248</v>
      </c>
      <c r="C2678">
        <v>2168</v>
      </c>
      <c r="D2678">
        <v>50</v>
      </c>
      <c r="E2678" t="s">
        <v>205</v>
      </c>
      <c r="F2678" t="s">
        <v>3606</v>
      </c>
    </row>
    <row r="2679" spans="1:6" x14ac:dyDescent="0.25">
      <c r="A2679" t="str">
        <f t="shared" si="42"/>
        <v>2168+50+261QH0700X</v>
      </c>
      <c r="B2679">
        <v>10249</v>
      </c>
      <c r="C2679">
        <v>2168</v>
      </c>
      <c r="D2679">
        <v>50</v>
      </c>
      <c r="E2679" t="s">
        <v>216</v>
      </c>
      <c r="F2679" t="s">
        <v>3616</v>
      </c>
    </row>
    <row r="2680" spans="1:6" x14ac:dyDescent="0.25">
      <c r="A2680" t="str">
        <f t="shared" si="42"/>
        <v>2168+51+261QH0100X</v>
      </c>
      <c r="B2680">
        <v>9133</v>
      </c>
      <c r="C2680">
        <v>2168</v>
      </c>
      <c r="D2680">
        <v>51</v>
      </c>
      <c r="E2680" t="s">
        <v>205</v>
      </c>
      <c r="F2680" t="s">
        <v>3606</v>
      </c>
    </row>
    <row r="2681" spans="1:6" x14ac:dyDescent="0.25">
      <c r="A2681" t="str">
        <f t="shared" si="42"/>
        <v>2168+51+261QH0700X</v>
      </c>
      <c r="B2681">
        <v>9134</v>
      </c>
      <c r="C2681">
        <v>2168</v>
      </c>
      <c r="D2681">
        <v>51</v>
      </c>
      <c r="E2681" t="s">
        <v>216</v>
      </c>
      <c r="F2681" t="s">
        <v>3616</v>
      </c>
    </row>
    <row r="2682" spans="1:6" x14ac:dyDescent="0.25">
      <c r="A2682" t="str">
        <f t="shared" si="42"/>
        <v>2168+59+261QH0100X</v>
      </c>
      <c r="B2682">
        <v>9012</v>
      </c>
      <c r="C2682">
        <v>2168</v>
      </c>
      <c r="D2682">
        <v>59</v>
      </c>
      <c r="E2682" t="s">
        <v>205</v>
      </c>
      <c r="F2682" t="s">
        <v>3606</v>
      </c>
    </row>
    <row r="2683" spans="1:6" x14ac:dyDescent="0.25">
      <c r="A2683" t="str">
        <f t="shared" si="42"/>
        <v>2168+59+261QH0700X</v>
      </c>
      <c r="B2683">
        <v>4844</v>
      </c>
      <c r="C2683">
        <v>2168</v>
      </c>
      <c r="D2683">
        <v>59</v>
      </c>
      <c r="E2683" t="s">
        <v>216</v>
      </c>
      <c r="F2683" t="s">
        <v>3616</v>
      </c>
    </row>
    <row r="2684" spans="1:6" x14ac:dyDescent="0.25">
      <c r="A2684" t="str">
        <f t="shared" si="42"/>
        <v>2169+95+344600000X</v>
      </c>
      <c r="B2684">
        <v>4847</v>
      </c>
      <c r="C2684">
        <v>2169</v>
      </c>
      <c r="D2684">
        <v>95</v>
      </c>
      <c r="E2684" t="s">
        <v>889</v>
      </c>
      <c r="F2684" t="s">
        <v>3959</v>
      </c>
    </row>
    <row r="2685" spans="1:6" x14ac:dyDescent="0.25">
      <c r="A2685" t="str">
        <f t="shared" si="42"/>
        <v>2170+50+261QI0500X</v>
      </c>
      <c r="B2685">
        <v>10241</v>
      </c>
      <c r="C2685">
        <v>2170</v>
      </c>
      <c r="D2685">
        <v>50</v>
      </c>
      <c r="E2685" t="s">
        <v>272</v>
      </c>
      <c r="F2685" t="s">
        <v>3617</v>
      </c>
    </row>
    <row r="2686" spans="1:6" x14ac:dyDescent="0.25">
      <c r="A2686" t="str">
        <f t="shared" si="42"/>
        <v>2170+50+261QP2000X</v>
      </c>
      <c r="B2686">
        <v>10242</v>
      </c>
      <c r="C2686">
        <v>2170</v>
      </c>
      <c r="D2686">
        <v>50</v>
      </c>
      <c r="E2686" t="s">
        <v>298</v>
      </c>
      <c r="F2686" t="s">
        <v>3618</v>
      </c>
    </row>
    <row r="2687" spans="1:6" x14ac:dyDescent="0.25">
      <c r="A2687" t="str">
        <f t="shared" si="42"/>
        <v>2170+51+261QI0500X</v>
      </c>
      <c r="B2687">
        <v>9126</v>
      </c>
      <c r="C2687">
        <v>2170</v>
      </c>
      <c r="D2687">
        <v>51</v>
      </c>
      <c r="E2687" t="s">
        <v>272</v>
      </c>
      <c r="F2687" t="s">
        <v>3617</v>
      </c>
    </row>
    <row r="2688" spans="1:6" x14ac:dyDescent="0.25">
      <c r="A2688" t="str">
        <f t="shared" si="42"/>
        <v>2170+51+261QP2000X</v>
      </c>
      <c r="B2688">
        <v>9127</v>
      </c>
      <c r="C2688">
        <v>2170</v>
      </c>
      <c r="D2688">
        <v>51</v>
      </c>
      <c r="E2688" t="s">
        <v>298</v>
      </c>
      <c r="F2688" t="s">
        <v>3618</v>
      </c>
    </row>
    <row r="2689" spans="1:6" x14ac:dyDescent="0.25">
      <c r="A2689" t="str">
        <f t="shared" si="42"/>
        <v>2170+59+261QI0500X</v>
      </c>
      <c r="B2689">
        <v>4853</v>
      </c>
      <c r="C2689">
        <v>2170</v>
      </c>
      <c r="D2689">
        <v>59</v>
      </c>
      <c r="E2689" t="s">
        <v>272</v>
      </c>
      <c r="F2689" t="s">
        <v>3617</v>
      </c>
    </row>
    <row r="2690" spans="1:6" x14ac:dyDescent="0.25">
      <c r="A2690" t="str">
        <f t="shared" si="42"/>
        <v>2170+59+261QP2000X</v>
      </c>
      <c r="B2690">
        <v>4854</v>
      </c>
      <c r="C2690">
        <v>2170</v>
      </c>
      <c r="D2690">
        <v>59</v>
      </c>
      <c r="E2690" t="s">
        <v>298</v>
      </c>
      <c r="F2690" t="s">
        <v>3618</v>
      </c>
    </row>
    <row r="2691" spans="1:6" x14ac:dyDescent="0.25">
      <c r="A2691" t="str">
        <f t="shared" si="42"/>
        <v>2171+95+343900000X</v>
      </c>
      <c r="B2691">
        <v>9374</v>
      </c>
      <c r="C2691">
        <v>2171</v>
      </c>
      <c r="D2691">
        <v>95</v>
      </c>
      <c r="E2691" t="s">
        <v>887</v>
      </c>
      <c r="F2691" t="s">
        <v>3925</v>
      </c>
    </row>
    <row r="2692" spans="1:6" x14ac:dyDescent="0.25">
      <c r="A2692" t="str">
        <f t="shared" si="42"/>
        <v>2172+53+261QM1101X</v>
      </c>
      <c r="B2692">
        <v>4901</v>
      </c>
      <c r="C2692">
        <v>2172</v>
      </c>
      <c r="D2692">
        <v>53</v>
      </c>
      <c r="E2692" t="s">
        <v>87</v>
      </c>
      <c r="F2692" t="s">
        <v>3960</v>
      </c>
    </row>
    <row r="2693" spans="1:6" x14ac:dyDescent="0.25">
      <c r="A2693" t="str">
        <f t="shared" si="42"/>
        <v>2172+53+261QS0112X</v>
      </c>
      <c r="B2693">
        <v>4900</v>
      </c>
      <c r="C2693">
        <v>2172</v>
      </c>
      <c r="D2693">
        <v>53</v>
      </c>
      <c r="E2693" t="s">
        <v>92</v>
      </c>
      <c r="F2693" t="s">
        <v>3961</v>
      </c>
    </row>
    <row r="2694" spans="1:6" x14ac:dyDescent="0.25">
      <c r="A2694" t="str">
        <f t="shared" si="42"/>
        <v>2172+53+261QS0132X</v>
      </c>
      <c r="B2694">
        <v>4899</v>
      </c>
      <c r="C2694">
        <v>2172</v>
      </c>
      <c r="D2694">
        <v>53</v>
      </c>
      <c r="E2694" t="s">
        <v>94</v>
      </c>
      <c r="F2694" t="s">
        <v>3962</v>
      </c>
    </row>
    <row r="2695" spans="1:6" x14ac:dyDescent="0.25">
      <c r="A2695" t="str">
        <f t="shared" si="42"/>
        <v>2173+50+261QA0005X</v>
      </c>
      <c r="B2695">
        <v>10234</v>
      </c>
      <c r="C2695">
        <v>2173</v>
      </c>
      <c r="D2695">
        <v>50</v>
      </c>
      <c r="E2695" t="s">
        <v>237</v>
      </c>
      <c r="F2695" t="s">
        <v>3619</v>
      </c>
    </row>
    <row r="2696" spans="1:6" x14ac:dyDescent="0.25">
      <c r="A2696" t="str">
        <f t="shared" si="42"/>
        <v>2173+50+261QA0006X</v>
      </c>
      <c r="B2696">
        <v>10235</v>
      </c>
      <c r="C2696">
        <v>2173</v>
      </c>
      <c r="D2696">
        <v>50</v>
      </c>
      <c r="E2696" t="s">
        <v>241</v>
      </c>
      <c r="F2696" t="s">
        <v>3620</v>
      </c>
    </row>
    <row r="2697" spans="1:6" x14ac:dyDescent="0.25">
      <c r="A2697" t="str">
        <f t="shared" si="42"/>
        <v>2173+50+261QF0050X</v>
      </c>
      <c r="B2697">
        <v>10236</v>
      </c>
      <c r="C2697">
        <v>2173</v>
      </c>
      <c r="D2697">
        <v>50</v>
      </c>
      <c r="E2697" t="s">
        <v>264</v>
      </c>
      <c r="F2697" t="s">
        <v>3626</v>
      </c>
    </row>
    <row r="2698" spans="1:6" x14ac:dyDescent="0.25">
      <c r="A2698" t="str">
        <f t="shared" si="42"/>
        <v>2173+50+261QP0905X</v>
      </c>
      <c r="B2698">
        <v>10237</v>
      </c>
      <c r="C2698">
        <v>2173</v>
      </c>
      <c r="D2698">
        <v>50</v>
      </c>
      <c r="E2698" t="s">
        <v>294</v>
      </c>
      <c r="F2698" t="s">
        <v>3607</v>
      </c>
    </row>
    <row r="2699" spans="1:6" x14ac:dyDescent="0.25">
      <c r="A2699" t="str">
        <f t="shared" si="42"/>
        <v>2173+51+261QA0005X</v>
      </c>
      <c r="B2699">
        <v>9119</v>
      </c>
      <c r="C2699">
        <v>2173</v>
      </c>
      <c r="D2699">
        <v>51</v>
      </c>
      <c r="E2699" t="s">
        <v>237</v>
      </c>
      <c r="F2699" t="s">
        <v>3619</v>
      </c>
    </row>
    <row r="2700" spans="1:6" x14ac:dyDescent="0.25">
      <c r="A2700" t="str">
        <f t="shared" si="42"/>
        <v>2173+51+261QA0006X</v>
      </c>
      <c r="B2700">
        <v>9120</v>
      </c>
      <c r="C2700">
        <v>2173</v>
      </c>
      <c r="D2700">
        <v>51</v>
      </c>
      <c r="E2700" t="s">
        <v>241</v>
      </c>
      <c r="F2700" t="s">
        <v>3620</v>
      </c>
    </row>
    <row r="2701" spans="1:6" x14ac:dyDescent="0.25">
      <c r="A2701" t="str">
        <f t="shared" si="42"/>
        <v>2173+51+261QF0050X</v>
      </c>
      <c r="B2701">
        <v>9121</v>
      </c>
      <c r="C2701">
        <v>2173</v>
      </c>
      <c r="D2701">
        <v>51</v>
      </c>
      <c r="E2701" t="s">
        <v>264</v>
      </c>
      <c r="F2701" t="s">
        <v>3626</v>
      </c>
    </row>
    <row r="2702" spans="1:6" x14ac:dyDescent="0.25">
      <c r="A2702" t="str">
        <f t="shared" ref="A2702:A2765" si="43">C2702 &amp; "+" &amp; D2702 &amp; "+" &amp; E2702</f>
        <v>2173+51+261QP0905X</v>
      </c>
      <c r="B2702">
        <v>9122</v>
      </c>
      <c r="C2702">
        <v>2173</v>
      </c>
      <c r="D2702">
        <v>51</v>
      </c>
      <c r="E2702" t="s">
        <v>294</v>
      </c>
      <c r="F2702" t="s">
        <v>3607</v>
      </c>
    </row>
    <row r="2703" spans="1:6" x14ac:dyDescent="0.25">
      <c r="A2703" t="str">
        <f t="shared" si="43"/>
        <v>2173+59+261QA0005X</v>
      </c>
      <c r="B2703">
        <v>9001</v>
      </c>
      <c r="C2703">
        <v>2173</v>
      </c>
      <c r="D2703">
        <v>59</v>
      </c>
      <c r="E2703" t="s">
        <v>237</v>
      </c>
      <c r="F2703" t="s">
        <v>3619</v>
      </c>
    </row>
    <row r="2704" spans="1:6" x14ac:dyDescent="0.25">
      <c r="A2704" t="str">
        <f t="shared" si="43"/>
        <v>2173+59+261QA0006X</v>
      </c>
      <c r="B2704">
        <v>9002</v>
      </c>
      <c r="C2704">
        <v>2173</v>
      </c>
      <c r="D2704">
        <v>59</v>
      </c>
      <c r="E2704" t="s">
        <v>241</v>
      </c>
      <c r="F2704" t="s">
        <v>3620</v>
      </c>
    </row>
    <row r="2705" spans="1:6" x14ac:dyDescent="0.25">
      <c r="A2705" t="str">
        <f t="shared" si="43"/>
        <v>2173+59+261QF0050X</v>
      </c>
      <c r="B2705">
        <v>9008</v>
      </c>
      <c r="C2705">
        <v>2173</v>
      </c>
      <c r="D2705">
        <v>59</v>
      </c>
      <c r="E2705" t="s">
        <v>264</v>
      </c>
      <c r="F2705" t="s">
        <v>3626</v>
      </c>
    </row>
    <row r="2706" spans="1:6" x14ac:dyDescent="0.25">
      <c r="A2706" t="str">
        <f t="shared" si="43"/>
        <v>2173+59+261QP0905X</v>
      </c>
      <c r="B2706">
        <v>4692</v>
      </c>
      <c r="C2706">
        <v>2173</v>
      </c>
      <c r="D2706">
        <v>59</v>
      </c>
      <c r="E2706" t="s">
        <v>294</v>
      </c>
      <c r="F2706" t="s">
        <v>3607</v>
      </c>
    </row>
    <row r="2707" spans="1:6" x14ac:dyDescent="0.25">
      <c r="A2707" t="str">
        <f t="shared" si="43"/>
        <v>2174+50+193200000X</v>
      </c>
      <c r="B2707">
        <v>10039</v>
      </c>
      <c r="C2707">
        <v>2174</v>
      </c>
      <c r="D2707">
        <v>50</v>
      </c>
      <c r="E2707" t="s">
        <v>1445</v>
      </c>
      <c r="F2707" t="s">
        <v>3963</v>
      </c>
    </row>
    <row r="2708" spans="1:6" x14ac:dyDescent="0.25">
      <c r="A2708" t="str">
        <f t="shared" si="43"/>
        <v>2174+50+261Q00000X</v>
      </c>
      <c r="B2708">
        <v>10205</v>
      </c>
      <c r="C2708">
        <v>2174</v>
      </c>
      <c r="D2708">
        <v>50</v>
      </c>
      <c r="E2708" t="s">
        <v>233</v>
      </c>
      <c r="F2708" t="s">
        <v>3964</v>
      </c>
    </row>
    <row r="2709" spans="1:6" x14ac:dyDescent="0.25">
      <c r="A2709" t="str">
        <f t="shared" si="43"/>
        <v>2174+50+261QA0900X</v>
      </c>
      <c r="B2709">
        <v>10206</v>
      </c>
      <c r="C2709">
        <v>2174</v>
      </c>
      <c r="D2709">
        <v>50</v>
      </c>
      <c r="E2709" t="s">
        <v>243</v>
      </c>
      <c r="F2709" t="s">
        <v>3621</v>
      </c>
    </row>
    <row r="2710" spans="1:6" x14ac:dyDescent="0.25">
      <c r="A2710" t="str">
        <f t="shared" si="43"/>
        <v>2174+50+261QA3000X</v>
      </c>
      <c r="B2710">
        <v>10207</v>
      </c>
      <c r="C2710">
        <v>2174</v>
      </c>
      <c r="D2710">
        <v>50</v>
      </c>
      <c r="E2710" t="s">
        <v>245</v>
      </c>
      <c r="F2710" t="s">
        <v>3622</v>
      </c>
    </row>
    <row r="2711" spans="1:6" x14ac:dyDescent="0.25">
      <c r="A2711" t="str">
        <f t="shared" si="43"/>
        <v>2174+50+261QC0050X</v>
      </c>
      <c r="B2711">
        <v>10208</v>
      </c>
      <c r="C2711">
        <v>2174</v>
      </c>
      <c r="D2711">
        <v>50</v>
      </c>
      <c r="E2711" t="s">
        <v>247</v>
      </c>
      <c r="F2711" t="s">
        <v>3623</v>
      </c>
    </row>
    <row r="2712" spans="1:6" x14ac:dyDescent="0.25">
      <c r="A2712" t="str">
        <f t="shared" si="43"/>
        <v>2174+50+261QD1600X</v>
      </c>
      <c r="B2712">
        <v>10209</v>
      </c>
      <c r="C2712">
        <v>2174</v>
      </c>
      <c r="D2712">
        <v>50</v>
      </c>
      <c r="E2712" t="s">
        <v>258</v>
      </c>
      <c r="F2712" t="s">
        <v>3588</v>
      </c>
    </row>
    <row r="2713" spans="1:6" x14ac:dyDescent="0.25">
      <c r="A2713" t="str">
        <f t="shared" si="43"/>
        <v>2174+50+261QE0002X</v>
      </c>
      <c r="B2713">
        <v>10210</v>
      </c>
      <c r="C2713">
        <v>2174</v>
      </c>
      <c r="D2713">
        <v>50</v>
      </c>
      <c r="E2713" t="s">
        <v>260</v>
      </c>
      <c r="F2713" t="s">
        <v>3625</v>
      </c>
    </row>
    <row r="2714" spans="1:6" x14ac:dyDescent="0.25">
      <c r="A2714" t="str">
        <f t="shared" si="43"/>
        <v>2174+50+261QE0800X</v>
      </c>
      <c r="B2714">
        <v>10211</v>
      </c>
      <c r="C2714">
        <v>2174</v>
      </c>
      <c r="D2714">
        <v>50</v>
      </c>
      <c r="E2714" t="s">
        <v>262</v>
      </c>
      <c r="F2714" t="s">
        <v>3579</v>
      </c>
    </row>
    <row r="2715" spans="1:6" x14ac:dyDescent="0.25">
      <c r="A2715" t="str">
        <f t="shared" si="43"/>
        <v>2174+50+261QG0250X</v>
      </c>
      <c r="B2715">
        <v>10212</v>
      </c>
      <c r="C2715">
        <v>2174</v>
      </c>
      <c r="D2715">
        <v>50</v>
      </c>
      <c r="E2715" t="s">
        <v>270</v>
      </c>
      <c r="F2715" t="s">
        <v>3627</v>
      </c>
    </row>
    <row r="2716" spans="1:6" x14ac:dyDescent="0.25">
      <c r="A2716" t="str">
        <f t="shared" si="43"/>
        <v>2174+50+261QL0400X</v>
      </c>
      <c r="B2716">
        <v>10213</v>
      </c>
      <c r="C2716">
        <v>2174</v>
      </c>
      <c r="D2716">
        <v>50</v>
      </c>
      <c r="E2716" t="s">
        <v>276</v>
      </c>
      <c r="F2716" t="s">
        <v>3628</v>
      </c>
    </row>
    <row r="2717" spans="1:6" x14ac:dyDescent="0.25">
      <c r="A2717" t="str">
        <f t="shared" si="43"/>
        <v>2174+50+261QM1000X</v>
      </c>
      <c r="B2717">
        <v>10214</v>
      </c>
      <c r="C2717">
        <v>2174</v>
      </c>
      <c r="D2717">
        <v>50</v>
      </c>
      <c r="E2717" t="s">
        <v>278</v>
      </c>
      <c r="F2717" t="s">
        <v>3629</v>
      </c>
    </row>
    <row r="2718" spans="1:6" x14ac:dyDescent="0.25">
      <c r="A2718" t="str">
        <f t="shared" si="43"/>
        <v>2174+50+261QM1100X</v>
      </c>
      <c r="B2718">
        <v>10215</v>
      </c>
      <c r="C2718">
        <v>2174</v>
      </c>
      <c r="D2718">
        <v>50</v>
      </c>
      <c r="E2718" t="s">
        <v>280</v>
      </c>
      <c r="F2718" t="s">
        <v>3630</v>
      </c>
    </row>
    <row r="2719" spans="1:6" x14ac:dyDescent="0.25">
      <c r="A2719" t="str">
        <f t="shared" si="43"/>
        <v>2174+50+261QM1102X</v>
      </c>
      <c r="B2719">
        <v>10216</v>
      </c>
      <c r="C2719">
        <v>2174</v>
      </c>
      <c r="D2719">
        <v>50</v>
      </c>
      <c r="E2719" t="s">
        <v>282</v>
      </c>
      <c r="F2719" t="s">
        <v>3631</v>
      </c>
    </row>
    <row r="2720" spans="1:6" x14ac:dyDescent="0.25">
      <c r="A2720" t="str">
        <f t="shared" si="43"/>
        <v>2174+50+261QM1103X</v>
      </c>
      <c r="B2720">
        <v>10217</v>
      </c>
      <c r="C2720">
        <v>2174</v>
      </c>
      <c r="D2720">
        <v>50</v>
      </c>
      <c r="E2720" t="s">
        <v>284</v>
      </c>
      <c r="F2720" t="s">
        <v>3632</v>
      </c>
    </row>
    <row r="2721" spans="1:6" x14ac:dyDescent="0.25">
      <c r="A2721" t="str">
        <f t="shared" si="43"/>
        <v>2174+50+261QM1200X</v>
      </c>
      <c r="B2721">
        <v>10218</v>
      </c>
      <c r="C2721">
        <v>2174</v>
      </c>
      <c r="D2721">
        <v>50</v>
      </c>
      <c r="E2721" t="s">
        <v>286</v>
      </c>
      <c r="F2721" t="s">
        <v>3580</v>
      </c>
    </row>
    <row r="2722" spans="1:6" x14ac:dyDescent="0.25">
      <c r="A2722" t="str">
        <f t="shared" si="43"/>
        <v>2174+50+261QM1300X</v>
      </c>
      <c r="B2722">
        <v>10219</v>
      </c>
      <c r="C2722">
        <v>2174</v>
      </c>
      <c r="D2722">
        <v>50</v>
      </c>
      <c r="E2722" t="s">
        <v>288</v>
      </c>
      <c r="F2722" t="s">
        <v>3581</v>
      </c>
    </row>
    <row r="2723" spans="1:6" x14ac:dyDescent="0.25">
      <c r="A2723" t="str">
        <f t="shared" si="43"/>
        <v>2174+50+261QM2500X</v>
      </c>
      <c r="B2723">
        <v>10220</v>
      </c>
      <c r="C2723">
        <v>2174</v>
      </c>
      <c r="D2723">
        <v>50</v>
      </c>
      <c r="E2723" t="s">
        <v>290</v>
      </c>
      <c r="F2723" t="s">
        <v>3589</v>
      </c>
    </row>
    <row r="2724" spans="1:6" x14ac:dyDescent="0.25">
      <c r="A2724" t="str">
        <f t="shared" si="43"/>
        <v>2174+50+261QM2800X</v>
      </c>
      <c r="B2724">
        <v>10221</v>
      </c>
      <c r="C2724">
        <v>2174</v>
      </c>
      <c r="D2724">
        <v>50</v>
      </c>
      <c r="E2724" t="s">
        <v>292</v>
      </c>
      <c r="F2724" t="s">
        <v>3633</v>
      </c>
    </row>
    <row r="2725" spans="1:6" x14ac:dyDescent="0.25">
      <c r="A2725" t="str">
        <f t="shared" si="43"/>
        <v>2174+50+261QP1100X</v>
      </c>
      <c r="B2725">
        <v>10222</v>
      </c>
      <c r="C2725">
        <v>2174</v>
      </c>
      <c r="D2725">
        <v>50</v>
      </c>
      <c r="E2725" t="s">
        <v>296</v>
      </c>
      <c r="F2725" t="s">
        <v>3636</v>
      </c>
    </row>
    <row r="2726" spans="1:6" x14ac:dyDescent="0.25">
      <c r="A2726" t="str">
        <f t="shared" si="43"/>
        <v>2174+50+261QP2300X</v>
      </c>
      <c r="B2726">
        <v>10223</v>
      </c>
      <c r="C2726">
        <v>2174</v>
      </c>
      <c r="D2726">
        <v>50</v>
      </c>
      <c r="E2726" t="s">
        <v>300</v>
      </c>
      <c r="F2726" t="s">
        <v>3584</v>
      </c>
    </row>
    <row r="2727" spans="1:6" x14ac:dyDescent="0.25">
      <c r="A2727" t="str">
        <f t="shared" si="43"/>
        <v>2174+50+261QP2400X</v>
      </c>
      <c r="B2727">
        <v>10224</v>
      </c>
      <c r="C2727">
        <v>2174</v>
      </c>
      <c r="D2727">
        <v>50</v>
      </c>
      <c r="E2727" t="s">
        <v>302</v>
      </c>
      <c r="F2727" t="s">
        <v>3637</v>
      </c>
    </row>
    <row r="2728" spans="1:6" x14ac:dyDescent="0.25">
      <c r="A2728" t="str">
        <f t="shared" si="43"/>
        <v>2174+50+261QP3300X</v>
      </c>
      <c r="B2728">
        <v>10225</v>
      </c>
      <c r="C2728">
        <v>2174</v>
      </c>
      <c r="D2728">
        <v>50</v>
      </c>
      <c r="E2728" t="s">
        <v>304</v>
      </c>
      <c r="F2728" t="s">
        <v>3583</v>
      </c>
    </row>
    <row r="2729" spans="1:6" x14ac:dyDescent="0.25">
      <c r="A2729" t="str">
        <f t="shared" si="43"/>
        <v>2174+50+261QR0800X</v>
      </c>
      <c r="B2729">
        <v>10226</v>
      </c>
      <c r="C2729">
        <v>2174</v>
      </c>
      <c r="D2729">
        <v>50</v>
      </c>
      <c r="E2729" t="s">
        <v>306</v>
      </c>
      <c r="F2729" t="s">
        <v>3585</v>
      </c>
    </row>
    <row r="2730" spans="1:6" x14ac:dyDescent="0.25">
      <c r="A2730" t="str">
        <f t="shared" si="43"/>
        <v>2174+50+261QR1100X</v>
      </c>
      <c r="B2730">
        <v>10227</v>
      </c>
      <c r="C2730">
        <v>2174</v>
      </c>
      <c r="D2730">
        <v>50</v>
      </c>
      <c r="E2730" t="s">
        <v>308</v>
      </c>
      <c r="F2730" t="s">
        <v>3638</v>
      </c>
    </row>
    <row r="2731" spans="1:6" x14ac:dyDescent="0.25">
      <c r="A2731" t="str">
        <f t="shared" si="43"/>
        <v>2174+50+261QS1200X</v>
      </c>
      <c r="B2731">
        <v>10228</v>
      </c>
      <c r="C2731">
        <v>2174</v>
      </c>
      <c r="D2731">
        <v>50</v>
      </c>
      <c r="E2731" t="s">
        <v>312</v>
      </c>
      <c r="F2731" t="s">
        <v>3586</v>
      </c>
    </row>
    <row r="2732" spans="1:6" x14ac:dyDescent="0.25">
      <c r="A2732" t="str">
        <f t="shared" si="43"/>
        <v>2174+50+261QU0200X</v>
      </c>
      <c r="B2732">
        <v>10229</v>
      </c>
      <c r="C2732">
        <v>2174</v>
      </c>
      <c r="D2732">
        <v>50</v>
      </c>
      <c r="E2732" t="s">
        <v>314</v>
      </c>
      <c r="F2732" t="s">
        <v>3587</v>
      </c>
    </row>
    <row r="2733" spans="1:6" x14ac:dyDescent="0.25">
      <c r="A2733" t="str">
        <f t="shared" si="43"/>
        <v>2174+50+261QV0200X</v>
      </c>
      <c r="B2733">
        <v>10230</v>
      </c>
      <c r="C2733">
        <v>2174</v>
      </c>
      <c r="D2733">
        <v>50</v>
      </c>
      <c r="E2733" t="s">
        <v>316</v>
      </c>
      <c r="F2733" t="s">
        <v>3639</v>
      </c>
    </row>
    <row r="2734" spans="1:6" x14ac:dyDescent="0.25">
      <c r="A2734" t="str">
        <f t="shared" si="43"/>
        <v>2174+50+261QX0100X</v>
      </c>
      <c r="B2734">
        <v>10231</v>
      </c>
      <c r="C2734">
        <v>2174</v>
      </c>
      <c r="D2734">
        <v>50</v>
      </c>
      <c r="E2734" t="s">
        <v>318</v>
      </c>
      <c r="F2734" t="s">
        <v>3640</v>
      </c>
    </row>
    <row r="2735" spans="1:6" x14ac:dyDescent="0.25">
      <c r="A2735" t="str">
        <f t="shared" si="43"/>
        <v>2174+50+261QX0200X</v>
      </c>
      <c r="B2735">
        <v>10232</v>
      </c>
      <c r="C2735">
        <v>2174</v>
      </c>
      <c r="D2735">
        <v>50</v>
      </c>
      <c r="E2735" t="s">
        <v>320</v>
      </c>
      <c r="F2735" t="s">
        <v>3590</v>
      </c>
    </row>
    <row r="2736" spans="1:6" x14ac:dyDescent="0.25">
      <c r="A2736" t="str">
        <f t="shared" si="43"/>
        <v>2174+50+261QX0203X</v>
      </c>
      <c r="B2736">
        <v>10233</v>
      </c>
      <c r="C2736">
        <v>2174</v>
      </c>
      <c r="D2736">
        <v>50</v>
      </c>
      <c r="E2736" t="s">
        <v>322</v>
      </c>
      <c r="F2736" t="s">
        <v>3582</v>
      </c>
    </row>
    <row r="2737" spans="1:6" x14ac:dyDescent="0.25">
      <c r="A2737" t="str">
        <f t="shared" si="43"/>
        <v>2174+51+261Q00000X</v>
      </c>
      <c r="B2737">
        <v>9090</v>
      </c>
      <c r="C2737">
        <v>2174</v>
      </c>
      <c r="D2737">
        <v>51</v>
      </c>
      <c r="E2737" t="s">
        <v>233</v>
      </c>
      <c r="F2737" t="s">
        <v>3964</v>
      </c>
    </row>
    <row r="2738" spans="1:6" x14ac:dyDescent="0.25">
      <c r="A2738" t="str">
        <f t="shared" si="43"/>
        <v>2174+51+261QA0900X</v>
      </c>
      <c r="B2738">
        <v>9091</v>
      </c>
      <c r="C2738">
        <v>2174</v>
      </c>
      <c r="D2738">
        <v>51</v>
      </c>
      <c r="E2738" t="s">
        <v>243</v>
      </c>
      <c r="F2738" t="s">
        <v>3621</v>
      </c>
    </row>
    <row r="2739" spans="1:6" x14ac:dyDescent="0.25">
      <c r="A2739" t="str">
        <f t="shared" si="43"/>
        <v>2174+51+261QA3000X</v>
      </c>
      <c r="B2739">
        <v>9092</v>
      </c>
      <c r="C2739">
        <v>2174</v>
      </c>
      <c r="D2739">
        <v>51</v>
      </c>
      <c r="E2739" t="s">
        <v>245</v>
      </c>
      <c r="F2739" t="s">
        <v>3622</v>
      </c>
    </row>
    <row r="2740" spans="1:6" x14ac:dyDescent="0.25">
      <c r="A2740" t="str">
        <f t="shared" si="43"/>
        <v>2174+51+261QC0050X</v>
      </c>
      <c r="B2740">
        <v>9093</v>
      </c>
      <c r="C2740">
        <v>2174</v>
      </c>
      <c r="D2740">
        <v>51</v>
      </c>
      <c r="E2740" t="s">
        <v>247</v>
      </c>
      <c r="F2740" t="s">
        <v>3623</v>
      </c>
    </row>
    <row r="2741" spans="1:6" x14ac:dyDescent="0.25">
      <c r="A2741" t="str">
        <f t="shared" si="43"/>
        <v>2174+51+261QD1600X</v>
      </c>
      <c r="B2741">
        <v>9094</v>
      </c>
      <c r="C2741">
        <v>2174</v>
      </c>
      <c r="D2741">
        <v>51</v>
      </c>
      <c r="E2741" t="s">
        <v>258</v>
      </c>
      <c r="F2741" t="s">
        <v>3588</v>
      </c>
    </row>
    <row r="2742" spans="1:6" x14ac:dyDescent="0.25">
      <c r="A2742" t="str">
        <f t="shared" si="43"/>
        <v>2174+51+261QE0002X</v>
      </c>
      <c r="B2742">
        <v>9095</v>
      </c>
      <c r="C2742">
        <v>2174</v>
      </c>
      <c r="D2742">
        <v>51</v>
      </c>
      <c r="E2742" t="s">
        <v>260</v>
      </c>
      <c r="F2742" t="s">
        <v>3625</v>
      </c>
    </row>
    <row r="2743" spans="1:6" x14ac:dyDescent="0.25">
      <c r="A2743" t="str">
        <f t="shared" si="43"/>
        <v>2174+51+261QE0800X</v>
      </c>
      <c r="B2743">
        <v>9096</v>
      </c>
      <c r="C2743">
        <v>2174</v>
      </c>
      <c r="D2743">
        <v>51</v>
      </c>
      <c r="E2743" t="s">
        <v>262</v>
      </c>
      <c r="F2743" t="s">
        <v>3579</v>
      </c>
    </row>
    <row r="2744" spans="1:6" x14ac:dyDescent="0.25">
      <c r="A2744" t="str">
        <f t="shared" si="43"/>
        <v>2174+51+261QG0250X</v>
      </c>
      <c r="B2744">
        <v>9097</v>
      </c>
      <c r="C2744">
        <v>2174</v>
      </c>
      <c r="D2744">
        <v>51</v>
      </c>
      <c r="E2744" t="s">
        <v>270</v>
      </c>
      <c r="F2744" t="s">
        <v>3627</v>
      </c>
    </row>
    <row r="2745" spans="1:6" x14ac:dyDescent="0.25">
      <c r="A2745" t="str">
        <f t="shared" si="43"/>
        <v>2174+51+261QL0400X</v>
      </c>
      <c r="B2745">
        <v>9098</v>
      </c>
      <c r="C2745">
        <v>2174</v>
      </c>
      <c r="D2745">
        <v>51</v>
      </c>
      <c r="E2745" t="s">
        <v>276</v>
      </c>
      <c r="F2745" t="s">
        <v>3628</v>
      </c>
    </row>
    <row r="2746" spans="1:6" x14ac:dyDescent="0.25">
      <c r="A2746" t="str">
        <f t="shared" si="43"/>
        <v>2174+51+261QM1000X</v>
      </c>
      <c r="B2746">
        <v>9099</v>
      </c>
      <c r="C2746">
        <v>2174</v>
      </c>
      <c r="D2746">
        <v>51</v>
      </c>
      <c r="E2746" t="s">
        <v>278</v>
      </c>
      <c r="F2746" t="s">
        <v>3629</v>
      </c>
    </row>
    <row r="2747" spans="1:6" x14ac:dyDescent="0.25">
      <c r="A2747" t="str">
        <f t="shared" si="43"/>
        <v>2174+51+261QM1100X</v>
      </c>
      <c r="B2747">
        <v>9100</v>
      </c>
      <c r="C2747">
        <v>2174</v>
      </c>
      <c r="D2747">
        <v>51</v>
      </c>
      <c r="E2747" t="s">
        <v>280</v>
      </c>
      <c r="F2747" t="s">
        <v>3630</v>
      </c>
    </row>
    <row r="2748" spans="1:6" x14ac:dyDescent="0.25">
      <c r="A2748" t="str">
        <f t="shared" si="43"/>
        <v>2174+51+261QM1102X</v>
      </c>
      <c r="B2748">
        <v>9101</v>
      </c>
      <c r="C2748">
        <v>2174</v>
      </c>
      <c r="D2748">
        <v>51</v>
      </c>
      <c r="E2748" t="s">
        <v>282</v>
      </c>
      <c r="F2748" t="s">
        <v>3631</v>
      </c>
    </row>
    <row r="2749" spans="1:6" x14ac:dyDescent="0.25">
      <c r="A2749" t="str">
        <f t="shared" si="43"/>
        <v>2174+51+261QM1103X</v>
      </c>
      <c r="B2749">
        <v>9102</v>
      </c>
      <c r="C2749">
        <v>2174</v>
      </c>
      <c r="D2749">
        <v>51</v>
      </c>
      <c r="E2749" t="s">
        <v>284</v>
      </c>
      <c r="F2749" t="s">
        <v>3632</v>
      </c>
    </row>
    <row r="2750" spans="1:6" x14ac:dyDescent="0.25">
      <c r="A2750" t="str">
        <f t="shared" si="43"/>
        <v>2174+51+261QM1200X</v>
      </c>
      <c r="B2750">
        <v>9103</v>
      </c>
      <c r="C2750">
        <v>2174</v>
      </c>
      <c r="D2750">
        <v>51</v>
      </c>
      <c r="E2750" t="s">
        <v>286</v>
      </c>
      <c r="F2750" t="s">
        <v>3580</v>
      </c>
    </row>
    <row r="2751" spans="1:6" x14ac:dyDescent="0.25">
      <c r="A2751" t="str">
        <f t="shared" si="43"/>
        <v>2174+51+261QM1300X</v>
      </c>
      <c r="B2751">
        <v>9104</v>
      </c>
      <c r="C2751">
        <v>2174</v>
      </c>
      <c r="D2751">
        <v>51</v>
      </c>
      <c r="E2751" t="s">
        <v>288</v>
      </c>
      <c r="F2751" t="s">
        <v>3581</v>
      </c>
    </row>
    <row r="2752" spans="1:6" x14ac:dyDescent="0.25">
      <c r="A2752" t="str">
        <f t="shared" si="43"/>
        <v>2174+51+261QM2500X</v>
      </c>
      <c r="B2752">
        <v>9105</v>
      </c>
      <c r="C2752">
        <v>2174</v>
      </c>
      <c r="D2752">
        <v>51</v>
      </c>
      <c r="E2752" t="s">
        <v>290</v>
      </c>
      <c r="F2752" t="s">
        <v>3589</v>
      </c>
    </row>
    <row r="2753" spans="1:6" x14ac:dyDescent="0.25">
      <c r="A2753" t="str">
        <f t="shared" si="43"/>
        <v>2174+51+261QM2800X</v>
      </c>
      <c r="B2753">
        <v>9106</v>
      </c>
      <c r="C2753">
        <v>2174</v>
      </c>
      <c r="D2753">
        <v>51</v>
      </c>
      <c r="E2753" t="s">
        <v>292</v>
      </c>
      <c r="F2753" t="s">
        <v>3633</v>
      </c>
    </row>
    <row r="2754" spans="1:6" x14ac:dyDescent="0.25">
      <c r="A2754" t="str">
        <f t="shared" si="43"/>
        <v>2174+51+261QP1100X</v>
      </c>
      <c r="B2754">
        <v>9107</v>
      </c>
      <c r="C2754">
        <v>2174</v>
      </c>
      <c r="D2754">
        <v>51</v>
      </c>
      <c r="E2754" t="s">
        <v>296</v>
      </c>
      <c r="F2754" t="s">
        <v>3636</v>
      </c>
    </row>
    <row r="2755" spans="1:6" x14ac:dyDescent="0.25">
      <c r="A2755" t="str">
        <f t="shared" si="43"/>
        <v>2174+51+261QP2300X</v>
      </c>
      <c r="B2755">
        <v>9108</v>
      </c>
      <c r="C2755">
        <v>2174</v>
      </c>
      <c r="D2755">
        <v>51</v>
      </c>
      <c r="E2755" t="s">
        <v>300</v>
      </c>
      <c r="F2755" t="s">
        <v>3584</v>
      </c>
    </row>
    <row r="2756" spans="1:6" x14ac:dyDescent="0.25">
      <c r="A2756" t="str">
        <f t="shared" si="43"/>
        <v>2174+51+261QP2400X</v>
      </c>
      <c r="B2756">
        <v>9109</v>
      </c>
      <c r="C2756">
        <v>2174</v>
      </c>
      <c r="D2756">
        <v>51</v>
      </c>
      <c r="E2756" t="s">
        <v>302</v>
      </c>
      <c r="F2756" t="s">
        <v>3637</v>
      </c>
    </row>
    <row r="2757" spans="1:6" x14ac:dyDescent="0.25">
      <c r="A2757" t="str">
        <f t="shared" si="43"/>
        <v>2174+51+261QP3300X</v>
      </c>
      <c r="B2757">
        <v>9110</v>
      </c>
      <c r="C2757">
        <v>2174</v>
      </c>
      <c r="D2757">
        <v>51</v>
      </c>
      <c r="E2757" t="s">
        <v>304</v>
      </c>
      <c r="F2757" t="s">
        <v>3583</v>
      </c>
    </row>
    <row r="2758" spans="1:6" x14ac:dyDescent="0.25">
      <c r="A2758" t="str">
        <f t="shared" si="43"/>
        <v>2174+51+261QR0800X</v>
      </c>
      <c r="B2758">
        <v>9111</v>
      </c>
      <c r="C2758">
        <v>2174</v>
      </c>
      <c r="D2758">
        <v>51</v>
      </c>
      <c r="E2758" t="s">
        <v>306</v>
      </c>
      <c r="F2758" t="s">
        <v>3585</v>
      </c>
    </row>
    <row r="2759" spans="1:6" x14ac:dyDescent="0.25">
      <c r="A2759" t="str">
        <f t="shared" si="43"/>
        <v>2174+51+261QR1100X</v>
      </c>
      <c r="B2759">
        <v>9112</v>
      </c>
      <c r="C2759">
        <v>2174</v>
      </c>
      <c r="D2759">
        <v>51</v>
      </c>
      <c r="E2759" t="s">
        <v>308</v>
      </c>
      <c r="F2759" t="s">
        <v>3638</v>
      </c>
    </row>
    <row r="2760" spans="1:6" x14ac:dyDescent="0.25">
      <c r="A2760" t="str">
        <f t="shared" si="43"/>
        <v>2174+51+261QS1200X</v>
      </c>
      <c r="B2760">
        <v>9113</v>
      </c>
      <c r="C2760">
        <v>2174</v>
      </c>
      <c r="D2760">
        <v>51</v>
      </c>
      <c r="E2760" t="s">
        <v>312</v>
      </c>
      <c r="F2760" t="s">
        <v>3586</v>
      </c>
    </row>
    <row r="2761" spans="1:6" x14ac:dyDescent="0.25">
      <c r="A2761" t="str">
        <f t="shared" si="43"/>
        <v>2174+51+261QU0200X</v>
      </c>
      <c r="B2761">
        <v>9114</v>
      </c>
      <c r="C2761">
        <v>2174</v>
      </c>
      <c r="D2761">
        <v>51</v>
      </c>
      <c r="E2761" t="s">
        <v>314</v>
      </c>
      <c r="F2761" t="s">
        <v>3587</v>
      </c>
    </row>
    <row r="2762" spans="1:6" x14ac:dyDescent="0.25">
      <c r="A2762" t="str">
        <f t="shared" si="43"/>
        <v>2174+51+261QV0200X</v>
      </c>
      <c r="B2762">
        <v>9115</v>
      </c>
      <c r="C2762">
        <v>2174</v>
      </c>
      <c r="D2762">
        <v>51</v>
      </c>
      <c r="E2762" t="s">
        <v>316</v>
      </c>
      <c r="F2762" t="s">
        <v>3639</v>
      </c>
    </row>
    <row r="2763" spans="1:6" x14ac:dyDescent="0.25">
      <c r="A2763" t="str">
        <f t="shared" si="43"/>
        <v>2174+51+261QX0100X</v>
      </c>
      <c r="B2763">
        <v>9116</v>
      </c>
      <c r="C2763">
        <v>2174</v>
      </c>
      <c r="D2763">
        <v>51</v>
      </c>
      <c r="E2763" t="s">
        <v>318</v>
      </c>
      <c r="F2763" t="s">
        <v>3640</v>
      </c>
    </row>
    <row r="2764" spans="1:6" x14ac:dyDescent="0.25">
      <c r="A2764" t="str">
        <f t="shared" si="43"/>
        <v>2174+51+261QX0200X</v>
      </c>
      <c r="B2764">
        <v>9117</v>
      </c>
      <c r="C2764">
        <v>2174</v>
      </c>
      <c r="D2764">
        <v>51</v>
      </c>
      <c r="E2764" t="s">
        <v>320</v>
      </c>
      <c r="F2764" t="s">
        <v>3590</v>
      </c>
    </row>
    <row r="2765" spans="1:6" x14ac:dyDescent="0.25">
      <c r="A2765" t="str">
        <f t="shared" si="43"/>
        <v>2174+51+261QX0203X</v>
      </c>
      <c r="B2765">
        <v>9118</v>
      </c>
      <c r="C2765">
        <v>2174</v>
      </c>
      <c r="D2765">
        <v>51</v>
      </c>
      <c r="E2765" t="s">
        <v>322</v>
      </c>
      <c r="F2765" t="s">
        <v>3582</v>
      </c>
    </row>
    <row r="2766" spans="1:6" x14ac:dyDescent="0.25">
      <c r="A2766" t="str">
        <f t="shared" ref="A2766:A2829" si="44">C2766 &amp; "+" &amp; D2766 &amp; "+" &amp; E2766</f>
        <v>2174+59+261Q00000X</v>
      </c>
      <c r="B2766">
        <v>4526</v>
      </c>
      <c r="C2766">
        <v>2174</v>
      </c>
      <c r="D2766">
        <v>59</v>
      </c>
      <c r="E2766" t="s">
        <v>233</v>
      </c>
      <c r="F2766" t="s">
        <v>3578</v>
      </c>
    </row>
    <row r="2767" spans="1:6" x14ac:dyDescent="0.25">
      <c r="A2767" t="str">
        <f t="shared" si="44"/>
        <v>2174+59+261QA0900X</v>
      </c>
      <c r="B2767">
        <v>9003</v>
      </c>
      <c r="C2767">
        <v>2174</v>
      </c>
      <c r="D2767">
        <v>59</v>
      </c>
      <c r="E2767" t="s">
        <v>243</v>
      </c>
      <c r="F2767" t="s">
        <v>3621</v>
      </c>
    </row>
    <row r="2768" spans="1:6" x14ac:dyDescent="0.25">
      <c r="A2768" t="str">
        <f t="shared" si="44"/>
        <v>2174+59+261QA3000X</v>
      </c>
      <c r="B2768">
        <v>9004</v>
      </c>
      <c r="C2768">
        <v>2174</v>
      </c>
      <c r="D2768">
        <v>59</v>
      </c>
      <c r="E2768" t="s">
        <v>245</v>
      </c>
      <c r="F2768" t="s">
        <v>3622</v>
      </c>
    </row>
    <row r="2769" spans="1:6" x14ac:dyDescent="0.25">
      <c r="A2769" t="str">
        <f t="shared" si="44"/>
        <v>2174+59+261QC0050X</v>
      </c>
      <c r="B2769">
        <v>9005</v>
      </c>
      <c r="C2769">
        <v>2174</v>
      </c>
      <c r="D2769">
        <v>59</v>
      </c>
      <c r="E2769" t="s">
        <v>247</v>
      </c>
      <c r="F2769" t="s">
        <v>3623</v>
      </c>
    </row>
    <row r="2770" spans="1:6" x14ac:dyDescent="0.25">
      <c r="A2770" t="str">
        <f t="shared" si="44"/>
        <v>2174+59+261QD1600X</v>
      </c>
      <c r="B2770">
        <v>4541</v>
      </c>
      <c r="C2770">
        <v>2174</v>
      </c>
      <c r="D2770">
        <v>59</v>
      </c>
      <c r="E2770" t="s">
        <v>258</v>
      </c>
      <c r="F2770" t="s">
        <v>3588</v>
      </c>
    </row>
    <row r="2771" spans="1:6" x14ac:dyDescent="0.25">
      <c r="A2771" t="str">
        <f t="shared" si="44"/>
        <v>2174+59+261QE0002X</v>
      </c>
      <c r="B2771">
        <v>9007</v>
      </c>
      <c r="C2771">
        <v>2174</v>
      </c>
      <c r="D2771">
        <v>59</v>
      </c>
      <c r="E2771" t="s">
        <v>260</v>
      </c>
      <c r="F2771" t="s">
        <v>3625</v>
      </c>
    </row>
    <row r="2772" spans="1:6" x14ac:dyDescent="0.25">
      <c r="A2772" t="str">
        <f t="shared" si="44"/>
        <v>2174+59+261QE0800X</v>
      </c>
      <c r="B2772">
        <v>4527</v>
      </c>
      <c r="C2772">
        <v>2174</v>
      </c>
      <c r="D2772">
        <v>59</v>
      </c>
      <c r="E2772" t="s">
        <v>262</v>
      </c>
      <c r="F2772" t="s">
        <v>3579</v>
      </c>
    </row>
    <row r="2773" spans="1:6" x14ac:dyDescent="0.25">
      <c r="A2773" t="str">
        <f t="shared" si="44"/>
        <v>2174+59+261QG0250X</v>
      </c>
      <c r="B2773">
        <v>9009</v>
      </c>
      <c r="C2773">
        <v>2174</v>
      </c>
      <c r="D2773">
        <v>59</v>
      </c>
      <c r="E2773" t="s">
        <v>270</v>
      </c>
      <c r="F2773" t="s">
        <v>3627</v>
      </c>
    </row>
    <row r="2774" spans="1:6" x14ac:dyDescent="0.25">
      <c r="A2774" t="str">
        <f t="shared" si="44"/>
        <v>2174+59+261QL0400X</v>
      </c>
      <c r="B2774">
        <v>9013</v>
      </c>
      <c r="C2774">
        <v>2174</v>
      </c>
      <c r="D2774">
        <v>59</v>
      </c>
      <c r="E2774" t="s">
        <v>276</v>
      </c>
      <c r="F2774" t="s">
        <v>3628</v>
      </c>
    </row>
    <row r="2775" spans="1:6" x14ac:dyDescent="0.25">
      <c r="A2775" t="str">
        <f t="shared" si="44"/>
        <v>2174+59+261QM1000X</v>
      </c>
      <c r="B2775">
        <v>9014</v>
      </c>
      <c r="C2775">
        <v>2174</v>
      </c>
      <c r="D2775">
        <v>59</v>
      </c>
      <c r="E2775" t="s">
        <v>278</v>
      </c>
      <c r="F2775" t="s">
        <v>3629</v>
      </c>
    </row>
    <row r="2776" spans="1:6" x14ac:dyDescent="0.25">
      <c r="A2776" t="str">
        <f t="shared" si="44"/>
        <v>2174+59+261QM1100X</v>
      </c>
      <c r="B2776">
        <v>9015</v>
      </c>
      <c r="C2776">
        <v>2174</v>
      </c>
      <c r="D2776">
        <v>59</v>
      </c>
      <c r="E2776" t="s">
        <v>280</v>
      </c>
      <c r="F2776" t="s">
        <v>3630</v>
      </c>
    </row>
    <row r="2777" spans="1:6" x14ac:dyDescent="0.25">
      <c r="A2777" t="str">
        <f t="shared" si="44"/>
        <v>2174+59+261QM1102X</v>
      </c>
      <c r="B2777">
        <v>9016</v>
      </c>
      <c r="C2777">
        <v>2174</v>
      </c>
      <c r="D2777">
        <v>59</v>
      </c>
      <c r="E2777" t="s">
        <v>282</v>
      </c>
      <c r="F2777" t="s">
        <v>3631</v>
      </c>
    </row>
    <row r="2778" spans="1:6" x14ac:dyDescent="0.25">
      <c r="A2778" t="str">
        <f t="shared" si="44"/>
        <v>2174+59+261QM1103X</v>
      </c>
      <c r="B2778">
        <v>9017</v>
      </c>
      <c r="C2778">
        <v>2174</v>
      </c>
      <c r="D2778">
        <v>59</v>
      </c>
      <c r="E2778" t="s">
        <v>284</v>
      </c>
      <c r="F2778" t="s">
        <v>3632</v>
      </c>
    </row>
    <row r="2779" spans="1:6" x14ac:dyDescent="0.25">
      <c r="A2779" t="str">
        <f t="shared" si="44"/>
        <v>2174+59+261QM1200X</v>
      </c>
      <c r="B2779">
        <v>4530</v>
      </c>
      <c r="C2779">
        <v>2174</v>
      </c>
      <c r="D2779">
        <v>59</v>
      </c>
      <c r="E2779" t="s">
        <v>286</v>
      </c>
      <c r="F2779" t="s">
        <v>3580</v>
      </c>
    </row>
    <row r="2780" spans="1:6" x14ac:dyDescent="0.25">
      <c r="A2780" t="str">
        <f t="shared" si="44"/>
        <v>2174+59+261QM1300X</v>
      </c>
      <c r="B2780">
        <v>4532</v>
      </c>
      <c r="C2780">
        <v>2174</v>
      </c>
      <c r="D2780">
        <v>59</v>
      </c>
      <c r="E2780" t="s">
        <v>288</v>
      </c>
      <c r="F2780" t="s">
        <v>3581</v>
      </c>
    </row>
    <row r="2781" spans="1:6" x14ac:dyDescent="0.25">
      <c r="A2781" t="str">
        <f t="shared" si="44"/>
        <v>2174+59+261QM2500X</v>
      </c>
      <c r="B2781">
        <v>4543</v>
      </c>
      <c r="C2781">
        <v>2174</v>
      </c>
      <c r="D2781">
        <v>59</v>
      </c>
      <c r="E2781" t="s">
        <v>290</v>
      </c>
      <c r="F2781" t="s">
        <v>3589</v>
      </c>
    </row>
    <row r="2782" spans="1:6" x14ac:dyDescent="0.25">
      <c r="A2782" t="str">
        <f t="shared" si="44"/>
        <v>2174+59+261QM2800X</v>
      </c>
      <c r="B2782">
        <v>9018</v>
      </c>
      <c r="C2782">
        <v>2174</v>
      </c>
      <c r="D2782">
        <v>59</v>
      </c>
      <c r="E2782" t="s">
        <v>292</v>
      </c>
      <c r="F2782" t="s">
        <v>3633</v>
      </c>
    </row>
    <row r="2783" spans="1:6" x14ac:dyDescent="0.25">
      <c r="A2783" t="str">
        <f t="shared" si="44"/>
        <v>2174+59+261QP1100X</v>
      </c>
      <c r="B2783">
        <v>9021</v>
      </c>
      <c r="C2783">
        <v>2174</v>
      </c>
      <c r="D2783">
        <v>59</v>
      </c>
      <c r="E2783" t="s">
        <v>296</v>
      </c>
      <c r="F2783" t="s">
        <v>3636</v>
      </c>
    </row>
    <row r="2784" spans="1:6" x14ac:dyDescent="0.25">
      <c r="A2784" t="str">
        <f t="shared" si="44"/>
        <v>2174+59+261QP2300X</v>
      </c>
      <c r="B2784">
        <v>4535</v>
      </c>
      <c r="C2784">
        <v>2174</v>
      </c>
      <c r="D2784">
        <v>59</v>
      </c>
      <c r="E2784" t="s">
        <v>300</v>
      </c>
      <c r="F2784" t="s">
        <v>3584</v>
      </c>
    </row>
    <row r="2785" spans="1:6" x14ac:dyDescent="0.25">
      <c r="A2785" t="str">
        <f t="shared" si="44"/>
        <v>2174+59+261QP2400X</v>
      </c>
      <c r="B2785">
        <v>9022</v>
      </c>
      <c r="C2785">
        <v>2174</v>
      </c>
      <c r="D2785">
        <v>59</v>
      </c>
      <c r="E2785" t="s">
        <v>302</v>
      </c>
      <c r="F2785" t="s">
        <v>3637</v>
      </c>
    </row>
    <row r="2786" spans="1:6" x14ac:dyDescent="0.25">
      <c r="A2786" t="str">
        <f t="shared" si="44"/>
        <v>2174+59+261QP3300X</v>
      </c>
      <c r="B2786">
        <v>4534</v>
      </c>
      <c r="C2786">
        <v>2174</v>
      </c>
      <c r="D2786">
        <v>59</v>
      </c>
      <c r="E2786" t="s">
        <v>304</v>
      </c>
      <c r="F2786" t="s">
        <v>3583</v>
      </c>
    </row>
    <row r="2787" spans="1:6" x14ac:dyDescent="0.25">
      <c r="A2787" t="str">
        <f t="shared" si="44"/>
        <v>2174+59+261QR0800X</v>
      </c>
      <c r="B2787">
        <v>4536</v>
      </c>
      <c r="C2787">
        <v>2174</v>
      </c>
      <c r="D2787">
        <v>59</v>
      </c>
      <c r="E2787" t="s">
        <v>306</v>
      </c>
      <c r="F2787" t="s">
        <v>3585</v>
      </c>
    </row>
    <row r="2788" spans="1:6" x14ac:dyDescent="0.25">
      <c r="A2788" t="str">
        <f t="shared" si="44"/>
        <v>2174+59+261QR1100X</v>
      </c>
      <c r="B2788">
        <v>9023</v>
      </c>
      <c r="C2788">
        <v>2174</v>
      </c>
      <c r="D2788">
        <v>59</v>
      </c>
      <c r="E2788" t="s">
        <v>308</v>
      </c>
      <c r="F2788" t="s">
        <v>3638</v>
      </c>
    </row>
    <row r="2789" spans="1:6" x14ac:dyDescent="0.25">
      <c r="A2789" t="str">
        <f t="shared" si="44"/>
        <v>2174+59+261QS1200X</v>
      </c>
      <c r="B2789">
        <v>4539</v>
      </c>
      <c r="C2789">
        <v>2174</v>
      </c>
      <c r="D2789">
        <v>59</v>
      </c>
      <c r="E2789" t="s">
        <v>312</v>
      </c>
      <c r="F2789" t="s">
        <v>3586</v>
      </c>
    </row>
    <row r="2790" spans="1:6" x14ac:dyDescent="0.25">
      <c r="A2790" t="str">
        <f t="shared" si="44"/>
        <v>2174+59+261QU0200X</v>
      </c>
      <c r="B2790">
        <v>4540</v>
      </c>
      <c r="C2790">
        <v>2174</v>
      </c>
      <c r="D2790">
        <v>59</v>
      </c>
      <c r="E2790" t="s">
        <v>314</v>
      </c>
      <c r="F2790" t="s">
        <v>3587</v>
      </c>
    </row>
    <row r="2791" spans="1:6" x14ac:dyDescent="0.25">
      <c r="A2791" t="str">
        <f t="shared" si="44"/>
        <v>2174+59+261QV0200X</v>
      </c>
      <c r="B2791">
        <v>9024</v>
      </c>
      <c r="C2791">
        <v>2174</v>
      </c>
      <c r="D2791">
        <v>59</v>
      </c>
      <c r="E2791" t="s">
        <v>316</v>
      </c>
      <c r="F2791" t="s">
        <v>3639</v>
      </c>
    </row>
    <row r="2792" spans="1:6" x14ac:dyDescent="0.25">
      <c r="A2792" t="str">
        <f t="shared" si="44"/>
        <v>2174+59+261QX0100X</v>
      </c>
      <c r="B2792">
        <v>9025</v>
      </c>
      <c r="C2792">
        <v>2174</v>
      </c>
      <c r="D2792">
        <v>59</v>
      </c>
      <c r="E2792" t="s">
        <v>318</v>
      </c>
      <c r="F2792" t="s">
        <v>3640</v>
      </c>
    </row>
    <row r="2793" spans="1:6" x14ac:dyDescent="0.25">
      <c r="A2793" t="str">
        <f t="shared" si="44"/>
        <v>2174+59+261QX0200X</v>
      </c>
      <c r="B2793">
        <v>4544</v>
      </c>
      <c r="C2793">
        <v>2174</v>
      </c>
      <c r="D2793">
        <v>59</v>
      </c>
      <c r="E2793" t="s">
        <v>320</v>
      </c>
      <c r="F2793" t="s">
        <v>3590</v>
      </c>
    </row>
    <row r="2794" spans="1:6" x14ac:dyDescent="0.25">
      <c r="A2794" t="str">
        <f t="shared" si="44"/>
        <v>2174+59+261QX0203X</v>
      </c>
      <c r="B2794">
        <v>4533</v>
      </c>
      <c r="C2794">
        <v>2174</v>
      </c>
      <c r="D2794">
        <v>59</v>
      </c>
      <c r="E2794" t="s">
        <v>322</v>
      </c>
      <c r="F2794" t="s">
        <v>3582</v>
      </c>
    </row>
    <row r="2795" spans="1:6" x14ac:dyDescent="0.25">
      <c r="A2795" t="str">
        <f t="shared" si="44"/>
        <v>2176+50+261QH0100X</v>
      </c>
      <c r="B2795">
        <v>10246</v>
      </c>
      <c r="C2795">
        <v>2176</v>
      </c>
      <c r="D2795">
        <v>50</v>
      </c>
      <c r="E2795" t="s">
        <v>205</v>
      </c>
      <c r="F2795" t="s">
        <v>3606</v>
      </c>
    </row>
    <row r="2796" spans="1:6" x14ac:dyDescent="0.25">
      <c r="A2796" t="str">
        <f t="shared" si="44"/>
        <v>2176+51+261QH0100X</v>
      </c>
      <c r="B2796">
        <v>9131</v>
      </c>
      <c r="C2796">
        <v>2176</v>
      </c>
      <c r="D2796">
        <v>51</v>
      </c>
      <c r="E2796" t="s">
        <v>205</v>
      </c>
      <c r="F2796" t="s">
        <v>3606</v>
      </c>
    </row>
    <row r="2797" spans="1:6" x14ac:dyDescent="0.25">
      <c r="A2797" t="str">
        <f t="shared" si="44"/>
        <v>2176+59+261QH0100X</v>
      </c>
      <c r="B2797">
        <v>9011</v>
      </c>
      <c r="C2797">
        <v>2176</v>
      </c>
      <c r="D2797">
        <v>59</v>
      </c>
      <c r="E2797" t="s">
        <v>205</v>
      </c>
      <c r="F2797" t="s">
        <v>3606</v>
      </c>
    </row>
    <row r="2798" spans="1:6" x14ac:dyDescent="0.25">
      <c r="A2798" t="str">
        <f t="shared" si="44"/>
        <v>2177+50+261QP0904X</v>
      </c>
      <c r="B2798">
        <v>10239</v>
      </c>
      <c r="C2798">
        <v>2177</v>
      </c>
      <c r="D2798">
        <v>50</v>
      </c>
      <c r="E2798" t="s">
        <v>222</v>
      </c>
      <c r="F2798" t="s">
        <v>3635</v>
      </c>
    </row>
    <row r="2799" spans="1:6" x14ac:dyDescent="0.25">
      <c r="A2799" t="str">
        <f t="shared" si="44"/>
        <v>2177+51+261QP0904X</v>
      </c>
      <c r="B2799">
        <v>9124</v>
      </c>
      <c r="C2799">
        <v>2177</v>
      </c>
      <c r="D2799">
        <v>51</v>
      </c>
      <c r="E2799" t="s">
        <v>222</v>
      </c>
      <c r="F2799" t="s">
        <v>3635</v>
      </c>
    </row>
    <row r="2800" spans="1:6" x14ac:dyDescent="0.25">
      <c r="A2800" t="str">
        <f t="shared" si="44"/>
        <v>2177+59+261QP0904X</v>
      </c>
      <c r="B2800">
        <v>9020</v>
      </c>
      <c r="C2800">
        <v>2177</v>
      </c>
      <c r="D2800">
        <v>59</v>
      </c>
      <c r="E2800" t="s">
        <v>222</v>
      </c>
      <c r="F2800" t="s">
        <v>3635</v>
      </c>
    </row>
    <row r="2801" spans="1:6" x14ac:dyDescent="0.25">
      <c r="A2801" t="str">
        <f t="shared" si="44"/>
        <v>2178+22+231HA2400X</v>
      </c>
      <c r="B2801">
        <v>9353</v>
      </c>
      <c r="C2801">
        <v>2178</v>
      </c>
      <c r="D2801">
        <v>22</v>
      </c>
      <c r="E2801" t="s">
        <v>819</v>
      </c>
      <c r="F2801" t="s">
        <v>3965</v>
      </c>
    </row>
    <row r="2802" spans="1:6" x14ac:dyDescent="0.25">
      <c r="A2802" t="str">
        <f t="shared" si="44"/>
        <v>2178+64+332B00000X</v>
      </c>
      <c r="B2802">
        <v>9026</v>
      </c>
      <c r="C2802">
        <v>2178</v>
      </c>
      <c r="D2802">
        <v>64</v>
      </c>
      <c r="E2802" t="s">
        <v>851</v>
      </c>
      <c r="F2802" t="s">
        <v>3641</v>
      </c>
    </row>
    <row r="2803" spans="1:6" x14ac:dyDescent="0.25">
      <c r="A2803" t="str">
        <f t="shared" si="44"/>
        <v>2178+129+225CA2400X</v>
      </c>
      <c r="B2803">
        <v>10193</v>
      </c>
      <c r="C2803">
        <v>2178</v>
      </c>
      <c r="D2803">
        <v>129</v>
      </c>
      <c r="E2803" t="s">
        <v>1819</v>
      </c>
      <c r="F2803" t="s">
        <v>3966</v>
      </c>
    </row>
    <row r="2804" spans="1:6" x14ac:dyDescent="0.25">
      <c r="A2804" t="str">
        <f t="shared" si="44"/>
        <v>2179+54+310400000X</v>
      </c>
      <c r="B2804">
        <v>9027</v>
      </c>
      <c r="C2804">
        <v>2179</v>
      </c>
      <c r="D2804">
        <v>54</v>
      </c>
      <c r="E2804" t="s">
        <v>97</v>
      </c>
      <c r="F2804" t="s">
        <v>3642</v>
      </c>
    </row>
    <row r="2805" spans="1:6" x14ac:dyDescent="0.25">
      <c r="A2805" t="str">
        <f t="shared" si="44"/>
        <v>2179+54+3104A0625X</v>
      </c>
      <c r="B2805">
        <v>4626</v>
      </c>
      <c r="C2805">
        <v>2179</v>
      </c>
      <c r="D2805">
        <v>54</v>
      </c>
      <c r="E2805" t="s">
        <v>103</v>
      </c>
      <c r="F2805" t="s">
        <v>3596</v>
      </c>
    </row>
    <row r="2806" spans="1:6" x14ac:dyDescent="0.25">
      <c r="A2806" t="str">
        <f t="shared" si="44"/>
        <v>2179+54+3104A0630X</v>
      </c>
      <c r="B2806">
        <v>9028</v>
      </c>
      <c r="C2806">
        <v>2179</v>
      </c>
      <c r="D2806">
        <v>54</v>
      </c>
      <c r="E2806" t="s">
        <v>105</v>
      </c>
      <c r="F2806" t="s">
        <v>3643</v>
      </c>
    </row>
    <row r="2807" spans="1:6" x14ac:dyDescent="0.25">
      <c r="A2807" t="str">
        <f t="shared" si="44"/>
        <v>2179+54+311Z00000X</v>
      </c>
      <c r="B2807">
        <v>9031</v>
      </c>
      <c r="C2807">
        <v>2179</v>
      </c>
      <c r="D2807">
        <v>54</v>
      </c>
      <c r="E2807" t="s">
        <v>107</v>
      </c>
      <c r="F2807" t="s">
        <v>3646</v>
      </c>
    </row>
    <row r="2808" spans="1:6" x14ac:dyDescent="0.25">
      <c r="A2808" t="str">
        <f t="shared" si="44"/>
        <v>2179+54+311ZA0620X</v>
      </c>
      <c r="B2808">
        <v>9032</v>
      </c>
      <c r="C2808">
        <v>2179</v>
      </c>
      <c r="D2808">
        <v>54</v>
      </c>
      <c r="E2808" t="s">
        <v>109</v>
      </c>
      <c r="F2808" t="s">
        <v>3647</v>
      </c>
    </row>
    <row r="2809" spans="1:6" x14ac:dyDescent="0.25">
      <c r="A2809" t="str">
        <f t="shared" si="44"/>
        <v>2180+54+310500000X</v>
      </c>
      <c r="B2809">
        <v>9029</v>
      </c>
      <c r="C2809">
        <v>2180</v>
      </c>
      <c r="D2809">
        <v>54</v>
      </c>
      <c r="E2809" t="s">
        <v>140</v>
      </c>
      <c r="F2809" t="s">
        <v>3644</v>
      </c>
    </row>
    <row r="2810" spans="1:6" x14ac:dyDescent="0.25">
      <c r="A2810" t="str">
        <f t="shared" si="44"/>
        <v>2180+54+313M00000X</v>
      </c>
      <c r="B2810">
        <v>4792</v>
      </c>
      <c r="C2810">
        <v>2180</v>
      </c>
      <c r="D2810">
        <v>54</v>
      </c>
      <c r="E2810" t="s">
        <v>111</v>
      </c>
      <c r="F2810" t="s">
        <v>3648</v>
      </c>
    </row>
    <row r="2811" spans="1:6" x14ac:dyDescent="0.25">
      <c r="A2811" t="str">
        <f t="shared" si="44"/>
        <v>2181+54+311500000X</v>
      </c>
      <c r="B2811">
        <v>9030</v>
      </c>
      <c r="C2811">
        <v>2181</v>
      </c>
      <c r="D2811">
        <v>54</v>
      </c>
      <c r="E2811" t="s">
        <v>144</v>
      </c>
      <c r="F2811" t="s">
        <v>3645</v>
      </c>
    </row>
    <row r="2812" spans="1:6" x14ac:dyDescent="0.25">
      <c r="A2812" t="str">
        <f t="shared" si="44"/>
        <v>2181+54+314000000X</v>
      </c>
      <c r="B2812">
        <v>4841</v>
      </c>
      <c r="C2812">
        <v>2181</v>
      </c>
      <c r="D2812">
        <v>54</v>
      </c>
      <c r="E2812" t="s">
        <v>117</v>
      </c>
      <c r="F2812" t="s">
        <v>3649</v>
      </c>
    </row>
    <row r="2813" spans="1:6" x14ac:dyDescent="0.25">
      <c r="A2813" t="str">
        <f t="shared" si="44"/>
        <v>2181+54+3140N1450X</v>
      </c>
      <c r="B2813">
        <v>9038</v>
      </c>
      <c r="C2813">
        <v>2181</v>
      </c>
      <c r="D2813">
        <v>54</v>
      </c>
      <c r="E2813" t="s">
        <v>149</v>
      </c>
      <c r="F2813" t="s">
        <v>3650</v>
      </c>
    </row>
    <row r="2814" spans="1:6" x14ac:dyDescent="0.25">
      <c r="A2814" t="str">
        <f t="shared" si="44"/>
        <v>2181+54+317400000X</v>
      </c>
      <c r="B2814">
        <v>9040</v>
      </c>
      <c r="C2814">
        <v>2181</v>
      </c>
      <c r="D2814">
        <v>54</v>
      </c>
      <c r="E2814" t="s">
        <v>151</v>
      </c>
      <c r="F2814" t="s">
        <v>3651</v>
      </c>
    </row>
    <row r="2815" spans="1:6" x14ac:dyDescent="0.25">
      <c r="A2815" t="str">
        <f t="shared" si="44"/>
        <v>2182+54+313M00000X</v>
      </c>
      <c r="B2815">
        <v>9033</v>
      </c>
      <c r="C2815">
        <v>2182</v>
      </c>
      <c r="D2815">
        <v>54</v>
      </c>
      <c r="E2815" t="s">
        <v>111</v>
      </c>
      <c r="F2815" t="s">
        <v>3648</v>
      </c>
    </row>
    <row r="2816" spans="1:6" x14ac:dyDescent="0.25">
      <c r="A2816" t="str">
        <f t="shared" si="44"/>
        <v>2183+54+313M00000X</v>
      </c>
      <c r="B2816">
        <v>9034</v>
      </c>
      <c r="C2816">
        <v>2183</v>
      </c>
      <c r="D2816">
        <v>54</v>
      </c>
      <c r="E2816" t="s">
        <v>111</v>
      </c>
      <c r="F2816" t="s">
        <v>3648</v>
      </c>
    </row>
    <row r="2817" spans="1:6" x14ac:dyDescent="0.25">
      <c r="A2817" t="str">
        <f t="shared" si="44"/>
        <v>2184+54+314000000X</v>
      </c>
      <c r="B2817">
        <v>9035</v>
      </c>
      <c r="C2817">
        <v>2184</v>
      </c>
      <c r="D2817">
        <v>54</v>
      </c>
      <c r="E2817" t="s">
        <v>117</v>
      </c>
      <c r="F2817" t="s">
        <v>3649</v>
      </c>
    </row>
    <row r="2818" spans="1:6" x14ac:dyDescent="0.25">
      <c r="A2818" t="str">
        <f t="shared" si="44"/>
        <v>2185+54+314000000X</v>
      </c>
      <c r="B2818">
        <v>9036</v>
      </c>
      <c r="C2818">
        <v>2185</v>
      </c>
      <c r="D2818">
        <v>54</v>
      </c>
      <c r="E2818" t="s">
        <v>117</v>
      </c>
      <c r="F2818" t="s">
        <v>3649</v>
      </c>
    </row>
    <row r="2819" spans="1:6" x14ac:dyDescent="0.25">
      <c r="A2819" t="str">
        <f t="shared" si="44"/>
        <v>2186+54+314000000X</v>
      </c>
      <c r="B2819">
        <v>9037</v>
      </c>
      <c r="C2819">
        <v>2186</v>
      </c>
      <c r="D2819">
        <v>54</v>
      </c>
      <c r="E2819" t="s">
        <v>117</v>
      </c>
      <c r="F2819" t="s">
        <v>3649</v>
      </c>
    </row>
    <row r="2820" spans="1:6" x14ac:dyDescent="0.25">
      <c r="A2820" t="str">
        <f t="shared" si="44"/>
        <v>2186+54+385H00000X</v>
      </c>
      <c r="B2820">
        <v>4835</v>
      </c>
      <c r="C2820">
        <v>2186</v>
      </c>
      <c r="D2820">
        <v>54</v>
      </c>
      <c r="E2820" t="s">
        <v>130</v>
      </c>
      <c r="F2820" t="s">
        <v>3967</v>
      </c>
    </row>
    <row r="2821" spans="1:6" x14ac:dyDescent="0.25">
      <c r="A2821" t="str">
        <f t="shared" si="44"/>
        <v>2186+54+385HR2050X</v>
      </c>
      <c r="B2821">
        <v>9041</v>
      </c>
      <c r="C2821">
        <v>2186</v>
      </c>
      <c r="D2821">
        <v>54</v>
      </c>
      <c r="E2821" t="s">
        <v>132</v>
      </c>
      <c r="F2821" t="s">
        <v>3652</v>
      </c>
    </row>
    <row r="2822" spans="1:6" x14ac:dyDescent="0.25">
      <c r="A2822" t="str">
        <f t="shared" si="44"/>
        <v>2186+54+385HR2055X</v>
      </c>
      <c r="B2822">
        <v>9042</v>
      </c>
      <c r="C2822">
        <v>2186</v>
      </c>
      <c r="D2822">
        <v>54</v>
      </c>
      <c r="E2822" t="s">
        <v>134</v>
      </c>
      <c r="F2822" t="s">
        <v>3653</v>
      </c>
    </row>
    <row r="2823" spans="1:6" x14ac:dyDescent="0.25">
      <c r="A2823" t="str">
        <f t="shared" si="44"/>
        <v>2186+54+385HR2060X</v>
      </c>
      <c r="B2823">
        <v>9043</v>
      </c>
      <c r="C2823">
        <v>2186</v>
      </c>
      <c r="D2823">
        <v>54</v>
      </c>
      <c r="E2823" t="s">
        <v>136</v>
      </c>
      <c r="F2823" t="s">
        <v>3968</v>
      </c>
    </row>
    <row r="2824" spans="1:6" x14ac:dyDescent="0.25">
      <c r="A2824" t="str">
        <f t="shared" si="44"/>
        <v>2186+54+385HR2065X</v>
      </c>
      <c r="B2824">
        <v>9044</v>
      </c>
      <c r="C2824">
        <v>2186</v>
      </c>
      <c r="D2824">
        <v>54</v>
      </c>
      <c r="E2824" t="s">
        <v>138</v>
      </c>
      <c r="F2824" t="s">
        <v>3654</v>
      </c>
    </row>
    <row r="2825" spans="1:6" x14ac:dyDescent="0.25">
      <c r="A2825" t="str">
        <f t="shared" si="44"/>
        <v>2187+54+315P00000X</v>
      </c>
      <c r="B2825">
        <v>9076</v>
      </c>
      <c r="C2825">
        <v>2187</v>
      </c>
      <c r="D2825">
        <v>54</v>
      </c>
      <c r="E2825" t="s">
        <v>125</v>
      </c>
      <c r="F2825" t="s">
        <v>3939</v>
      </c>
    </row>
    <row r="2826" spans="1:6" x14ac:dyDescent="0.25">
      <c r="A2826" t="str">
        <f t="shared" si="44"/>
        <v>2188+38+133N00000X</v>
      </c>
      <c r="B2826">
        <v>9356</v>
      </c>
      <c r="C2826">
        <v>2188</v>
      </c>
      <c r="D2826">
        <v>38</v>
      </c>
      <c r="E2826" t="s">
        <v>835</v>
      </c>
      <c r="F2826" t="s">
        <v>3969</v>
      </c>
    </row>
    <row r="2827" spans="1:6" x14ac:dyDescent="0.25">
      <c r="A2827" t="str">
        <f t="shared" si="44"/>
        <v>2188+56+251E00000X</v>
      </c>
      <c r="B2827">
        <v>9045</v>
      </c>
      <c r="C2827">
        <v>2188</v>
      </c>
      <c r="D2827">
        <v>56</v>
      </c>
      <c r="E2827" t="s">
        <v>177</v>
      </c>
      <c r="F2827" t="s">
        <v>3655</v>
      </c>
    </row>
    <row r="2828" spans="1:6" x14ac:dyDescent="0.25">
      <c r="A2828" t="str">
        <f t="shared" si="44"/>
        <v>2188+100+363L00000X</v>
      </c>
      <c r="B2828">
        <v>9193</v>
      </c>
      <c r="C2828">
        <v>2188</v>
      </c>
      <c r="D2828">
        <v>100</v>
      </c>
      <c r="E2828" t="s">
        <v>230</v>
      </c>
      <c r="F2828" t="s">
        <v>3945</v>
      </c>
    </row>
    <row r="2829" spans="1:6" x14ac:dyDescent="0.25">
      <c r="A2829" t="str">
        <f t="shared" si="44"/>
        <v>2188+103+261QM0801X</v>
      </c>
      <c r="B2829">
        <v>9245</v>
      </c>
      <c r="C2829">
        <v>2188</v>
      </c>
      <c r="D2829">
        <v>103</v>
      </c>
      <c r="E2829" t="s">
        <v>473</v>
      </c>
      <c r="F2829" t="s">
        <v>3970</v>
      </c>
    </row>
    <row r="2830" spans="1:6" x14ac:dyDescent="0.25">
      <c r="A2830" t="str">
        <f t="shared" ref="A2830:A2893" si="45">C2830 &amp; "+" &amp; D2830 &amp; "+" &amp; E2830</f>
        <v>2189+38+133N00000X</v>
      </c>
      <c r="B2830">
        <v>9357</v>
      </c>
      <c r="C2830">
        <v>2189</v>
      </c>
      <c r="D2830">
        <v>38</v>
      </c>
      <c r="E2830" t="s">
        <v>835</v>
      </c>
      <c r="F2830" t="s">
        <v>3969</v>
      </c>
    </row>
    <row r="2831" spans="1:6" x14ac:dyDescent="0.25">
      <c r="A2831" t="str">
        <f t="shared" si="45"/>
        <v>2189+56+251E00000X</v>
      </c>
      <c r="B2831">
        <v>9046</v>
      </c>
      <c r="C2831">
        <v>2189</v>
      </c>
      <c r="D2831">
        <v>56</v>
      </c>
      <c r="E2831" t="s">
        <v>177</v>
      </c>
      <c r="F2831" t="s">
        <v>3655</v>
      </c>
    </row>
    <row r="2832" spans="1:6" x14ac:dyDescent="0.25">
      <c r="A2832" t="str">
        <f t="shared" si="45"/>
        <v>2189+100+363L00000X</v>
      </c>
      <c r="B2832">
        <v>9194</v>
      </c>
      <c r="C2832">
        <v>2189</v>
      </c>
      <c r="D2832">
        <v>100</v>
      </c>
      <c r="E2832" t="s">
        <v>230</v>
      </c>
      <c r="F2832" t="s">
        <v>3945</v>
      </c>
    </row>
    <row r="2833" spans="1:6" x14ac:dyDescent="0.25">
      <c r="A2833" t="str">
        <f t="shared" si="45"/>
        <v>2189+103+261QM0801X</v>
      </c>
      <c r="B2833">
        <v>9246</v>
      </c>
      <c r="C2833">
        <v>2189</v>
      </c>
      <c r="D2833">
        <v>103</v>
      </c>
      <c r="E2833" t="s">
        <v>473</v>
      </c>
      <c r="F2833" t="s">
        <v>3970</v>
      </c>
    </row>
    <row r="2834" spans="1:6" x14ac:dyDescent="0.25">
      <c r="A2834" t="str">
        <f t="shared" si="45"/>
        <v>2190+56+251F00000X</v>
      </c>
      <c r="B2834">
        <v>9047</v>
      </c>
      <c r="C2834">
        <v>2190</v>
      </c>
      <c r="D2834">
        <v>56</v>
      </c>
      <c r="E2834" t="s">
        <v>190</v>
      </c>
      <c r="F2834" t="s">
        <v>3656</v>
      </c>
    </row>
    <row r="2835" spans="1:6" x14ac:dyDescent="0.25">
      <c r="A2835" t="str">
        <f t="shared" si="45"/>
        <v>2190+85+246RH0600X</v>
      </c>
      <c r="B2835">
        <v>10093</v>
      </c>
      <c r="C2835">
        <v>2190</v>
      </c>
      <c r="D2835">
        <v>85</v>
      </c>
      <c r="E2835" t="s">
        <v>1560</v>
      </c>
      <c r="F2835" t="s">
        <v>3971</v>
      </c>
    </row>
    <row r="2836" spans="1:6" x14ac:dyDescent="0.25">
      <c r="A2836" t="str">
        <f t="shared" si="45"/>
        <v>2190+85+246RM2200X</v>
      </c>
      <c r="B2836">
        <v>10094</v>
      </c>
      <c r="C2836">
        <v>2190</v>
      </c>
      <c r="D2836">
        <v>85</v>
      </c>
      <c r="E2836" t="s">
        <v>1562</v>
      </c>
      <c r="F2836" t="s">
        <v>3972</v>
      </c>
    </row>
    <row r="2837" spans="1:6" x14ac:dyDescent="0.25">
      <c r="A2837" t="str">
        <f t="shared" si="45"/>
        <v>2190+85+2472D0500X</v>
      </c>
      <c r="B2837">
        <v>10095</v>
      </c>
      <c r="C2837">
        <v>2190</v>
      </c>
      <c r="D2837">
        <v>85</v>
      </c>
      <c r="E2837" t="s">
        <v>1579</v>
      </c>
      <c r="F2837" t="s">
        <v>3973</v>
      </c>
    </row>
    <row r="2838" spans="1:6" x14ac:dyDescent="0.25">
      <c r="A2838" t="str">
        <f t="shared" si="45"/>
        <v>2190+85+2472E0500X</v>
      </c>
      <c r="B2838">
        <v>10096</v>
      </c>
      <c r="C2838">
        <v>2190</v>
      </c>
      <c r="D2838">
        <v>85</v>
      </c>
      <c r="E2838" s="43" t="s">
        <v>1581</v>
      </c>
      <c r="F2838" t="s">
        <v>3974</v>
      </c>
    </row>
    <row r="2839" spans="1:6" x14ac:dyDescent="0.25">
      <c r="A2839" t="str">
        <f t="shared" si="45"/>
        <v>2190+85+2472R0900X</v>
      </c>
      <c r="B2839">
        <v>10097</v>
      </c>
      <c r="C2839">
        <v>2190</v>
      </c>
      <c r="D2839">
        <v>85</v>
      </c>
      <c r="E2839" t="s">
        <v>1583</v>
      </c>
      <c r="F2839" t="s">
        <v>3975</v>
      </c>
    </row>
    <row r="2840" spans="1:6" x14ac:dyDescent="0.25">
      <c r="A2840" t="str">
        <f t="shared" si="45"/>
        <v>2190+85+2472V0600X</v>
      </c>
      <c r="B2840">
        <v>10098</v>
      </c>
      <c r="C2840">
        <v>2190</v>
      </c>
      <c r="D2840">
        <v>85</v>
      </c>
      <c r="E2840" t="s">
        <v>1585</v>
      </c>
      <c r="F2840" t="s">
        <v>3976</v>
      </c>
    </row>
    <row r="2841" spans="1:6" x14ac:dyDescent="0.25">
      <c r="A2841" t="str">
        <f t="shared" si="45"/>
        <v>2190+125+246ZA2600X</v>
      </c>
      <c r="B2841">
        <v>10160</v>
      </c>
      <c r="C2841">
        <v>2190</v>
      </c>
      <c r="D2841">
        <v>125</v>
      </c>
      <c r="E2841" s="43" t="s">
        <v>1744</v>
      </c>
      <c r="F2841" t="s">
        <v>3977</v>
      </c>
    </row>
    <row r="2842" spans="1:6" x14ac:dyDescent="0.25">
      <c r="A2842" t="str">
        <f t="shared" si="45"/>
        <v>2190+125+246ZB0301X</v>
      </c>
      <c r="B2842">
        <v>10161</v>
      </c>
      <c r="C2842">
        <v>2190</v>
      </c>
      <c r="D2842">
        <v>125</v>
      </c>
      <c r="E2842" t="s">
        <v>1745</v>
      </c>
      <c r="F2842" t="s">
        <v>3978</v>
      </c>
    </row>
    <row r="2843" spans="1:6" x14ac:dyDescent="0.25">
      <c r="A2843" t="str">
        <f t="shared" si="45"/>
        <v>2190+125+246ZB0302X</v>
      </c>
      <c r="B2843">
        <v>10162</v>
      </c>
      <c r="C2843">
        <v>2190</v>
      </c>
      <c r="D2843">
        <v>125</v>
      </c>
      <c r="E2843" t="s">
        <v>1747</v>
      </c>
      <c r="F2843" t="s">
        <v>3979</v>
      </c>
    </row>
    <row r="2844" spans="1:6" x14ac:dyDescent="0.25">
      <c r="A2844" t="str">
        <f t="shared" si="45"/>
        <v>2190+125+246ZB0500X</v>
      </c>
      <c r="B2844">
        <v>10163</v>
      </c>
      <c r="C2844">
        <v>2190</v>
      </c>
      <c r="D2844">
        <v>125</v>
      </c>
      <c r="E2844" t="s">
        <v>1749</v>
      </c>
      <c r="F2844" t="s">
        <v>3980</v>
      </c>
    </row>
    <row r="2845" spans="1:6" x14ac:dyDescent="0.25">
      <c r="A2845" t="str">
        <f t="shared" si="45"/>
        <v>2190+125+246ZB0600X</v>
      </c>
      <c r="B2845">
        <v>10164</v>
      </c>
      <c r="C2845">
        <v>2190</v>
      </c>
      <c r="D2845">
        <v>125</v>
      </c>
      <c r="E2845" t="s">
        <v>1751</v>
      </c>
      <c r="F2845" t="s">
        <v>3981</v>
      </c>
    </row>
    <row r="2846" spans="1:6" x14ac:dyDescent="0.25">
      <c r="A2846" t="str">
        <f t="shared" si="45"/>
        <v>2190+125+246ZE0500X</v>
      </c>
      <c r="B2846">
        <v>10165</v>
      </c>
      <c r="C2846">
        <v>2190</v>
      </c>
      <c r="D2846">
        <v>125</v>
      </c>
      <c r="E2846" t="s">
        <v>1752</v>
      </c>
      <c r="F2846" t="s">
        <v>3982</v>
      </c>
    </row>
    <row r="2847" spans="1:6" x14ac:dyDescent="0.25">
      <c r="A2847" t="str">
        <f t="shared" si="45"/>
        <v>2190+125+246ZE0600X</v>
      </c>
      <c r="B2847">
        <v>10166</v>
      </c>
      <c r="C2847">
        <v>2190</v>
      </c>
      <c r="D2847">
        <v>125</v>
      </c>
      <c r="E2847" t="s">
        <v>1754</v>
      </c>
      <c r="F2847" t="s">
        <v>3983</v>
      </c>
    </row>
    <row r="2848" spans="1:6" x14ac:dyDescent="0.25">
      <c r="A2848" t="str">
        <f t="shared" si="45"/>
        <v>2190+125+246ZG0701X</v>
      </c>
      <c r="B2848">
        <v>10167</v>
      </c>
      <c r="C2848">
        <v>2190</v>
      </c>
      <c r="D2848">
        <v>125</v>
      </c>
      <c r="E2848" t="s">
        <v>1756</v>
      </c>
      <c r="F2848" t="s">
        <v>3984</v>
      </c>
    </row>
    <row r="2849" spans="1:6" x14ac:dyDescent="0.25">
      <c r="A2849" t="str">
        <f t="shared" si="45"/>
        <v>2190+125+246ZG1000X</v>
      </c>
      <c r="B2849">
        <v>10168</v>
      </c>
      <c r="C2849">
        <v>2190</v>
      </c>
      <c r="D2849">
        <v>125</v>
      </c>
      <c r="E2849" t="s">
        <v>1758</v>
      </c>
      <c r="F2849" t="s">
        <v>3985</v>
      </c>
    </row>
    <row r="2850" spans="1:6" x14ac:dyDescent="0.25">
      <c r="A2850" t="str">
        <f t="shared" si="45"/>
        <v>2190+125+246ZI1000X</v>
      </c>
      <c r="B2850">
        <v>10169</v>
      </c>
      <c r="C2850">
        <v>2190</v>
      </c>
      <c r="D2850">
        <v>125</v>
      </c>
      <c r="E2850" t="s">
        <v>1760</v>
      </c>
      <c r="F2850" t="s">
        <v>3986</v>
      </c>
    </row>
    <row r="2851" spans="1:6" x14ac:dyDescent="0.25">
      <c r="A2851" t="str">
        <f t="shared" si="45"/>
        <v>2190+125+246ZN0300X</v>
      </c>
      <c r="B2851">
        <v>10170</v>
      </c>
      <c r="C2851">
        <v>2190</v>
      </c>
      <c r="D2851">
        <v>125</v>
      </c>
      <c r="E2851" t="s">
        <v>1761</v>
      </c>
      <c r="F2851" t="s">
        <v>3987</v>
      </c>
    </row>
    <row r="2852" spans="1:6" x14ac:dyDescent="0.25">
      <c r="A2852" t="str">
        <f t="shared" si="45"/>
        <v>2190+125+246ZS0410X</v>
      </c>
      <c r="B2852">
        <v>10171</v>
      </c>
      <c r="C2852">
        <v>2190</v>
      </c>
      <c r="D2852">
        <v>125</v>
      </c>
      <c r="E2852" t="s">
        <v>1850</v>
      </c>
      <c r="F2852" t="s">
        <v>3988</v>
      </c>
    </row>
    <row r="2853" spans="1:6" x14ac:dyDescent="0.25">
      <c r="A2853" t="str">
        <f t="shared" si="45"/>
        <v>2191+56+251V00000X</v>
      </c>
      <c r="B2853">
        <v>9048</v>
      </c>
      <c r="C2853">
        <v>2191</v>
      </c>
      <c r="D2853">
        <v>56</v>
      </c>
      <c r="E2853" t="s">
        <v>185</v>
      </c>
      <c r="F2853" t="s">
        <v>3657</v>
      </c>
    </row>
    <row r="2854" spans="1:6" x14ac:dyDescent="0.25">
      <c r="A2854" t="str">
        <f t="shared" si="45"/>
        <v>2193+52+282N00000X</v>
      </c>
      <c r="B2854">
        <v>9051</v>
      </c>
      <c r="C2854">
        <v>2193</v>
      </c>
      <c r="D2854">
        <v>52</v>
      </c>
      <c r="E2854" t="s">
        <v>14</v>
      </c>
      <c r="F2854" t="s">
        <v>3659</v>
      </c>
    </row>
    <row r="2855" spans="1:6" x14ac:dyDescent="0.25">
      <c r="A2855" t="str">
        <f t="shared" si="45"/>
        <v>2194+66+261QR0208X</v>
      </c>
      <c r="B2855">
        <v>9057</v>
      </c>
      <c r="C2855">
        <v>2194</v>
      </c>
      <c r="D2855">
        <v>66</v>
      </c>
      <c r="E2855" t="s">
        <v>962</v>
      </c>
      <c r="F2855" t="s">
        <v>3664</v>
      </c>
    </row>
    <row r="2856" spans="1:6" x14ac:dyDescent="0.25">
      <c r="A2856" t="str">
        <f t="shared" si="45"/>
        <v>2197+95+347B00000X</v>
      </c>
      <c r="B2856">
        <v>9366</v>
      </c>
      <c r="C2856">
        <v>2197</v>
      </c>
      <c r="D2856">
        <v>95</v>
      </c>
      <c r="E2856" t="s">
        <v>892</v>
      </c>
      <c r="F2856" t="s">
        <v>3989</v>
      </c>
    </row>
    <row r="2857" spans="1:6" x14ac:dyDescent="0.25">
      <c r="A2857" t="str">
        <f t="shared" si="45"/>
        <v>2199+67+261QR0206X</v>
      </c>
      <c r="B2857">
        <v>9073</v>
      </c>
      <c r="C2857">
        <v>2199</v>
      </c>
      <c r="D2857">
        <v>67</v>
      </c>
      <c r="E2857" t="s">
        <v>976</v>
      </c>
      <c r="F2857" t="s">
        <v>3675</v>
      </c>
    </row>
    <row r="2858" spans="1:6" x14ac:dyDescent="0.25">
      <c r="A2858" t="str">
        <f t="shared" si="45"/>
        <v>2199+115+2471M2300X</v>
      </c>
      <c r="B2858">
        <v>10100</v>
      </c>
      <c r="C2858">
        <v>2199</v>
      </c>
      <c r="D2858">
        <v>115</v>
      </c>
      <c r="E2858" t="s">
        <v>1615</v>
      </c>
      <c r="F2858" t="s">
        <v>3990</v>
      </c>
    </row>
    <row r="2859" spans="1:6" x14ac:dyDescent="0.25">
      <c r="A2859" t="str">
        <f t="shared" si="45"/>
        <v>2200+101+211D00000X</v>
      </c>
      <c r="B2859">
        <v>9195</v>
      </c>
      <c r="C2859">
        <v>2200</v>
      </c>
      <c r="D2859">
        <v>101</v>
      </c>
      <c r="E2859" t="s">
        <v>431</v>
      </c>
      <c r="F2859" t="s">
        <v>3991</v>
      </c>
    </row>
    <row r="2860" spans="1:6" x14ac:dyDescent="0.25">
      <c r="A2860" t="str">
        <f t="shared" si="45"/>
        <v>2200+101+363A00000X</v>
      </c>
      <c r="B2860">
        <v>9196</v>
      </c>
      <c r="C2860">
        <v>2200</v>
      </c>
      <c r="D2860">
        <v>101</v>
      </c>
      <c r="E2860" t="s">
        <v>435</v>
      </c>
      <c r="F2860" t="s">
        <v>3992</v>
      </c>
    </row>
    <row r="2861" spans="1:6" x14ac:dyDescent="0.25">
      <c r="A2861" t="str">
        <f t="shared" si="45"/>
        <v>2200+101+363AM0700X</v>
      </c>
      <c r="B2861">
        <v>9197</v>
      </c>
      <c r="C2861">
        <v>2200</v>
      </c>
      <c r="D2861">
        <v>101</v>
      </c>
      <c r="E2861" t="s">
        <v>437</v>
      </c>
      <c r="F2861" t="s">
        <v>3993</v>
      </c>
    </row>
    <row r="2862" spans="1:6" x14ac:dyDescent="0.25">
      <c r="A2862" t="str">
        <f t="shared" si="45"/>
        <v>2200+101+363AS0400X</v>
      </c>
      <c r="B2862">
        <v>9198</v>
      </c>
      <c r="C2862">
        <v>2200</v>
      </c>
      <c r="D2862">
        <v>101</v>
      </c>
      <c r="E2862" t="s">
        <v>439</v>
      </c>
      <c r="F2862" t="s">
        <v>3994</v>
      </c>
    </row>
    <row r="2863" spans="1:6" x14ac:dyDescent="0.25">
      <c r="A2863" t="str">
        <f t="shared" si="45"/>
        <v>2201+101+367500000X</v>
      </c>
      <c r="B2863">
        <v>9199</v>
      </c>
      <c r="C2863">
        <v>2201</v>
      </c>
      <c r="D2863">
        <v>101</v>
      </c>
      <c r="E2863" t="s">
        <v>424</v>
      </c>
      <c r="F2863" t="s">
        <v>3995</v>
      </c>
    </row>
    <row r="2864" spans="1:6" x14ac:dyDescent="0.25">
      <c r="A2864" t="str">
        <f t="shared" si="45"/>
        <v>2201+101+367H00000X</v>
      </c>
      <c r="B2864">
        <v>9200</v>
      </c>
      <c r="C2864">
        <v>2201</v>
      </c>
      <c r="D2864">
        <v>101</v>
      </c>
      <c r="E2864" t="s">
        <v>442</v>
      </c>
      <c r="F2864" t="s">
        <v>3996</v>
      </c>
    </row>
    <row r="2865" spans="1:6" x14ac:dyDescent="0.25">
      <c r="A2865" t="str">
        <f t="shared" si="45"/>
        <v>2202+103+261QM0801X</v>
      </c>
      <c r="B2865">
        <v>9201</v>
      </c>
      <c r="C2865">
        <v>2202</v>
      </c>
      <c r="D2865">
        <v>103</v>
      </c>
      <c r="E2865" t="s">
        <v>473</v>
      </c>
      <c r="F2865" t="s">
        <v>3970</v>
      </c>
    </row>
    <row r="2866" spans="1:6" x14ac:dyDescent="0.25">
      <c r="A2866" t="str">
        <f t="shared" si="45"/>
        <v>2203+103+251S00000X</v>
      </c>
      <c r="B2866">
        <v>9204</v>
      </c>
      <c r="C2866">
        <v>2203</v>
      </c>
      <c r="D2866">
        <v>103</v>
      </c>
      <c r="E2866" t="s">
        <v>544</v>
      </c>
      <c r="F2866" t="s">
        <v>3997</v>
      </c>
    </row>
    <row r="2867" spans="1:6" x14ac:dyDescent="0.25">
      <c r="A2867" t="str">
        <f t="shared" si="45"/>
        <v>2203+103+261QM0801X</v>
      </c>
      <c r="B2867">
        <v>9202</v>
      </c>
      <c r="C2867">
        <v>2203</v>
      </c>
      <c r="D2867">
        <v>103</v>
      </c>
      <c r="E2867" t="s">
        <v>473</v>
      </c>
      <c r="F2867" t="s">
        <v>3970</v>
      </c>
    </row>
    <row r="2868" spans="1:6" x14ac:dyDescent="0.25">
      <c r="A2868" t="str">
        <f t="shared" si="45"/>
        <v>2203+103+261QM0850X</v>
      </c>
      <c r="B2868">
        <v>9203</v>
      </c>
      <c r="C2868">
        <v>2203</v>
      </c>
      <c r="D2868">
        <v>103</v>
      </c>
      <c r="E2868" t="s">
        <v>529</v>
      </c>
      <c r="F2868" t="s">
        <v>3998</v>
      </c>
    </row>
    <row r="2869" spans="1:6" x14ac:dyDescent="0.25">
      <c r="A2869" t="str">
        <f t="shared" si="45"/>
        <v>2204+103+102L00000X</v>
      </c>
      <c r="B2869">
        <v>9205</v>
      </c>
      <c r="C2869">
        <v>2204</v>
      </c>
      <c r="D2869">
        <v>103</v>
      </c>
      <c r="E2869" t="s">
        <v>476</v>
      </c>
      <c r="F2869" t="s">
        <v>3999</v>
      </c>
    </row>
    <row r="2870" spans="1:6" x14ac:dyDescent="0.25">
      <c r="A2870" t="str">
        <f t="shared" si="45"/>
        <v>2204+103+103T00000X</v>
      </c>
      <c r="B2870">
        <v>9206</v>
      </c>
      <c r="C2870">
        <v>2204</v>
      </c>
      <c r="D2870">
        <v>103</v>
      </c>
      <c r="E2870" t="s">
        <v>463</v>
      </c>
      <c r="F2870" t="s">
        <v>4000</v>
      </c>
    </row>
    <row r="2871" spans="1:6" x14ac:dyDescent="0.25">
      <c r="A2871" t="str">
        <f t="shared" si="45"/>
        <v>2204+103+103TA0400X</v>
      </c>
      <c r="B2871">
        <v>9207</v>
      </c>
      <c r="C2871">
        <v>2204</v>
      </c>
      <c r="D2871">
        <v>103</v>
      </c>
      <c r="E2871" t="s">
        <v>483</v>
      </c>
      <c r="F2871" t="s">
        <v>4001</v>
      </c>
    </row>
    <row r="2872" spans="1:6" x14ac:dyDescent="0.25">
      <c r="A2872" t="str">
        <f t="shared" si="45"/>
        <v>2204+103+103TA0700X</v>
      </c>
      <c r="B2872">
        <v>9208</v>
      </c>
      <c r="C2872">
        <v>2204</v>
      </c>
      <c r="D2872">
        <v>103</v>
      </c>
      <c r="E2872" t="s">
        <v>485</v>
      </c>
      <c r="F2872" t="s">
        <v>4002</v>
      </c>
    </row>
    <row r="2873" spans="1:6" x14ac:dyDescent="0.25">
      <c r="A2873" t="str">
        <f t="shared" si="45"/>
        <v>2204+103+103TB0200X</v>
      </c>
      <c r="B2873">
        <v>9209</v>
      </c>
      <c r="C2873">
        <v>2204</v>
      </c>
      <c r="D2873">
        <v>103</v>
      </c>
      <c r="E2873" t="s">
        <v>487</v>
      </c>
      <c r="F2873" t="s">
        <v>4003</v>
      </c>
    </row>
    <row r="2874" spans="1:6" x14ac:dyDescent="0.25">
      <c r="A2874" t="str">
        <f t="shared" si="45"/>
        <v>2204+103+103TC1900X</v>
      </c>
      <c r="B2874">
        <v>9210</v>
      </c>
      <c r="C2874">
        <v>2204</v>
      </c>
      <c r="D2874">
        <v>103</v>
      </c>
      <c r="E2874" t="s">
        <v>491</v>
      </c>
      <c r="F2874" t="s">
        <v>4004</v>
      </c>
    </row>
    <row r="2875" spans="1:6" x14ac:dyDescent="0.25">
      <c r="A2875" t="str">
        <f t="shared" si="45"/>
        <v>2204+103+103TE1000X</v>
      </c>
      <c r="B2875">
        <v>9211</v>
      </c>
      <c r="C2875">
        <v>2204</v>
      </c>
      <c r="D2875">
        <v>103</v>
      </c>
      <c r="E2875" t="s">
        <v>495</v>
      </c>
      <c r="F2875" t="s">
        <v>4005</v>
      </c>
    </row>
    <row r="2876" spans="1:6" x14ac:dyDescent="0.25">
      <c r="A2876" t="str">
        <f t="shared" si="45"/>
        <v>2204+103+103TE1100X</v>
      </c>
      <c r="B2876">
        <v>9212</v>
      </c>
      <c r="C2876">
        <v>2204</v>
      </c>
      <c r="D2876">
        <v>103</v>
      </c>
      <c r="E2876" t="s">
        <v>497</v>
      </c>
      <c r="F2876" t="s">
        <v>4006</v>
      </c>
    </row>
    <row r="2877" spans="1:6" x14ac:dyDescent="0.25">
      <c r="A2877" t="str">
        <f t="shared" si="45"/>
        <v>2204+103+103TF0000X</v>
      </c>
      <c r="B2877">
        <v>9213</v>
      </c>
      <c r="C2877">
        <v>2204</v>
      </c>
      <c r="D2877">
        <v>103</v>
      </c>
      <c r="E2877" t="s">
        <v>498</v>
      </c>
      <c r="F2877" t="s">
        <v>4007</v>
      </c>
    </row>
    <row r="2878" spans="1:6" x14ac:dyDescent="0.25">
      <c r="A2878" t="str">
        <f t="shared" si="45"/>
        <v>2204+103+103TF0200X</v>
      </c>
      <c r="B2878">
        <v>9214</v>
      </c>
      <c r="C2878">
        <v>2204</v>
      </c>
      <c r="D2878">
        <v>103</v>
      </c>
      <c r="E2878" t="s">
        <v>500</v>
      </c>
      <c r="F2878" t="s">
        <v>4008</v>
      </c>
    </row>
    <row r="2879" spans="1:6" x14ac:dyDescent="0.25">
      <c r="A2879" t="str">
        <f t="shared" si="45"/>
        <v>2204+103+103TH0004X</v>
      </c>
      <c r="B2879">
        <v>9215</v>
      </c>
      <c r="C2879">
        <v>2204</v>
      </c>
      <c r="D2879">
        <v>103</v>
      </c>
      <c r="E2879" t="s">
        <v>502</v>
      </c>
      <c r="F2879" t="s">
        <v>4009</v>
      </c>
    </row>
    <row r="2880" spans="1:6" x14ac:dyDescent="0.25">
      <c r="A2880" t="str">
        <f t="shared" si="45"/>
        <v>2204+103+103TH0100X</v>
      </c>
      <c r="B2880">
        <v>9216</v>
      </c>
      <c r="C2880">
        <v>2204</v>
      </c>
      <c r="D2880">
        <v>103</v>
      </c>
      <c r="E2880" t="s">
        <v>503</v>
      </c>
      <c r="F2880" t="s">
        <v>4010</v>
      </c>
    </row>
    <row r="2881" spans="1:6" x14ac:dyDescent="0.25">
      <c r="A2881" t="str">
        <f t="shared" si="45"/>
        <v>2204+103+103TM1700X</v>
      </c>
      <c r="B2881">
        <v>9217</v>
      </c>
      <c r="C2881">
        <v>2204</v>
      </c>
      <c r="D2881">
        <v>103</v>
      </c>
      <c r="E2881" t="s">
        <v>505</v>
      </c>
      <c r="F2881" t="s">
        <v>4011</v>
      </c>
    </row>
    <row r="2882" spans="1:6" x14ac:dyDescent="0.25">
      <c r="A2882" t="str">
        <f t="shared" si="45"/>
        <v>2204+103+103TM1800X</v>
      </c>
      <c r="B2882">
        <v>9218</v>
      </c>
      <c r="C2882">
        <v>2204</v>
      </c>
      <c r="D2882">
        <v>103</v>
      </c>
      <c r="E2882" t="s">
        <v>507</v>
      </c>
      <c r="F2882" t="s">
        <v>4012</v>
      </c>
    </row>
    <row r="2883" spans="1:6" x14ac:dyDescent="0.25">
      <c r="A2883" t="str">
        <f t="shared" si="45"/>
        <v>2204+103+103TP0016X</v>
      </c>
      <c r="B2883">
        <v>9219</v>
      </c>
      <c r="C2883">
        <v>2204</v>
      </c>
      <c r="D2883">
        <v>103</v>
      </c>
      <c r="E2883" t="s">
        <v>509</v>
      </c>
      <c r="F2883" t="s">
        <v>4013</v>
      </c>
    </row>
    <row r="2884" spans="1:6" x14ac:dyDescent="0.25">
      <c r="A2884" t="str">
        <f t="shared" si="45"/>
        <v>2204+103+103TP0814X</v>
      </c>
      <c r="B2884">
        <v>9220</v>
      </c>
      <c r="C2884">
        <v>2204</v>
      </c>
      <c r="D2884">
        <v>103</v>
      </c>
      <c r="E2884" t="s">
        <v>511</v>
      </c>
      <c r="F2884" t="s">
        <v>4014</v>
      </c>
    </row>
    <row r="2885" spans="1:6" x14ac:dyDescent="0.25">
      <c r="A2885" t="str">
        <f t="shared" si="45"/>
        <v>2204+103+103TP2700X</v>
      </c>
      <c r="B2885">
        <v>9221</v>
      </c>
      <c r="C2885">
        <v>2204</v>
      </c>
      <c r="D2885">
        <v>103</v>
      </c>
      <c r="E2885" t="s">
        <v>513</v>
      </c>
      <c r="F2885" t="s">
        <v>4015</v>
      </c>
    </row>
    <row r="2886" spans="1:6" x14ac:dyDescent="0.25">
      <c r="A2886" t="str">
        <f t="shared" si="45"/>
        <v>2204+103+103TP2701X</v>
      </c>
      <c r="B2886">
        <v>9222</v>
      </c>
      <c r="C2886">
        <v>2204</v>
      </c>
      <c r="D2886">
        <v>103</v>
      </c>
      <c r="E2886" t="s">
        <v>515</v>
      </c>
      <c r="F2886" t="s">
        <v>4016</v>
      </c>
    </row>
    <row r="2887" spans="1:6" x14ac:dyDescent="0.25">
      <c r="A2887" t="str">
        <f t="shared" si="45"/>
        <v>2204+103+103TR0400X</v>
      </c>
      <c r="B2887">
        <v>9223</v>
      </c>
      <c r="C2887">
        <v>2204</v>
      </c>
      <c r="D2887">
        <v>103</v>
      </c>
      <c r="E2887" t="s">
        <v>516</v>
      </c>
      <c r="F2887" t="s">
        <v>4017</v>
      </c>
    </row>
    <row r="2888" spans="1:6" x14ac:dyDescent="0.25">
      <c r="A2888" t="str">
        <f t="shared" si="45"/>
        <v>2204+103+103TS0200X</v>
      </c>
      <c r="B2888">
        <v>9224</v>
      </c>
      <c r="C2888">
        <v>2204</v>
      </c>
      <c r="D2888">
        <v>103</v>
      </c>
      <c r="E2888" t="s">
        <v>517</v>
      </c>
      <c r="F2888" t="s">
        <v>4018</v>
      </c>
    </row>
    <row r="2889" spans="1:6" x14ac:dyDescent="0.25">
      <c r="A2889" t="str">
        <f t="shared" si="45"/>
        <v>2204+103+103TW0100X</v>
      </c>
      <c r="B2889">
        <v>9225</v>
      </c>
      <c r="C2889">
        <v>2204</v>
      </c>
      <c r="D2889">
        <v>103</v>
      </c>
      <c r="E2889" t="s">
        <v>519</v>
      </c>
      <c r="F2889" t="s">
        <v>4019</v>
      </c>
    </row>
    <row r="2890" spans="1:6" x14ac:dyDescent="0.25">
      <c r="A2890" t="str">
        <f t="shared" si="45"/>
        <v>2205+103+103G00000X</v>
      </c>
      <c r="B2890">
        <v>9226</v>
      </c>
      <c r="C2890">
        <v>2205</v>
      </c>
      <c r="D2890">
        <v>103</v>
      </c>
      <c r="E2890" t="s">
        <v>479</v>
      </c>
      <c r="F2890" t="s">
        <v>4020</v>
      </c>
    </row>
    <row r="2891" spans="1:6" x14ac:dyDescent="0.25">
      <c r="A2891" t="str">
        <f t="shared" si="45"/>
        <v>2205+103+103GC0700X</v>
      </c>
      <c r="B2891">
        <v>9227</v>
      </c>
      <c r="C2891">
        <v>2205</v>
      </c>
      <c r="D2891">
        <v>103</v>
      </c>
      <c r="E2891" t="s">
        <v>482</v>
      </c>
      <c r="F2891" t="s">
        <v>4021</v>
      </c>
    </row>
    <row r="2892" spans="1:6" x14ac:dyDescent="0.25">
      <c r="A2892" t="str">
        <f t="shared" si="45"/>
        <v>2205+103+103T00000X</v>
      </c>
      <c r="B2892">
        <v>9228</v>
      </c>
      <c r="C2892">
        <v>2205</v>
      </c>
      <c r="D2892">
        <v>103</v>
      </c>
      <c r="E2892" t="s">
        <v>463</v>
      </c>
      <c r="F2892" t="s">
        <v>4000</v>
      </c>
    </row>
    <row r="2893" spans="1:6" x14ac:dyDescent="0.25">
      <c r="A2893" t="str">
        <f t="shared" si="45"/>
        <v>2205+103+103TC0700X</v>
      </c>
      <c r="B2893">
        <v>9229</v>
      </c>
      <c r="C2893">
        <v>2205</v>
      </c>
      <c r="D2893">
        <v>103</v>
      </c>
      <c r="E2893" t="s">
        <v>489</v>
      </c>
      <c r="F2893" t="s">
        <v>4022</v>
      </c>
    </row>
    <row r="2894" spans="1:6" x14ac:dyDescent="0.25">
      <c r="A2894" t="str">
        <f t="shared" ref="A2894:A2957" si="46">C2894 &amp; "+" &amp; D2894 &amp; "+" &amp; E2894</f>
        <v>2205+103+103TC2200X</v>
      </c>
      <c r="B2894">
        <v>9230</v>
      </c>
      <c r="C2894">
        <v>2205</v>
      </c>
      <c r="D2894">
        <v>103</v>
      </c>
      <c r="E2894" t="s">
        <v>493</v>
      </c>
      <c r="F2894" t="s">
        <v>4023</v>
      </c>
    </row>
    <row r="2895" spans="1:6" x14ac:dyDescent="0.25">
      <c r="A2895" t="str">
        <f t="shared" si="46"/>
        <v>2205+103+173F00000X</v>
      </c>
      <c r="B2895">
        <v>9231</v>
      </c>
      <c r="C2895">
        <v>2205</v>
      </c>
      <c r="D2895">
        <v>103</v>
      </c>
      <c r="E2895" t="s">
        <v>539</v>
      </c>
      <c r="F2895" t="s">
        <v>4024</v>
      </c>
    </row>
    <row r="2896" spans="1:6" x14ac:dyDescent="0.25">
      <c r="A2896" t="str">
        <f t="shared" si="46"/>
        <v>2206+103+103T00000X</v>
      </c>
      <c r="B2896">
        <v>9232</v>
      </c>
      <c r="C2896">
        <v>2206</v>
      </c>
      <c r="D2896">
        <v>103</v>
      </c>
      <c r="E2896" t="s">
        <v>463</v>
      </c>
      <c r="F2896" t="s">
        <v>4000</v>
      </c>
    </row>
    <row r="2897" spans="1:6" x14ac:dyDescent="0.25">
      <c r="A2897" t="str">
        <f t="shared" si="46"/>
        <v>2207+103+1041C0700X</v>
      </c>
      <c r="B2897">
        <v>9233</v>
      </c>
      <c r="C2897">
        <v>2207</v>
      </c>
      <c r="D2897">
        <v>103</v>
      </c>
      <c r="E2897" t="s">
        <v>523</v>
      </c>
      <c r="F2897" t="s">
        <v>4025</v>
      </c>
    </row>
    <row r="2898" spans="1:6" x14ac:dyDescent="0.25">
      <c r="A2898" t="str">
        <f t="shared" si="46"/>
        <v>2208+103+104100000X</v>
      </c>
      <c r="B2898">
        <v>9234</v>
      </c>
      <c r="C2898">
        <v>2208</v>
      </c>
      <c r="D2898">
        <v>103</v>
      </c>
      <c r="E2898" t="s">
        <v>521</v>
      </c>
      <c r="F2898" t="s">
        <v>4026</v>
      </c>
    </row>
    <row r="2899" spans="1:6" x14ac:dyDescent="0.25">
      <c r="A2899" t="str">
        <f t="shared" si="46"/>
        <v>2208+103+1041S0200X</v>
      </c>
      <c r="B2899">
        <v>9235</v>
      </c>
      <c r="C2899">
        <v>2208</v>
      </c>
      <c r="D2899">
        <v>103</v>
      </c>
      <c r="E2899" t="s">
        <v>525</v>
      </c>
      <c r="F2899" t="s">
        <v>4027</v>
      </c>
    </row>
    <row r="2900" spans="1:6" x14ac:dyDescent="0.25">
      <c r="A2900" t="str">
        <f t="shared" si="46"/>
        <v>2209+103+163WP0808X</v>
      </c>
      <c r="B2900">
        <v>9236</v>
      </c>
      <c r="C2900">
        <v>2209</v>
      </c>
      <c r="D2900">
        <v>103</v>
      </c>
      <c r="E2900" t="s">
        <v>470</v>
      </c>
      <c r="F2900" t="s">
        <v>4028</v>
      </c>
    </row>
    <row r="2901" spans="1:6" x14ac:dyDescent="0.25">
      <c r="A2901" t="str">
        <f t="shared" si="46"/>
        <v>2210+103+261QM0801X</v>
      </c>
      <c r="B2901">
        <v>9237</v>
      </c>
      <c r="C2901">
        <v>2210</v>
      </c>
      <c r="D2901">
        <v>103</v>
      </c>
      <c r="E2901" t="s">
        <v>473</v>
      </c>
      <c r="F2901" t="s">
        <v>3970</v>
      </c>
    </row>
    <row r="2902" spans="1:6" x14ac:dyDescent="0.25">
      <c r="A2902" t="str">
        <f t="shared" si="46"/>
        <v>2211+103+106H00000X</v>
      </c>
      <c r="B2902">
        <v>9238</v>
      </c>
      <c r="C2902">
        <v>2211</v>
      </c>
      <c r="D2902">
        <v>103</v>
      </c>
      <c r="E2902" t="s">
        <v>466</v>
      </c>
      <c r="F2902" t="s">
        <v>4029</v>
      </c>
    </row>
    <row r="2903" spans="1:6" x14ac:dyDescent="0.25">
      <c r="A2903" t="str">
        <f t="shared" si="46"/>
        <v>2212+60+261QS1000X</v>
      </c>
      <c r="B2903">
        <v>9251</v>
      </c>
      <c r="C2903">
        <v>2212</v>
      </c>
      <c r="D2903">
        <v>60</v>
      </c>
      <c r="E2903" t="s">
        <v>200</v>
      </c>
      <c r="F2903" t="s">
        <v>3615</v>
      </c>
    </row>
    <row r="2904" spans="1:6" x14ac:dyDescent="0.25">
      <c r="A2904" t="str">
        <f t="shared" si="46"/>
        <v>2213+103+101Y00000X</v>
      </c>
      <c r="B2904">
        <v>9239</v>
      </c>
      <c r="C2904">
        <v>2213</v>
      </c>
      <c r="D2904">
        <v>103</v>
      </c>
      <c r="E2904" t="s">
        <v>445</v>
      </c>
      <c r="F2904" t="s">
        <v>4030</v>
      </c>
    </row>
    <row r="2905" spans="1:6" x14ac:dyDescent="0.25">
      <c r="A2905" t="str">
        <f t="shared" si="46"/>
        <v>2213+103+101YM0800X</v>
      </c>
      <c r="B2905">
        <v>9240</v>
      </c>
      <c r="C2905">
        <v>2213</v>
      </c>
      <c r="D2905">
        <v>103</v>
      </c>
      <c r="E2905" t="s">
        <v>452</v>
      </c>
      <c r="F2905" t="s">
        <v>4031</v>
      </c>
    </row>
    <row r="2906" spans="1:6" x14ac:dyDescent="0.25">
      <c r="A2906" t="str">
        <f t="shared" si="46"/>
        <v>2213+103+101YP1600X</v>
      </c>
      <c r="B2906">
        <v>9241</v>
      </c>
      <c r="C2906">
        <v>2213</v>
      </c>
      <c r="D2906">
        <v>103</v>
      </c>
      <c r="E2906" t="s">
        <v>454</v>
      </c>
      <c r="F2906" t="s">
        <v>4032</v>
      </c>
    </row>
    <row r="2907" spans="1:6" x14ac:dyDescent="0.25">
      <c r="A2907" t="str">
        <f t="shared" si="46"/>
        <v>2213+103+101YP2500X</v>
      </c>
      <c r="B2907">
        <v>9242</v>
      </c>
      <c r="C2907">
        <v>2213</v>
      </c>
      <c r="D2907">
        <v>103</v>
      </c>
      <c r="E2907" t="s">
        <v>456</v>
      </c>
      <c r="F2907" t="s">
        <v>4033</v>
      </c>
    </row>
    <row r="2908" spans="1:6" x14ac:dyDescent="0.25">
      <c r="A2908" t="str">
        <f t="shared" si="46"/>
        <v>2213+103+101YS0200X</v>
      </c>
      <c r="B2908">
        <v>9243</v>
      </c>
      <c r="C2908">
        <v>2213</v>
      </c>
      <c r="D2908">
        <v>103</v>
      </c>
      <c r="E2908" t="s">
        <v>457</v>
      </c>
      <c r="F2908" t="s">
        <v>4034</v>
      </c>
    </row>
    <row r="2909" spans="1:6" x14ac:dyDescent="0.25">
      <c r="A2909" t="str">
        <f t="shared" si="46"/>
        <v>2214+103+103K00000X</v>
      </c>
      <c r="B2909">
        <v>9244</v>
      </c>
      <c r="C2909">
        <v>2214</v>
      </c>
      <c r="D2909">
        <v>103</v>
      </c>
      <c r="E2909" t="s">
        <v>532</v>
      </c>
      <c r="F2909" t="s">
        <v>4035</v>
      </c>
    </row>
    <row r="2910" spans="1:6" x14ac:dyDescent="0.25">
      <c r="A2910" t="str">
        <f t="shared" si="46"/>
        <v>2215+104+213E00000X</v>
      </c>
      <c r="B2910">
        <v>9252</v>
      </c>
      <c r="C2910">
        <v>2215</v>
      </c>
      <c r="D2910">
        <v>104</v>
      </c>
      <c r="E2910" t="s">
        <v>556</v>
      </c>
      <c r="F2910" t="s">
        <v>4036</v>
      </c>
    </row>
    <row r="2911" spans="1:6" x14ac:dyDescent="0.25">
      <c r="A2911" t="str">
        <f t="shared" si="46"/>
        <v>2215+104+213EG0000X</v>
      </c>
      <c r="B2911">
        <v>9253</v>
      </c>
      <c r="C2911">
        <v>2215</v>
      </c>
      <c r="D2911">
        <v>104</v>
      </c>
      <c r="E2911" t="s">
        <v>559</v>
      </c>
      <c r="F2911" t="s">
        <v>4037</v>
      </c>
    </row>
    <row r="2912" spans="1:6" x14ac:dyDescent="0.25">
      <c r="A2912" t="str">
        <f t="shared" si="46"/>
        <v>2215+104+213EP0504X</v>
      </c>
      <c r="B2912">
        <v>9254</v>
      </c>
      <c r="C2912">
        <v>2215</v>
      </c>
      <c r="D2912">
        <v>104</v>
      </c>
      <c r="E2912" t="s">
        <v>561</v>
      </c>
      <c r="F2912" t="s">
        <v>4038</v>
      </c>
    </row>
    <row r="2913" spans="1:6" x14ac:dyDescent="0.25">
      <c r="A2913" t="str">
        <f t="shared" si="46"/>
        <v>2215+104+213EP1101X</v>
      </c>
      <c r="B2913">
        <v>9255</v>
      </c>
      <c r="C2913">
        <v>2215</v>
      </c>
      <c r="D2913">
        <v>104</v>
      </c>
      <c r="E2913" t="s">
        <v>563</v>
      </c>
      <c r="F2913" t="s">
        <v>4039</v>
      </c>
    </row>
    <row r="2914" spans="1:6" x14ac:dyDescent="0.25">
      <c r="A2914" t="str">
        <f t="shared" si="46"/>
        <v>2215+104+213ER0200X</v>
      </c>
      <c r="B2914">
        <v>9256</v>
      </c>
      <c r="C2914">
        <v>2215</v>
      </c>
      <c r="D2914">
        <v>104</v>
      </c>
      <c r="E2914" t="s">
        <v>565</v>
      </c>
      <c r="F2914" t="s">
        <v>4040</v>
      </c>
    </row>
    <row r="2915" spans="1:6" x14ac:dyDescent="0.25">
      <c r="A2915" t="str">
        <f t="shared" si="46"/>
        <v>2215+104+213ES0000X</v>
      </c>
      <c r="B2915">
        <v>9257</v>
      </c>
      <c r="C2915">
        <v>2215</v>
      </c>
      <c r="D2915">
        <v>104</v>
      </c>
      <c r="E2915" t="s">
        <v>567</v>
      </c>
      <c r="F2915" t="s">
        <v>4041</v>
      </c>
    </row>
    <row r="2916" spans="1:6" x14ac:dyDescent="0.25">
      <c r="A2916" t="str">
        <f t="shared" si="46"/>
        <v>2215+104+213ES0103X</v>
      </c>
      <c r="B2916">
        <v>9258</v>
      </c>
      <c r="C2916">
        <v>2215</v>
      </c>
      <c r="D2916">
        <v>104</v>
      </c>
      <c r="E2916" t="s">
        <v>569</v>
      </c>
      <c r="F2916" t="s">
        <v>4042</v>
      </c>
    </row>
    <row r="2917" spans="1:6" x14ac:dyDescent="0.25">
      <c r="A2917" t="str">
        <f t="shared" si="46"/>
        <v>2215+104+213ES0131X</v>
      </c>
      <c r="B2917">
        <v>9259</v>
      </c>
      <c r="C2917">
        <v>2215</v>
      </c>
      <c r="D2917">
        <v>104</v>
      </c>
      <c r="E2917" t="s">
        <v>571</v>
      </c>
      <c r="F2917" t="s">
        <v>4043</v>
      </c>
    </row>
    <row r="2918" spans="1:6" x14ac:dyDescent="0.25">
      <c r="A2918" t="str">
        <f t="shared" si="46"/>
        <v>2216+108+171100000X</v>
      </c>
      <c r="B2918">
        <v>9272</v>
      </c>
      <c r="C2918">
        <v>2216</v>
      </c>
      <c r="D2918">
        <v>108</v>
      </c>
      <c r="E2918" t="s">
        <v>712</v>
      </c>
      <c r="F2918" t="s">
        <v>4044</v>
      </c>
    </row>
    <row r="2919" spans="1:6" x14ac:dyDescent="0.25">
      <c r="A2919" t="str">
        <f t="shared" si="46"/>
        <v>2216+108+172M00000X</v>
      </c>
      <c r="B2919">
        <v>9273</v>
      </c>
      <c r="C2919">
        <v>2216</v>
      </c>
      <c r="D2919">
        <v>108</v>
      </c>
      <c r="E2919" t="s">
        <v>715</v>
      </c>
      <c r="F2919" t="s">
        <v>4045</v>
      </c>
    </row>
    <row r="2920" spans="1:6" x14ac:dyDescent="0.25">
      <c r="A2920" t="str">
        <f t="shared" si="46"/>
        <v>2216+108+173C00000X</v>
      </c>
      <c r="B2920">
        <v>9286</v>
      </c>
      <c r="C2920">
        <v>2216</v>
      </c>
      <c r="D2920">
        <v>108</v>
      </c>
      <c r="E2920" t="s">
        <v>754</v>
      </c>
      <c r="F2920" t="s">
        <v>4046</v>
      </c>
    </row>
    <row r="2921" spans="1:6" x14ac:dyDescent="0.25">
      <c r="A2921" t="str">
        <f t="shared" si="46"/>
        <v>2216+108+225100000X</v>
      </c>
      <c r="B2921">
        <v>9274</v>
      </c>
      <c r="C2921">
        <v>2216</v>
      </c>
      <c r="D2921">
        <v>108</v>
      </c>
      <c r="E2921" t="s">
        <v>717</v>
      </c>
      <c r="F2921" t="s">
        <v>4047</v>
      </c>
    </row>
    <row r="2922" spans="1:6" x14ac:dyDescent="0.25">
      <c r="A2922" t="str">
        <f t="shared" si="46"/>
        <v>2216+108+2251C2600X</v>
      </c>
      <c r="B2922">
        <v>9275</v>
      </c>
      <c r="C2922">
        <v>2216</v>
      </c>
      <c r="D2922">
        <v>108</v>
      </c>
      <c r="E2922" t="s">
        <v>719</v>
      </c>
      <c r="F2922" t="s">
        <v>4048</v>
      </c>
    </row>
    <row r="2923" spans="1:6" x14ac:dyDescent="0.25">
      <c r="A2923" t="str">
        <f t="shared" si="46"/>
        <v>2216+108+2251E1200X</v>
      </c>
      <c r="B2923">
        <v>9276</v>
      </c>
      <c r="C2923">
        <v>2216</v>
      </c>
      <c r="D2923">
        <v>108</v>
      </c>
      <c r="E2923" s="43" t="s">
        <v>721</v>
      </c>
      <c r="F2923" t="s">
        <v>4049</v>
      </c>
    </row>
    <row r="2924" spans="1:6" x14ac:dyDescent="0.25">
      <c r="A2924" t="str">
        <f t="shared" si="46"/>
        <v>2216+108+2251E1300X</v>
      </c>
      <c r="B2924">
        <v>9277</v>
      </c>
      <c r="C2924">
        <v>2216</v>
      </c>
      <c r="D2924">
        <v>108</v>
      </c>
      <c r="E2924" s="43" t="s">
        <v>723</v>
      </c>
      <c r="F2924" t="s">
        <v>4050</v>
      </c>
    </row>
    <row r="2925" spans="1:6" x14ac:dyDescent="0.25">
      <c r="A2925" t="str">
        <f t="shared" si="46"/>
        <v>2216+108+2251G0304X</v>
      </c>
      <c r="B2925">
        <v>9278</v>
      </c>
      <c r="C2925">
        <v>2216</v>
      </c>
      <c r="D2925">
        <v>108</v>
      </c>
      <c r="E2925" t="s">
        <v>725</v>
      </c>
      <c r="F2925" t="s">
        <v>4051</v>
      </c>
    </row>
    <row r="2926" spans="1:6" x14ac:dyDescent="0.25">
      <c r="A2926" t="str">
        <f t="shared" si="46"/>
        <v>2216+108+2251H1200X</v>
      </c>
      <c r="B2926">
        <v>9279</v>
      </c>
      <c r="C2926">
        <v>2216</v>
      </c>
      <c r="D2926">
        <v>108</v>
      </c>
      <c r="E2926" s="43" t="s">
        <v>727</v>
      </c>
      <c r="F2926" t="s">
        <v>4052</v>
      </c>
    </row>
    <row r="2927" spans="1:6" x14ac:dyDescent="0.25">
      <c r="A2927" t="str">
        <f t="shared" si="46"/>
        <v>2216+108+2251H1300X</v>
      </c>
      <c r="B2927">
        <v>9280</v>
      </c>
      <c r="C2927">
        <v>2216</v>
      </c>
      <c r="D2927">
        <v>108</v>
      </c>
      <c r="E2927" s="43" t="s">
        <v>729</v>
      </c>
      <c r="F2927" t="s">
        <v>4053</v>
      </c>
    </row>
    <row r="2928" spans="1:6" x14ac:dyDescent="0.25">
      <c r="A2928" t="str">
        <f t="shared" si="46"/>
        <v>2216+108+2251N0400X</v>
      </c>
      <c r="B2928">
        <v>9281</v>
      </c>
      <c r="C2928">
        <v>2216</v>
      </c>
      <c r="D2928">
        <v>108</v>
      </c>
      <c r="E2928" t="s">
        <v>730</v>
      </c>
      <c r="F2928" t="s">
        <v>4054</v>
      </c>
    </row>
    <row r="2929" spans="1:6" x14ac:dyDescent="0.25">
      <c r="A2929" t="str">
        <f t="shared" si="46"/>
        <v>2216+108+2251P0200X</v>
      </c>
      <c r="B2929">
        <v>9282</v>
      </c>
      <c r="C2929">
        <v>2216</v>
      </c>
      <c r="D2929">
        <v>108</v>
      </c>
      <c r="E2929" t="s">
        <v>731</v>
      </c>
      <c r="F2929" t="s">
        <v>4055</v>
      </c>
    </row>
    <row r="2930" spans="1:6" x14ac:dyDescent="0.25">
      <c r="A2930" t="str">
        <f t="shared" si="46"/>
        <v>2216+108+2251S0007X</v>
      </c>
      <c r="B2930">
        <v>9283</v>
      </c>
      <c r="C2930">
        <v>2216</v>
      </c>
      <c r="D2930">
        <v>108</v>
      </c>
      <c r="E2930" t="s">
        <v>733</v>
      </c>
      <c r="F2930" t="s">
        <v>4056</v>
      </c>
    </row>
    <row r="2931" spans="1:6" x14ac:dyDescent="0.25">
      <c r="A2931" t="str">
        <f t="shared" si="46"/>
        <v>2216+108+2251X0800X</v>
      </c>
      <c r="B2931">
        <v>9284</v>
      </c>
      <c r="C2931">
        <v>2216</v>
      </c>
      <c r="D2931">
        <v>108</v>
      </c>
      <c r="E2931" t="s">
        <v>734</v>
      </c>
      <c r="F2931" t="s">
        <v>4057</v>
      </c>
    </row>
    <row r="2932" spans="1:6" x14ac:dyDescent="0.25">
      <c r="A2932" t="str">
        <f t="shared" si="46"/>
        <v>2216+108+225400000X</v>
      </c>
      <c r="B2932">
        <v>9285</v>
      </c>
      <c r="C2932">
        <v>2216</v>
      </c>
      <c r="D2932">
        <v>108</v>
      </c>
      <c r="E2932" t="s">
        <v>736</v>
      </c>
      <c r="F2932" t="s">
        <v>4058</v>
      </c>
    </row>
    <row r="2933" spans="1:6" x14ac:dyDescent="0.25">
      <c r="A2933" t="str">
        <f t="shared" si="46"/>
        <v>2217+108+225X00000X</v>
      </c>
      <c r="B2933">
        <v>9287</v>
      </c>
      <c r="C2933">
        <v>2217</v>
      </c>
      <c r="D2933">
        <v>108</v>
      </c>
      <c r="E2933" t="s">
        <v>738</v>
      </c>
      <c r="F2933" t="s">
        <v>4059</v>
      </c>
    </row>
    <row r="2934" spans="1:6" x14ac:dyDescent="0.25">
      <c r="A2934" t="str">
        <f t="shared" si="46"/>
        <v>2217+108+225XE0001X</v>
      </c>
      <c r="B2934">
        <v>9294</v>
      </c>
      <c r="C2934">
        <v>2217</v>
      </c>
      <c r="D2934">
        <v>108</v>
      </c>
      <c r="E2934" t="s">
        <v>768</v>
      </c>
      <c r="F2934" t="s">
        <v>4060</v>
      </c>
    </row>
    <row r="2935" spans="1:6" x14ac:dyDescent="0.25">
      <c r="A2935" t="str">
        <f t="shared" si="46"/>
        <v>2217+108+225XE1200X</v>
      </c>
      <c r="B2935">
        <v>9288</v>
      </c>
      <c r="C2935">
        <v>2217</v>
      </c>
      <c r="D2935">
        <v>108</v>
      </c>
      <c r="E2935" t="s">
        <v>740</v>
      </c>
      <c r="F2935" t="s">
        <v>4061</v>
      </c>
    </row>
    <row r="2936" spans="1:6" x14ac:dyDescent="0.25">
      <c r="A2936" t="str">
        <f t="shared" si="46"/>
        <v>2217+108+225XF0002X</v>
      </c>
      <c r="B2936">
        <v>9295</v>
      </c>
      <c r="C2936">
        <v>2217</v>
      </c>
      <c r="D2936">
        <v>108</v>
      </c>
      <c r="E2936" t="s">
        <v>770</v>
      </c>
      <c r="F2936" t="s">
        <v>4062</v>
      </c>
    </row>
    <row r="2937" spans="1:6" x14ac:dyDescent="0.25">
      <c r="A2937" t="str">
        <f t="shared" si="46"/>
        <v>2217+108+225XG0600X</v>
      </c>
      <c r="B2937">
        <v>9296</v>
      </c>
      <c r="C2937">
        <v>2217</v>
      </c>
      <c r="D2937">
        <v>108</v>
      </c>
      <c r="E2937" t="s">
        <v>774</v>
      </c>
      <c r="F2937" t="s">
        <v>4063</v>
      </c>
    </row>
    <row r="2938" spans="1:6" x14ac:dyDescent="0.25">
      <c r="A2938" t="str">
        <f t="shared" si="46"/>
        <v>2217+108+225XH1200X</v>
      </c>
      <c r="B2938">
        <v>9289</v>
      </c>
      <c r="C2938">
        <v>2217</v>
      </c>
      <c r="D2938">
        <v>108</v>
      </c>
      <c r="E2938" t="s">
        <v>741</v>
      </c>
      <c r="F2938" t="s">
        <v>4064</v>
      </c>
    </row>
    <row r="2939" spans="1:6" x14ac:dyDescent="0.25">
      <c r="A2939" t="str">
        <f t="shared" si="46"/>
        <v>2217+108+225XH1300X</v>
      </c>
      <c r="B2939">
        <v>9290</v>
      </c>
      <c r="C2939">
        <v>2217</v>
      </c>
      <c r="D2939">
        <v>108</v>
      </c>
      <c r="E2939" t="s">
        <v>742</v>
      </c>
      <c r="F2939" t="s">
        <v>4065</v>
      </c>
    </row>
    <row r="2940" spans="1:6" x14ac:dyDescent="0.25">
      <c r="A2940" t="str">
        <f t="shared" si="46"/>
        <v>2217+108+225XL0004X</v>
      </c>
      <c r="B2940">
        <v>9297</v>
      </c>
      <c r="C2940">
        <v>2217</v>
      </c>
      <c r="D2940">
        <v>108</v>
      </c>
      <c r="E2940" t="s">
        <v>775</v>
      </c>
      <c r="F2940" t="s">
        <v>4066</v>
      </c>
    </row>
    <row r="2941" spans="1:6" x14ac:dyDescent="0.25">
      <c r="A2941" t="str">
        <f t="shared" si="46"/>
        <v>2217+108+225XM0800X</v>
      </c>
      <c r="B2941">
        <v>9298</v>
      </c>
      <c r="C2941">
        <v>2217</v>
      </c>
      <c r="D2941">
        <v>108</v>
      </c>
      <c r="E2941" t="s">
        <v>777</v>
      </c>
      <c r="F2941" t="s">
        <v>4067</v>
      </c>
    </row>
    <row r="2942" spans="1:6" x14ac:dyDescent="0.25">
      <c r="A2942" t="str">
        <f t="shared" si="46"/>
        <v>2217+108+225XN1300X</v>
      </c>
      <c r="B2942">
        <v>9291</v>
      </c>
      <c r="C2942">
        <v>2217</v>
      </c>
      <c r="D2942">
        <v>108</v>
      </c>
      <c r="E2942" t="s">
        <v>744</v>
      </c>
      <c r="F2942" t="s">
        <v>4068</v>
      </c>
    </row>
    <row r="2943" spans="1:6" x14ac:dyDescent="0.25">
      <c r="A2943" t="str">
        <f t="shared" si="46"/>
        <v>2217+108+225XP0019X</v>
      </c>
      <c r="B2943">
        <v>9299</v>
      </c>
      <c r="C2943">
        <v>2217</v>
      </c>
      <c r="D2943">
        <v>108</v>
      </c>
      <c r="E2943" t="s">
        <v>779</v>
      </c>
      <c r="F2943" t="s">
        <v>4069</v>
      </c>
    </row>
    <row r="2944" spans="1:6" x14ac:dyDescent="0.25">
      <c r="A2944" t="str">
        <f t="shared" si="46"/>
        <v>2217+108+225XP0200X</v>
      </c>
      <c r="B2944">
        <v>9292</v>
      </c>
      <c r="C2944">
        <v>2217</v>
      </c>
      <c r="D2944">
        <v>108</v>
      </c>
      <c r="E2944" t="s">
        <v>745</v>
      </c>
      <c r="F2944" t="s">
        <v>4070</v>
      </c>
    </row>
    <row r="2945" spans="1:6" x14ac:dyDescent="0.25">
      <c r="A2945" t="str">
        <f t="shared" si="46"/>
        <v>2217+108+225XR0403X</v>
      </c>
      <c r="B2945">
        <v>9293</v>
      </c>
      <c r="C2945">
        <v>2217</v>
      </c>
      <c r="D2945">
        <v>108</v>
      </c>
      <c r="E2945" t="s">
        <v>747</v>
      </c>
      <c r="F2945" t="s">
        <v>4071</v>
      </c>
    </row>
    <row r="2946" spans="1:6" x14ac:dyDescent="0.25">
      <c r="A2946" t="str">
        <f t="shared" si="46"/>
        <v>2218+107+224Y00000X</v>
      </c>
      <c r="B2946">
        <v>9328</v>
      </c>
      <c r="C2946">
        <v>2218</v>
      </c>
      <c r="D2946">
        <v>107</v>
      </c>
      <c r="E2946" t="s">
        <v>757</v>
      </c>
      <c r="F2946" t="s">
        <v>4072</v>
      </c>
    </row>
    <row r="2947" spans="1:6" x14ac:dyDescent="0.25">
      <c r="A2947" t="str">
        <f t="shared" si="46"/>
        <v>2218+108+227800000X</v>
      </c>
      <c r="B2947">
        <v>9300</v>
      </c>
      <c r="C2947">
        <v>2218</v>
      </c>
      <c r="D2947">
        <v>108</v>
      </c>
      <c r="E2947" t="s">
        <v>670</v>
      </c>
      <c r="F2947" t="s">
        <v>4073</v>
      </c>
    </row>
    <row r="2948" spans="1:6" x14ac:dyDescent="0.25">
      <c r="A2948" t="str">
        <f t="shared" si="46"/>
        <v>2218+108+2278C0205X</v>
      </c>
      <c r="B2948">
        <v>9301</v>
      </c>
      <c r="C2948">
        <v>2218</v>
      </c>
      <c r="D2948">
        <v>108</v>
      </c>
      <c r="E2948" t="s">
        <v>673</v>
      </c>
      <c r="F2948" t="s">
        <v>4074</v>
      </c>
    </row>
    <row r="2949" spans="1:6" x14ac:dyDescent="0.25">
      <c r="A2949" t="str">
        <f t="shared" si="46"/>
        <v>2218+108+2278E0002X</v>
      </c>
      <c r="B2949">
        <v>9302</v>
      </c>
      <c r="C2949">
        <v>2218</v>
      </c>
      <c r="D2949">
        <v>108</v>
      </c>
      <c r="E2949" t="s">
        <v>674</v>
      </c>
      <c r="F2949" t="s">
        <v>4075</v>
      </c>
    </row>
    <row r="2950" spans="1:6" x14ac:dyDescent="0.25">
      <c r="A2950" t="str">
        <f t="shared" si="46"/>
        <v>2218+108+2278E1000X</v>
      </c>
      <c r="B2950">
        <v>9303</v>
      </c>
      <c r="C2950">
        <v>2218</v>
      </c>
      <c r="D2950">
        <v>108</v>
      </c>
      <c r="E2950" s="43" t="s">
        <v>676</v>
      </c>
      <c r="F2950" t="s">
        <v>4076</v>
      </c>
    </row>
    <row r="2951" spans="1:6" x14ac:dyDescent="0.25">
      <c r="A2951" t="str">
        <f t="shared" si="46"/>
        <v>2218+108+2278G0305X</v>
      </c>
      <c r="B2951">
        <v>9304</v>
      </c>
      <c r="C2951">
        <v>2218</v>
      </c>
      <c r="D2951">
        <v>108</v>
      </c>
      <c r="E2951" t="s">
        <v>678</v>
      </c>
      <c r="F2951" t="s">
        <v>4077</v>
      </c>
    </row>
    <row r="2952" spans="1:6" x14ac:dyDescent="0.25">
      <c r="A2952" t="str">
        <f t="shared" si="46"/>
        <v>2218+108+2278G1100X</v>
      </c>
      <c r="B2952">
        <v>9305</v>
      </c>
      <c r="C2952">
        <v>2218</v>
      </c>
      <c r="D2952">
        <v>108</v>
      </c>
      <c r="E2952" t="s">
        <v>680</v>
      </c>
      <c r="F2952" t="s">
        <v>4078</v>
      </c>
    </row>
    <row r="2953" spans="1:6" x14ac:dyDescent="0.25">
      <c r="A2953" t="str">
        <f t="shared" si="46"/>
        <v>2218+108+2278H0200X</v>
      </c>
      <c r="B2953">
        <v>9306</v>
      </c>
      <c r="C2953">
        <v>2218</v>
      </c>
      <c r="D2953">
        <v>108</v>
      </c>
      <c r="E2953" s="43" t="s">
        <v>681</v>
      </c>
      <c r="F2953" t="s">
        <v>4079</v>
      </c>
    </row>
    <row r="2954" spans="1:6" x14ac:dyDescent="0.25">
      <c r="A2954" t="str">
        <f t="shared" si="46"/>
        <v>2218+108+2278P1004X</v>
      </c>
      <c r="B2954">
        <v>9307</v>
      </c>
      <c r="C2954">
        <v>2218</v>
      </c>
      <c r="D2954">
        <v>108</v>
      </c>
      <c r="E2954" t="s">
        <v>683</v>
      </c>
      <c r="F2954" t="s">
        <v>4080</v>
      </c>
    </row>
    <row r="2955" spans="1:6" x14ac:dyDescent="0.25">
      <c r="A2955" t="str">
        <f t="shared" si="46"/>
        <v>2218+108+2278P1005X</v>
      </c>
      <c r="B2955">
        <v>9308</v>
      </c>
      <c r="C2955">
        <v>2218</v>
      </c>
      <c r="D2955">
        <v>108</v>
      </c>
      <c r="E2955" t="s">
        <v>685</v>
      </c>
      <c r="F2955" t="s">
        <v>4081</v>
      </c>
    </row>
    <row r="2956" spans="1:6" x14ac:dyDescent="0.25">
      <c r="A2956" t="str">
        <f t="shared" si="46"/>
        <v>2218+108+2278P1006X</v>
      </c>
      <c r="B2956">
        <v>9309</v>
      </c>
      <c r="C2956">
        <v>2218</v>
      </c>
      <c r="D2956">
        <v>108</v>
      </c>
      <c r="E2956" t="s">
        <v>687</v>
      </c>
      <c r="F2956" t="s">
        <v>4082</v>
      </c>
    </row>
    <row r="2957" spans="1:6" x14ac:dyDescent="0.25">
      <c r="A2957" t="str">
        <f t="shared" si="46"/>
        <v>2218+108+2278P3800X</v>
      </c>
      <c r="B2957">
        <v>9310</v>
      </c>
      <c r="C2957">
        <v>2218</v>
      </c>
      <c r="D2957">
        <v>108</v>
      </c>
      <c r="E2957" t="s">
        <v>689</v>
      </c>
      <c r="F2957" t="s">
        <v>4083</v>
      </c>
    </row>
    <row r="2958" spans="1:6" x14ac:dyDescent="0.25">
      <c r="A2958" t="str">
        <f t="shared" ref="A2958:A3021" si="47">C2958 &amp; "+" &amp; D2958 &amp; "+" &amp; E2958</f>
        <v>2218+108+2278P3900X</v>
      </c>
      <c r="B2958">
        <v>9311</v>
      </c>
      <c r="C2958">
        <v>2218</v>
      </c>
      <c r="D2958">
        <v>108</v>
      </c>
      <c r="E2958" t="s">
        <v>691</v>
      </c>
      <c r="F2958" t="s">
        <v>4084</v>
      </c>
    </row>
    <row r="2959" spans="1:6" x14ac:dyDescent="0.25">
      <c r="A2959" t="str">
        <f t="shared" si="47"/>
        <v>2218+108+2278P4000X</v>
      </c>
      <c r="B2959">
        <v>9312</v>
      </c>
      <c r="C2959">
        <v>2218</v>
      </c>
      <c r="D2959">
        <v>108</v>
      </c>
      <c r="E2959" t="s">
        <v>693</v>
      </c>
      <c r="F2959" t="s">
        <v>4085</v>
      </c>
    </row>
    <row r="2960" spans="1:6" x14ac:dyDescent="0.25">
      <c r="A2960" t="str">
        <f t="shared" si="47"/>
        <v>2218+108+2278S1500X</v>
      </c>
      <c r="B2960">
        <v>9313</v>
      </c>
      <c r="C2960">
        <v>2218</v>
      </c>
      <c r="D2960">
        <v>108</v>
      </c>
      <c r="E2960" t="s">
        <v>695</v>
      </c>
      <c r="F2960" t="s">
        <v>4086</v>
      </c>
    </row>
    <row r="2961" spans="1:6" x14ac:dyDescent="0.25">
      <c r="A2961" t="str">
        <f t="shared" si="47"/>
        <v>2218+108+227900000X</v>
      </c>
      <c r="B2961">
        <v>9314</v>
      </c>
      <c r="C2961">
        <v>2218</v>
      </c>
      <c r="D2961">
        <v>108</v>
      </c>
      <c r="E2961" t="s">
        <v>697</v>
      </c>
      <c r="F2961" t="s">
        <v>4087</v>
      </c>
    </row>
    <row r="2962" spans="1:6" x14ac:dyDescent="0.25">
      <c r="A2962" t="str">
        <f t="shared" si="47"/>
        <v>2218+108+2279C0205X</v>
      </c>
      <c r="B2962">
        <v>9315</v>
      </c>
      <c r="C2962">
        <v>2218</v>
      </c>
      <c r="D2962">
        <v>108</v>
      </c>
      <c r="E2962" t="s">
        <v>698</v>
      </c>
      <c r="F2962" t="s">
        <v>4088</v>
      </c>
    </row>
    <row r="2963" spans="1:6" x14ac:dyDescent="0.25">
      <c r="A2963" t="str">
        <f t="shared" si="47"/>
        <v>2218+108+2279E0002X</v>
      </c>
      <c r="B2963">
        <v>9316</v>
      </c>
      <c r="C2963">
        <v>2218</v>
      </c>
      <c r="D2963">
        <v>108</v>
      </c>
      <c r="E2963" t="s">
        <v>699</v>
      </c>
      <c r="F2963" t="s">
        <v>4089</v>
      </c>
    </row>
    <row r="2964" spans="1:6" x14ac:dyDescent="0.25">
      <c r="A2964" t="str">
        <f t="shared" si="47"/>
        <v>2218+108+2279E1000X</v>
      </c>
      <c r="B2964">
        <v>9317</v>
      </c>
      <c r="C2964">
        <v>2218</v>
      </c>
      <c r="D2964">
        <v>108</v>
      </c>
      <c r="E2964" s="43" t="s">
        <v>700</v>
      </c>
      <c r="F2964" t="s">
        <v>4090</v>
      </c>
    </row>
    <row r="2965" spans="1:6" x14ac:dyDescent="0.25">
      <c r="A2965" t="str">
        <f t="shared" si="47"/>
        <v>2218+108+2279G0305X</v>
      </c>
      <c r="B2965">
        <v>9318</v>
      </c>
      <c r="C2965">
        <v>2218</v>
      </c>
      <c r="D2965">
        <v>108</v>
      </c>
      <c r="E2965" t="s">
        <v>701</v>
      </c>
      <c r="F2965" t="s">
        <v>4091</v>
      </c>
    </row>
    <row r="2966" spans="1:6" x14ac:dyDescent="0.25">
      <c r="A2966" t="str">
        <f t="shared" si="47"/>
        <v>2218+108+2279G1100X</v>
      </c>
      <c r="B2966">
        <v>9319</v>
      </c>
      <c r="C2966">
        <v>2218</v>
      </c>
      <c r="D2966">
        <v>108</v>
      </c>
      <c r="E2966" t="s">
        <v>702</v>
      </c>
      <c r="F2966" t="s">
        <v>4092</v>
      </c>
    </row>
    <row r="2967" spans="1:6" x14ac:dyDescent="0.25">
      <c r="A2967" t="str">
        <f t="shared" si="47"/>
        <v>2218+108+2279H0200X</v>
      </c>
      <c r="B2967">
        <v>9320</v>
      </c>
      <c r="C2967">
        <v>2218</v>
      </c>
      <c r="D2967">
        <v>108</v>
      </c>
      <c r="E2967" s="43" t="s">
        <v>703</v>
      </c>
      <c r="F2967" t="s">
        <v>4093</v>
      </c>
    </row>
    <row r="2968" spans="1:6" x14ac:dyDescent="0.25">
      <c r="A2968" t="str">
        <f t="shared" si="47"/>
        <v>2218+108+2279P1004X</v>
      </c>
      <c r="B2968">
        <v>9321</v>
      </c>
      <c r="C2968">
        <v>2218</v>
      </c>
      <c r="D2968">
        <v>108</v>
      </c>
      <c r="E2968" t="s">
        <v>704</v>
      </c>
      <c r="F2968" t="s">
        <v>4094</v>
      </c>
    </row>
    <row r="2969" spans="1:6" x14ac:dyDescent="0.25">
      <c r="A2969" t="str">
        <f t="shared" si="47"/>
        <v>2218+108+2279P1005X</v>
      </c>
      <c r="B2969">
        <v>9322</v>
      </c>
      <c r="C2969">
        <v>2218</v>
      </c>
      <c r="D2969">
        <v>108</v>
      </c>
      <c r="E2969" t="s">
        <v>705</v>
      </c>
      <c r="F2969" t="s">
        <v>4095</v>
      </c>
    </row>
    <row r="2970" spans="1:6" x14ac:dyDescent="0.25">
      <c r="A2970" t="str">
        <f t="shared" si="47"/>
        <v>2218+108+2279P1006X</v>
      </c>
      <c r="B2970">
        <v>9323</v>
      </c>
      <c r="C2970">
        <v>2218</v>
      </c>
      <c r="D2970">
        <v>108</v>
      </c>
      <c r="E2970" t="s">
        <v>706</v>
      </c>
      <c r="F2970" t="s">
        <v>4096</v>
      </c>
    </row>
    <row r="2971" spans="1:6" x14ac:dyDescent="0.25">
      <c r="A2971" t="str">
        <f t="shared" si="47"/>
        <v>2218+108+2279P3800X</v>
      </c>
      <c r="B2971">
        <v>9324</v>
      </c>
      <c r="C2971">
        <v>2218</v>
      </c>
      <c r="D2971">
        <v>108</v>
      </c>
      <c r="E2971" t="s">
        <v>707</v>
      </c>
      <c r="F2971" t="s">
        <v>4097</v>
      </c>
    </row>
    <row r="2972" spans="1:6" x14ac:dyDescent="0.25">
      <c r="A2972" t="str">
        <f t="shared" si="47"/>
        <v>2218+108+2279P3900X</v>
      </c>
      <c r="B2972">
        <v>9325</v>
      </c>
      <c r="C2972">
        <v>2218</v>
      </c>
      <c r="D2972">
        <v>108</v>
      </c>
      <c r="E2972" t="s">
        <v>708</v>
      </c>
      <c r="F2972" t="s">
        <v>4098</v>
      </c>
    </row>
    <row r="2973" spans="1:6" x14ac:dyDescent="0.25">
      <c r="A2973" t="str">
        <f t="shared" si="47"/>
        <v>2218+108+2279P4000X</v>
      </c>
      <c r="B2973">
        <v>9326</v>
      </c>
      <c r="C2973">
        <v>2218</v>
      </c>
      <c r="D2973">
        <v>108</v>
      </c>
      <c r="E2973" t="s">
        <v>709</v>
      </c>
      <c r="F2973" t="s">
        <v>4099</v>
      </c>
    </row>
    <row r="2974" spans="1:6" x14ac:dyDescent="0.25">
      <c r="A2974" t="str">
        <f t="shared" si="47"/>
        <v>2218+108+2279S1500X</v>
      </c>
      <c r="B2974">
        <v>9327</v>
      </c>
      <c r="C2974">
        <v>2218</v>
      </c>
      <c r="D2974">
        <v>108</v>
      </c>
      <c r="E2974" t="s">
        <v>710</v>
      </c>
      <c r="F2974" t="s">
        <v>4100</v>
      </c>
    </row>
    <row r="2975" spans="1:6" x14ac:dyDescent="0.25">
      <c r="A2975" t="str">
        <f t="shared" si="47"/>
        <v>2219+108+235Z00000X</v>
      </c>
      <c r="B2975">
        <v>9329</v>
      </c>
      <c r="C2975">
        <v>2219</v>
      </c>
      <c r="D2975">
        <v>108</v>
      </c>
      <c r="E2975" t="s">
        <v>750</v>
      </c>
      <c r="F2975" t="s">
        <v>4101</v>
      </c>
    </row>
    <row r="2976" spans="1:6" x14ac:dyDescent="0.25">
      <c r="A2976" t="str">
        <f t="shared" si="47"/>
        <v>2220+106+224ZE0001X</v>
      </c>
      <c r="B2976">
        <v>9331</v>
      </c>
      <c r="C2976">
        <v>2220</v>
      </c>
      <c r="D2976">
        <v>106</v>
      </c>
      <c r="E2976" t="s">
        <v>760</v>
      </c>
      <c r="F2976" t="s">
        <v>4102</v>
      </c>
    </row>
    <row r="2977" spans="1:6" x14ac:dyDescent="0.25">
      <c r="A2977" t="str">
        <f t="shared" si="47"/>
        <v>2220+106+224ZF0002X</v>
      </c>
      <c r="B2977">
        <v>9332</v>
      </c>
      <c r="C2977">
        <v>2220</v>
      </c>
      <c r="D2977">
        <v>106</v>
      </c>
      <c r="E2977" t="s">
        <v>763</v>
      </c>
      <c r="F2977" t="s">
        <v>4103</v>
      </c>
    </row>
    <row r="2978" spans="1:6" x14ac:dyDescent="0.25">
      <c r="A2978" t="str">
        <f t="shared" si="47"/>
        <v>2220+106+224ZL0004X</v>
      </c>
      <c r="B2978">
        <v>9333</v>
      </c>
      <c r="C2978">
        <v>2220</v>
      </c>
      <c r="D2978">
        <v>106</v>
      </c>
      <c r="E2978" t="s">
        <v>765</v>
      </c>
      <c r="F2978" t="s">
        <v>4104</v>
      </c>
    </row>
    <row r="2979" spans="1:6" x14ac:dyDescent="0.25">
      <c r="A2979" t="str">
        <f t="shared" si="47"/>
        <v>2220+106+224ZR0403X</v>
      </c>
      <c r="B2979">
        <v>9334</v>
      </c>
      <c r="C2979">
        <v>2220</v>
      </c>
      <c r="D2979">
        <v>106</v>
      </c>
      <c r="E2979" t="s">
        <v>767</v>
      </c>
      <c r="F2979" t="s">
        <v>4105</v>
      </c>
    </row>
    <row r="2980" spans="1:6" x14ac:dyDescent="0.25">
      <c r="A2980" t="str">
        <f t="shared" si="47"/>
        <v>2220+108+224Z00000X</v>
      </c>
      <c r="B2980">
        <v>9330</v>
      </c>
      <c r="C2980">
        <v>2220</v>
      </c>
      <c r="D2980">
        <v>108</v>
      </c>
      <c r="E2980" t="s">
        <v>663</v>
      </c>
      <c r="F2980" t="s">
        <v>4106</v>
      </c>
    </row>
    <row r="2981" spans="1:6" x14ac:dyDescent="0.25">
      <c r="A2981" t="str">
        <f t="shared" si="47"/>
        <v>2221+108+225200000X</v>
      </c>
      <c r="B2981">
        <v>9335</v>
      </c>
      <c r="C2981">
        <v>2221</v>
      </c>
      <c r="D2981">
        <v>108</v>
      </c>
      <c r="E2981" t="s">
        <v>667</v>
      </c>
      <c r="F2981" t="s">
        <v>4107</v>
      </c>
    </row>
    <row r="2982" spans="1:6" x14ac:dyDescent="0.25">
      <c r="A2982" t="str">
        <f t="shared" si="47"/>
        <v>2222+41+152W00000X</v>
      </c>
      <c r="B2982">
        <v>9336</v>
      </c>
      <c r="C2982">
        <v>2222</v>
      </c>
      <c r="D2982">
        <v>41</v>
      </c>
      <c r="E2982" t="s">
        <v>782</v>
      </c>
      <c r="F2982" t="s">
        <v>4108</v>
      </c>
    </row>
    <row r="2983" spans="1:6" x14ac:dyDescent="0.25">
      <c r="A2983" t="str">
        <f t="shared" si="47"/>
        <v>2222+41+152WC0802X</v>
      </c>
      <c r="B2983">
        <v>9337</v>
      </c>
      <c r="C2983">
        <v>2222</v>
      </c>
      <c r="D2983">
        <v>41</v>
      </c>
      <c r="E2983" t="s">
        <v>785</v>
      </c>
      <c r="F2983" t="s">
        <v>4109</v>
      </c>
    </row>
    <row r="2984" spans="1:6" x14ac:dyDescent="0.25">
      <c r="A2984" t="str">
        <f t="shared" si="47"/>
        <v>2222+41+152WL0500X</v>
      </c>
      <c r="B2984">
        <v>9338</v>
      </c>
      <c r="C2984">
        <v>2222</v>
      </c>
      <c r="D2984">
        <v>41</v>
      </c>
      <c r="E2984" t="s">
        <v>787</v>
      </c>
      <c r="F2984" t="s">
        <v>4110</v>
      </c>
    </row>
    <row r="2985" spans="1:6" x14ac:dyDescent="0.25">
      <c r="A2985" t="str">
        <f t="shared" si="47"/>
        <v>2222+41+152WP0200X</v>
      </c>
      <c r="B2985">
        <v>9339</v>
      </c>
      <c r="C2985">
        <v>2222</v>
      </c>
      <c r="D2985">
        <v>41</v>
      </c>
      <c r="E2985" t="s">
        <v>788</v>
      </c>
      <c r="F2985" t="s">
        <v>4111</v>
      </c>
    </row>
    <row r="2986" spans="1:6" x14ac:dyDescent="0.25">
      <c r="A2986" t="str">
        <f t="shared" si="47"/>
        <v>2222+41+152WS0006X</v>
      </c>
      <c r="B2986">
        <v>9340</v>
      </c>
      <c r="C2986">
        <v>2222</v>
      </c>
      <c r="D2986">
        <v>41</v>
      </c>
      <c r="E2986" t="s">
        <v>790</v>
      </c>
      <c r="F2986" t="s">
        <v>4112</v>
      </c>
    </row>
    <row r="2987" spans="1:6" x14ac:dyDescent="0.25">
      <c r="A2987" t="str">
        <f t="shared" si="47"/>
        <v>2222+41+152WV0400X</v>
      </c>
      <c r="B2987">
        <v>9341</v>
      </c>
      <c r="C2987">
        <v>2222</v>
      </c>
      <c r="D2987">
        <v>41</v>
      </c>
      <c r="E2987" t="s">
        <v>792</v>
      </c>
      <c r="F2987" t="s">
        <v>4113</v>
      </c>
    </row>
    <row r="2988" spans="1:6" x14ac:dyDescent="0.25">
      <c r="A2988" t="str">
        <f t="shared" si="47"/>
        <v>2222+41+152WX0102X</v>
      </c>
      <c r="B2988">
        <v>9342</v>
      </c>
      <c r="C2988">
        <v>2222</v>
      </c>
      <c r="D2988">
        <v>41</v>
      </c>
      <c r="E2988" t="s">
        <v>794</v>
      </c>
      <c r="F2988" t="s">
        <v>4114</v>
      </c>
    </row>
    <row r="2989" spans="1:6" x14ac:dyDescent="0.25">
      <c r="A2989" t="str">
        <f t="shared" si="47"/>
        <v>2223+132+172V00000X</v>
      </c>
      <c r="B2989">
        <v>10201</v>
      </c>
      <c r="C2989">
        <v>2223</v>
      </c>
      <c r="D2989">
        <v>132</v>
      </c>
      <c r="E2989" t="s">
        <v>1835</v>
      </c>
      <c r="F2989" t="s">
        <v>4115</v>
      </c>
    </row>
    <row r="2990" spans="1:6" x14ac:dyDescent="0.25">
      <c r="A2990" t="str">
        <f t="shared" si="47"/>
        <v>2224+22+231H00000X</v>
      </c>
      <c r="B2990">
        <v>9352</v>
      </c>
      <c r="C2990">
        <v>2224</v>
      </c>
      <c r="D2990">
        <v>22</v>
      </c>
      <c r="E2990" t="s">
        <v>816</v>
      </c>
      <c r="F2990" t="s">
        <v>4116</v>
      </c>
    </row>
    <row r="2991" spans="1:6" x14ac:dyDescent="0.25">
      <c r="A2991" t="str">
        <f t="shared" si="47"/>
        <v>2225+103+101YA0400X</v>
      </c>
      <c r="B2991">
        <v>9247</v>
      </c>
      <c r="C2991">
        <v>2225</v>
      </c>
      <c r="D2991">
        <v>103</v>
      </c>
      <c r="E2991" t="s">
        <v>449</v>
      </c>
      <c r="F2991" t="s">
        <v>4117</v>
      </c>
    </row>
    <row r="2992" spans="1:6" x14ac:dyDescent="0.25">
      <c r="A2992" t="str">
        <f t="shared" si="47"/>
        <v>2226+50+2080C0008X</v>
      </c>
      <c r="B2992">
        <v>9397</v>
      </c>
      <c r="C2992">
        <v>2226</v>
      </c>
      <c r="D2992">
        <v>50</v>
      </c>
      <c r="E2992" t="s">
        <v>1265</v>
      </c>
      <c r="F2992" t="s">
        <v>4118</v>
      </c>
    </row>
    <row r="2993" spans="1:6" x14ac:dyDescent="0.25">
      <c r="A2993" t="str">
        <f t="shared" si="47"/>
        <v>2226+51+2080C0008X</v>
      </c>
      <c r="B2993">
        <v>9398</v>
      </c>
      <c r="C2993">
        <v>2226</v>
      </c>
      <c r="D2993">
        <v>51</v>
      </c>
      <c r="E2993" t="s">
        <v>1265</v>
      </c>
      <c r="F2993" t="s">
        <v>4118</v>
      </c>
    </row>
    <row r="2994" spans="1:6" x14ac:dyDescent="0.25">
      <c r="A2994" t="str">
        <f t="shared" si="47"/>
        <v>2226+112+2080C0008X</v>
      </c>
      <c r="B2994">
        <v>9396</v>
      </c>
      <c r="C2994">
        <v>2226</v>
      </c>
      <c r="D2994">
        <v>112</v>
      </c>
      <c r="E2994" t="s">
        <v>1265</v>
      </c>
      <c r="F2994" t="s">
        <v>4118</v>
      </c>
    </row>
    <row r="2995" spans="1:6" x14ac:dyDescent="0.25">
      <c r="A2995" t="str">
        <f t="shared" si="47"/>
        <v>2227+38+132700000X</v>
      </c>
      <c r="B2995">
        <v>9358</v>
      </c>
      <c r="C2995">
        <v>2227</v>
      </c>
      <c r="D2995">
        <v>38</v>
      </c>
      <c r="E2995" t="s">
        <v>832</v>
      </c>
      <c r="F2995" t="s">
        <v>4119</v>
      </c>
    </row>
    <row r="2996" spans="1:6" x14ac:dyDescent="0.25">
      <c r="A2996" t="str">
        <f t="shared" si="47"/>
        <v>2227+38+133N00000X</v>
      </c>
      <c r="B2996">
        <v>9359</v>
      </c>
      <c r="C2996">
        <v>2227</v>
      </c>
      <c r="D2996">
        <v>38</v>
      </c>
      <c r="E2996" t="s">
        <v>835</v>
      </c>
      <c r="F2996" t="s">
        <v>3969</v>
      </c>
    </row>
    <row r="2997" spans="1:6" x14ac:dyDescent="0.25">
      <c r="A2997" t="str">
        <f t="shared" si="47"/>
        <v>2227+38+133NN1002X</v>
      </c>
      <c r="B2997">
        <v>9360</v>
      </c>
      <c r="C2997">
        <v>2227</v>
      </c>
      <c r="D2997">
        <v>38</v>
      </c>
      <c r="E2997" t="s">
        <v>837</v>
      </c>
      <c r="F2997" t="s">
        <v>4120</v>
      </c>
    </row>
    <row r="2998" spans="1:6" x14ac:dyDescent="0.25">
      <c r="A2998" t="str">
        <f t="shared" si="47"/>
        <v>2227+38+133V00000X</v>
      </c>
      <c r="B2998">
        <v>9361</v>
      </c>
      <c r="C2998">
        <v>2227</v>
      </c>
      <c r="D2998">
        <v>38</v>
      </c>
      <c r="E2998" t="s">
        <v>839</v>
      </c>
      <c r="F2998" t="s">
        <v>4121</v>
      </c>
    </row>
    <row r="2999" spans="1:6" x14ac:dyDescent="0.25">
      <c r="A2999" t="str">
        <f t="shared" si="47"/>
        <v>2227+38+133VN1004X</v>
      </c>
      <c r="B2999">
        <v>9362</v>
      </c>
      <c r="C2999">
        <v>2227</v>
      </c>
      <c r="D2999">
        <v>38</v>
      </c>
      <c r="E2999" t="s">
        <v>841</v>
      </c>
      <c r="F2999" t="s">
        <v>4122</v>
      </c>
    </row>
    <row r="3000" spans="1:6" x14ac:dyDescent="0.25">
      <c r="A3000" t="str">
        <f t="shared" si="47"/>
        <v>2227+38+133VN1005X</v>
      </c>
      <c r="B3000">
        <v>9363</v>
      </c>
      <c r="C3000">
        <v>2227</v>
      </c>
      <c r="D3000">
        <v>38</v>
      </c>
      <c r="E3000" t="s">
        <v>843</v>
      </c>
      <c r="F3000" t="s">
        <v>4123</v>
      </c>
    </row>
    <row r="3001" spans="1:6" x14ac:dyDescent="0.25">
      <c r="A3001" t="str">
        <f t="shared" si="47"/>
        <v>2227+38+133VN1006X</v>
      </c>
      <c r="B3001">
        <v>9364</v>
      </c>
      <c r="C3001">
        <v>2227</v>
      </c>
      <c r="D3001">
        <v>38</v>
      </c>
      <c r="E3001" t="s">
        <v>845</v>
      </c>
      <c r="F3001" t="s">
        <v>4124</v>
      </c>
    </row>
    <row r="3002" spans="1:6" x14ac:dyDescent="0.25">
      <c r="A3002" t="str">
        <f t="shared" si="47"/>
        <v>2227+38+136A00000X</v>
      </c>
      <c r="B3002">
        <v>9365</v>
      </c>
      <c r="C3002">
        <v>2227</v>
      </c>
      <c r="D3002">
        <v>38</v>
      </c>
      <c r="E3002" t="s">
        <v>847</v>
      </c>
      <c r="F3002" t="s">
        <v>4125</v>
      </c>
    </row>
    <row r="3003" spans="1:6" x14ac:dyDescent="0.25">
      <c r="A3003" t="str">
        <f t="shared" si="47"/>
        <v>2228+42+183500000X</v>
      </c>
      <c r="B3003">
        <v>10176</v>
      </c>
      <c r="C3003">
        <v>2228</v>
      </c>
      <c r="D3003">
        <v>42</v>
      </c>
      <c r="E3003" t="s">
        <v>1763</v>
      </c>
      <c r="F3003" t="s">
        <v>4126</v>
      </c>
    </row>
    <row r="3004" spans="1:6" x14ac:dyDescent="0.25">
      <c r="A3004" t="str">
        <f t="shared" si="47"/>
        <v>2228+42+1835G0000X</v>
      </c>
      <c r="B3004">
        <v>10177</v>
      </c>
      <c r="C3004">
        <v>2228</v>
      </c>
      <c r="D3004">
        <v>42</v>
      </c>
      <c r="E3004" t="s">
        <v>1766</v>
      </c>
      <c r="F3004" t="s">
        <v>4127</v>
      </c>
    </row>
    <row r="3005" spans="1:6" x14ac:dyDescent="0.25">
      <c r="A3005" t="str">
        <f t="shared" si="47"/>
        <v>2229+42+1835G0303X</v>
      </c>
      <c r="B3005">
        <v>10178</v>
      </c>
      <c r="C3005">
        <v>2229</v>
      </c>
      <c r="D3005">
        <v>42</v>
      </c>
      <c r="E3005" t="s">
        <v>1768</v>
      </c>
      <c r="F3005" t="s">
        <v>4128</v>
      </c>
    </row>
    <row r="3006" spans="1:6" x14ac:dyDescent="0.25">
      <c r="A3006" t="str">
        <f t="shared" si="47"/>
        <v>2230+42+1835N0905X</v>
      </c>
      <c r="B3006">
        <v>10179</v>
      </c>
      <c r="C3006">
        <v>2230</v>
      </c>
      <c r="D3006">
        <v>42</v>
      </c>
      <c r="E3006" t="s">
        <v>1771</v>
      </c>
      <c r="F3006" t="s">
        <v>4129</v>
      </c>
    </row>
    <row r="3007" spans="1:6" x14ac:dyDescent="0.25">
      <c r="A3007" t="str">
        <f t="shared" si="47"/>
        <v>2231+42+1835N1003X</v>
      </c>
      <c r="B3007">
        <v>10180</v>
      </c>
      <c r="C3007">
        <v>2231</v>
      </c>
      <c r="D3007">
        <v>42</v>
      </c>
      <c r="E3007" t="s">
        <v>1773</v>
      </c>
      <c r="F3007" t="s">
        <v>4130</v>
      </c>
    </row>
    <row r="3008" spans="1:6" x14ac:dyDescent="0.25">
      <c r="A3008" t="str">
        <f t="shared" si="47"/>
        <v>2232+42+1835X0200X</v>
      </c>
      <c r="B3008">
        <v>10181</v>
      </c>
      <c r="C3008">
        <v>2232</v>
      </c>
      <c r="D3008">
        <v>42</v>
      </c>
      <c r="E3008" t="s">
        <v>1783</v>
      </c>
      <c r="F3008" t="s">
        <v>4131</v>
      </c>
    </row>
    <row r="3009" spans="1:6" x14ac:dyDescent="0.25">
      <c r="A3009" t="str">
        <f t="shared" si="47"/>
        <v>2233+42+1835P1200X</v>
      </c>
      <c r="B3009">
        <v>10182</v>
      </c>
      <c r="C3009">
        <v>2233</v>
      </c>
      <c r="D3009">
        <v>42</v>
      </c>
      <c r="E3009" t="s">
        <v>1778</v>
      </c>
      <c r="F3009" t="s">
        <v>4132</v>
      </c>
    </row>
    <row r="3010" spans="1:6" x14ac:dyDescent="0.25">
      <c r="A3010" t="str">
        <f t="shared" si="47"/>
        <v>2234+42+1835P1300X</v>
      </c>
      <c r="B3010">
        <v>10183</v>
      </c>
      <c r="C3010">
        <v>2234</v>
      </c>
      <c r="D3010">
        <v>42</v>
      </c>
      <c r="E3010" t="s">
        <v>1781</v>
      </c>
      <c r="F3010" t="s">
        <v>4133</v>
      </c>
    </row>
    <row r="3011" spans="1:6" x14ac:dyDescent="0.25">
      <c r="A3011" t="str">
        <f t="shared" si="47"/>
        <v>2235+85+183700000X</v>
      </c>
      <c r="B3011">
        <v>10076</v>
      </c>
      <c r="C3011">
        <v>2235</v>
      </c>
      <c r="D3011">
        <v>85</v>
      </c>
      <c r="E3011" t="s">
        <v>1546</v>
      </c>
      <c r="F3011" t="s">
        <v>4134</v>
      </c>
    </row>
    <row r="3012" spans="1:6" x14ac:dyDescent="0.25">
      <c r="A3012" t="str">
        <f t="shared" si="47"/>
        <v>2236+111+1223E0200X</v>
      </c>
      <c r="B3012">
        <v>9375</v>
      </c>
      <c r="C3012">
        <v>2236</v>
      </c>
      <c r="D3012">
        <v>111</v>
      </c>
      <c r="E3012" t="s">
        <v>939</v>
      </c>
      <c r="F3012" t="s">
        <v>4135</v>
      </c>
    </row>
    <row r="3013" spans="1:6" x14ac:dyDescent="0.25">
      <c r="A3013" t="str">
        <f t="shared" si="47"/>
        <v>2237+111+122300000X</v>
      </c>
      <c r="B3013">
        <v>9376</v>
      </c>
      <c r="C3013">
        <v>2237</v>
      </c>
      <c r="D3013">
        <v>111</v>
      </c>
      <c r="E3013" t="s">
        <v>925</v>
      </c>
      <c r="F3013" t="s">
        <v>4136</v>
      </c>
    </row>
    <row r="3014" spans="1:6" x14ac:dyDescent="0.25">
      <c r="A3014" t="str">
        <f t="shared" si="47"/>
        <v>2237+111+1223D0001X</v>
      </c>
      <c r="B3014">
        <v>9377</v>
      </c>
      <c r="C3014">
        <v>2237</v>
      </c>
      <c r="D3014">
        <v>111</v>
      </c>
      <c r="E3014" t="s">
        <v>928</v>
      </c>
      <c r="F3014" t="s">
        <v>4137</v>
      </c>
    </row>
    <row r="3015" spans="1:6" x14ac:dyDescent="0.25">
      <c r="A3015" t="str">
        <f t="shared" si="47"/>
        <v>2237+111+1223G0001X</v>
      </c>
      <c r="B3015">
        <v>9378</v>
      </c>
      <c r="C3015">
        <v>2237</v>
      </c>
      <c r="D3015">
        <v>111</v>
      </c>
      <c r="E3015" t="s">
        <v>941</v>
      </c>
      <c r="F3015" t="s">
        <v>4138</v>
      </c>
    </row>
    <row r="3016" spans="1:6" x14ac:dyDescent="0.25">
      <c r="A3016" t="str">
        <f t="shared" si="47"/>
        <v>2237+111+122400000X</v>
      </c>
      <c r="B3016">
        <v>9379</v>
      </c>
      <c r="C3016">
        <v>2237</v>
      </c>
      <c r="D3016">
        <v>111</v>
      </c>
      <c r="E3016" t="s">
        <v>957</v>
      </c>
      <c r="F3016" t="s">
        <v>4139</v>
      </c>
    </row>
    <row r="3017" spans="1:6" x14ac:dyDescent="0.25">
      <c r="A3017" t="str">
        <f t="shared" si="47"/>
        <v>2238+111+1223X0400X</v>
      </c>
      <c r="B3017">
        <v>9381</v>
      </c>
      <c r="C3017">
        <v>2238</v>
      </c>
      <c r="D3017">
        <v>111</v>
      </c>
      <c r="E3017" t="s">
        <v>954</v>
      </c>
      <c r="F3017" t="s">
        <v>4140</v>
      </c>
    </row>
    <row r="3018" spans="1:6" x14ac:dyDescent="0.25">
      <c r="A3018" t="str">
        <f t="shared" si="47"/>
        <v>2239+111+1223P0221X</v>
      </c>
      <c r="B3018">
        <v>9382</v>
      </c>
      <c r="C3018">
        <v>2239</v>
      </c>
      <c r="D3018">
        <v>111</v>
      </c>
      <c r="E3018" t="s">
        <v>943</v>
      </c>
      <c r="F3018" t="s">
        <v>4141</v>
      </c>
    </row>
    <row r="3019" spans="1:6" x14ac:dyDescent="0.25">
      <c r="A3019" t="str">
        <f t="shared" si="47"/>
        <v>2240+111+1223P0300X</v>
      </c>
      <c r="B3019">
        <v>9383</v>
      </c>
      <c r="C3019">
        <v>2240</v>
      </c>
      <c r="D3019">
        <v>111</v>
      </c>
      <c r="E3019" t="s">
        <v>946</v>
      </c>
      <c r="F3019" t="s">
        <v>4142</v>
      </c>
    </row>
    <row r="3020" spans="1:6" x14ac:dyDescent="0.25">
      <c r="A3020" t="str">
        <f t="shared" si="47"/>
        <v>2241+111+1223P0106X</v>
      </c>
      <c r="B3020">
        <v>9384</v>
      </c>
      <c r="C3020">
        <v>2241</v>
      </c>
      <c r="D3020">
        <v>111</v>
      </c>
      <c r="E3020" t="s">
        <v>922</v>
      </c>
      <c r="F3020" t="s">
        <v>4143</v>
      </c>
    </row>
    <row r="3021" spans="1:6" x14ac:dyDescent="0.25">
      <c r="A3021" t="str">
        <f t="shared" si="47"/>
        <v>2242+85+222Z00000X</v>
      </c>
      <c r="B3021">
        <v>10077</v>
      </c>
      <c r="C3021">
        <v>2242</v>
      </c>
      <c r="D3021">
        <v>85</v>
      </c>
      <c r="E3021" t="s">
        <v>1549</v>
      </c>
      <c r="F3021" t="s">
        <v>4144</v>
      </c>
    </row>
    <row r="3022" spans="1:6" x14ac:dyDescent="0.25">
      <c r="A3022" t="str">
        <f t="shared" ref="A3022:A3085" si="48">C3022 &amp; "+" &amp; D3022 &amp; "+" &amp; E3022</f>
        <v>2242+85+224P00000X</v>
      </c>
      <c r="B3022">
        <v>10078</v>
      </c>
      <c r="C3022">
        <v>2242</v>
      </c>
      <c r="D3022">
        <v>85</v>
      </c>
      <c r="E3022" t="s">
        <v>1552</v>
      </c>
      <c r="F3022" t="s">
        <v>4145</v>
      </c>
    </row>
    <row r="3023" spans="1:6" x14ac:dyDescent="0.25">
      <c r="A3023" t="str">
        <f t="shared" si="48"/>
        <v>2242+85+225000000X</v>
      </c>
      <c r="B3023">
        <v>10079</v>
      </c>
      <c r="C3023">
        <v>2242</v>
      </c>
      <c r="D3023">
        <v>85</v>
      </c>
      <c r="E3023" t="s">
        <v>1554</v>
      </c>
      <c r="F3023" t="s">
        <v>4146</v>
      </c>
    </row>
    <row r="3024" spans="1:6" x14ac:dyDescent="0.25">
      <c r="A3024" t="str">
        <f t="shared" si="48"/>
        <v>2243+126+229N00000X</v>
      </c>
      <c r="B3024">
        <v>10185</v>
      </c>
      <c r="C3024">
        <v>2243</v>
      </c>
      <c r="D3024">
        <v>126</v>
      </c>
      <c r="E3024" t="s">
        <v>1786</v>
      </c>
      <c r="F3024" t="s">
        <v>4147</v>
      </c>
    </row>
    <row r="3025" spans="1:6" x14ac:dyDescent="0.25">
      <c r="A3025" t="str">
        <f t="shared" si="48"/>
        <v>2244+111+1223P0700X</v>
      </c>
      <c r="B3025">
        <v>9385</v>
      </c>
      <c r="C3025">
        <v>2244</v>
      </c>
      <c r="D3025">
        <v>111</v>
      </c>
      <c r="E3025" t="s">
        <v>949</v>
      </c>
      <c r="F3025" t="s">
        <v>4148</v>
      </c>
    </row>
    <row r="3026" spans="1:6" x14ac:dyDescent="0.25">
      <c r="A3026" t="str">
        <f t="shared" si="48"/>
        <v>2245+116+243U00000X</v>
      </c>
      <c r="B3026">
        <v>10117</v>
      </c>
      <c r="C3026">
        <v>2245</v>
      </c>
      <c r="D3026">
        <v>116</v>
      </c>
      <c r="E3026" t="s">
        <v>1641</v>
      </c>
      <c r="F3026" t="s">
        <v>4149</v>
      </c>
    </row>
    <row r="3027" spans="1:6" x14ac:dyDescent="0.25">
      <c r="A3027" t="str">
        <f t="shared" si="48"/>
        <v>2246+50+207RI0008X</v>
      </c>
      <c r="B3027">
        <v>9509</v>
      </c>
      <c r="C3027">
        <v>2246</v>
      </c>
      <c r="D3027">
        <v>50</v>
      </c>
      <c r="E3027" t="s">
        <v>1148</v>
      </c>
      <c r="F3027" t="s">
        <v>3764</v>
      </c>
    </row>
    <row r="3028" spans="1:6" x14ac:dyDescent="0.25">
      <c r="A3028" t="str">
        <f t="shared" si="48"/>
        <v>2246+50+2080P0206X</v>
      </c>
      <c r="B3028">
        <v>9512</v>
      </c>
      <c r="C3028">
        <v>2246</v>
      </c>
      <c r="D3028">
        <v>50</v>
      </c>
      <c r="E3028" t="s">
        <v>1285</v>
      </c>
      <c r="F3028" t="s">
        <v>3765</v>
      </c>
    </row>
    <row r="3029" spans="1:6" x14ac:dyDescent="0.25">
      <c r="A3029" t="str">
        <f t="shared" si="48"/>
        <v>2247+51+207RI0008X</v>
      </c>
      <c r="B3029">
        <v>9510</v>
      </c>
      <c r="C3029">
        <v>2247</v>
      </c>
      <c r="D3029">
        <v>51</v>
      </c>
      <c r="E3029" t="s">
        <v>1148</v>
      </c>
      <c r="F3029" t="s">
        <v>3764</v>
      </c>
    </row>
    <row r="3030" spans="1:6" x14ac:dyDescent="0.25">
      <c r="A3030" t="str">
        <f t="shared" si="48"/>
        <v>2247+51+2080P0206X</v>
      </c>
      <c r="B3030">
        <v>9513</v>
      </c>
      <c r="C3030">
        <v>2247</v>
      </c>
      <c r="D3030">
        <v>51</v>
      </c>
      <c r="E3030" t="s">
        <v>1285</v>
      </c>
      <c r="F3030" t="s">
        <v>3765</v>
      </c>
    </row>
    <row r="3031" spans="1:6" x14ac:dyDescent="0.25">
      <c r="A3031" t="str">
        <f t="shared" si="48"/>
        <v>2248+50+2083A0100X</v>
      </c>
      <c r="B3031">
        <v>9515</v>
      </c>
      <c r="C3031">
        <v>2248</v>
      </c>
      <c r="D3031">
        <v>50</v>
      </c>
      <c r="E3031" t="s">
        <v>1321</v>
      </c>
      <c r="F3031" t="s">
        <v>3774</v>
      </c>
    </row>
    <row r="3032" spans="1:6" x14ac:dyDescent="0.25">
      <c r="A3032" t="str">
        <f t="shared" si="48"/>
        <v>2249+51+2083A0100X</v>
      </c>
      <c r="B3032">
        <v>9516</v>
      </c>
      <c r="C3032">
        <v>2249</v>
      </c>
      <c r="D3032">
        <v>51</v>
      </c>
      <c r="E3032" t="s">
        <v>1321</v>
      </c>
      <c r="F3032" t="s">
        <v>3774</v>
      </c>
    </row>
    <row r="3033" spans="1:6" x14ac:dyDescent="0.25">
      <c r="A3033" t="str">
        <f t="shared" si="48"/>
        <v>2250+50+207YX0602X</v>
      </c>
      <c r="B3033">
        <v>9725</v>
      </c>
      <c r="C3033">
        <v>2250</v>
      </c>
      <c r="D3033">
        <v>50</v>
      </c>
      <c r="E3033" t="s">
        <v>1225</v>
      </c>
      <c r="F3033" t="s">
        <v>3824</v>
      </c>
    </row>
    <row r="3034" spans="1:6" x14ac:dyDescent="0.25">
      <c r="A3034" t="str">
        <f t="shared" si="48"/>
        <v>2260+51+207YX0602X</v>
      </c>
      <c r="B3034">
        <v>9726</v>
      </c>
      <c r="C3034">
        <v>2260</v>
      </c>
      <c r="D3034">
        <v>51</v>
      </c>
      <c r="E3034" t="s">
        <v>1225</v>
      </c>
      <c r="F3034" t="s">
        <v>3824</v>
      </c>
    </row>
    <row r="3035" spans="1:6" x14ac:dyDescent="0.25">
      <c r="A3035" t="str">
        <f t="shared" si="48"/>
        <v>2261+50+204D00000X</v>
      </c>
      <c r="B3035">
        <v>9944</v>
      </c>
      <c r="C3035">
        <v>2261</v>
      </c>
      <c r="D3035">
        <v>50</v>
      </c>
      <c r="E3035" t="s">
        <v>1062</v>
      </c>
      <c r="F3035" t="s">
        <v>3898</v>
      </c>
    </row>
    <row r="3036" spans="1:6" x14ac:dyDescent="0.25">
      <c r="A3036" t="str">
        <f t="shared" si="48"/>
        <v>2262+51+204D00000X</v>
      </c>
      <c r="B3036">
        <v>9945</v>
      </c>
      <c r="C3036">
        <v>2262</v>
      </c>
      <c r="D3036">
        <v>51</v>
      </c>
      <c r="E3036" t="s">
        <v>1062</v>
      </c>
      <c r="F3036" t="s">
        <v>3898</v>
      </c>
    </row>
    <row r="3037" spans="1:6" x14ac:dyDescent="0.25">
      <c r="A3037" t="str">
        <f t="shared" si="48"/>
        <v>2263+69+372500000X</v>
      </c>
      <c r="B3037">
        <v>10040</v>
      </c>
      <c r="C3037">
        <v>2263</v>
      </c>
      <c r="D3037">
        <v>69</v>
      </c>
      <c r="E3037" t="s">
        <v>1451</v>
      </c>
      <c r="F3037" t="s">
        <v>4150</v>
      </c>
    </row>
    <row r="3038" spans="1:6" x14ac:dyDescent="0.25">
      <c r="A3038" t="str">
        <f t="shared" si="48"/>
        <v>2263+69+373H00000X</v>
      </c>
      <c r="B3038">
        <v>10041</v>
      </c>
      <c r="C3038">
        <v>2263</v>
      </c>
      <c r="D3038">
        <v>69</v>
      </c>
      <c r="E3038" t="s">
        <v>1454</v>
      </c>
      <c r="F3038" t="s">
        <v>4151</v>
      </c>
    </row>
    <row r="3039" spans="1:6" x14ac:dyDescent="0.25">
      <c r="A3039" t="str">
        <f t="shared" si="48"/>
        <v>2263+69+3747P1801X</v>
      </c>
      <c r="B3039">
        <v>10042</v>
      </c>
      <c r="C3039">
        <v>2263</v>
      </c>
      <c r="D3039">
        <v>69</v>
      </c>
      <c r="E3039" t="s">
        <v>1457</v>
      </c>
      <c r="F3039" t="s">
        <v>4152</v>
      </c>
    </row>
    <row r="3040" spans="1:6" x14ac:dyDescent="0.25">
      <c r="A3040" t="str">
        <f t="shared" si="48"/>
        <v>2263+69+374J00000X</v>
      </c>
      <c r="B3040">
        <v>10043</v>
      </c>
      <c r="C3040">
        <v>2263</v>
      </c>
      <c r="D3040">
        <v>69</v>
      </c>
      <c r="E3040" t="s">
        <v>1459</v>
      </c>
      <c r="F3040" t="s">
        <v>4153</v>
      </c>
    </row>
    <row r="3041" spans="1:6" x14ac:dyDescent="0.25">
      <c r="A3041" t="str">
        <f t="shared" si="48"/>
        <v>2263+69+374K00000X</v>
      </c>
      <c r="B3041">
        <v>10044</v>
      </c>
      <c r="C3041">
        <v>2263</v>
      </c>
      <c r="D3041">
        <v>69</v>
      </c>
      <c r="E3041" t="s">
        <v>1461</v>
      </c>
      <c r="F3041" t="s">
        <v>4154</v>
      </c>
    </row>
    <row r="3042" spans="1:6" x14ac:dyDescent="0.25">
      <c r="A3042" t="str">
        <f t="shared" si="48"/>
        <v>2263+69+374U00000X</v>
      </c>
      <c r="B3042">
        <v>10045</v>
      </c>
      <c r="C3042">
        <v>2263</v>
      </c>
      <c r="D3042">
        <v>69</v>
      </c>
      <c r="E3042" t="s">
        <v>1463</v>
      </c>
      <c r="F3042" t="s">
        <v>4155</v>
      </c>
    </row>
    <row r="3043" spans="1:6" x14ac:dyDescent="0.25">
      <c r="A3043" t="str">
        <f t="shared" si="48"/>
        <v>2263+69+376K00000X</v>
      </c>
      <c r="B3043">
        <v>10046</v>
      </c>
      <c r="C3043">
        <v>2263</v>
      </c>
      <c r="D3043">
        <v>69</v>
      </c>
      <c r="E3043" t="s">
        <v>1465</v>
      </c>
      <c r="F3043" t="s">
        <v>4156</v>
      </c>
    </row>
    <row r="3044" spans="1:6" x14ac:dyDescent="0.25">
      <c r="A3044" t="str">
        <f t="shared" si="48"/>
        <v>2264+69+251J00000X</v>
      </c>
      <c r="B3044">
        <v>10047</v>
      </c>
      <c r="C3044">
        <v>2264</v>
      </c>
      <c r="D3044">
        <v>69</v>
      </c>
      <c r="E3044" t="s">
        <v>602</v>
      </c>
      <c r="F3044" t="s">
        <v>4157</v>
      </c>
    </row>
    <row r="3045" spans="1:6" x14ac:dyDescent="0.25">
      <c r="A3045" t="str">
        <f t="shared" si="48"/>
        <v>2265+71+373H00000X</v>
      </c>
      <c r="B3045">
        <v>10048</v>
      </c>
      <c r="C3045">
        <v>2265</v>
      </c>
      <c r="D3045">
        <v>71</v>
      </c>
      <c r="E3045" t="s">
        <v>1454</v>
      </c>
      <c r="F3045" t="s">
        <v>4151</v>
      </c>
    </row>
    <row r="3046" spans="1:6" x14ac:dyDescent="0.25">
      <c r="A3046" t="str">
        <f t="shared" si="48"/>
        <v>2266+71+373H00000X</v>
      </c>
      <c r="B3046">
        <v>10049</v>
      </c>
      <c r="C3046">
        <v>2266</v>
      </c>
      <c r="D3046">
        <v>71</v>
      </c>
      <c r="E3046" t="s">
        <v>1454</v>
      </c>
      <c r="F3046" t="s">
        <v>4151</v>
      </c>
    </row>
    <row r="3047" spans="1:6" x14ac:dyDescent="0.25">
      <c r="A3047" t="str">
        <f t="shared" si="48"/>
        <v>2267+72+251K00000X</v>
      </c>
      <c r="B3047">
        <v>10050</v>
      </c>
      <c r="C3047">
        <v>2267</v>
      </c>
      <c r="D3047">
        <v>72</v>
      </c>
      <c r="E3047" t="s">
        <v>549</v>
      </c>
      <c r="F3047" t="s">
        <v>3930</v>
      </c>
    </row>
    <row r="3048" spans="1:6" x14ac:dyDescent="0.25">
      <c r="A3048" t="str">
        <f t="shared" si="48"/>
        <v>2268+72+251K00000X</v>
      </c>
      <c r="B3048">
        <v>10051</v>
      </c>
      <c r="C3048">
        <v>2268</v>
      </c>
      <c r="D3048">
        <v>72</v>
      </c>
      <c r="E3048" t="s">
        <v>549</v>
      </c>
      <c r="F3048" t="s">
        <v>3930</v>
      </c>
    </row>
    <row r="3049" spans="1:6" x14ac:dyDescent="0.25">
      <c r="A3049" t="str">
        <f t="shared" si="48"/>
        <v>2269+72+146D00000X</v>
      </c>
      <c r="B3049">
        <v>10052</v>
      </c>
      <c r="C3049">
        <v>2269</v>
      </c>
      <c r="D3049">
        <v>72</v>
      </c>
      <c r="E3049" t="s">
        <v>1472</v>
      </c>
      <c r="F3049" t="s">
        <v>4158</v>
      </c>
    </row>
    <row r="3050" spans="1:6" x14ac:dyDescent="0.25">
      <c r="A3050" t="str">
        <f t="shared" si="48"/>
        <v>2269+72+251K00000X</v>
      </c>
      <c r="B3050">
        <v>10053</v>
      </c>
      <c r="C3050">
        <v>2269</v>
      </c>
      <c r="D3050">
        <v>72</v>
      </c>
      <c r="E3050" t="s">
        <v>549</v>
      </c>
      <c r="F3050" t="s">
        <v>3930</v>
      </c>
    </row>
    <row r="3051" spans="1:6" x14ac:dyDescent="0.25">
      <c r="A3051" t="str">
        <f t="shared" si="48"/>
        <v>2269+72+253J00000X</v>
      </c>
      <c r="B3051">
        <v>10055</v>
      </c>
      <c r="C3051">
        <v>2269</v>
      </c>
      <c r="D3051">
        <v>72</v>
      </c>
      <c r="E3051" t="s">
        <v>1481</v>
      </c>
      <c r="F3051" t="s">
        <v>4159</v>
      </c>
    </row>
    <row r="3052" spans="1:6" x14ac:dyDescent="0.25">
      <c r="A3052" t="str">
        <f t="shared" si="48"/>
        <v>2269+72+3747A0650X</v>
      </c>
      <c r="B3052">
        <v>10054</v>
      </c>
      <c r="C3052">
        <v>2269</v>
      </c>
      <c r="D3052">
        <v>72</v>
      </c>
      <c r="E3052" t="s">
        <v>1478</v>
      </c>
      <c r="F3052" t="s">
        <v>4160</v>
      </c>
    </row>
    <row r="3053" spans="1:6" x14ac:dyDescent="0.25">
      <c r="A3053" t="str">
        <f t="shared" si="48"/>
        <v>2270+74+261QA0600X</v>
      </c>
      <c r="B3053">
        <v>10056</v>
      </c>
      <c r="C3053">
        <v>2270</v>
      </c>
      <c r="D3053">
        <v>74</v>
      </c>
      <c r="E3053" t="s">
        <v>1484</v>
      </c>
      <c r="F3053" t="s">
        <v>4161</v>
      </c>
    </row>
    <row r="3054" spans="1:6" x14ac:dyDescent="0.25">
      <c r="A3054" t="str">
        <f t="shared" si="48"/>
        <v>2270+74+372600000X</v>
      </c>
      <c r="B3054">
        <v>10057</v>
      </c>
      <c r="C3054">
        <v>2270</v>
      </c>
      <c r="D3054">
        <v>74</v>
      </c>
      <c r="E3054" t="s">
        <v>1487</v>
      </c>
      <c r="F3054" t="s">
        <v>4162</v>
      </c>
    </row>
    <row r="3055" spans="1:6" x14ac:dyDescent="0.25">
      <c r="A3055" t="str">
        <f t="shared" si="48"/>
        <v>2271+75+101Y00000X</v>
      </c>
      <c r="B3055">
        <v>10058</v>
      </c>
      <c r="C3055">
        <v>2271</v>
      </c>
      <c r="D3055">
        <v>75</v>
      </c>
      <c r="E3055" t="s">
        <v>445</v>
      </c>
      <c r="F3055" t="s">
        <v>4030</v>
      </c>
    </row>
    <row r="3056" spans="1:6" x14ac:dyDescent="0.25">
      <c r="A3056" t="str">
        <f t="shared" si="48"/>
        <v>2272+76+376J00000X</v>
      </c>
      <c r="B3056">
        <v>10059</v>
      </c>
      <c r="C3056">
        <v>2272</v>
      </c>
      <c r="D3056">
        <v>76</v>
      </c>
      <c r="E3056" t="s">
        <v>1490</v>
      </c>
      <c r="F3056" t="s">
        <v>4163</v>
      </c>
    </row>
    <row r="3057" spans="1:6" x14ac:dyDescent="0.25">
      <c r="A3057" t="str">
        <f t="shared" si="48"/>
        <v>2273+77+171W00000X</v>
      </c>
      <c r="B3057">
        <v>10060</v>
      </c>
      <c r="C3057">
        <v>2273</v>
      </c>
      <c r="D3057">
        <v>77</v>
      </c>
      <c r="E3057" t="s">
        <v>1493</v>
      </c>
      <c r="F3057" t="s">
        <v>4164</v>
      </c>
    </row>
    <row r="3058" spans="1:6" x14ac:dyDescent="0.25">
      <c r="A3058" t="str">
        <f t="shared" si="48"/>
        <v>2273+77+171WH0202X</v>
      </c>
      <c r="B3058">
        <v>10061</v>
      </c>
      <c r="C3058">
        <v>2273</v>
      </c>
      <c r="D3058">
        <v>77</v>
      </c>
      <c r="E3058" t="s">
        <v>1496</v>
      </c>
      <c r="F3058" t="s">
        <v>4165</v>
      </c>
    </row>
    <row r="3059" spans="1:6" x14ac:dyDescent="0.25">
      <c r="A3059" t="str">
        <f t="shared" si="48"/>
        <v>2273+77+171WV0202X</v>
      </c>
      <c r="B3059">
        <v>10062</v>
      </c>
      <c r="C3059">
        <v>2273</v>
      </c>
      <c r="D3059">
        <v>77</v>
      </c>
      <c r="E3059" t="s">
        <v>1498</v>
      </c>
      <c r="F3059" t="s">
        <v>4166</v>
      </c>
    </row>
    <row r="3060" spans="1:6" x14ac:dyDescent="0.25">
      <c r="A3060" t="str">
        <f t="shared" si="48"/>
        <v>2274+78+323P00000X</v>
      </c>
      <c r="B3060">
        <v>10063</v>
      </c>
      <c r="C3060">
        <v>2274</v>
      </c>
      <c r="D3060">
        <v>78</v>
      </c>
      <c r="E3060" t="s">
        <v>30</v>
      </c>
      <c r="F3060" t="s">
        <v>3956</v>
      </c>
    </row>
    <row r="3061" spans="1:6" x14ac:dyDescent="0.25">
      <c r="A3061" t="str">
        <f t="shared" si="48"/>
        <v>2275+78+322D00000X</v>
      </c>
      <c r="B3061">
        <v>10064</v>
      </c>
      <c r="C3061">
        <v>2275</v>
      </c>
      <c r="D3061">
        <v>78</v>
      </c>
      <c r="E3061" t="s">
        <v>1500</v>
      </c>
      <c r="F3061" t="s">
        <v>4167</v>
      </c>
    </row>
    <row r="3062" spans="1:6" x14ac:dyDescent="0.25">
      <c r="A3062" t="str">
        <f t="shared" si="48"/>
        <v>2276+79+174200000X</v>
      </c>
      <c r="B3062">
        <v>10065</v>
      </c>
      <c r="C3062">
        <v>2276</v>
      </c>
      <c r="D3062">
        <v>79</v>
      </c>
      <c r="E3062" t="s">
        <v>1506</v>
      </c>
      <c r="F3062" t="s">
        <v>4168</v>
      </c>
    </row>
    <row r="3063" spans="1:6" x14ac:dyDescent="0.25">
      <c r="A3063" t="str">
        <f t="shared" si="48"/>
        <v>2276+79+332U00000X</v>
      </c>
      <c r="B3063">
        <v>10066</v>
      </c>
      <c r="C3063">
        <v>2276</v>
      </c>
      <c r="D3063">
        <v>79</v>
      </c>
      <c r="E3063" t="s">
        <v>1509</v>
      </c>
      <c r="F3063" t="s">
        <v>4169</v>
      </c>
    </row>
    <row r="3064" spans="1:6" x14ac:dyDescent="0.25">
      <c r="A3064" t="str">
        <f t="shared" si="48"/>
        <v>2277+80+261QB0400X</v>
      </c>
      <c r="B3064">
        <v>10067</v>
      </c>
      <c r="C3064">
        <v>2277</v>
      </c>
      <c r="D3064">
        <v>80</v>
      </c>
      <c r="E3064" t="s">
        <v>1511</v>
      </c>
      <c r="F3064" t="s">
        <v>4170</v>
      </c>
    </row>
    <row r="3065" spans="1:6" x14ac:dyDescent="0.25">
      <c r="A3065" t="str">
        <f t="shared" si="48"/>
        <v>2278+81+373H00000X</v>
      </c>
      <c r="B3065">
        <v>10068</v>
      </c>
      <c r="C3065">
        <v>2278</v>
      </c>
      <c r="D3065">
        <v>81</v>
      </c>
      <c r="E3065" t="s">
        <v>1454</v>
      </c>
      <c r="F3065" t="s">
        <v>4151</v>
      </c>
    </row>
    <row r="3066" spans="1:6" x14ac:dyDescent="0.25">
      <c r="A3066" t="str">
        <f t="shared" si="48"/>
        <v>2279+82+251K00000X</v>
      </c>
      <c r="B3066">
        <v>10069</v>
      </c>
      <c r="C3066">
        <v>2279</v>
      </c>
      <c r="D3066">
        <v>82</v>
      </c>
      <c r="E3066" t="s">
        <v>549</v>
      </c>
      <c r="F3066" t="s">
        <v>3930</v>
      </c>
    </row>
    <row r="3067" spans="1:6" x14ac:dyDescent="0.25">
      <c r="A3067" t="str">
        <f t="shared" si="48"/>
        <v>2279+103+251C00000X</v>
      </c>
      <c r="B3067">
        <v>9249</v>
      </c>
      <c r="C3067">
        <v>2279</v>
      </c>
      <c r="D3067">
        <v>103</v>
      </c>
      <c r="E3067" t="s">
        <v>541</v>
      </c>
      <c r="F3067" t="s">
        <v>4171</v>
      </c>
    </row>
    <row r="3068" spans="1:6" x14ac:dyDescent="0.25">
      <c r="A3068" t="str">
        <f t="shared" si="48"/>
        <v>2280+83+177F00000X</v>
      </c>
      <c r="B3068">
        <v>10072</v>
      </c>
      <c r="C3068">
        <v>2280</v>
      </c>
      <c r="D3068">
        <v>83</v>
      </c>
      <c r="E3068" t="s">
        <v>1515</v>
      </c>
      <c r="F3068" t="s">
        <v>4172</v>
      </c>
    </row>
    <row r="3069" spans="1:6" x14ac:dyDescent="0.25">
      <c r="A3069" t="str">
        <f t="shared" si="48"/>
        <v>2281+83+177F00000X</v>
      </c>
      <c r="B3069">
        <v>10073</v>
      </c>
      <c r="C3069">
        <v>2281</v>
      </c>
      <c r="D3069">
        <v>83</v>
      </c>
      <c r="E3069" t="s">
        <v>1515</v>
      </c>
      <c r="F3069" t="s">
        <v>4172</v>
      </c>
    </row>
    <row r="3070" spans="1:6" x14ac:dyDescent="0.25">
      <c r="A3070" t="str">
        <f t="shared" si="48"/>
        <v>2282+83+177F00000X</v>
      </c>
      <c r="B3070">
        <v>10074</v>
      </c>
      <c r="C3070">
        <v>2282</v>
      </c>
      <c r="D3070">
        <v>83</v>
      </c>
      <c r="E3070" t="s">
        <v>1515</v>
      </c>
      <c r="F3070" t="s">
        <v>4172</v>
      </c>
    </row>
    <row r="3071" spans="1:6" x14ac:dyDescent="0.25">
      <c r="A3071" t="str">
        <f t="shared" si="48"/>
        <v>2283+132+174H00000X</v>
      </c>
      <c r="B3071">
        <v>10202</v>
      </c>
      <c r="C3071">
        <v>2283</v>
      </c>
      <c r="D3071">
        <v>132</v>
      </c>
      <c r="E3071" t="s">
        <v>1843</v>
      </c>
      <c r="F3071" t="s">
        <v>4173</v>
      </c>
    </row>
    <row r="3072" spans="1:6" x14ac:dyDescent="0.25">
      <c r="A3072" t="str">
        <f t="shared" si="48"/>
        <v>2284+116+126800000X</v>
      </c>
      <c r="B3072">
        <v>10118</v>
      </c>
      <c r="C3072">
        <v>2284</v>
      </c>
      <c r="D3072">
        <v>116</v>
      </c>
      <c r="E3072" t="s">
        <v>1631</v>
      </c>
      <c r="F3072" t="s">
        <v>4174</v>
      </c>
    </row>
    <row r="3073" spans="1:6" x14ac:dyDescent="0.25">
      <c r="A3073" t="str">
        <f t="shared" si="48"/>
        <v>2285+117+124Q00000X</v>
      </c>
      <c r="B3073">
        <v>10121</v>
      </c>
      <c r="C3073">
        <v>2285</v>
      </c>
      <c r="D3073">
        <v>117</v>
      </c>
      <c r="E3073" t="s">
        <v>1644</v>
      </c>
      <c r="F3073" t="s">
        <v>4175</v>
      </c>
    </row>
    <row r="3074" spans="1:6" x14ac:dyDescent="0.25">
      <c r="A3074" t="str">
        <f t="shared" si="48"/>
        <v>2286+85+126900000X</v>
      </c>
      <c r="B3074">
        <v>10081</v>
      </c>
      <c r="C3074">
        <v>2286</v>
      </c>
      <c r="D3074">
        <v>85</v>
      </c>
      <c r="E3074" t="s">
        <v>1530</v>
      </c>
      <c r="F3074" t="s">
        <v>4176</v>
      </c>
    </row>
    <row r="3075" spans="1:6" x14ac:dyDescent="0.25">
      <c r="A3075" t="str">
        <f t="shared" si="48"/>
        <v>2287+85+146N00000X</v>
      </c>
      <c r="B3075">
        <v>10082</v>
      </c>
      <c r="C3075">
        <v>2287</v>
      </c>
      <c r="D3075">
        <v>85</v>
      </c>
      <c r="E3075" t="s">
        <v>1539</v>
      </c>
      <c r="F3075" t="s">
        <v>4177</v>
      </c>
    </row>
    <row r="3076" spans="1:6" x14ac:dyDescent="0.25">
      <c r="A3076" t="str">
        <f t="shared" si="48"/>
        <v>2288+85+146M00000X</v>
      </c>
      <c r="B3076">
        <v>10083</v>
      </c>
      <c r="C3076">
        <v>2288</v>
      </c>
      <c r="D3076">
        <v>85</v>
      </c>
      <c r="E3076" t="s">
        <v>1536</v>
      </c>
      <c r="F3076" t="s">
        <v>4178</v>
      </c>
    </row>
    <row r="3077" spans="1:6" x14ac:dyDescent="0.25">
      <c r="A3077" t="str">
        <f t="shared" si="48"/>
        <v>2289+85+146L00000X</v>
      </c>
      <c r="B3077">
        <v>10084</v>
      </c>
      <c r="C3077">
        <v>2289</v>
      </c>
      <c r="D3077">
        <v>85</v>
      </c>
      <c r="E3077" t="s">
        <v>1533</v>
      </c>
      <c r="F3077" t="s">
        <v>4179</v>
      </c>
    </row>
    <row r="3078" spans="1:6" x14ac:dyDescent="0.25">
      <c r="A3078" t="str">
        <f t="shared" si="48"/>
        <v>2290+85+167G00000X</v>
      </c>
      <c r="B3078">
        <v>10085</v>
      </c>
      <c r="C3078">
        <v>2290</v>
      </c>
      <c r="D3078">
        <v>85</v>
      </c>
      <c r="E3078" t="s">
        <v>1542</v>
      </c>
      <c r="F3078" t="s">
        <v>4180</v>
      </c>
    </row>
    <row r="3079" spans="1:6" x14ac:dyDescent="0.25">
      <c r="A3079" t="str">
        <f t="shared" si="48"/>
        <v>2291+85+374700000X</v>
      </c>
      <c r="B3079">
        <v>10086</v>
      </c>
      <c r="C3079">
        <v>2291</v>
      </c>
      <c r="D3079">
        <v>85</v>
      </c>
      <c r="E3079" t="s">
        <v>1589</v>
      </c>
      <c r="F3079" t="s">
        <v>4181</v>
      </c>
    </row>
    <row r="3080" spans="1:6" x14ac:dyDescent="0.25">
      <c r="A3080" t="str">
        <f t="shared" si="48"/>
        <v>2292+118+376G00000X</v>
      </c>
      <c r="B3080">
        <v>10122</v>
      </c>
      <c r="C3080">
        <v>2292</v>
      </c>
      <c r="D3080">
        <v>118</v>
      </c>
      <c r="E3080" t="s">
        <v>1647</v>
      </c>
      <c r="F3080" t="s">
        <v>4182</v>
      </c>
    </row>
    <row r="3081" spans="1:6" x14ac:dyDescent="0.25">
      <c r="A3081" t="str">
        <f t="shared" si="48"/>
        <v>2293+119+175L00000X</v>
      </c>
      <c r="B3081">
        <v>10123</v>
      </c>
      <c r="C3081">
        <v>2293</v>
      </c>
      <c r="D3081">
        <v>119</v>
      </c>
      <c r="E3081" t="s">
        <v>1651</v>
      </c>
      <c r="F3081" t="s">
        <v>4183</v>
      </c>
    </row>
    <row r="3082" spans="1:6" x14ac:dyDescent="0.25">
      <c r="A3082" t="str">
        <f t="shared" si="48"/>
        <v>2294+120+171R00000X</v>
      </c>
      <c r="B3082">
        <v>10124</v>
      </c>
      <c r="C3082">
        <v>2294</v>
      </c>
      <c r="D3082">
        <v>120</v>
      </c>
      <c r="E3082" t="s">
        <v>1654</v>
      </c>
      <c r="F3082" t="s">
        <v>4184</v>
      </c>
    </row>
    <row r="3083" spans="1:6" x14ac:dyDescent="0.25">
      <c r="A3083" t="str">
        <f t="shared" si="48"/>
        <v>2295+35+175M00000X</v>
      </c>
      <c r="B3083">
        <v>10126</v>
      </c>
      <c r="C3083">
        <v>2295</v>
      </c>
      <c r="D3083">
        <v>35</v>
      </c>
      <c r="E3083" t="s">
        <v>1660</v>
      </c>
      <c r="F3083" t="s">
        <v>4185</v>
      </c>
    </row>
    <row r="3084" spans="1:6" x14ac:dyDescent="0.25">
      <c r="A3084" t="str">
        <f t="shared" si="48"/>
        <v>2296+123+171000000X</v>
      </c>
      <c r="B3084">
        <v>10127</v>
      </c>
      <c r="C3084">
        <v>2296</v>
      </c>
      <c r="D3084">
        <v>123</v>
      </c>
      <c r="E3084" t="s">
        <v>1664</v>
      </c>
      <c r="F3084" t="s">
        <v>4186</v>
      </c>
    </row>
    <row r="3085" spans="1:6" x14ac:dyDescent="0.25">
      <c r="A3085" t="str">
        <f t="shared" si="48"/>
        <v>2297+123+1710I1002X</v>
      </c>
      <c r="B3085">
        <v>10128</v>
      </c>
      <c r="C3085">
        <v>2297</v>
      </c>
      <c r="D3085">
        <v>123</v>
      </c>
      <c r="E3085" t="s">
        <v>1667</v>
      </c>
      <c r="F3085" t="s">
        <v>4187</v>
      </c>
    </row>
    <row r="3086" spans="1:6" x14ac:dyDescent="0.25">
      <c r="A3086" t="str">
        <f t="shared" ref="A3086:A3149" si="49">C3086 &amp; "+" &amp; D3086 &amp; "+" &amp; E3086</f>
        <v>2298+123+1710I1003X</v>
      </c>
      <c r="B3086">
        <v>10129</v>
      </c>
      <c r="C3086">
        <v>2298</v>
      </c>
      <c r="D3086">
        <v>123</v>
      </c>
      <c r="E3086" t="s">
        <v>1669</v>
      </c>
      <c r="F3086" t="s">
        <v>4188</v>
      </c>
    </row>
    <row r="3087" spans="1:6" x14ac:dyDescent="0.25">
      <c r="A3087" t="str">
        <f t="shared" si="49"/>
        <v>2299+124+172P00000X</v>
      </c>
      <c r="B3087">
        <v>10131</v>
      </c>
      <c r="C3087">
        <v>2299</v>
      </c>
      <c r="D3087">
        <v>124</v>
      </c>
      <c r="E3087" t="s">
        <v>1675</v>
      </c>
      <c r="F3087" t="s">
        <v>4189</v>
      </c>
    </row>
    <row r="3088" spans="1:6" x14ac:dyDescent="0.25">
      <c r="A3088" t="str">
        <f t="shared" si="49"/>
        <v>2300+33+175F00000X</v>
      </c>
      <c r="B3088">
        <v>10132</v>
      </c>
      <c r="C3088">
        <v>2300</v>
      </c>
      <c r="D3088">
        <v>33</v>
      </c>
      <c r="E3088" t="s">
        <v>1678</v>
      </c>
      <c r="F3088" t="s">
        <v>4190</v>
      </c>
    </row>
    <row r="3089" spans="1:6" x14ac:dyDescent="0.25">
      <c r="A3089" t="str">
        <f t="shared" si="49"/>
        <v>2301+125+1744G0900X</v>
      </c>
      <c r="B3089">
        <v>10133</v>
      </c>
      <c r="C3089">
        <v>2301</v>
      </c>
      <c r="D3089">
        <v>125</v>
      </c>
      <c r="E3089" t="s">
        <v>1684</v>
      </c>
      <c r="F3089" t="s">
        <v>4191</v>
      </c>
    </row>
    <row r="3090" spans="1:6" x14ac:dyDescent="0.25">
      <c r="A3090" t="str">
        <f t="shared" si="49"/>
        <v>2302+125+1744P3200X</v>
      </c>
      <c r="B3090">
        <v>10134</v>
      </c>
      <c r="C3090">
        <v>2302</v>
      </c>
      <c r="D3090">
        <v>125</v>
      </c>
      <c r="E3090" t="s">
        <v>1687</v>
      </c>
      <c r="F3090" t="s">
        <v>4192</v>
      </c>
    </row>
    <row r="3091" spans="1:6" x14ac:dyDescent="0.25">
      <c r="A3091" t="str">
        <f t="shared" si="49"/>
        <v>2303+125+1744R1103X</v>
      </c>
      <c r="B3091">
        <v>10135</v>
      </c>
      <c r="C3091">
        <v>2303</v>
      </c>
      <c r="D3091">
        <v>125</v>
      </c>
      <c r="E3091" t="s">
        <v>1693</v>
      </c>
      <c r="F3091" t="s">
        <v>4193</v>
      </c>
    </row>
    <row r="3092" spans="1:6" x14ac:dyDescent="0.25">
      <c r="A3092" t="str">
        <f t="shared" si="49"/>
        <v>2304+125+1744R1102X</v>
      </c>
      <c r="B3092">
        <v>10136</v>
      </c>
      <c r="C3092">
        <v>2304</v>
      </c>
      <c r="D3092">
        <v>125</v>
      </c>
      <c r="E3092" t="s">
        <v>1690</v>
      </c>
      <c r="F3092" t="s">
        <v>4194</v>
      </c>
    </row>
    <row r="3093" spans="1:6" x14ac:dyDescent="0.25">
      <c r="A3093" t="str">
        <f t="shared" si="49"/>
        <v>2305+127+221700000X</v>
      </c>
      <c r="B3093">
        <v>10186</v>
      </c>
      <c r="C3093">
        <v>2305</v>
      </c>
      <c r="D3093">
        <v>127</v>
      </c>
      <c r="E3093" t="s">
        <v>1790</v>
      </c>
      <c r="F3093" t="s">
        <v>4195</v>
      </c>
    </row>
    <row r="3094" spans="1:6" x14ac:dyDescent="0.25">
      <c r="A3094" t="str">
        <f t="shared" si="49"/>
        <v>2306+127+225600000X</v>
      </c>
      <c r="B3094">
        <v>10187</v>
      </c>
      <c r="C3094">
        <v>2306</v>
      </c>
      <c r="D3094">
        <v>127</v>
      </c>
      <c r="E3094" t="s">
        <v>1797</v>
      </c>
      <c r="F3094" t="s">
        <v>4196</v>
      </c>
    </row>
    <row r="3095" spans="1:6" x14ac:dyDescent="0.25">
      <c r="A3095" t="str">
        <f t="shared" si="49"/>
        <v>2307+127+222Q00000X</v>
      </c>
      <c r="B3095">
        <v>10188</v>
      </c>
      <c r="C3095">
        <v>2307</v>
      </c>
      <c r="D3095">
        <v>127</v>
      </c>
      <c r="E3095" t="s">
        <v>1794</v>
      </c>
      <c r="F3095" t="s">
        <v>4197</v>
      </c>
    </row>
    <row r="3096" spans="1:6" x14ac:dyDescent="0.25">
      <c r="A3096" t="str">
        <f t="shared" si="49"/>
        <v>2308+127+226300000X</v>
      </c>
      <c r="B3096">
        <v>10189</v>
      </c>
      <c r="C3096">
        <v>2308</v>
      </c>
      <c r="D3096">
        <v>127</v>
      </c>
      <c r="E3096" t="s">
        <v>1807</v>
      </c>
      <c r="F3096" t="s">
        <v>4198</v>
      </c>
    </row>
    <row r="3097" spans="1:6" x14ac:dyDescent="0.25">
      <c r="A3097" t="str">
        <f t="shared" si="49"/>
        <v>2309+127+225700000X</v>
      </c>
      <c r="B3097">
        <v>10190</v>
      </c>
      <c r="C3097">
        <v>2309</v>
      </c>
      <c r="D3097">
        <v>127</v>
      </c>
      <c r="E3097" t="s">
        <v>1800</v>
      </c>
      <c r="F3097" t="s">
        <v>4199</v>
      </c>
    </row>
    <row r="3098" spans="1:6" x14ac:dyDescent="0.25">
      <c r="A3098" t="str">
        <f t="shared" si="49"/>
        <v>2310+127+225A00000X</v>
      </c>
      <c r="B3098">
        <v>10191</v>
      </c>
      <c r="C3098">
        <v>2310</v>
      </c>
      <c r="D3098">
        <v>127</v>
      </c>
      <c r="E3098" t="s">
        <v>1805</v>
      </c>
      <c r="F3098" t="s">
        <v>4200</v>
      </c>
    </row>
    <row r="3099" spans="1:6" x14ac:dyDescent="0.25">
      <c r="A3099" t="str">
        <f t="shared" si="49"/>
        <v>2311+127+225800000X</v>
      </c>
      <c r="B3099">
        <v>10192</v>
      </c>
      <c r="C3099">
        <v>2311</v>
      </c>
      <c r="D3099">
        <v>127</v>
      </c>
      <c r="E3099" t="s">
        <v>1802</v>
      </c>
      <c r="F3099" t="s">
        <v>4201</v>
      </c>
    </row>
    <row r="3100" spans="1:6" x14ac:dyDescent="0.25">
      <c r="A3100" t="str">
        <f t="shared" si="49"/>
        <v>2312+102+102X00000X</v>
      </c>
      <c r="B3100">
        <v>9250</v>
      </c>
      <c r="C3100">
        <v>2312</v>
      </c>
      <c r="D3100">
        <v>102</v>
      </c>
      <c r="E3100" t="s">
        <v>460</v>
      </c>
      <c r="F3100" t="s">
        <v>4202</v>
      </c>
    </row>
    <row r="3101" spans="1:6" x14ac:dyDescent="0.25">
      <c r="A3101" t="str">
        <f t="shared" si="49"/>
        <v>2313+129+225C00000X</v>
      </c>
      <c r="B3101">
        <v>10194</v>
      </c>
      <c r="C3101">
        <v>2313</v>
      </c>
      <c r="D3101">
        <v>129</v>
      </c>
      <c r="E3101" t="s">
        <v>1817</v>
      </c>
      <c r="F3101" t="s">
        <v>4203</v>
      </c>
    </row>
    <row r="3102" spans="1:6" x14ac:dyDescent="0.25">
      <c r="A3102" t="str">
        <f t="shared" si="49"/>
        <v>2314+22+231HA2500X</v>
      </c>
      <c r="B3102">
        <v>9354</v>
      </c>
      <c r="C3102">
        <v>2314</v>
      </c>
      <c r="D3102">
        <v>22</v>
      </c>
      <c r="E3102" t="s">
        <v>822</v>
      </c>
      <c r="F3102" t="s">
        <v>4204</v>
      </c>
    </row>
    <row r="3103" spans="1:6" x14ac:dyDescent="0.25">
      <c r="A3103" t="str">
        <f t="shared" si="49"/>
        <v>2314+129+225CA2500X</v>
      </c>
      <c r="B3103">
        <v>10195</v>
      </c>
      <c r="C3103">
        <v>2314</v>
      </c>
      <c r="D3103">
        <v>129</v>
      </c>
      <c r="E3103" t="s">
        <v>1820</v>
      </c>
      <c r="F3103" t="s">
        <v>4205</v>
      </c>
    </row>
    <row r="3104" spans="1:6" x14ac:dyDescent="0.25">
      <c r="A3104" t="str">
        <f t="shared" si="49"/>
        <v>2315+129+225CX0006X</v>
      </c>
      <c r="B3104">
        <v>10196</v>
      </c>
      <c r="C3104">
        <v>2315</v>
      </c>
      <c r="D3104">
        <v>129</v>
      </c>
      <c r="E3104" t="s">
        <v>1822</v>
      </c>
      <c r="F3104" t="s">
        <v>4206</v>
      </c>
    </row>
    <row r="3105" spans="1:6" x14ac:dyDescent="0.25">
      <c r="A3105" t="str">
        <f t="shared" si="49"/>
        <v>2316+125+2255A2300X</v>
      </c>
      <c r="B3105">
        <v>10137</v>
      </c>
      <c r="C3105">
        <v>2316</v>
      </c>
      <c r="D3105">
        <v>125</v>
      </c>
      <c r="E3105" t="s">
        <v>1697</v>
      </c>
      <c r="F3105" t="s">
        <v>4207</v>
      </c>
    </row>
    <row r="3106" spans="1:6" x14ac:dyDescent="0.25">
      <c r="A3106" t="str">
        <f t="shared" si="49"/>
        <v>2317+125+2255R0406X</v>
      </c>
      <c r="B3106">
        <v>10138</v>
      </c>
      <c r="C3106">
        <v>2317</v>
      </c>
      <c r="D3106">
        <v>125</v>
      </c>
      <c r="E3106" t="s">
        <v>1700</v>
      </c>
      <c r="F3106" t="s">
        <v>4208</v>
      </c>
    </row>
    <row r="3107" spans="1:6" x14ac:dyDescent="0.25">
      <c r="A3107" t="str">
        <f t="shared" si="49"/>
        <v>2318+22+237600000X</v>
      </c>
      <c r="B3107">
        <v>9355</v>
      </c>
      <c r="C3107">
        <v>2318</v>
      </c>
      <c r="D3107">
        <v>22</v>
      </c>
      <c r="E3107" t="s">
        <v>825</v>
      </c>
      <c r="F3107" t="s">
        <v>4209</v>
      </c>
    </row>
    <row r="3108" spans="1:6" x14ac:dyDescent="0.25">
      <c r="A3108" t="str">
        <f t="shared" si="49"/>
        <v>2319+125+237700000X</v>
      </c>
      <c r="B3108">
        <v>10139</v>
      </c>
      <c r="C3108">
        <v>2319</v>
      </c>
      <c r="D3108">
        <v>125</v>
      </c>
      <c r="E3108" t="s">
        <v>1704</v>
      </c>
      <c r="F3108" t="s">
        <v>4210</v>
      </c>
    </row>
    <row r="3109" spans="1:6" x14ac:dyDescent="0.25">
      <c r="A3109" t="str">
        <f t="shared" si="49"/>
        <v>2320+116+2355A2700X</v>
      </c>
      <c r="B3109">
        <v>10119</v>
      </c>
      <c r="C3109">
        <v>2320</v>
      </c>
      <c r="D3109">
        <v>116</v>
      </c>
      <c r="E3109" t="s">
        <v>1636</v>
      </c>
      <c r="F3109" t="s">
        <v>4211</v>
      </c>
    </row>
    <row r="3110" spans="1:6" x14ac:dyDescent="0.25">
      <c r="A3110" t="str">
        <f t="shared" si="49"/>
        <v>2321+116+2355S0801X</v>
      </c>
      <c r="B3110">
        <v>10120</v>
      </c>
      <c r="C3110">
        <v>2321</v>
      </c>
      <c r="D3110">
        <v>116</v>
      </c>
      <c r="E3110" t="s">
        <v>1639</v>
      </c>
      <c r="F3110" t="s">
        <v>4212</v>
      </c>
    </row>
    <row r="3111" spans="1:6" x14ac:dyDescent="0.25">
      <c r="A3111" t="str">
        <f t="shared" si="49"/>
        <v>2322+131+390200000X</v>
      </c>
      <c r="B3111">
        <v>10199</v>
      </c>
      <c r="C3111">
        <v>2322</v>
      </c>
      <c r="D3111">
        <v>131</v>
      </c>
      <c r="E3111" t="s">
        <v>1825</v>
      </c>
      <c r="F3111" t="s">
        <v>4213</v>
      </c>
    </row>
    <row r="3112" spans="1:6" x14ac:dyDescent="0.25">
      <c r="A3112" t="str">
        <f t="shared" si="49"/>
        <v>2323+115+242T00000X</v>
      </c>
      <c r="B3112">
        <v>10103</v>
      </c>
      <c r="C3112">
        <v>2323</v>
      </c>
      <c r="D3112">
        <v>115</v>
      </c>
      <c r="E3112" t="s">
        <v>1597</v>
      </c>
      <c r="F3112" t="s">
        <v>4214</v>
      </c>
    </row>
    <row r="3113" spans="1:6" x14ac:dyDescent="0.25">
      <c r="A3113" t="str">
        <f t="shared" si="49"/>
        <v>2324+115+247100000X</v>
      </c>
      <c r="B3113">
        <v>10104</v>
      </c>
      <c r="C3113">
        <v>2324</v>
      </c>
      <c r="D3113">
        <v>115</v>
      </c>
      <c r="E3113" t="s">
        <v>1600</v>
      </c>
      <c r="F3113" t="s">
        <v>4215</v>
      </c>
    </row>
    <row r="3114" spans="1:6" x14ac:dyDescent="0.25">
      <c r="A3114" t="str">
        <f t="shared" si="49"/>
        <v>2325+115+2471B0102X</v>
      </c>
      <c r="B3114">
        <v>10105</v>
      </c>
      <c r="C3114">
        <v>2325</v>
      </c>
      <c r="D3114">
        <v>115</v>
      </c>
      <c r="E3114" t="s">
        <v>1602</v>
      </c>
      <c r="F3114" t="s">
        <v>4216</v>
      </c>
    </row>
    <row r="3115" spans="1:6" x14ac:dyDescent="0.25">
      <c r="A3115" t="str">
        <f t="shared" si="49"/>
        <v>2326+115+2471C1101X</v>
      </c>
      <c r="B3115">
        <v>10106</v>
      </c>
      <c r="C3115">
        <v>2326</v>
      </c>
      <c r="D3115">
        <v>115</v>
      </c>
      <c r="E3115" t="s">
        <v>1604</v>
      </c>
      <c r="F3115" t="s">
        <v>4217</v>
      </c>
    </row>
    <row r="3116" spans="1:6" x14ac:dyDescent="0.25">
      <c r="A3116" t="str">
        <f t="shared" si="49"/>
        <v>2326+115+2471C1106X</v>
      </c>
      <c r="B3116">
        <v>10107</v>
      </c>
      <c r="C3116">
        <v>2326</v>
      </c>
      <c r="D3116">
        <v>115</v>
      </c>
      <c r="E3116" t="s">
        <v>1607</v>
      </c>
      <c r="F3116" t="s">
        <v>4218</v>
      </c>
    </row>
    <row r="3117" spans="1:6" x14ac:dyDescent="0.25">
      <c r="A3117" t="str">
        <f t="shared" si="49"/>
        <v>2326+125+246X00000X</v>
      </c>
      <c r="B3117">
        <v>10140</v>
      </c>
      <c r="C3117">
        <v>2326</v>
      </c>
      <c r="D3117">
        <v>125</v>
      </c>
      <c r="E3117" t="s">
        <v>1728</v>
      </c>
      <c r="F3117" t="s">
        <v>4219</v>
      </c>
    </row>
    <row r="3118" spans="1:6" x14ac:dyDescent="0.25">
      <c r="A3118" t="str">
        <f t="shared" si="49"/>
        <v>2326+125+246XC2901X</v>
      </c>
      <c r="B3118">
        <v>10141</v>
      </c>
      <c r="C3118">
        <v>2326</v>
      </c>
      <c r="D3118">
        <v>125</v>
      </c>
      <c r="E3118" t="s">
        <v>1730</v>
      </c>
      <c r="F3118" t="s">
        <v>4220</v>
      </c>
    </row>
    <row r="3119" spans="1:6" x14ac:dyDescent="0.25">
      <c r="A3119" t="str">
        <f t="shared" si="49"/>
        <v>2327+115+2471C3401X</v>
      </c>
      <c r="B3119">
        <v>10108</v>
      </c>
      <c r="C3119">
        <v>2327</v>
      </c>
      <c r="D3119">
        <v>115</v>
      </c>
      <c r="E3119" t="s">
        <v>1609</v>
      </c>
      <c r="F3119" t="s">
        <v>4221</v>
      </c>
    </row>
    <row r="3120" spans="1:6" x14ac:dyDescent="0.25">
      <c r="A3120" t="str">
        <f t="shared" si="49"/>
        <v>2328+115+2471M1202X</v>
      </c>
      <c r="B3120">
        <v>10109</v>
      </c>
      <c r="C3120">
        <v>2328</v>
      </c>
      <c r="D3120">
        <v>115</v>
      </c>
      <c r="E3120" t="s">
        <v>1613</v>
      </c>
      <c r="F3120" t="s">
        <v>4222</v>
      </c>
    </row>
    <row r="3121" spans="1:6" x14ac:dyDescent="0.25">
      <c r="A3121" t="str">
        <f t="shared" si="49"/>
        <v>2329+115+2471N0900X</v>
      </c>
      <c r="B3121">
        <v>10110</v>
      </c>
      <c r="C3121">
        <v>2329</v>
      </c>
      <c r="D3121">
        <v>115</v>
      </c>
      <c r="E3121" t="s">
        <v>1617</v>
      </c>
      <c r="F3121" t="s">
        <v>4223</v>
      </c>
    </row>
    <row r="3122" spans="1:6" x14ac:dyDescent="0.25">
      <c r="A3122" t="str">
        <f t="shared" si="49"/>
        <v>2330+115+2471Q0001X</v>
      </c>
      <c r="B3122">
        <v>10111</v>
      </c>
      <c r="C3122">
        <v>2330</v>
      </c>
      <c r="D3122">
        <v>115</v>
      </c>
      <c r="E3122" t="s">
        <v>1619</v>
      </c>
      <c r="F3122" t="s">
        <v>4224</v>
      </c>
    </row>
    <row r="3123" spans="1:6" x14ac:dyDescent="0.25">
      <c r="A3123" t="str">
        <f t="shared" si="49"/>
        <v>2331+115+2471C3402X</v>
      </c>
      <c r="B3123">
        <v>10112</v>
      </c>
      <c r="C3123">
        <v>2331</v>
      </c>
      <c r="D3123">
        <v>115</v>
      </c>
      <c r="E3123" t="s">
        <v>1611</v>
      </c>
      <c r="F3123" t="s">
        <v>4225</v>
      </c>
    </row>
    <row r="3124" spans="1:6" x14ac:dyDescent="0.25">
      <c r="A3124" t="str">
        <f t="shared" si="49"/>
        <v>2332+115+2471S1302X</v>
      </c>
      <c r="B3124">
        <v>10113</v>
      </c>
      <c r="C3124">
        <v>2332</v>
      </c>
      <c r="D3124">
        <v>115</v>
      </c>
      <c r="E3124" t="s">
        <v>1624</v>
      </c>
      <c r="F3124" t="s">
        <v>4226</v>
      </c>
    </row>
    <row r="3125" spans="1:6" x14ac:dyDescent="0.25">
      <c r="A3125" t="str">
        <f t="shared" si="49"/>
        <v>2332+115+2471V0105X</v>
      </c>
      <c r="B3125">
        <v>10114</v>
      </c>
      <c r="C3125">
        <v>2332</v>
      </c>
      <c r="D3125">
        <v>115</v>
      </c>
      <c r="E3125" t="s">
        <v>1627</v>
      </c>
      <c r="F3125" t="s">
        <v>4227</v>
      </c>
    </row>
    <row r="3126" spans="1:6" x14ac:dyDescent="0.25">
      <c r="A3126" t="str">
        <f t="shared" si="49"/>
        <v>2332+125+246XC2903X</v>
      </c>
      <c r="B3126">
        <v>10142</v>
      </c>
      <c r="C3126">
        <v>2332</v>
      </c>
      <c r="D3126">
        <v>125</v>
      </c>
      <c r="E3126" t="s">
        <v>1732</v>
      </c>
      <c r="F3126" t="s">
        <v>4228</v>
      </c>
    </row>
    <row r="3127" spans="1:6" x14ac:dyDescent="0.25">
      <c r="A3127" t="str">
        <f t="shared" si="49"/>
        <v>2332+125+246XS1301X</v>
      </c>
      <c r="B3127">
        <v>10143</v>
      </c>
      <c r="C3127">
        <v>2332</v>
      </c>
      <c r="D3127">
        <v>125</v>
      </c>
      <c r="E3127" t="s">
        <v>1733</v>
      </c>
      <c r="F3127" t="s">
        <v>4229</v>
      </c>
    </row>
    <row r="3128" spans="1:6" x14ac:dyDescent="0.25">
      <c r="A3128" t="str">
        <f t="shared" si="49"/>
        <v>2333+115+2471V0106X</v>
      </c>
      <c r="B3128">
        <v>10115</v>
      </c>
      <c r="C3128">
        <v>2333</v>
      </c>
      <c r="D3128">
        <v>115</v>
      </c>
      <c r="E3128" t="s">
        <v>1629</v>
      </c>
      <c r="F3128" t="s">
        <v>4230</v>
      </c>
    </row>
    <row r="3129" spans="1:6" x14ac:dyDescent="0.25">
      <c r="A3129" t="str">
        <f t="shared" si="49"/>
        <v>2334+85+247000000X</v>
      </c>
      <c r="B3129">
        <v>10087</v>
      </c>
      <c r="C3129">
        <v>2334</v>
      </c>
      <c r="D3129">
        <v>85</v>
      </c>
      <c r="E3129" t="s">
        <v>1569</v>
      </c>
      <c r="F3129" t="s">
        <v>4231</v>
      </c>
    </row>
    <row r="3130" spans="1:6" x14ac:dyDescent="0.25">
      <c r="A3130" t="str">
        <f t="shared" si="49"/>
        <v>2334+85+2470A2800X</v>
      </c>
      <c r="B3130">
        <v>10088</v>
      </c>
      <c r="C3130">
        <v>2334</v>
      </c>
      <c r="D3130">
        <v>85</v>
      </c>
      <c r="E3130" t="s">
        <v>1572</v>
      </c>
      <c r="F3130" t="s">
        <v>4232</v>
      </c>
    </row>
    <row r="3131" spans="1:6" x14ac:dyDescent="0.25">
      <c r="A3131" t="str">
        <f t="shared" si="49"/>
        <v>2334+125+246Y00000X</v>
      </c>
      <c r="B3131">
        <v>10144</v>
      </c>
      <c r="C3131">
        <v>2334</v>
      </c>
      <c r="D3131">
        <v>125</v>
      </c>
      <c r="E3131" t="s">
        <v>1735</v>
      </c>
      <c r="F3131" t="s">
        <v>4233</v>
      </c>
    </row>
    <row r="3132" spans="1:6" x14ac:dyDescent="0.25">
      <c r="A3132" t="str">
        <f t="shared" si="49"/>
        <v>2334+125+246YC3301X</v>
      </c>
      <c r="B3132">
        <v>10145</v>
      </c>
      <c r="C3132">
        <v>2334</v>
      </c>
      <c r="D3132">
        <v>125</v>
      </c>
      <c r="E3132" t="s">
        <v>1737</v>
      </c>
      <c r="F3132" t="s">
        <v>4234</v>
      </c>
    </row>
    <row r="3133" spans="1:6" x14ac:dyDescent="0.25">
      <c r="A3133" t="str">
        <f t="shared" si="49"/>
        <v>2334+125+246YC3302X</v>
      </c>
      <c r="B3133">
        <v>10146</v>
      </c>
      <c r="C3133">
        <v>2334</v>
      </c>
      <c r="D3133">
        <v>125</v>
      </c>
      <c r="E3133" t="s">
        <v>1739</v>
      </c>
      <c r="F3133" t="s">
        <v>4235</v>
      </c>
    </row>
    <row r="3134" spans="1:6" x14ac:dyDescent="0.25">
      <c r="A3134" t="str">
        <f t="shared" si="49"/>
        <v>2335+125+246YR1600X</v>
      </c>
      <c r="B3134">
        <v>10147</v>
      </c>
      <c r="C3134">
        <v>2335</v>
      </c>
      <c r="D3134">
        <v>125</v>
      </c>
      <c r="E3134" t="s">
        <v>1741</v>
      </c>
      <c r="F3134" t="s">
        <v>4236</v>
      </c>
    </row>
    <row r="3135" spans="1:6" x14ac:dyDescent="0.25">
      <c r="A3135" t="str">
        <f t="shared" si="49"/>
        <v>2336+85+246R00000X</v>
      </c>
      <c r="B3135">
        <v>10089</v>
      </c>
      <c r="C3135">
        <v>2336</v>
      </c>
      <c r="D3135">
        <v>85</v>
      </c>
      <c r="E3135" t="s">
        <v>1557</v>
      </c>
      <c r="F3135" t="s">
        <v>4237</v>
      </c>
    </row>
    <row r="3136" spans="1:6" x14ac:dyDescent="0.25">
      <c r="A3136" t="str">
        <f t="shared" si="49"/>
        <v>2336+125+246Q00000X</v>
      </c>
      <c r="B3136">
        <v>10148</v>
      </c>
      <c r="C3136">
        <v>2336</v>
      </c>
      <c r="D3136">
        <v>125</v>
      </c>
      <c r="E3136" t="s">
        <v>1706</v>
      </c>
      <c r="F3136" t="s">
        <v>4238</v>
      </c>
    </row>
    <row r="3137" spans="1:6" x14ac:dyDescent="0.25">
      <c r="A3137" t="str">
        <f t="shared" si="49"/>
        <v>2336+125+246QB0000X</v>
      </c>
      <c r="B3137">
        <v>10149</v>
      </c>
      <c r="C3137">
        <v>2336</v>
      </c>
      <c r="D3137">
        <v>125</v>
      </c>
      <c r="E3137" t="s">
        <v>1708</v>
      </c>
      <c r="F3137" t="s">
        <v>4239</v>
      </c>
    </row>
    <row r="3138" spans="1:6" x14ac:dyDescent="0.25">
      <c r="A3138" t="str">
        <f t="shared" si="49"/>
        <v>2336+125+246QC1000X</v>
      </c>
      <c r="B3138">
        <v>10150</v>
      </c>
      <c r="C3138">
        <v>2336</v>
      </c>
      <c r="D3138">
        <v>125</v>
      </c>
      <c r="E3138" t="s">
        <v>1710</v>
      </c>
      <c r="F3138" t="s">
        <v>4240</v>
      </c>
    </row>
    <row r="3139" spans="1:6" x14ac:dyDescent="0.25">
      <c r="A3139" t="str">
        <f t="shared" si="49"/>
        <v>2336+125+246QC2700X</v>
      </c>
      <c r="B3139">
        <v>10151</v>
      </c>
      <c r="C3139">
        <v>2336</v>
      </c>
      <c r="D3139">
        <v>125</v>
      </c>
      <c r="E3139" t="s">
        <v>1712</v>
      </c>
      <c r="F3139" t="s">
        <v>4241</v>
      </c>
    </row>
    <row r="3140" spans="1:6" x14ac:dyDescent="0.25">
      <c r="A3140" t="str">
        <f t="shared" si="49"/>
        <v>2336+125+246QH0000X</v>
      </c>
      <c r="B3140">
        <v>10152</v>
      </c>
      <c r="C3140">
        <v>2336</v>
      </c>
      <c r="D3140">
        <v>125</v>
      </c>
      <c r="E3140" t="s">
        <v>1713</v>
      </c>
      <c r="F3140" t="s">
        <v>4242</v>
      </c>
    </row>
    <row r="3141" spans="1:6" x14ac:dyDescent="0.25">
      <c r="A3141" t="str">
        <f t="shared" si="49"/>
        <v>2336+125+246QH0401X</v>
      </c>
      <c r="B3141">
        <v>10153</v>
      </c>
      <c r="C3141">
        <v>2336</v>
      </c>
      <c r="D3141">
        <v>125</v>
      </c>
      <c r="E3141" t="s">
        <v>1715</v>
      </c>
      <c r="F3141" t="s">
        <v>4243</v>
      </c>
    </row>
    <row r="3142" spans="1:6" x14ac:dyDescent="0.25">
      <c r="A3142" t="str">
        <f t="shared" si="49"/>
        <v>2336+125+246QH0600X</v>
      </c>
      <c r="B3142">
        <v>10154</v>
      </c>
      <c r="C3142">
        <v>2336</v>
      </c>
      <c r="D3142">
        <v>125</v>
      </c>
      <c r="E3142" t="s">
        <v>1716</v>
      </c>
      <c r="F3142" t="s">
        <v>4244</v>
      </c>
    </row>
    <row r="3143" spans="1:6" x14ac:dyDescent="0.25">
      <c r="A3143" t="str">
        <f t="shared" si="49"/>
        <v>2336+125+246QI0000X</v>
      </c>
      <c r="B3143">
        <v>10155</v>
      </c>
      <c r="C3143">
        <v>2336</v>
      </c>
      <c r="D3143">
        <v>125</v>
      </c>
      <c r="E3143" t="s">
        <v>1718</v>
      </c>
      <c r="F3143" t="s">
        <v>4245</v>
      </c>
    </row>
    <row r="3144" spans="1:6" x14ac:dyDescent="0.25">
      <c r="A3144" t="str">
        <f t="shared" si="49"/>
        <v>2336+125+246QL0900X</v>
      </c>
      <c r="B3144">
        <v>10156</v>
      </c>
      <c r="C3144">
        <v>2336</v>
      </c>
      <c r="D3144">
        <v>125</v>
      </c>
      <c r="E3144" t="s">
        <v>1720</v>
      </c>
      <c r="F3144" t="s">
        <v>4246</v>
      </c>
    </row>
    <row r="3145" spans="1:6" x14ac:dyDescent="0.25">
      <c r="A3145" t="str">
        <f t="shared" si="49"/>
        <v>2336+125+246QL0901X</v>
      </c>
      <c r="B3145">
        <v>10157</v>
      </c>
      <c r="C3145">
        <v>2336</v>
      </c>
      <c r="D3145">
        <v>125</v>
      </c>
      <c r="E3145" t="s">
        <v>1722</v>
      </c>
      <c r="F3145" t="s">
        <v>4247</v>
      </c>
    </row>
    <row r="3146" spans="1:6" x14ac:dyDescent="0.25">
      <c r="A3146" t="str">
        <f t="shared" si="49"/>
        <v>2336+125+246QM0706X</v>
      </c>
      <c r="B3146">
        <v>10158</v>
      </c>
      <c r="C3146">
        <v>2336</v>
      </c>
      <c r="D3146">
        <v>125</v>
      </c>
      <c r="E3146" t="s">
        <v>1724</v>
      </c>
      <c r="F3146" t="s">
        <v>4248</v>
      </c>
    </row>
    <row r="3147" spans="1:6" x14ac:dyDescent="0.25">
      <c r="A3147" t="str">
        <f t="shared" si="49"/>
        <v>2336+125+246QM0900X</v>
      </c>
      <c r="B3147">
        <v>10159</v>
      </c>
      <c r="C3147">
        <v>2336</v>
      </c>
      <c r="D3147">
        <v>125</v>
      </c>
      <c r="E3147" t="s">
        <v>1726</v>
      </c>
      <c r="F3147" t="s">
        <v>4249</v>
      </c>
    </row>
    <row r="3148" spans="1:6" x14ac:dyDescent="0.25">
      <c r="A3148" t="str">
        <f t="shared" si="49"/>
        <v>2337+85+246W00000X</v>
      </c>
      <c r="B3148">
        <v>10090</v>
      </c>
      <c r="C3148">
        <v>2337</v>
      </c>
      <c r="D3148">
        <v>85</v>
      </c>
      <c r="E3148" t="s">
        <v>1566</v>
      </c>
      <c r="F3148" t="s">
        <v>4250</v>
      </c>
    </row>
    <row r="3149" spans="1:6" x14ac:dyDescent="0.25">
      <c r="A3149" t="str">
        <f t="shared" si="49"/>
        <v>2338+85+2472B0301X</v>
      </c>
      <c r="B3149">
        <v>10091</v>
      </c>
      <c r="C3149">
        <v>2338</v>
      </c>
      <c r="D3149">
        <v>85</v>
      </c>
      <c r="E3149" t="s">
        <v>1577</v>
      </c>
      <c r="F3149" t="s">
        <v>4251</v>
      </c>
    </row>
    <row r="3150" spans="1:6" x14ac:dyDescent="0.25">
      <c r="A3150" t="str">
        <f t="shared" ref="A3150:A3213" si="50">C3150 &amp; "+" &amp; D3150 &amp; "+" &amp; E3150</f>
        <v>2339+85+247ZC0005X</v>
      </c>
      <c r="B3150">
        <v>10092</v>
      </c>
      <c r="C3150">
        <v>2339</v>
      </c>
      <c r="D3150">
        <v>85</v>
      </c>
      <c r="E3150" t="s">
        <v>1587</v>
      </c>
      <c r="F3150" t="s">
        <v>4252</v>
      </c>
    </row>
    <row r="3151" spans="1:6" x14ac:dyDescent="0.25">
      <c r="A3151" t="str">
        <f t="shared" si="50"/>
        <v>2340+115+246ZC0007X</v>
      </c>
      <c r="B3151">
        <v>10116</v>
      </c>
      <c r="C3151">
        <v>2340</v>
      </c>
      <c r="D3151">
        <v>115</v>
      </c>
      <c r="E3151" t="s">
        <v>1592</v>
      </c>
      <c r="F3151" t="s">
        <v>4253</v>
      </c>
    </row>
    <row r="3152" spans="1:6" x14ac:dyDescent="0.25">
      <c r="A3152" t="str">
        <f t="shared" si="50"/>
        <v>2341+91+333300000X</v>
      </c>
      <c r="B3152">
        <v>10200</v>
      </c>
      <c r="C3152">
        <v>2341</v>
      </c>
      <c r="D3152">
        <v>91</v>
      </c>
      <c r="E3152" t="s">
        <v>1832</v>
      </c>
      <c r="F3152" t="s">
        <v>4254</v>
      </c>
    </row>
    <row r="3153" spans="1:6" x14ac:dyDescent="0.25">
      <c r="A3153" t="str">
        <f t="shared" si="50"/>
        <v>2342+130+174N00000X</v>
      </c>
      <c r="B3153">
        <v>10197</v>
      </c>
      <c r="C3153">
        <v>2342</v>
      </c>
      <c r="D3153">
        <v>130</v>
      </c>
      <c r="E3153" t="s">
        <v>1809</v>
      </c>
      <c r="F3153" t="s">
        <v>4255</v>
      </c>
    </row>
    <row r="3154" spans="1:6" x14ac:dyDescent="0.25">
      <c r="A3154" t="str">
        <f t="shared" si="50"/>
        <v>2343+128+174V00000X</v>
      </c>
      <c r="B3154">
        <v>10198</v>
      </c>
      <c r="C3154">
        <v>2343</v>
      </c>
      <c r="D3154">
        <v>128</v>
      </c>
      <c r="E3154" t="s">
        <v>1813</v>
      </c>
      <c r="F3154" t="s">
        <v>4256</v>
      </c>
    </row>
    <row r="3155" spans="1:6" x14ac:dyDescent="0.25">
      <c r="A3155" t="str">
        <f t="shared" si="50"/>
        <v>2344+122+204R00000X</v>
      </c>
      <c r="B3155">
        <v>10130</v>
      </c>
      <c r="C3155">
        <v>2344</v>
      </c>
      <c r="D3155">
        <v>122</v>
      </c>
      <c r="E3155" t="s">
        <v>1671</v>
      </c>
      <c r="F3155" t="s">
        <v>4257</v>
      </c>
    </row>
    <row r="3156" spans="1:6" x14ac:dyDescent="0.25">
      <c r="A3156" t="str">
        <f t="shared" si="50"/>
        <v>2345+111+1223D004X</v>
      </c>
      <c r="B3156">
        <v>9387</v>
      </c>
      <c r="C3156">
        <v>2345</v>
      </c>
      <c r="D3156">
        <v>111</v>
      </c>
      <c r="E3156" t="s">
        <v>930</v>
      </c>
      <c r="F3156" t="s">
        <v>4258</v>
      </c>
    </row>
    <row r="3157" spans="1:6" x14ac:dyDescent="0.25">
      <c r="A3157" t="str">
        <f t="shared" si="50"/>
        <v>2346+85+247200000X</v>
      </c>
      <c r="B3157">
        <v>10099</v>
      </c>
      <c r="C3157">
        <v>2346</v>
      </c>
      <c r="D3157">
        <v>85</v>
      </c>
      <c r="E3157" t="s">
        <v>1574</v>
      </c>
      <c r="F3157" t="s">
        <v>4259</v>
      </c>
    </row>
    <row r="3158" spans="1:6" x14ac:dyDescent="0.25">
      <c r="A3158" t="str">
        <f t="shared" si="50"/>
        <v>2346+109+125K00000X</v>
      </c>
      <c r="B3158">
        <v>9389</v>
      </c>
      <c r="C3158">
        <v>2346</v>
      </c>
      <c r="D3158">
        <v>109</v>
      </c>
      <c r="E3158" t="s">
        <v>1848</v>
      </c>
      <c r="F3158" t="s">
        <v>4260</v>
      </c>
    </row>
    <row r="3159" spans="1:6" x14ac:dyDescent="0.25">
      <c r="A3159" t="str">
        <f t="shared" si="50"/>
        <v>2346+110+125J00000X</v>
      </c>
      <c r="B3159">
        <v>9388</v>
      </c>
      <c r="C3159">
        <v>2346</v>
      </c>
      <c r="D3159">
        <v>110</v>
      </c>
      <c r="E3159" t="s">
        <v>933</v>
      </c>
      <c r="F3159" t="s">
        <v>4261</v>
      </c>
    </row>
    <row r="3160" spans="1:6" x14ac:dyDescent="0.25">
      <c r="A3160" t="str">
        <f t="shared" si="50"/>
        <v>2346+125+174400000X</v>
      </c>
      <c r="B3160">
        <v>10172</v>
      </c>
      <c r="C3160">
        <v>2346</v>
      </c>
      <c r="D3160">
        <v>125</v>
      </c>
      <c r="E3160" t="s">
        <v>1681</v>
      </c>
      <c r="F3160" t="s">
        <v>4262</v>
      </c>
    </row>
    <row r="3161" spans="1:6" x14ac:dyDescent="0.25">
      <c r="A3161" t="str">
        <f t="shared" si="50"/>
        <v>2346+125+225500000X</v>
      </c>
      <c r="B3161">
        <v>10173</v>
      </c>
      <c r="C3161">
        <v>2346</v>
      </c>
      <c r="D3161">
        <v>125</v>
      </c>
      <c r="E3161" t="s">
        <v>1695</v>
      </c>
      <c r="F3161" t="s">
        <v>4263</v>
      </c>
    </row>
    <row r="3162" spans="1:6" x14ac:dyDescent="0.25">
      <c r="A3162" t="str">
        <f t="shared" si="50"/>
        <v>2346+125+235500000X</v>
      </c>
      <c r="B3162">
        <v>10174</v>
      </c>
      <c r="C3162">
        <v>2346</v>
      </c>
      <c r="D3162">
        <v>125</v>
      </c>
      <c r="E3162" t="s">
        <v>1702</v>
      </c>
      <c r="F3162" t="s">
        <v>4263</v>
      </c>
    </row>
    <row r="3163" spans="1:6" x14ac:dyDescent="0.25">
      <c r="A3163" t="str">
        <f t="shared" si="50"/>
        <v>2346+125+246Z00000X</v>
      </c>
      <c r="B3163">
        <v>10175</v>
      </c>
      <c r="C3163">
        <v>2346</v>
      </c>
      <c r="D3163">
        <v>125</v>
      </c>
      <c r="E3163" t="s">
        <v>1742</v>
      </c>
      <c r="F3163" t="s">
        <v>4264</v>
      </c>
    </row>
    <row r="3164" spans="1:6" x14ac:dyDescent="0.25">
      <c r="A3164" t="str">
        <f t="shared" si="50"/>
        <v>2346+132+174M00000X</v>
      </c>
      <c r="B3164">
        <v>10203</v>
      </c>
      <c r="C3164">
        <v>2346</v>
      </c>
      <c r="D3164">
        <v>132</v>
      </c>
      <c r="E3164" t="s">
        <v>1839</v>
      </c>
      <c r="F3164" t="s">
        <v>4265</v>
      </c>
    </row>
    <row r="3165" spans="1:6" x14ac:dyDescent="0.25">
      <c r="A3165" t="str">
        <f t="shared" si="50"/>
        <v>2346+132+174MM1900X</v>
      </c>
      <c r="B3165">
        <v>10204</v>
      </c>
      <c r="C3165">
        <v>2346</v>
      </c>
      <c r="D3165">
        <v>132</v>
      </c>
      <c r="E3165" t="s">
        <v>1841</v>
      </c>
      <c r="F3165" t="s">
        <v>4266</v>
      </c>
    </row>
    <row r="3166" spans="1:6" x14ac:dyDescent="0.25">
      <c r="A3166" t="str">
        <f t="shared" si="50"/>
        <v>2347+100+363LP0200X</v>
      </c>
      <c r="B3166">
        <v>9138</v>
      </c>
      <c r="C3166">
        <v>2347</v>
      </c>
      <c r="D3166">
        <v>100</v>
      </c>
      <c r="E3166" t="s">
        <v>326</v>
      </c>
      <c r="F3166" t="s">
        <v>4267</v>
      </c>
    </row>
    <row r="3167" spans="1:6" x14ac:dyDescent="0.25">
      <c r="A3167" t="str">
        <f t="shared" si="50"/>
        <v>2347+100+363LP0222X</v>
      </c>
      <c r="B3167">
        <v>9139</v>
      </c>
      <c r="C3167">
        <v>2347</v>
      </c>
      <c r="D3167">
        <v>100</v>
      </c>
      <c r="E3167" t="s">
        <v>330</v>
      </c>
      <c r="F3167" t="s">
        <v>4268</v>
      </c>
    </row>
    <row r="3168" spans="1:6" x14ac:dyDescent="0.25">
      <c r="A3168" t="str">
        <f t="shared" si="50"/>
        <v>2347+100+364SP0200X</v>
      </c>
      <c r="B3168">
        <v>9140</v>
      </c>
      <c r="C3168">
        <v>2347</v>
      </c>
      <c r="D3168">
        <v>100</v>
      </c>
      <c r="E3168" t="s">
        <v>336</v>
      </c>
      <c r="F3168" t="s">
        <v>4269</v>
      </c>
    </row>
    <row r="3169" spans="1:6" x14ac:dyDescent="0.25">
      <c r="A3169" t="str">
        <f t="shared" si="50"/>
        <v>2348+100+363LX0001X</v>
      </c>
      <c r="B3169">
        <v>9141</v>
      </c>
      <c r="C3169">
        <v>2348</v>
      </c>
      <c r="D3169">
        <v>100</v>
      </c>
      <c r="E3169" t="s">
        <v>332</v>
      </c>
      <c r="F3169" t="s">
        <v>4270</v>
      </c>
    </row>
    <row r="3170" spans="1:6" x14ac:dyDescent="0.25">
      <c r="A3170" t="str">
        <f t="shared" si="50"/>
        <v>2349+100+363LF0000X</v>
      </c>
      <c r="B3170">
        <v>9142</v>
      </c>
      <c r="C3170">
        <v>2349</v>
      </c>
      <c r="D3170">
        <v>100</v>
      </c>
      <c r="E3170" t="s">
        <v>351</v>
      </c>
      <c r="F3170" t="s">
        <v>4271</v>
      </c>
    </row>
    <row r="3171" spans="1:6" x14ac:dyDescent="0.25">
      <c r="A3171" t="str">
        <f t="shared" si="50"/>
        <v>2350+100+363L00000X</v>
      </c>
      <c r="B3171">
        <v>9143</v>
      </c>
      <c r="C3171">
        <v>2350</v>
      </c>
      <c r="D3171">
        <v>100</v>
      </c>
      <c r="E3171" t="s">
        <v>230</v>
      </c>
      <c r="F3171" t="s">
        <v>3945</v>
      </c>
    </row>
    <row r="3172" spans="1:6" x14ac:dyDescent="0.25">
      <c r="A3172" t="str">
        <f t="shared" si="50"/>
        <v>2350+100+363LA2100X</v>
      </c>
      <c r="B3172">
        <v>9144</v>
      </c>
      <c r="C3172">
        <v>2350</v>
      </c>
      <c r="D3172">
        <v>100</v>
      </c>
      <c r="E3172" t="s">
        <v>344</v>
      </c>
      <c r="F3172" t="s">
        <v>4272</v>
      </c>
    </row>
    <row r="3173" spans="1:6" x14ac:dyDescent="0.25">
      <c r="A3173" t="str">
        <f t="shared" si="50"/>
        <v>2350+100+363LA2200X</v>
      </c>
      <c r="B3173">
        <v>9145</v>
      </c>
      <c r="C3173">
        <v>2350</v>
      </c>
      <c r="D3173">
        <v>100</v>
      </c>
      <c r="E3173" t="s">
        <v>346</v>
      </c>
      <c r="F3173" t="s">
        <v>4273</v>
      </c>
    </row>
    <row r="3174" spans="1:6" x14ac:dyDescent="0.25">
      <c r="A3174" t="str">
        <f t="shared" si="50"/>
        <v>2350+100+363LC0200X</v>
      </c>
      <c r="B3174">
        <v>9146</v>
      </c>
      <c r="C3174">
        <v>2350</v>
      </c>
      <c r="D3174">
        <v>100</v>
      </c>
      <c r="E3174" t="s">
        <v>348</v>
      </c>
      <c r="F3174" t="s">
        <v>4274</v>
      </c>
    </row>
    <row r="3175" spans="1:6" x14ac:dyDescent="0.25">
      <c r="A3175" t="str">
        <f t="shared" si="50"/>
        <v>2350+100+363LC1500X</v>
      </c>
      <c r="B3175">
        <v>9147</v>
      </c>
      <c r="C3175">
        <v>2350</v>
      </c>
      <c r="D3175">
        <v>100</v>
      </c>
      <c r="E3175" t="s">
        <v>349</v>
      </c>
      <c r="F3175" t="s">
        <v>4275</v>
      </c>
    </row>
    <row r="3176" spans="1:6" x14ac:dyDescent="0.25">
      <c r="A3176" t="str">
        <f t="shared" si="50"/>
        <v>2350+100+363LG0600X</v>
      </c>
      <c r="B3176">
        <v>9148</v>
      </c>
      <c r="C3176">
        <v>2350</v>
      </c>
      <c r="D3176">
        <v>100</v>
      </c>
      <c r="E3176" t="s">
        <v>355</v>
      </c>
      <c r="F3176" t="s">
        <v>4276</v>
      </c>
    </row>
    <row r="3177" spans="1:6" x14ac:dyDescent="0.25">
      <c r="A3177" t="str">
        <f t="shared" si="50"/>
        <v>2350+100+363LN0000X</v>
      </c>
      <c r="B3177">
        <v>9149</v>
      </c>
      <c r="C3177">
        <v>2350</v>
      </c>
      <c r="D3177">
        <v>100</v>
      </c>
      <c r="E3177" t="s">
        <v>357</v>
      </c>
      <c r="F3177" t="s">
        <v>4277</v>
      </c>
    </row>
    <row r="3178" spans="1:6" x14ac:dyDescent="0.25">
      <c r="A3178" t="str">
        <f t="shared" si="50"/>
        <v>2350+100+363LN0005X</v>
      </c>
      <c r="B3178">
        <v>9150</v>
      </c>
      <c r="C3178">
        <v>2350</v>
      </c>
      <c r="D3178">
        <v>100</v>
      </c>
      <c r="E3178" t="s">
        <v>359</v>
      </c>
      <c r="F3178" t="s">
        <v>4278</v>
      </c>
    </row>
    <row r="3179" spans="1:6" x14ac:dyDescent="0.25">
      <c r="A3179" t="str">
        <f t="shared" si="50"/>
        <v>2350+100+363LP0808X</v>
      </c>
      <c r="B3179">
        <v>9151</v>
      </c>
      <c r="C3179">
        <v>2350</v>
      </c>
      <c r="D3179">
        <v>100</v>
      </c>
      <c r="E3179" t="s">
        <v>361</v>
      </c>
      <c r="F3179" t="s">
        <v>4279</v>
      </c>
    </row>
    <row r="3180" spans="1:6" x14ac:dyDescent="0.25">
      <c r="A3180" t="str">
        <f t="shared" si="50"/>
        <v>2350+100+363LP1700X</v>
      </c>
      <c r="B3180">
        <v>9152</v>
      </c>
      <c r="C3180">
        <v>2350</v>
      </c>
      <c r="D3180">
        <v>100</v>
      </c>
      <c r="E3180" t="s">
        <v>363</v>
      </c>
      <c r="F3180" t="s">
        <v>4280</v>
      </c>
    </row>
    <row r="3181" spans="1:6" x14ac:dyDescent="0.25">
      <c r="A3181" t="str">
        <f t="shared" si="50"/>
        <v>2350+100+363LP2300X</v>
      </c>
      <c r="B3181">
        <v>9153</v>
      </c>
      <c r="C3181">
        <v>2350</v>
      </c>
      <c r="D3181">
        <v>100</v>
      </c>
      <c r="E3181" t="s">
        <v>364</v>
      </c>
      <c r="F3181" t="s">
        <v>4281</v>
      </c>
    </row>
    <row r="3182" spans="1:6" x14ac:dyDescent="0.25">
      <c r="A3182" t="str">
        <f t="shared" si="50"/>
        <v>2350+100+363LS0200X</v>
      </c>
      <c r="B3182">
        <v>9154</v>
      </c>
      <c r="C3182">
        <v>2350</v>
      </c>
      <c r="D3182">
        <v>100</v>
      </c>
      <c r="E3182" t="s">
        <v>366</v>
      </c>
      <c r="F3182" t="s">
        <v>4282</v>
      </c>
    </row>
    <row r="3183" spans="1:6" x14ac:dyDescent="0.25">
      <c r="A3183" t="str">
        <f t="shared" si="50"/>
        <v>2350+100+363LW0102X</v>
      </c>
      <c r="B3183">
        <v>9155</v>
      </c>
      <c r="C3183">
        <v>2350</v>
      </c>
      <c r="D3183">
        <v>100</v>
      </c>
      <c r="E3183" t="s">
        <v>368</v>
      </c>
      <c r="F3183" t="s">
        <v>4283</v>
      </c>
    </row>
    <row r="3184" spans="1:6" x14ac:dyDescent="0.25">
      <c r="A3184" t="str">
        <f t="shared" si="50"/>
        <v>2350+100+363LX0106X</v>
      </c>
      <c r="B3184">
        <v>9156</v>
      </c>
      <c r="C3184">
        <v>2350</v>
      </c>
      <c r="D3184">
        <v>100</v>
      </c>
      <c r="E3184" t="s">
        <v>370</v>
      </c>
      <c r="F3184" t="s">
        <v>4284</v>
      </c>
    </row>
    <row r="3185" spans="1:6" x14ac:dyDescent="0.25">
      <c r="A3185" t="str">
        <f t="shared" si="50"/>
        <v>2350+100+364S00000X</v>
      </c>
      <c r="B3185">
        <v>9157</v>
      </c>
      <c r="C3185">
        <v>2350</v>
      </c>
      <c r="D3185">
        <v>100</v>
      </c>
      <c r="E3185" t="s">
        <v>371</v>
      </c>
      <c r="F3185" t="s">
        <v>4285</v>
      </c>
    </row>
    <row r="3186" spans="1:6" x14ac:dyDescent="0.25">
      <c r="A3186" t="str">
        <f t="shared" si="50"/>
        <v>2350+100+364SA2100X</v>
      </c>
      <c r="B3186">
        <v>9158</v>
      </c>
      <c r="C3186">
        <v>2350</v>
      </c>
      <c r="D3186">
        <v>100</v>
      </c>
      <c r="E3186" t="s">
        <v>372</v>
      </c>
      <c r="F3186" t="s">
        <v>4286</v>
      </c>
    </row>
    <row r="3187" spans="1:6" x14ac:dyDescent="0.25">
      <c r="A3187" t="str">
        <f t="shared" si="50"/>
        <v>2350+100+364SA2200X</v>
      </c>
      <c r="B3187">
        <v>9159</v>
      </c>
      <c r="C3187">
        <v>2350</v>
      </c>
      <c r="D3187">
        <v>100</v>
      </c>
      <c r="E3187" t="s">
        <v>373</v>
      </c>
      <c r="F3187" t="s">
        <v>4287</v>
      </c>
    </row>
    <row r="3188" spans="1:6" x14ac:dyDescent="0.25">
      <c r="A3188" t="str">
        <f t="shared" si="50"/>
        <v>2350+100+364SC0200X</v>
      </c>
      <c r="B3188">
        <v>9160</v>
      </c>
      <c r="C3188">
        <v>2350</v>
      </c>
      <c r="D3188">
        <v>100</v>
      </c>
      <c r="E3188" t="s">
        <v>374</v>
      </c>
      <c r="F3188" t="s">
        <v>4288</v>
      </c>
    </row>
    <row r="3189" spans="1:6" x14ac:dyDescent="0.25">
      <c r="A3189" t="str">
        <f t="shared" si="50"/>
        <v>2350+100+364SC1501X</v>
      </c>
      <c r="B3189">
        <v>9161</v>
      </c>
      <c r="C3189">
        <v>2350</v>
      </c>
      <c r="D3189">
        <v>100</v>
      </c>
      <c r="E3189" t="s">
        <v>376</v>
      </c>
      <c r="F3189" t="s">
        <v>4289</v>
      </c>
    </row>
    <row r="3190" spans="1:6" x14ac:dyDescent="0.25">
      <c r="A3190" t="str">
        <f t="shared" si="50"/>
        <v>2350+100+364SC2300X</v>
      </c>
      <c r="B3190">
        <v>9162</v>
      </c>
      <c r="C3190">
        <v>2350</v>
      </c>
      <c r="D3190">
        <v>100</v>
      </c>
      <c r="E3190" t="s">
        <v>378</v>
      </c>
      <c r="F3190" t="s">
        <v>4290</v>
      </c>
    </row>
    <row r="3191" spans="1:6" x14ac:dyDescent="0.25">
      <c r="A3191" t="str">
        <f t="shared" si="50"/>
        <v>2350+100+364SE0003X</v>
      </c>
      <c r="B3191">
        <v>9163</v>
      </c>
      <c r="C3191">
        <v>2350</v>
      </c>
      <c r="D3191">
        <v>100</v>
      </c>
      <c r="E3191" t="s">
        <v>380</v>
      </c>
      <c r="F3191" t="s">
        <v>4291</v>
      </c>
    </row>
    <row r="3192" spans="1:6" x14ac:dyDescent="0.25">
      <c r="A3192" t="str">
        <f t="shared" si="50"/>
        <v>2350+100+364SE1400X</v>
      </c>
      <c r="B3192">
        <v>9164</v>
      </c>
      <c r="C3192">
        <v>2350</v>
      </c>
      <c r="D3192">
        <v>100</v>
      </c>
      <c r="E3192" t="s">
        <v>382</v>
      </c>
      <c r="F3192" t="s">
        <v>4292</v>
      </c>
    </row>
    <row r="3193" spans="1:6" x14ac:dyDescent="0.25">
      <c r="A3193" t="str">
        <f t="shared" si="50"/>
        <v>2350+100+364SF0001X</v>
      </c>
      <c r="B3193">
        <v>9165</v>
      </c>
      <c r="C3193">
        <v>2350</v>
      </c>
      <c r="D3193">
        <v>100</v>
      </c>
      <c r="E3193" t="s">
        <v>384</v>
      </c>
      <c r="F3193" t="s">
        <v>4293</v>
      </c>
    </row>
    <row r="3194" spans="1:6" x14ac:dyDescent="0.25">
      <c r="A3194" t="str">
        <f t="shared" si="50"/>
        <v>2350+100+364SG0600X</v>
      </c>
      <c r="B3194">
        <v>9166</v>
      </c>
      <c r="C3194">
        <v>2350</v>
      </c>
      <c r="D3194">
        <v>100</v>
      </c>
      <c r="E3194" t="s">
        <v>385</v>
      </c>
      <c r="F3194" t="s">
        <v>4294</v>
      </c>
    </row>
    <row r="3195" spans="1:6" x14ac:dyDescent="0.25">
      <c r="A3195" t="str">
        <f t="shared" si="50"/>
        <v>2350+100+364SH0200X</v>
      </c>
      <c r="B3195">
        <v>9167</v>
      </c>
      <c r="C3195">
        <v>2350</v>
      </c>
      <c r="D3195">
        <v>100</v>
      </c>
      <c r="E3195" t="s">
        <v>386</v>
      </c>
      <c r="F3195" t="s">
        <v>4295</v>
      </c>
    </row>
    <row r="3196" spans="1:6" x14ac:dyDescent="0.25">
      <c r="A3196" t="str">
        <f t="shared" si="50"/>
        <v>2350+100+364SH1100X</v>
      </c>
      <c r="B3196">
        <v>9168</v>
      </c>
      <c r="C3196">
        <v>2350</v>
      </c>
      <c r="D3196">
        <v>100</v>
      </c>
      <c r="E3196" t="s">
        <v>388</v>
      </c>
      <c r="F3196" t="s">
        <v>4296</v>
      </c>
    </row>
    <row r="3197" spans="1:6" x14ac:dyDescent="0.25">
      <c r="A3197" t="str">
        <f t="shared" si="50"/>
        <v>2350+100+364SI0800X</v>
      </c>
      <c r="B3197">
        <v>9169</v>
      </c>
      <c r="C3197">
        <v>2350</v>
      </c>
      <c r="D3197">
        <v>100</v>
      </c>
      <c r="E3197" t="s">
        <v>390</v>
      </c>
      <c r="F3197" t="s">
        <v>4297</v>
      </c>
    </row>
    <row r="3198" spans="1:6" x14ac:dyDescent="0.25">
      <c r="A3198" t="str">
        <f t="shared" si="50"/>
        <v>2350+100+364SL0600X</v>
      </c>
      <c r="B3198">
        <v>9170</v>
      </c>
      <c r="C3198">
        <v>2350</v>
      </c>
      <c r="D3198">
        <v>100</v>
      </c>
      <c r="E3198" t="s">
        <v>392</v>
      </c>
      <c r="F3198" t="s">
        <v>4298</v>
      </c>
    </row>
    <row r="3199" spans="1:6" x14ac:dyDescent="0.25">
      <c r="A3199" t="str">
        <f t="shared" si="50"/>
        <v>2350+100+364SM0705X</v>
      </c>
      <c r="B3199">
        <v>9171</v>
      </c>
      <c r="C3199">
        <v>2350</v>
      </c>
      <c r="D3199">
        <v>100</v>
      </c>
      <c r="E3199" t="s">
        <v>394</v>
      </c>
      <c r="F3199" t="s">
        <v>4299</v>
      </c>
    </row>
    <row r="3200" spans="1:6" x14ac:dyDescent="0.25">
      <c r="A3200" t="str">
        <f t="shared" si="50"/>
        <v>2350+100+364SN0000X</v>
      </c>
      <c r="B3200">
        <v>9172</v>
      </c>
      <c r="C3200">
        <v>2350</v>
      </c>
      <c r="D3200">
        <v>100</v>
      </c>
      <c r="E3200" t="s">
        <v>395</v>
      </c>
      <c r="F3200" t="s">
        <v>4300</v>
      </c>
    </row>
    <row r="3201" spans="1:6" x14ac:dyDescent="0.25">
      <c r="A3201" t="str">
        <f t="shared" si="50"/>
        <v>2350+100+364SN0800X</v>
      </c>
      <c r="B3201">
        <v>9173</v>
      </c>
      <c r="C3201">
        <v>2350</v>
      </c>
      <c r="D3201">
        <v>100</v>
      </c>
      <c r="E3201" t="s">
        <v>397</v>
      </c>
      <c r="F3201" t="s">
        <v>4301</v>
      </c>
    </row>
    <row r="3202" spans="1:6" x14ac:dyDescent="0.25">
      <c r="A3202" t="str">
        <f t="shared" si="50"/>
        <v>2350+100+364SP0807X</v>
      </c>
      <c r="B3202">
        <v>9174</v>
      </c>
      <c r="C3202">
        <v>2350</v>
      </c>
      <c r="D3202">
        <v>100</v>
      </c>
      <c r="E3202" t="s">
        <v>399</v>
      </c>
      <c r="F3202" t="s">
        <v>4302</v>
      </c>
    </row>
    <row r="3203" spans="1:6" x14ac:dyDescent="0.25">
      <c r="A3203" t="str">
        <f t="shared" si="50"/>
        <v>2350+100+364SP0808X</v>
      </c>
      <c r="B3203">
        <v>9175</v>
      </c>
      <c r="C3203">
        <v>2350</v>
      </c>
      <c r="D3203">
        <v>100</v>
      </c>
      <c r="E3203" t="s">
        <v>400</v>
      </c>
      <c r="F3203" t="s">
        <v>4303</v>
      </c>
    </row>
    <row r="3204" spans="1:6" x14ac:dyDescent="0.25">
      <c r="A3204" t="str">
        <f t="shared" si="50"/>
        <v>2350+100+364SP0809X</v>
      </c>
      <c r="B3204">
        <v>9176</v>
      </c>
      <c r="C3204">
        <v>2350</v>
      </c>
      <c r="D3204">
        <v>100</v>
      </c>
      <c r="E3204" t="s">
        <v>402</v>
      </c>
      <c r="F3204" t="s">
        <v>4304</v>
      </c>
    </row>
    <row r="3205" spans="1:6" x14ac:dyDescent="0.25">
      <c r="A3205" t="str">
        <f t="shared" si="50"/>
        <v>2350+100+364SP0810X</v>
      </c>
      <c r="B3205">
        <v>9177</v>
      </c>
      <c r="C3205">
        <v>2350</v>
      </c>
      <c r="D3205">
        <v>100</v>
      </c>
      <c r="E3205" t="s">
        <v>404</v>
      </c>
      <c r="F3205" t="s">
        <v>4305</v>
      </c>
    </row>
    <row r="3206" spans="1:6" x14ac:dyDescent="0.25">
      <c r="A3206" t="str">
        <f t="shared" si="50"/>
        <v>2350+100+364SP0811X</v>
      </c>
      <c r="B3206">
        <v>9178</v>
      </c>
      <c r="C3206">
        <v>2350</v>
      </c>
      <c r="D3206">
        <v>100</v>
      </c>
      <c r="E3206" t="s">
        <v>406</v>
      </c>
      <c r="F3206" t="s">
        <v>4306</v>
      </c>
    </row>
    <row r="3207" spans="1:6" x14ac:dyDescent="0.25">
      <c r="A3207" t="str">
        <f t="shared" si="50"/>
        <v>2350+100+364SP0812X</v>
      </c>
      <c r="B3207">
        <v>9179</v>
      </c>
      <c r="C3207">
        <v>2350</v>
      </c>
      <c r="D3207">
        <v>100</v>
      </c>
      <c r="E3207" t="s">
        <v>408</v>
      </c>
      <c r="F3207" t="s">
        <v>4307</v>
      </c>
    </row>
    <row r="3208" spans="1:6" x14ac:dyDescent="0.25">
      <c r="A3208" t="str">
        <f t="shared" si="50"/>
        <v>2350+100+364SP0813X</v>
      </c>
      <c r="B3208">
        <v>9180</v>
      </c>
      <c r="C3208">
        <v>2350</v>
      </c>
      <c r="D3208">
        <v>100</v>
      </c>
      <c r="E3208" t="s">
        <v>410</v>
      </c>
      <c r="F3208" t="s">
        <v>4308</v>
      </c>
    </row>
    <row r="3209" spans="1:6" x14ac:dyDescent="0.25">
      <c r="A3209" t="str">
        <f t="shared" si="50"/>
        <v>2350+100+364SP1700X</v>
      </c>
      <c r="B3209">
        <v>9181</v>
      </c>
      <c r="C3209">
        <v>2350</v>
      </c>
      <c r="D3209">
        <v>100</v>
      </c>
      <c r="E3209" t="s">
        <v>411</v>
      </c>
      <c r="F3209" t="s">
        <v>4309</v>
      </c>
    </row>
    <row r="3210" spans="1:6" x14ac:dyDescent="0.25">
      <c r="A3210" t="str">
        <f t="shared" si="50"/>
        <v>2350+100+364SP2800X</v>
      </c>
      <c r="B3210">
        <v>9182</v>
      </c>
      <c r="C3210">
        <v>2350</v>
      </c>
      <c r="D3210">
        <v>100</v>
      </c>
      <c r="E3210" t="s">
        <v>413</v>
      </c>
      <c r="F3210" t="s">
        <v>4310</v>
      </c>
    </row>
    <row r="3211" spans="1:6" x14ac:dyDescent="0.25">
      <c r="A3211" t="str">
        <f t="shared" si="50"/>
        <v>2350+100+364SR0400X</v>
      </c>
      <c r="B3211">
        <v>9183</v>
      </c>
      <c r="C3211">
        <v>2350</v>
      </c>
      <c r="D3211">
        <v>100</v>
      </c>
      <c r="E3211" t="s">
        <v>414</v>
      </c>
      <c r="F3211" t="s">
        <v>4311</v>
      </c>
    </row>
    <row r="3212" spans="1:6" x14ac:dyDescent="0.25">
      <c r="A3212" t="str">
        <f t="shared" si="50"/>
        <v>2350+100+364SS0200X</v>
      </c>
      <c r="B3212">
        <v>9184</v>
      </c>
      <c r="C3212">
        <v>2350</v>
      </c>
      <c r="D3212">
        <v>100</v>
      </c>
      <c r="E3212" t="s">
        <v>415</v>
      </c>
      <c r="F3212" t="s">
        <v>4312</v>
      </c>
    </row>
    <row r="3213" spans="1:6" x14ac:dyDescent="0.25">
      <c r="A3213" t="str">
        <f t="shared" si="50"/>
        <v>2350+100+364ST0500X</v>
      </c>
      <c r="B3213">
        <v>9185</v>
      </c>
      <c r="C3213">
        <v>2350</v>
      </c>
      <c r="D3213">
        <v>100</v>
      </c>
      <c r="E3213" t="s">
        <v>417</v>
      </c>
      <c r="F3213" t="s">
        <v>4313</v>
      </c>
    </row>
    <row r="3214" spans="1:6" x14ac:dyDescent="0.25">
      <c r="A3214" t="str">
        <f t="shared" ref="A3214:A3220" si="51">C3214 &amp; "+" &amp; D3214 &amp; "+" &amp; E3214</f>
        <v>2350+100+364SW0102X</v>
      </c>
      <c r="B3214">
        <v>9186</v>
      </c>
      <c r="C3214">
        <v>2350</v>
      </c>
      <c r="D3214">
        <v>100</v>
      </c>
      <c r="E3214" t="s">
        <v>418</v>
      </c>
      <c r="F3214" t="s">
        <v>4314</v>
      </c>
    </row>
    <row r="3215" spans="1:6" x14ac:dyDescent="0.25">
      <c r="A3215" t="str">
        <f t="shared" si="51"/>
        <v>2350+100+364SX0106X</v>
      </c>
      <c r="B3215">
        <v>9187</v>
      </c>
      <c r="C3215">
        <v>2350</v>
      </c>
      <c r="D3215">
        <v>100</v>
      </c>
      <c r="E3215" t="s">
        <v>419</v>
      </c>
      <c r="F3215" t="s">
        <v>4315</v>
      </c>
    </row>
    <row r="3216" spans="1:6" x14ac:dyDescent="0.25">
      <c r="A3216" t="str">
        <f t="shared" si="51"/>
        <v>2350+100+364SX0200X</v>
      </c>
      <c r="B3216">
        <v>9188</v>
      </c>
      <c r="C3216">
        <v>2350</v>
      </c>
      <c r="D3216">
        <v>100</v>
      </c>
      <c r="E3216" t="s">
        <v>420</v>
      </c>
      <c r="F3216" t="s">
        <v>4316</v>
      </c>
    </row>
    <row r="3217" spans="1:6" x14ac:dyDescent="0.25">
      <c r="A3217" t="str">
        <f t="shared" si="51"/>
        <v>2350+100+364SX0204X</v>
      </c>
      <c r="B3217">
        <v>9189</v>
      </c>
      <c r="C3217">
        <v>2350</v>
      </c>
      <c r="D3217">
        <v>100</v>
      </c>
      <c r="E3217" t="s">
        <v>422</v>
      </c>
      <c r="F3217" t="s">
        <v>4317</v>
      </c>
    </row>
    <row r="3218" spans="1:6" x14ac:dyDescent="0.25">
      <c r="A3218" t="str">
        <f t="shared" si="51"/>
        <v>2351+100+367500000X</v>
      </c>
      <c r="B3218">
        <v>9190</v>
      </c>
      <c r="C3218">
        <v>2351</v>
      </c>
      <c r="D3218">
        <v>100</v>
      </c>
      <c r="E3218" t="s">
        <v>424</v>
      </c>
      <c r="F3218" t="s">
        <v>3995</v>
      </c>
    </row>
    <row r="3219" spans="1:6" x14ac:dyDescent="0.25">
      <c r="A3219" t="str">
        <f t="shared" si="51"/>
        <v>2352+100+176B00000X</v>
      </c>
      <c r="B3219">
        <v>9191</v>
      </c>
      <c r="C3219">
        <v>2352</v>
      </c>
      <c r="D3219">
        <v>100</v>
      </c>
      <c r="E3219" t="s">
        <v>339</v>
      </c>
      <c r="F3219" t="s">
        <v>4318</v>
      </c>
    </row>
    <row r="3220" spans="1:6" x14ac:dyDescent="0.25">
      <c r="A3220" t="str">
        <f t="shared" si="51"/>
        <v>2352+100+367A00000X</v>
      </c>
      <c r="B3220">
        <v>9192</v>
      </c>
      <c r="C3220">
        <v>2352</v>
      </c>
      <c r="D3220">
        <v>100</v>
      </c>
      <c r="E3220" t="s">
        <v>428</v>
      </c>
      <c r="F3220" t="s">
        <v>4319</v>
      </c>
    </row>
  </sheetData>
  <sortState ref="A2:F206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FULL LIST</vt:lpstr>
      <vt:lpstr>HCBS</vt:lpstr>
      <vt:lpstr>Sheet3</vt:lpstr>
      <vt:lpstr>Sheet1</vt:lpstr>
      <vt:lpstr>Sheet6</vt:lpstr>
      <vt:lpstr>Sheet4</vt:lpstr>
      <vt:lpstr>PROVIDER_TYPE_LOOKUP</vt:lpstr>
      <vt:lpstr>SPECIALTY_TYPE_LOOKUP</vt:lpstr>
      <vt:lpstr>TAXONOMY_LOOKUP</vt:lpstr>
      <vt:lpstr>PROVIDER_TYPE</vt:lpstr>
      <vt:lpstr>SPECIALTY_TYPE</vt:lpstr>
      <vt:lpstr>TAXONOMY_TYPE</vt:lpstr>
    </vt:vector>
  </TitlesOfParts>
  <Company>Bureau of TennCare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dcv2085</dc:creator>
  <cp:lastModifiedBy>Andy Hinz</cp:lastModifiedBy>
  <cp:lastPrinted>2015-01-12T22:14:30Z</cp:lastPrinted>
  <dcterms:created xsi:type="dcterms:W3CDTF">2014-07-30T15:07:23Z</dcterms:created>
  <dcterms:modified xsi:type="dcterms:W3CDTF">2015-02-19T00:44:04Z</dcterms:modified>
</cp:coreProperties>
</file>